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_shr\OneDrive\Desktop\"/>
    </mc:Choice>
  </mc:AlternateContent>
  <xr:revisionPtr revIDLastSave="0" documentId="13_ncr:1_{71AF90AE-3035-4493-BA17-6DF802C9AAEE}" xr6:coauthVersionLast="47" xr6:coauthVersionMax="47" xr10:uidLastSave="{00000000-0000-0000-0000-000000000000}"/>
  <bookViews>
    <workbookView xWindow="-108" yWindow="-108" windowWidth="23256" windowHeight="12456" activeTab="3" xr2:uid="{2E11F0B1-FAF2-45DB-9E0A-59657E98E86F}"/>
  </bookViews>
  <sheets>
    <sheet name="Backdoor" sheetId="6" r:id="rId1"/>
    <sheet name="Assets List" sheetId="2" r:id="rId2"/>
    <sheet name="Returns" sheetId="3" r:id="rId3"/>
    <sheet name="Portfolio Builder" sheetId="5" r:id="rId4"/>
  </sheets>
  <definedNames>
    <definedName name="_xleta.N" hidden="1" xlm="1">#NAME?</definedName>
    <definedName name="_xlpm.data" hidden="1" xlm="1">#NAME?</definedName>
    <definedName name="_xlpm.latestDate" hidden="1" xlm="1">#NAME?</definedName>
    <definedName name="XAXIS" localSheetId="2">OFFSET(Returns!$A$8, 0, 0, COUNTA(Returns!$A$8:$A$790), 1)</definedName>
    <definedName name="YAXIS" localSheetId="2">OFFSET(Returns!$B$8, 0, 0, COUNTA(Returns!$B$8:$B$790),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 a="1"/>
  <c r="C3" i="6" s="1"/>
  <c r="C4" i="6" s="1" a="1"/>
  <c r="C4" i="6" s="1"/>
  <c r="A5" i="3" a="1"/>
  <c r="A5" i="3" s="1"/>
  <c r="N14" i="3" a="1"/>
  <c r="N14" i="3" s="1"/>
  <c r="N15" i="3" a="1"/>
  <c r="N15" i="3" s="1"/>
  <c r="G7" i="3" a="1"/>
  <c r="G7" i="3" s="1"/>
  <c r="C5" i="6" a="1"/>
  <c r="B5" i="6" a="1"/>
  <c r="C5" i="6" l="1"/>
  <c r="CE4" i="6" a="1"/>
  <c r="CE4" i="6" s="1"/>
  <c r="CX4" i="6" a="1"/>
  <c r="CX4" i="6" s="1"/>
  <c r="BO4" i="6" a="1"/>
  <c r="BO4" i="6" s="1"/>
  <c r="AU4" i="6" a="1"/>
  <c r="AU4" i="6" s="1"/>
  <c r="K4" i="6" a="1"/>
  <c r="K4" i="6" s="1"/>
  <c r="CW4" i="6" a="1"/>
  <c r="CW4" i="6" s="1"/>
  <c r="CP4" i="6" a="1"/>
  <c r="CP4" i="6" s="1"/>
  <c r="CC4" i="6" a="1"/>
  <c r="CC4" i="6" s="1"/>
  <c r="BU4" i="6" a="1"/>
  <c r="BU4" i="6" s="1"/>
  <c r="BN4" i="6" a="1"/>
  <c r="BN4" i="6" s="1"/>
  <c r="BA4" i="6" a="1"/>
  <c r="BA4" i="6" s="1"/>
  <c r="AT4" i="6" a="1"/>
  <c r="AT4" i="6" s="1"/>
  <c r="AL4" i="6" a="1"/>
  <c r="AL4" i="6" s="1"/>
  <c r="Y4" i="6" a="1"/>
  <c r="Y4" i="6" s="1"/>
  <c r="R4" i="6" a="1"/>
  <c r="R4" i="6" s="1"/>
  <c r="J4" i="6" a="1"/>
  <c r="J4" i="6" s="1"/>
  <c r="BW4" i="6" a="1"/>
  <c r="BW4" i="6" s="1"/>
  <c r="CJ4" i="6" a="1"/>
  <c r="CJ4" i="6" s="1"/>
  <c r="BV4" i="6" a="1"/>
  <c r="BV4" i="6" s="1"/>
  <c r="BB4" i="6" a="1"/>
  <c r="BB4" i="6" s="1"/>
  <c r="AF4" i="6" a="1"/>
  <c r="AF4" i="6" s="1"/>
  <c r="Z4" i="6" a="1"/>
  <c r="Z4" i="6" s="1"/>
  <c r="CV4" i="6" a="1"/>
  <c r="CV4" i="6" s="1"/>
  <c r="CO4" i="6" a="1"/>
  <c r="CO4" i="6" s="1"/>
  <c r="CI4" i="6" a="1"/>
  <c r="CI4" i="6" s="1"/>
  <c r="CB4" i="6" a="1"/>
  <c r="CB4" i="6" s="1"/>
  <c r="BT4" i="6" a="1"/>
  <c r="BT4" i="6" s="1"/>
  <c r="BM4" i="6" a="1"/>
  <c r="BM4" i="6" s="1"/>
  <c r="BG4" i="6" a="1"/>
  <c r="BG4" i="6" s="1"/>
  <c r="AZ4" i="6" a="1"/>
  <c r="AZ4" i="6" s="1"/>
  <c r="AS4" i="6" a="1"/>
  <c r="AS4" i="6" s="1"/>
  <c r="AK4" i="6" a="1"/>
  <c r="AK4" i="6" s="1"/>
  <c r="AE4" i="6" a="1"/>
  <c r="AE4" i="6" s="1"/>
  <c r="X4" i="6" a="1"/>
  <c r="X4" i="6" s="1"/>
  <c r="Q4" i="6" a="1"/>
  <c r="Q4" i="6" s="1"/>
  <c r="I4" i="6" a="1"/>
  <c r="I4" i="6" s="1"/>
  <c r="CK4" i="6" a="1"/>
  <c r="CK4" i="6" s="1"/>
  <c r="CQ4" i="6" a="1"/>
  <c r="CQ4" i="6" s="1"/>
  <c r="CD4" i="6" a="1"/>
  <c r="CD4" i="6" s="1"/>
  <c r="BH4" i="6" a="1"/>
  <c r="BH4" i="6" s="1"/>
  <c r="AM4" i="6" a="1"/>
  <c r="AM4" i="6" s="1"/>
  <c r="S4" i="6" a="1"/>
  <c r="S4" i="6" s="1"/>
  <c r="CN4" i="6" a="1"/>
  <c r="CN4" i="6" s="1"/>
  <c r="CH4" i="6" a="1"/>
  <c r="CH4" i="6" s="1"/>
  <c r="CA4" i="6" a="1"/>
  <c r="CA4" i="6" s="1"/>
  <c r="BS4" i="6" a="1"/>
  <c r="BS4" i="6" s="1"/>
  <c r="BL4" i="6" a="1"/>
  <c r="BL4" i="6" s="1"/>
  <c r="BF4" i="6" a="1"/>
  <c r="BF4" i="6" s="1"/>
  <c r="AR4" i="6" a="1"/>
  <c r="AR4" i="6" s="1"/>
  <c r="AJ4" i="6" a="1"/>
  <c r="AJ4" i="6" s="1"/>
  <c r="AD4" i="6" a="1"/>
  <c r="AD4" i="6" s="1"/>
  <c r="W4" i="6" a="1"/>
  <c r="W4" i="6" s="1"/>
  <c r="P4" i="6" a="1"/>
  <c r="P4" i="6" s="1"/>
  <c r="H4" i="6" a="1"/>
  <c r="H4" i="6" s="1"/>
  <c r="AQ4" i="6" a="1"/>
  <c r="AQ4" i="6" s="1"/>
  <c r="G4" i="6" a="1"/>
  <c r="G4" i="6" s="1"/>
  <c r="CY4" i="6" a="1"/>
  <c r="CY4" i="6" s="1"/>
  <c r="CY5" i="6" s="1" a="1"/>
  <c r="CY5" i="6" s="1"/>
  <c r="BI4" i="6" a="1"/>
  <c r="BI4" i="6" s="1"/>
  <c r="BR4" i="6" a="1"/>
  <c r="BR4" i="6" s="1"/>
  <c r="AY4" i="6" a="1"/>
  <c r="AY4" i="6" s="1"/>
  <c r="O4" i="6" a="1"/>
  <c r="O4" i="6" s="1"/>
  <c r="CT4" i="6" a="1"/>
  <c r="CT4" i="6" s="1"/>
  <c r="CM4" i="6" a="1"/>
  <c r="CM4" i="6" s="1"/>
  <c r="CF4" i="6" a="1"/>
  <c r="CF4" i="6" s="1"/>
  <c r="BY4" i="6" a="1"/>
  <c r="BY4" i="6" s="1"/>
  <c r="BQ4" i="6" a="1"/>
  <c r="BQ4" i="6" s="1"/>
  <c r="BK4" i="6" a="1"/>
  <c r="BK4" i="6" s="1"/>
  <c r="BD4" i="6" a="1"/>
  <c r="BD4" i="6" s="1"/>
  <c r="AX4" i="6" a="1"/>
  <c r="AX4" i="6" s="1"/>
  <c r="AP4" i="6" a="1"/>
  <c r="AP4" i="6" s="1"/>
  <c r="AI4" i="6" a="1"/>
  <c r="AI4" i="6" s="1"/>
  <c r="AB4" i="6" a="1"/>
  <c r="AB4" i="6" s="1"/>
  <c r="U4" i="6" a="1"/>
  <c r="U4" i="6" s="1"/>
  <c r="N4" i="6" a="1"/>
  <c r="N4" i="6" s="1"/>
  <c r="F4" i="6" a="1"/>
  <c r="F4" i="6" s="1"/>
  <c r="CU4" i="6" a="1"/>
  <c r="CU4" i="6" s="1"/>
  <c r="CG4" i="6" a="1"/>
  <c r="CG4" i="6" s="1"/>
  <c r="BZ4" i="6" a="1"/>
  <c r="BZ4" i="6" s="1"/>
  <c r="BE4" i="6" a="1"/>
  <c r="BE4" i="6" s="1"/>
  <c r="AC4" i="6" a="1"/>
  <c r="AC4" i="6" s="1"/>
  <c r="V4" i="6" a="1"/>
  <c r="V4" i="6" s="1"/>
  <c r="CS4" i="6" a="1"/>
  <c r="CS4" i="6" s="1"/>
  <c r="CL4" i="6" a="1"/>
  <c r="CL4" i="6" s="1"/>
  <c r="BX4" i="6" a="1"/>
  <c r="BX4" i="6" s="1"/>
  <c r="BP4" i="6" a="1"/>
  <c r="BP4" i="6" s="1"/>
  <c r="BJ4" i="6" a="1"/>
  <c r="BJ4" i="6" s="1"/>
  <c r="AW4" i="6" a="1"/>
  <c r="AW4" i="6" s="1"/>
  <c r="AO4" i="6" a="1"/>
  <c r="AO4" i="6" s="1"/>
  <c r="AH4" i="6" a="1"/>
  <c r="AH4" i="6" s="1"/>
  <c r="T4" i="6" a="1"/>
  <c r="T4" i="6" s="1"/>
  <c r="M4" i="6" a="1"/>
  <c r="M4" i="6" s="1"/>
  <c r="E4" i="6" a="1"/>
  <c r="E4" i="6" s="1"/>
  <c r="CR4" i="6" a="1"/>
  <c r="CR4" i="6" s="1"/>
  <c r="BC4" i="6" a="1"/>
  <c r="BC4" i="6" s="1"/>
  <c r="AV4" i="6" a="1"/>
  <c r="AV4" i="6" s="1"/>
  <c r="AN4" i="6" a="1"/>
  <c r="AN4" i="6" s="1"/>
  <c r="AG4" i="6" a="1"/>
  <c r="AG4" i="6" s="1"/>
  <c r="AA4" i="6" a="1"/>
  <c r="AA4" i="6" s="1"/>
  <c r="L4" i="6" a="1"/>
  <c r="L4" i="6" s="1"/>
  <c r="D4" i="6" a="1"/>
  <c r="D4" i="6" s="1"/>
  <c r="B5" i="6"/>
  <c r="DI15" i="6"/>
  <c r="DI16" i="6" s="1"/>
  <c r="DC5" i="6"/>
  <c r="B1" i="3"/>
  <c r="DJ5" i="6" s="1"/>
  <c r="P3" i="5"/>
  <c r="P4" i="5"/>
  <c r="P2" i="5"/>
  <c r="O279" i="6" l="1"/>
  <c r="O269" i="6"/>
  <c r="O264" i="6"/>
  <c r="AF279" i="6"/>
  <c r="AF269" i="6"/>
  <c r="AF264" i="6"/>
  <c r="BX269" i="6"/>
  <c r="BX264" i="6"/>
  <c r="BX279" i="6"/>
  <c r="CU269" i="6"/>
  <c r="CU264" i="6"/>
  <c r="CU279" i="6"/>
  <c r="BD264" i="6"/>
  <c r="BD279" i="6"/>
  <c r="BD269" i="6"/>
  <c r="AY269" i="6"/>
  <c r="AY264" i="6"/>
  <c r="AY279" i="6"/>
  <c r="W279" i="6"/>
  <c r="W269" i="6"/>
  <c r="W264" i="6"/>
  <c r="CH279" i="6"/>
  <c r="CH269" i="6"/>
  <c r="CH264" i="6"/>
  <c r="BM264" i="6"/>
  <c r="BM279" i="6"/>
  <c r="BM269" i="6"/>
  <c r="BB279" i="6"/>
  <c r="BB269" i="6"/>
  <c r="BB264" i="6"/>
  <c r="AT279" i="6"/>
  <c r="AT269" i="6"/>
  <c r="AT264" i="6"/>
  <c r="AU279" i="6"/>
  <c r="AU269" i="6"/>
  <c r="AU264" i="6"/>
  <c r="CG279" i="6"/>
  <c r="CG269" i="6"/>
  <c r="CG264" i="6"/>
  <c r="BG269" i="6"/>
  <c r="BG264" i="6"/>
  <c r="BG279" i="6"/>
  <c r="L269" i="6"/>
  <c r="L279" i="6"/>
  <c r="L264" i="6"/>
  <c r="M279" i="6"/>
  <c r="M269" i="6"/>
  <c r="M264" i="6"/>
  <c r="CL264" i="6"/>
  <c r="CL279" i="6"/>
  <c r="CL269" i="6"/>
  <c r="BK264" i="6"/>
  <c r="BK279" i="6"/>
  <c r="BK269" i="6"/>
  <c r="BR279" i="6"/>
  <c r="BR269" i="6"/>
  <c r="BR264" i="6"/>
  <c r="AD279" i="6"/>
  <c r="AD269" i="6"/>
  <c r="AD264" i="6"/>
  <c r="CN264" i="6"/>
  <c r="CN269" i="6"/>
  <c r="CN279" i="6"/>
  <c r="Q264" i="6"/>
  <c r="Q279" i="6"/>
  <c r="Q269" i="6"/>
  <c r="BT279" i="6"/>
  <c r="BT269" i="6"/>
  <c r="BT264" i="6"/>
  <c r="BV269" i="6"/>
  <c r="BV264" i="6"/>
  <c r="BV279" i="6"/>
  <c r="BA279" i="6"/>
  <c r="BA269" i="6"/>
  <c r="BA264" i="6"/>
  <c r="BO269" i="6"/>
  <c r="BO264" i="6"/>
  <c r="BO279" i="6"/>
  <c r="AA269" i="6"/>
  <c r="AA264" i="6"/>
  <c r="AA279" i="6"/>
  <c r="T269" i="6"/>
  <c r="T264" i="6"/>
  <c r="T279" i="6"/>
  <c r="CS264" i="6"/>
  <c r="CS279" i="6"/>
  <c r="CS269" i="6"/>
  <c r="N279" i="6"/>
  <c r="N269" i="6"/>
  <c r="N264" i="6"/>
  <c r="BQ279" i="6"/>
  <c r="BQ269" i="6"/>
  <c r="BQ264" i="6"/>
  <c r="BI279" i="6"/>
  <c r="BI269" i="6"/>
  <c r="BI264" i="6"/>
  <c r="AJ269" i="6"/>
  <c r="AJ264" i="6"/>
  <c r="AJ279" i="6"/>
  <c r="S269" i="6"/>
  <c r="S264" i="6"/>
  <c r="S279" i="6"/>
  <c r="X279" i="6"/>
  <c r="X264" i="6"/>
  <c r="X269" i="6"/>
  <c r="CB264" i="6"/>
  <c r="CB279" i="6"/>
  <c r="CB269" i="6"/>
  <c r="CJ279" i="6"/>
  <c r="CJ264" i="6"/>
  <c r="CJ269" i="6"/>
  <c r="BN264" i="6"/>
  <c r="BN269" i="6"/>
  <c r="BN279" i="6"/>
  <c r="CX279" i="6"/>
  <c r="CX269" i="6"/>
  <c r="CX264" i="6"/>
  <c r="AX264" i="6"/>
  <c r="AX279" i="6"/>
  <c r="AX269" i="6"/>
  <c r="CK264" i="6"/>
  <c r="CK279" i="6"/>
  <c r="CK269" i="6"/>
  <c r="AG264" i="6"/>
  <c r="AG279" i="6"/>
  <c r="AG269" i="6"/>
  <c r="AH264" i="6"/>
  <c r="AH279" i="6"/>
  <c r="AH269" i="6"/>
  <c r="V279" i="6"/>
  <c r="V269" i="6"/>
  <c r="V264" i="6"/>
  <c r="U279" i="6"/>
  <c r="U269" i="6"/>
  <c r="U264" i="6"/>
  <c r="BY279" i="6"/>
  <c r="BY269" i="6"/>
  <c r="BY264" i="6"/>
  <c r="AR269" i="6"/>
  <c r="AR264" i="6"/>
  <c r="AR279" i="6"/>
  <c r="AM279" i="6"/>
  <c r="AM264" i="6"/>
  <c r="AM269" i="6"/>
  <c r="AE279" i="6"/>
  <c r="AE269" i="6"/>
  <c r="AE264" i="6"/>
  <c r="CI279" i="6"/>
  <c r="CI264" i="6"/>
  <c r="CI269" i="6"/>
  <c r="BW269" i="6"/>
  <c r="BW264" i="6"/>
  <c r="BW279" i="6"/>
  <c r="BU264" i="6"/>
  <c r="BU279" i="6"/>
  <c r="BU269" i="6"/>
  <c r="CE269" i="6"/>
  <c r="CE264" i="6"/>
  <c r="CE279" i="6"/>
  <c r="BP264" i="6"/>
  <c r="BP269" i="6"/>
  <c r="BP279" i="6"/>
  <c r="AN264" i="6"/>
  <c r="AN279" i="6"/>
  <c r="AN269" i="6"/>
  <c r="AO264" i="6"/>
  <c r="AO279" i="6"/>
  <c r="AO269" i="6"/>
  <c r="AC279" i="6"/>
  <c r="AC269" i="6"/>
  <c r="AC264" i="6"/>
  <c r="AB264" i="6"/>
  <c r="AB279" i="6"/>
  <c r="AB269" i="6"/>
  <c r="CF269" i="6"/>
  <c r="CF279" i="6"/>
  <c r="CF264" i="6"/>
  <c r="BF264" i="6"/>
  <c r="BF269" i="6"/>
  <c r="BF279" i="6"/>
  <c r="BH269" i="6"/>
  <c r="BH264" i="6"/>
  <c r="BH279" i="6"/>
  <c r="AK279" i="6"/>
  <c r="AK269" i="6"/>
  <c r="AK264" i="6"/>
  <c r="CO279" i="6"/>
  <c r="CO269" i="6"/>
  <c r="CO264" i="6"/>
  <c r="J264" i="6"/>
  <c r="J269" i="6"/>
  <c r="J279" i="6"/>
  <c r="CC264" i="6"/>
  <c r="CC279" i="6"/>
  <c r="CC269" i="6"/>
  <c r="P264" i="6"/>
  <c r="P279" i="6"/>
  <c r="P269" i="6"/>
  <c r="AL279" i="6"/>
  <c r="AL269" i="6"/>
  <c r="AL264" i="6"/>
  <c r="AV279" i="6"/>
  <c r="AV269" i="6"/>
  <c r="AV264" i="6"/>
  <c r="AW264" i="6"/>
  <c r="AW279" i="6"/>
  <c r="AW269" i="6"/>
  <c r="BE264" i="6"/>
  <c r="BE279" i="6"/>
  <c r="BE269" i="6"/>
  <c r="AI269" i="6"/>
  <c r="AI264" i="6"/>
  <c r="AI279" i="6"/>
  <c r="CM269" i="6"/>
  <c r="CM264" i="6"/>
  <c r="CM279" i="6"/>
  <c r="AQ269" i="6"/>
  <c r="AQ264" i="6"/>
  <c r="AQ279" i="6"/>
  <c r="BL264" i="6"/>
  <c r="BL279" i="6"/>
  <c r="BL269" i="6"/>
  <c r="CD264" i="6"/>
  <c r="CD279" i="6"/>
  <c r="CD269" i="6"/>
  <c r="AS279" i="6"/>
  <c r="AS269" i="6"/>
  <c r="AS264" i="6"/>
  <c r="CV269" i="6"/>
  <c r="CV264" i="6"/>
  <c r="CV279" i="6"/>
  <c r="R264" i="6"/>
  <c r="R269" i="6"/>
  <c r="R279" i="6"/>
  <c r="CP269" i="6"/>
  <c r="CP279" i="6"/>
  <c r="CP264" i="6"/>
  <c r="CR264" i="6"/>
  <c r="CR279" i="6"/>
  <c r="CR269" i="6"/>
  <c r="CA279" i="6"/>
  <c r="CA269" i="6"/>
  <c r="CA264" i="6"/>
  <c r="K269" i="6"/>
  <c r="K264" i="6"/>
  <c r="K279" i="6"/>
  <c r="BC279" i="6"/>
  <c r="BC269" i="6"/>
  <c r="BC264" i="6"/>
  <c r="BJ279" i="6"/>
  <c r="BJ269" i="6"/>
  <c r="BJ264" i="6"/>
  <c r="BZ279" i="6"/>
  <c r="BZ269" i="6"/>
  <c r="BZ264" i="6"/>
  <c r="AP264" i="6"/>
  <c r="AP269" i="6"/>
  <c r="AP279" i="6"/>
  <c r="CT264" i="6"/>
  <c r="CT269" i="6"/>
  <c r="CT279" i="6"/>
  <c r="BS264" i="6"/>
  <c r="BS279" i="6"/>
  <c r="BS269" i="6"/>
  <c r="CQ264" i="6"/>
  <c r="CQ279" i="6"/>
  <c r="CQ269" i="6"/>
  <c r="AZ269" i="6"/>
  <c r="AZ264" i="6"/>
  <c r="AZ279" i="6"/>
  <c r="Z269" i="6"/>
  <c r="Z264" i="6"/>
  <c r="Z279" i="6"/>
  <c r="Y264" i="6"/>
  <c r="Y279" i="6"/>
  <c r="Y269" i="6"/>
  <c r="CW279" i="6"/>
  <c r="CW269" i="6"/>
  <c r="CW264" i="6"/>
  <c r="C264" i="6"/>
  <c r="C269" i="6"/>
  <c r="AV277" i="6"/>
  <c r="AV263" i="6"/>
  <c r="AV275" i="6"/>
  <c r="AV270" i="6"/>
  <c r="AV5" i="6" a="1"/>
  <c r="AV5" i="6" s="1"/>
  <c r="CM270" i="6"/>
  <c r="CM275" i="6"/>
  <c r="CM5" i="6" a="1"/>
  <c r="CM5" i="6" s="1"/>
  <c r="CM263" i="6"/>
  <c r="CM277" i="6"/>
  <c r="CV275" i="6"/>
  <c r="CV277" i="6"/>
  <c r="CV263" i="6"/>
  <c r="CV5" i="6" a="1"/>
  <c r="CV5" i="6" s="1"/>
  <c r="CV270" i="6"/>
  <c r="BC275" i="6"/>
  <c r="BC270" i="6"/>
  <c r="BC277" i="6"/>
  <c r="BC5" i="6" a="1"/>
  <c r="BC5" i="6" s="1"/>
  <c r="BC263" i="6"/>
  <c r="CT277" i="6"/>
  <c r="CT5" i="6" a="1"/>
  <c r="CT5" i="6" s="1"/>
  <c r="CT275" i="6"/>
  <c r="CT263" i="6"/>
  <c r="CT270" i="6"/>
  <c r="Z277" i="6"/>
  <c r="Z5" i="6" a="1"/>
  <c r="Z5" i="6" s="1"/>
  <c r="Z263" i="6"/>
  <c r="Z270" i="6"/>
  <c r="Z275" i="6"/>
  <c r="CG275" i="6"/>
  <c r="CG263" i="6"/>
  <c r="CG5" i="6" a="1"/>
  <c r="CG5" i="6" s="1"/>
  <c r="CG270" i="6"/>
  <c r="CG277" i="6"/>
  <c r="CA275" i="6"/>
  <c r="CA270" i="6"/>
  <c r="CA277" i="6"/>
  <c r="CA263" i="6"/>
  <c r="CA5" i="6" a="1"/>
  <c r="CA5" i="6" s="1"/>
  <c r="AL270" i="6"/>
  <c r="AL263" i="6"/>
  <c r="AL277" i="6"/>
  <c r="AL275" i="6"/>
  <c r="AL5" i="6" a="1"/>
  <c r="AL5" i="6" s="1"/>
  <c r="CU270" i="6"/>
  <c r="CU277" i="6"/>
  <c r="CU263" i="6"/>
  <c r="CU5" i="6" a="1"/>
  <c r="CU5" i="6" s="1"/>
  <c r="CU275" i="6"/>
  <c r="AU275" i="6"/>
  <c r="AU277" i="6"/>
  <c r="AU263" i="6"/>
  <c r="AU270" i="6"/>
  <c r="AU5" i="6" a="1"/>
  <c r="AU5" i="6" s="1"/>
  <c r="AI270" i="6"/>
  <c r="AI277" i="6"/>
  <c r="AI275" i="6"/>
  <c r="AI5" i="6" a="1"/>
  <c r="AI5" i="6" s="1"/>
  <c r="AI263" i="6"/>
  <c r="CD277" i="6"/>
  <c r="CD275" i="6"/>
  <c r="CD5" i="6" a="1"/>
  <c r="CD5" i="6" s="1"/>
  <c r="CD270" i="6"/>
  <c r="CD263" i="6"/>
  <c r="R277" i="6"/>
  <c r="R275" i="6"/>
  <c r="R5" i="6" a="1"/>
  <c r="R5" i="6" s="1"/>
  <c r="R263" i="6"/>
  <c r="R270" i="6"/>
  <c r="BZ270" i="6"/>
  <c r="BZ275" i="6"/>
  <c r="BZ277" i="6"/>
  <c r="BZ263" i="6"/>
  <c r="BZ5" i="6" a="1"/>
  <c r="BZ5" i="6" s="1"/>
  <c r="BS275" i="6"/>
  <c r="BS277" i="6"/>
  <c r="BS270" i="6"/>
  <c r="BS5" i="6" a="1"/>
  <c r="BS5" i="6" s="1"/>
  <c r="BS263" i="6"/>
  <c r="Y277" i="6"/>
  <c r="Y5" i="6" a="1"/>
  <c r="Y5" i="6" s="1"/>
  <c r="Y270" i="6"/>
  <c r="Y263" i="6"/>
  <c r="Y275" i="6"/>
  <c r="BP275" i="6"/>
  <c r="BP270" i="6"/>
  <c r="BP277" i="6"/>
  <c r="BP5" i="6" a="1"/>
  <c r="BP5" i="6" s="1"/>
  <c r="BP263" i="6"/>
  <c r="O275" i="6"/>
  <c r="O263" i="6"/>
  <c r="O270" i="6"/>
  <c r="O277" i="6"/>
  <c r="O5" i="6" a="1"/>
  <c r="O5" i="6" s="1"/>
  <c r="BG270" i="6"/>
  <c r="BG275" i="6"/>
  <c r="BG277" i="6"/>
  <c r="BG263" i="6"/>
  <c r="BG5" i="6" a="1"/>
  <c r="BG5" i="6" s="1"/>
  <c r="BD263" i="6"/>
  <c r="BD270" i="6"/>
  <c r="BD275" i="6"/>
  <c r="BD277" i="6"/>
  <c r="BD5" i="6" a="1"/>
  <c r="BD5" i="6" s="1"/>
  <c r="AT270" i="6"/>
  <c r="AT275" i="6"/>
  <c r="AT5" i="6" a="1"/>
  <c r="AT5" i="6" s="1"/>
  <c r="AT277" i="6"/>
  <c r="AT263" i="6"/>
  <c r="CL277" i="6"/>
  <c r="CL5" i="6" a="1"/>
  <c r="CL5" i="6" s="1"/>
  <c r="CL275" i="6"/>
  <c r="CL263" i="6"/>
  <c r="CL270" i="6"/>
  <c r="BK275" i="6"/>
  <c r="BK277" i="6"/>
  <c r="BK263" i="6"/>
  <c r="BK5" i="6" a="1"/>
  <c r="BK5" i="6" s="1"/>
  <c r="BK270" i="6"/>
  <c r="AD270" i="6"/>
  <c r="AD263" i="6"/>
  <c r="AD275" i="6"/>
  <c r="AD5" i="6" a="1"/>
  <c r="AD5" i="6" s="1"/>
  <c r="AD277" i="6"/>
  <c r="Q277" i="6"/>
  <c r="Q5" i="6" a="1"/>
  <c r="Q5" i="6" s="1"/>
  <c r="Q270" i="6"/>
  <c r="Q263" i="6"/>
  <c r="Q275" i="6"/>
  <c r="BV277" i="6"/>
  <c r="BV263" i="6"/>
  <c r="BV5" i="6" a="1"/>
  <c r="BV5" i="6" s="1"/>
  <c r="BV275" i="6"/>
  <c r="BV270" i="6"/>
  <c r="BO270" i="6"/>
  <c r="BO275" i="6"/>
  <c r="BO263" i="6"/>
  <c r="BO5" i="6" a="1"/>
  <c r="BO5" i="6" s="1"/>
  <c r="BO277" i="6"/>
  <c r="T275" i="6"/>
  <c r="T270" i="6"/>
  <c r="T277" i="6"/>
  <c r="T263" i="6"/>
  <c r="T5" i="6" a="1"/>
  <c r="T5" i="6" s="1"/>
  <c r="N270" i="6"/>
  <c r="N277" i="6"/>
  <c r="N275" i="6"/>
  <c r="N5" i="6" a="1"/>
  <c r="N5" i="6" s="1"/>
  <c r="N263" i="6"/>
  <c r="BI275" i="6"/>
  <c r="BI263" i="6"/>
  <c r="BI277" i="6"/>
  <c r="BI270" i="6"/>
  <c r="BI5" i="6" a="1"/>
  <c r="BI5" i="6" s="1"/>
  <c r="S270" i="6"/>
  <c r="S263" i="6"/>
  <c r="S275" i="6"/>
  <c r="S277" i="6"/>
  <c r="S5" i="6" a="1"/>
  <c r="S5" i="6" s="1"/>
  <c r="CJ277" i="6"/>
  <c r="CJ263" i="6"/>
  <c r="CJ5" i="6" a="1"/>
  <c r="CJ5" i="6" s="1"/>
  <c r="CJ275" i="6"/>
  <c r="CJ270" i="6"/>
  <c r="CX270" i="6"/>
  <c r="CX277" i="6"/>
  <c r="CX263" i="6"/>
  <c r="CX275" i="6"/>
  <c r="CX5" i="6" a="1"/>
  <c r="CX5" i="6" s="1"/>
  <c r="AW277" i="6"/>
  <c r="AW5" i="6" a="1"/>
  <c r="AW5" i="6" s="1"/>
  <c r="AW270" i="6"/>
  <c r="AW263" i="6"/>
  <c r="AW275" i="6"/>
  <c r="AQ270" i="6"/>
  <c r="AQ275" i="6"/>
  <c r="AQ5" i="6" a="1"/>
  <c r="AQ5" i="6" s="1"/>
  <c r="AQ277" i="6"/>
  <c r="AQ263" i="6"/>
  <c r="AS275" i="6"/>
  <c r="AS263" i="6"/>
  <c r="AS270" i="6"/>
  <c r="AS5" i="6" a="1"/>
  <c r="AS5" i="6" s="1"/>
  <c r="AS277" i="6"/>
  <c r="BJ270" i="6"/>
  <c r="BJ277" i="6"/>
  <c r="BJ275" i="6"/>
  <c r="BJ5" i="6" a="1"/>
  <c r="BJ5" i="6" s="1"/>
  <c r="BJ263" i="6"/>
  <c r="AZ275" i="6"/>
  <c r="AZ270" i="6"/>
  <c r="AZ277" i="6"/>
  <c r="AZ263" i="6"/>
  <c r="AZ5" i="6" a="1"/>
  <c r="AZ5" i="6" s="1"/>
  <c r="CR275" i="6"/>
  <c r="CR270" i="6"/>
  <c r="CR5" i="6" a="1"/>
  <c r="CR5" i="6" s="1"/>
  <c r="CR277" i="6"/>
  <c r="CR263" i="6"/>
  <c r="P270" i="6"/>
  <c r="P275" i="6"/>
  <c r="P263" i="6"/>
  <c r="P277" i="6"/>
  <c r="P5" i="6" a="1"/>
  <c r="P5" i="6" s="1"/>
  <c r="AF275" i="6"/>
  <c r="AF277" i="6"/>
  <c r="AF5" i="6" a="1"/>
  <c r="AF5" i="6" s="1"/>
  <c r="AF270" i="6"/>
  <c r="AF263" i="6"/>
  <c r="AY270" i="6"/>
  <c r="AY277" i="6"/>
  <c r="AY263" i="6"/>
  <c r="AY275" i="6"/>
  <c r="AY5" i="6" a="1"/>
  <c r="AY5" i="6" s="1"/>
  <c r="CH270" i="6"/>
  <c r="CH277" i="6"/>
  <c r="CH275" i="6"/>
  <c r="CH5" i="6" a="1"/>
  <c r="CH5" i="6" s="1"/>
  <c r="CH263" i="6"/>
  <c r="BB270" i="6"/>
  <c r="BB277" i="6"/>
  <c r="BB5" i="6" a="1"/>
  <c r="BB5" i="6" s="1"/>
  <c r="BB275" i="6"/>
  <c r="BB263" i="6"/>
  <c r="L275" i="6"/>
  <c r="L270" i="6"/>
  <c r="L277" i="6"/>
  <c r="L5" i="6" a="1"/>
  <c r="L5" i="6" s="1"/>
  <c r="L263" i="6"/>
  <c r="BR270" i="6"/>
  <c r="BR275" i="6"/>
  <c r="BR263" i="6"/>
  <c r="BR277" i="6"/>
  <c r="BR5" i="6" a="1"/>
  <c r="BR5" i="6" s="1"/>
  <c r="CN275" i="6"/>
  <c r="CN277" i="6"/>
  <c r="CN270" i="6"/>
  <c r="CN263" i="6"/>
  <c r="CN5" i="6" a="1"/>
  <c r="CN5" i="6" s="1"/>
  <c r="BT277" i="6"/>
  <c r="BT275" i="6"/>
  <c r="BT5" i="6" a="1"/>
  <c r="BT5" i="6" s="1"/>
  <c r="BT270" i="6"/>
  <c r="BT263" i="6"/>
  <c r="BA275" i="6"/>
  <c r="BA263" i="6"/>
  <c r="BA5" i="6" a="1"/>
  <c r="BA5" i="6" s="1"/>
  <c r="BA270" i="6"/>
  <c r="BA277" i="6"/>
  <c r="AA270" i="6"/>
  <c r="AA275" i="6"/>
  <c r="AA263" i="6"/>
  <c r="AA277" i="6"/>
  <c r="AA5" i="6" a="1"/>
  <c r="AA5" i="6" s="1"/>
  <c r="CS277" i="6"/>
  <c r="CS5" i="6" a="1"/>
  <c r="CS5" i="6" s="1"/>
  <c r="CS275" i="6"/>
  <c r="CS270" i="6"/>
  <c r="CS263" i="6"/>
  <c r="BQ275" i="6"/>
  <c r="BQ263" i="6"/>
  <c r="BQ270" i="6"/>
  <c r="BQ5" i="6" a="1"/>
  <c r="BQ5" i="6" s="1"/>
  <c r="BQ277" i="6"/>
  <c r="AJ275" i="6"/>
  <c r="AJ270" i="6"/>
  <c r="AJ277" i="6"/>
  <c r="AJ263" i="6"/>
  <c r="AJ5" i="6" a="1"/>
  <c r="AJ5" i="6" s="1"/>
  <c r="X277" i="6"/>
  <c r="X275" i="6"/>
  <c r="X5" i="6" a="1"/>
  <c r="X5" i="6" s="1"/>
  <c r="X270" i="6"/>
  <c r="X263" i="6"/>
  <c r="CB270" i="6"/>
  <c r="CB277" i="6"/>
  <c r="CB5" i="6" a="1"/>
  <c r="CB5" i="6" s="1"/>
  <c r="CB275" i="6"/>
  <c r="CB263" i="6"/>
  <c r="BN277" i="6"/>
  <c r="BN270" i="6"/>
  <c r="BN5" i="6" a="1"/>
  <c r="BN5" i="6" s="1"/>
  <c r="BN263" i="6"/>
  <c r="BN275" i="6"/>
  <c r="AG277" i="6"/>
  <c r="AG5" i="6" a="1"/>
  <c r="AG5" i="6" s="1"/>
  <c r="AG275" i="6"/>
  <c r="AG270" i="6"/>
  <c r="AG263" i="6"/>
  <c r="AH277" i="6"/>
  <c r="AH5" i="6" a="1"/>
  <c r="AH5" i="6" s="1"/>
  <c r="AH275" i="6"/>
  <c r="AH270" i="6"/>
  <c r="AH263" i="6"/>
  <c r="V270" i="6"/>
  <c r="V277" i="6"/>
  <c r="V275" i="6"/>
  <c r="V5" i="6" a="1"/>
  <c r="V5" i="6" s="1"/>
  <c r="V263" i="6"/>
  <c r="U275" i="6"/>
  <c r="U263" i="6"/>
  <c r="U5" i="6" a="1"/>
  <c r="U5" i="6" s="1"/>
  <c r="U270" i="6"/>
  <c r="U277" i="6"/>
  <c r="BY275" i="6"/>
  <c r="BY263" i="6"/>
  <c r="BY277" i="6"/>
  <c r="BY270" i="6"/>
  <c r="BY5" i="6" a="1"/>
  <c r="BY5" i="6" s="1"/>
  <c r="AR275" i="6"/>
  <c r="AR270" i="6"/>
  <c r="AR277" i="6"/>
  <c r="AR5" i="6" a="1"/>
  <c r="AR5" i="6" s="1"/>
  <c r="AR263" i="6"/>
  <c r="AM275" i="6"/>
  <c r="AM263" i="6"/>
  <c r="AM277" i="6"/>
  <c r="AM5" i="6" a="1"/>
  <c r="AM5" i="6" s="1"/>
  <c r="AM270" i="6"/>
  <c r="AE275" i="6"/>
  <c r="AE270" i="6"/>
  <c r="AE277" i="6"/>
  <c r="AE5" i="6" a="1"/>
  <c r="AE5" i="6" s="1"/>
  <c r="AE263" i="6"/>
  <c r="CI275" i="6"/>
  <c r="CI277" i="6"/>
  <c r="CI5" i="6" a="1"/>
  <c r="CI5" i="6" s="1"/>
  <c r="CI270" i="6"/>
  <c r="CI263" i="6"/>
  <c r="BW270" i="6"/>
  <c r="BW277" i="6"/>
  <c r="BW263" i="6"/>
  <c r="BW5" i="6" a="1"/>
  <c r="BW5" i="6" s="1"/>
  <c r="BW275" i="6"/>
  <c r="BU277" i="6"/>
  <c r="BU5" i="6" a="1"/>
  <c r="BU5" i="6" s="1"/>
  <c r="BU275" i="6"/>
  <c r="BU263" i="6"/>
  <c r="BU270" i="6"/>
  <c r="CE270" i="6"/>
  <c r="CE263" i="6"/>
  <c r="CE275" i="6"/>
  <c r="CE277" i="6"/>
  <c r="CE5" i="6" a="1"/>
  <c r="CE5" i="6" s="1"/>
  <c r="BE277" i="6"/>
  <c r="BE275" i="6"/>
  <c r="BE5" i="6" a="1"/>
  <c r="BE5" i="6" s="1"/>
  <c r="BE263" i="6"/>
  <c r="BE270" i="6"/>
  <c r="BL5" i="6" a="1"/>
  <c r="BL5" i="6" s="1"/>
  <c r="BL263" i="6"/>
  <c r="BL270" i="6"/>
  <c r="BL277" i="6"/>
  <c r="BL275" i="6"/>
  <c r="CP270" i="6"/>
  <c r="CP277" i="6"/>
  <c r="CP275" i="6"/>
  <c r="CP263" i="6"/>
  <c r="CP5" i="6" a="1"/>
  <c r="CP5" i="6" s="1"/>
  <c r="AP277" i="6"/>
  <c r="AP270" i="6"/>
  <c r="AP5" i="6" a="1"/>
  <c r="AP5" i="6" s="1"/>
  <c r="AP263" i="6"/>
  <c r="AP275" i="6"/>
  <c r="CQ275" i="6"/>
  <c r="CQ270" i="6"/>
  <c r="CQ5" i="6" a="1"/>
  <c r="CQ5" i="6" s="1"/>
  <c r="CQ277" i="6"/>
  <c r="CQ263" i="6"/>
  <c r="CW275" i="6"/>
  <c r="CW277" i="6"/>
  <c r="CW263" i="6"/>
  <c r="CW5" i="6" a="1"/>
  <c r="CW5" i="6" s="1"/>
  <c r="CW270" i="6"/>
  <c r="AX277" i="6"/>
  <c r="AX5" i="6" a="1"/>
  <c r="AX5" i="6" s="1"/>
  <c r="AX275" i="6"/>
  <c r="AX263" i="6"/>
  <c r="AX270" i="6"/>
  <c r="CK277" i="6"/>
  <c r="CK5" i="6" a="1"/>
  <c r="CK5" i="6" s="1"/>
  <c r="CK263" i="6"/>
  <c r="CK275" i="6"/>
  <c r="CK270" i="6"/>
  <c r="K270" i="6"/>
  <c r="K277" i="6"/>
  <c r="K263" i="6"/>
  <c r="K5" i="6" a="1"/>
  <c r="K5" i="6" s="1"/>
  <c r="K275" i="6"/>
  <c r="BX275" i="6"/>
  <c r="BX270" i="6"/>
  <c r="BX277" i="6"/>
  <c r="BX263" i="6"/>
  <c r="BX5" i="6" a="1"/>
  <c r="BX5" i="6" s="1"/>
  <c r="W275" i="6"/>
  <c r="W277" i="6"/>
  <c r="W5" i="6" a="1"/>
  <c r="W5" i="6" s="1"/>
  <c r="W263" i="6"/>
  <c r="W270" i="6"/>
  <c r="BM277" i="6"/>
  <c r="BM263" i="6"/>
  <c r="BM5" i="6" a="1"/>
  <c r="BM5" i="6" s="1"/>
  <c r="BM270" i="6"/>
  <c r="BM275" i="6"/>
  <c r="M275" i="6"/>
  <c r="M263" i="6"/>
  <c r="M277" i="6"/>
  <c r="M5" i="6" a="1"/>
  <c r="M5" i="6" s="1"/>
  <c r="M270" i="6"/>
  <c r="AN263" i="6"/>
  <c r="AN277" i="6"/>
  <c r="AN270" i="6"/>
  <c r="AN5" i="6" a="1"/>
  <c r="AN5" i="6" s="1"/>
  <c r="AN275" i="6"/>
  <c r="AO277" i="6"/>
  <c r="AO270" i="6"/>
  <c r="AO5" i="6" a="1"/>
  <c r="AO5" i="6" s="1"/>
  <c r="AO263" i="6"/>
  <c r="AO275" i="6"/>
  <c r="AC275" i="6"/>
  <c r="AC263" i="6"/>
  <c r="AC270" i="6"/>
  <c r="AC5" i="6" a="1"/>
  <c r="AC5" i="6" s="1"/>
  <c r="AC277" i="6"/>
  <c r="AB275" i="6"/>
  <c r="AB270" i="6"/>
  <c r="AB277" i="6"/>
  <c r="AB263" i="6"/>
  <c r="AB5" i="6" a="1"/>
  <c r="AB5" i="6" s="1"/>
  <c r="CF275" i="6"/>
  <c r="CF270" i="6"/>
  <c r="CF277" i="6"/>
  <c r="CF263" i="6"/>
  <c r="CF5" i="6" a="1"/>
  <c r="CF5" i="6" s="1"/>
  <c r="BF277" i="6"/>
  <c r="BF275" i="6"/>
  <c r="BF5" i="6" a="1"/>
  <c r="BF5" i="6" s="1"/>
  <c r="BF263" i="6"/>
  <c r="BF270" i="6"/>
  <c r="BH275" i="6"/>
  <c r="BH270" i="6"/>
  <c r="BH277" i="6"/>
  <c r="BH263" i="6"/>
  <c r="BH5" i="6" a="1"/>
  <c r="BH5" i="6" s="1"/>
  <c r="AK275" i="6"/>
  <c r="AK263" i="6"/>
  <c r="AK277" i="6"/>
  <c r="AK270" i="6"/>
  <c r="AK5" i="6" a="1"/>
  <c r="AK5" i="6" s="1"/>
  <c r="CO275" i="6"/>
  <c r="CO270" i="6"/>
  <c r="CO263" i="6"/>
  <c r="CO277" i="6"/>
  <c r="CO5" i="6" a="1"/>
  <c r="CO5" i="6" s="1"/>
  <c r="J277" i="6"/>
  <c r="J263" i="6"/>
  <c r="J5" i="6" a="1"/>
  <c r="J5" i="6" s="1"/>
  <c r="J275" i="6"/>
  <c r="J270" i="6"/>
  <c r="CC277" i="6"/>
  <c r="CC5" i="6" a="1"/>
  <c r="CC5" i="6" s="1"/>
  <c r="CC270" i="6"/>
  <c r="CC263" i="6"/>
  <c r="CC275" i="6"/>
  <c r="C277" i="6"/>
  <c r="C279" i="6"/>
  <c r="C275" i="6"/>
  <c r="K2" i="5"/>
  <c r="C262" i="6" a="1"/>
  <c r="C288" i="6"/>
  <c r="C286" i="6"/>
  <c r="C287" i="6"/>
  <c r="DJ15" i="6"/>
  <c r="DJ10" i="6"/>
  <c r="DJ12" i="6"/>
  <c r="DJ9" i="6"/>
  <c r="DJ11" i="6"/>
  <c r="DJ16" i="6"/>
  <c r="DJ8" i="6"/>
  <c r="DJ7" i="6"/>
  <c r="DJ14" i="6"/>
  <c r="DJ6" i="6"/>
  <c r="DJ13" i="6"/>
  <c r="F5" i="6" a="1"/>
  <c r="H5" i="6" a="1"/>
  <c r="G5" i="6" a="1"/>
  <c r="I5" i="6" a="1"/>
  <c r="E5" i="6" a="1"/>
  <c r="D5" i="6" a="1"/>
  <c r="A7" i="3" a="1"/>
  <c r="D8" i="3" a="1"/>
  <c r="M280" i="6" l="1"/>
  <c r="CJ265" i="6"/>
  <c r="BI280" i="6"/>
  <c r="I5" i="6"/>
  <c r="H5" i="6"/>
  <c r="K265" i="6"/>
  <c r="S276" i="6"/>
  <c r="BL280" i="6"/>
  <c r="CT278" i="6"/>
  <c r="G5" i="6"/>
  <c r="Z278" i="6"/>
  <c r="T278" i="6"/>
  <c r="BD280" i="6"/>
  <c r="T280" i="6"/>
  <c r="AV278" i="6"/>
  <c r="AB278" i="6"/>
  <c r="AM276" i="6"/>
  <c r="BO276" i="6"/>
  <c r="BD276" i="6"/>
  <c r="BX278" i="6"/>
  <c r="CU276" i="6"/>
  <c r="F5" i="6"/>
  <c r="AD280" i="6"/>
  <c r="BA276" i="6"/>
  <c r="BW278" i="6"/>
  <c r="AL278" i="6"/>
  <c r="AS265" i="6"/>
  <c r="AV265" i="6"/>
  <c r="BD265" i="6"/>
  <c r="CN278" i="6"/>
  <c r="E5" i="6"/>
  <c r="H285" i="6" s="1"/>
  <c r="BI278" i="6"/>
  <c r="CU278" i="6"/>
  <c r="AD276" i="6"/>
  <c r="CT276" i="6"/>
  <c r="AU278" i="6"/>
  <c r="AC276" i="6"/>
  <c r="CJ278" i="6"/>
  <c r="CW280" i="6"/>
  <c r="P265" i="6"/>
  <c r="AL265" i="6"/>
  <c r="Q280" i="6"/>
  <c r="AK276" i="6"/>
  <c r="J280" i="6"/>
  <c r="BV280" i="6"/>
  <c r="BY278" i="6"/>
  <c r="BQ276" i="6"/>
  <c r="T276" i="6"/>
  <c r="AU276" i="6"/>
  <c r="BS265" i="6"/>
  <c r="CX280" i="6"/>
  <c r="Q278" i="6"/>
  <c r="O276" i="6"/>
  <c r="Z280" i="6"/>
  <c r="O280" i="6"/>
  <c r="R278" i="6"/>
  <c r="AU280" i="6"/>
  <c r="AL280" i="6"/>
  <c r="CG276" i="6"/>
  <c r="CV276" i="6"/>
  <c r="AE280" i="6"/>
  <c r="BH276" i="6"/>
  <c r="BX280" i="6"/>
  <c r="CO278" i="6"/>
  <c r="AO265" i="6"/>
  <c r="CK276" i="6"/>
  <c r="AA278" i="6"/>
  <c r="AW276" i="6"/>
  <c r="CL265" i="6"/>
  <c r="CO265" i="6"/>
  <c r="AK278" i="6"/>
  <c r="M278" i="6"/>
  <c r="BM265" i="6"/>
  <c r="CP276" i="6"/>
  <c r="CE265" i="6"/>
  <c r="AM265" i="6"/>
  <c r="U280" i="6"/>
  <c r="CO280" i="6"/>
  <c r="BH280" i="6"/>
  <c r="BA280" i="6"/>
  <c r="P280" i="6"/>
  <c r="AZ265" i="6"/>
  <c r="AB280" i="6"/>
  <c r="AN278" i="6"/>
  <c r="AP280" i="6"/>
  <c r="CX265" i="6"/>
  <c r="CJ280" i="6"/>
  <c r="BU265" i="6"/>
  <c r="CX278" i="6"/>
  <c r="M276" i="6"/>
  <c r="U276" i="6"/>
  <c r="AS276" i="6"/>
  <c r="U265" i="6"/>
  <c r="BW265" i="6"/>
  <c r="BT276" i="6"/>
  <c r="AF278" i="6"/>
  <c r="BO278" i="6"/>
  <c r="O9" i="3" a="1"/>
  <c r="O9" i="3" s="1"/>
  <c r="AC265" i="6"/>
  <c r="CS265" i="6"/>
  <c r="AN276" i="6"/>
  <c r="R265" i="6"/>
  <c r="AN280" i="6"/>
  <c r="CE276" i="6"/>
  <c r="AN265" i="6"/>
  <c r="J278" i="6"/>
  <c r="J265" i="6"/>
  <c r="CF265" i="6"/>
  <c r="AB265" i="6"/>
  <c r="AC280" i="6"/>
  <c r="W276" i="6"/>
  <c r="CQ276" i="6"/>
  <c r="BW276" i="6"/>
  <c r="AH265" i="6"/>
  <c r="AJ276" i="6"/>
  <c r="BQ278" i="6"/>
  <c r="AZ278" i="6"/>
  <c r="BJ276" i="6"/>
  <c r="CJ276" i="6"/>
  <c r="S265" i="6"/>
  <c r="T265" i="6"/>
  <c r="BO280" i="6"/>
  <c r="Q265" i="6"/>
  <c r="AD265" i="6"/>
  <c r="AT278" i="6"/>
  <c r="BP278" i="6"/>
  <c r="CD278" i="6"/>
  <c r="AI278" i="6"/>
  <c r="AU265" i="6"/>
  <c r="CU265" i="6"/>
  <c r="CG265" i="6"/>
  <c r="Z276" i="6"/>
  <c r="BC265" i="6"/>
  <c r="AV280" i="6"/>
  <c r="CC280" i="6"/>
  <c r="BH278" i="6"/>
  <c r="AC278" i="6"/>
  <c r="AO280" i="6"/>
  <c r="CK278" i="6"/>
  <c r="CW278" i="6"/>
  <c r="AP276" i="6"/>
  <c r="CP278" i="6"/>
  <c r="BE276" i="6"/>
  <c r="CE278" i="6"/>
  <c r="AE276" i="6"/>
  <c r="AM278" i="6"/>
  <c r="BY265" i="6"/>
  <c r="BQ265" i="6"/>
  <c r="AA265" i="6"/>
  <c r="BR276" i="6"/>
  <c r="CH278" i="6"/>
  <c r="AS278" i="6"/>
  <c r="AW280" i="6"/>
  <c r="BI265" i="6"/>
  <c r="BV276" i="6"/>
  <c r="Q276" i="6"/>
  <c r="CL280" i="6"/>
  <c r="BD278" i="6"/>
  <c r="BG280" i="6"/>
  <c r="O265" i="6"/>
  <c r="Y265" i="6"/>
  <c r="BS278" i="6"/>
  <c r="BZ280" i="6"/>
  <c r="CU280" i="6"/>
  <c r="AL276" i="6"/>
  <c r="CA278" i="6"/>
  <c r="CG278" i="6"/>
  <c r="Z265" i="6"/>
  <c r="CT265" i="6"/>
  <c r="CV280" i="6"/>
  <c r="CM265" i="6"/>
  <c r="J276" i="6"/>
  <c r="AK280" i="6"/>
  <c r="CF278" i="6"/>
  <c r="R280" i="6"/>
  <c r="CG280" i="6"/>
  <c r="CT280" i="6"/>
  <c r="CV278" i="6"/>
  <c r="AV276" i="6"/>
  <c r="BM276" i="6"/>
  <c r="K280" i="6"/>
  <c r="AP265" i="6"/>
  <c r="BL276" i="6"/>
  <c r="CE280" i="6"/>
  <c r="CI280" i="6"/>
  <c r="AR278" i="6"/>
  <c r="U278" i="6"/>
  <c r="V278" i="6"/>
  <c r="AG265" i="6"/>
  <c r="BN276" i="6"/>
  <c r="CB278" i="6"/>
  <c r="X278" i="6"/>
  <c r="BQ280" i="6"/>
  <c r="CS280" i="6"/>
  <c r="BA278" i="6"/>
  <c r="L276" i="6"/>
  <c r="CR276" i="6"/>
  <c r="AS280" i="6"/>
  <c r="AQ276" i="6"/>
  <c r="AD278" i="6"/>
  <c r="AT265" i="6"/>
  <c r="D5" i="6"/>
  <c r="D279" i="6" s="1"/>
  <c r="CC276" i="6"/>
  <c r="BF265" i="6"/>
  <c r="AO276" i="6"/>
  <c r="CQ265" i="6"/>
  <c r="CP265" i="6"/>
  <c r="AE265" i="6"/>
  <c r="AH280" i="6"/>
  <c r="BB276" i="6"/>
  <c r="BJ265" i="6"/>
  <c r="AW265" i="6"/>
  <c r="N265" i="6"/>
  <c r="Y276" i="6"/>
  <c r="CM278" i="6"/>
  <c r="AX265" i="6"/>
  <c r="CW265" i="6"/>
  <c r="BU276" i="6"/>
  <c r="BN280" i="6"/>
  <c r="CN265" i="6"/>
  <c r="L265" i="6"/>
  <c r="BK278" i="6"/>
  <c r="AA276" i="6"/>
  <c r="BG278" i="6"/>
  <c r="BE280" i="6"/>
  <c r="CA280" i="6"/>
  <c r="AA280" i="6"/>
  <c r="CP280" i="6"/>
  <c r="BS276" i="6"/>
  <c r="AW278" i="6"/>
  <c r="CO276" i="6"/>
  <c r="CF276" i="6"/>
  <c r="CS276" i="6"/>
  <c r="BJ278" i="6"/>
  <c r="AJ278" i="6"/>
  <c r="AH276" i="6"/>
  <c r="Y280" i="6"/>
  <c r="CF280" i="6"/>
  <c r="AX280" i="6"/>
  <c r="BW280" i="6"/>
  <c r="AE278" i="6"/>
  <c r="CN280" i="6"/>
  <c r="CH276" i="6"/>
  <c r="CX276" i="6"/>
  <c r="BO265" i="6"/>
  <c r="O278" i="6"/>
  <c r="CM280" i="6"/>
  <c r="CQ280" i="6"/>
  <c r="BJ280" i="6"/>
  <c r="BS280" i="6"/>
  <c r="K278" i="6"/>
  <c r="AZ280" i="6"/>
  <c r="BG276" i="6"/>
  <c r="AF276" i="6"/>
  <c r="CC265" i="6"/>
  <c r="BX265" i="6"/>
  <c r="K276" i="6"/>
  <c r="BL278" i="6"/>
  <c r="BE265" i="6"/>
  <c r="BR278" i="6"/>
  <c r="CH265" i="6"/>
  <c r="AY276" i="6"/>
  <c r="P278" i="6"/>
  <c r="AI280" i="6"/>
  <c r="P276" i="6"/>
  <c r="BB265" i="6"/>
  <c r="BB278" i="6"/>
  <c r="X265" i="6"/>
  <c r="CD280" i="6"/>
  <c r="AK265" i="6"/>
  <c r="AB276" i="6"/>
  <c r="M265" i="6"/>
  <c r="BM278" i="6"/>
  <c r="BY276" i="6"/>
  <c r="CN276" i="6"/>
  <c r="BV278" i="6"/>
  <c r="CI265" i="6"/>
  <c r="CB276" i="6"/>
  <c r="AF280" i="6"/>
  <c r="CR280" i="6"/>
  <c r="AQ278" i="6"/>
  <c r="AI265" i="6"/>
  <c r="BH265" i="6"/>
  <c r="BF280" i="6"/>
  <c r="CK265" i="6"/>
  <c r="AR280" i="6"/>
  <c r="BN265" i="6"/>
  <c r="BR265" i="6"/>
  <c r="AY265" i="6"/>
  <c r="AQ280" i="6"/>
  <c r="S280" i="6"/>
  <c r="BP280" i="6"/>
  <c r="CQ278" i="6"/>
  <c r="X276" i="6"/>
  <c r="AJ280" i="6"/>
  <c r="S278" i="6"/>
  <c r="CL276" i="6"/>
  <c r="AI276" i="6"/>
  <c r="BC278" i="6"/>
  <c r="CM276" i="6"/>
  <c r="BM280" i="6"/>
  <c r="CK280" i="6"/>
  <c r="BL265" i="6"/>
  <c r="BU280" i="6"/>
  <c r="BY280" i="6"/>
  <c r="BV265" i="6"/>
  <c r="CC278" i="6"/>
  <c r="AO278" i="6"/>
  <c r="W280" i="6"/>
  <c r="BX276" i="6"/>
  <c r="AX278" i="6"/>
  <c r="CW276" i="6"/>
  <c r="AP278" i="6"/>
  <c r="BE278" i="6"/>
  <c r="BU278" i="6"/>
  <c r="AM280" i="6"/>
  <c r="V280" i="6"/>
  <c r="AH278" i="6"/>
  <c r="BN278" i="6"/>
  <c r="BA265" i="6"/>
  <c r="BB280" i="6"/>
  <c r="CH280" i="6"/>
  <c r="AZ276" i="6"/>
  <c r="BI276" i="6"/>
  <c r="BK280" i="6"/>
  <c r="CL278" i="6"/>
  <c r="AT280" i="6"/>
  <c r="BP276" i="6"/>
  <c r="Y278" i="6"/>
  <c r="BC280" i="6"/>
  <c r="AT276" i="6"/>
  <c r="AG278" i="6"/>
  <c r="CI278" i="6"/>
  <c r="V276" i="6"/>
  <c r="CI276" i="6"/>
  <c r="N280" i="6"/>
  <c r="CS278" i="6"/>
  <c r="CB265" i="6"/>
  <c r="BT278" i="6"/>
  <c r="BC276" i="6"/>
  <c r="N278" i="6"/>
  <c r="CA265" i="6"/>
  <c r="R276" i="6"/>
  <c r="BK265" i="6"/>
  <c r="AG280" i="6"/>
  <c r="AR276" i="6"/>
  <c r="V265" i="6"/>
  <c r="AR265" i="6"/>
  <c r="CA276" i="6"/>
  <c r="BZ265" i="6"/>
  <c r="AJ265" i="6"/>
  <c r="BG265" i="6"/>
  <c r="BT280" i="6"/>
  <c r="BZ278" i="6"/>
  <c r="BR280" i="6"/>
  <c r="AX276" i="6"/>
  <c r="CR265" i="6"/>
  <c r="BK276" i="6"/>
  <c r="W265" i="6"/>
  <c r="CB280" i="6"/>
  <c r="CV265" i="6"/>
  <c r="AY280" i="6"/>
  <c r="CR278" i="6"/>
  <c r="L278" i="6"/>
  <c r="AG276" i="6"/>
  <c r="X280" i="6"/>
  <c r="AF265" i="6"/>
  <c r="N276" i="6"/>
  <c r="AQ265" i="6"/>
  <c r="BZ276" i="6"/>
  <c r="BT265" i="6"/>
  <c r="BP265" i="6"/>
  <c r="CD265" i="6"/>
  <c r="CD276" i="6"/>
  <c r="AY278" i="6"/>
  <c r="BF276" i="6"/>
  <c r="L280" i="6"/>
  <c r="BF278" i="6"/>
  <c r="W278" i="6"/>
  <c r="DD269" i="6"/>
  <c r="DD277" i="6"/>
  <c r="DD285" i="6"/>
  <c r="DD293" i="6"/>
  <c r="DD301" i="6"/>
  <c r="DD309" i="6"/>
  <c r="DD317" i="6"/>
  <c r="DD325" i="6"/>
  <c r="DD333" i="6"/>
  <c r="DD341" i="6"/>
  <c r="DD349" i="6"/>
  <c r="DD357" i="6"/>
  <c r="DD365" i="6"/>
  <c r="DD373" i="6"/>
  <c r="DD381" i="6"/>
  <c r="DD389" i="6"/>
  <c r="DD397" i="6"/>
  <c r="DD405" i="6"/>
  <c r="DD413" i="6"/>
  <c r="DD421" i="6"/>
  <c r="DD429" i="6"/>
  <c r="DD437" i="6"/>
  <c r="DD445" i="6"/>
  <c r="DD453" i="6"/>
  <c r="DD461" i="6"/>
  <c r="DD469" i="6"/>
  <c r="DD477" i="6"/>
  <c r="DD485" i="6"/>
  <c r="DD493" i="6"/>
  <c r="DD501" i="6"/>
  <c r="DD509" i="6"/>
  <c r="DD517" i="6"/>
  <c r="DD525" i="6"/>
  <c r="DD533" i="6"/>
  <c r="DD541" i="6"/>
  <c r="DD549" i="6"/>
  <c r="DD557" i="6"/>
  <c r="DD565" i="6"/>
  <c r="DD573" i="6"/>
  <c r="DD581" i="6"/>
  <c r="DD589" i="6"/>
  <c r="DD597" i="6"/>
  <c r="DD605" i="6"/>
  <c r="DD613" i="6"/>
  <c r="DD621" i="6"/>
  <c r="DD270" i="6"/>
  <c r="DD278" i="6"/>
  <c r="DD286" i="6"/>
  <c r="DD294" i="6"/>
  <c r="DD302" i="6"/>
  <c r="DD310" i="6"/>
  <c r="DD318" i="6"/>
  <c r="DD326" i="6"/>
  <c r="DD334" i="6"/>
  <c r="DD342" i="6"/>
  <c r="DD350" i="6"/>
  <c r="DD358" i="6"/>
  <c r="DD366" i="6"/>
  <c r="DD374" i="6"/>
  <c r="DD382" i="6"/>
  <c r="DD390" i="6"/>
  <c r="DD398" i="6"/>
  <c r="DD406" i="6"/>
  <c r="DD414" i="6"/>
  <c r="DD422" i="6"/>
  <c r="DD430" i="6"/>
  <c r="DD438" i="6"/>
  <c r="DD446" i="6"/>
  <c r="DD454" i="6"/>
  <c r="DD462" i="6"/>
  <c r="DD470" i="6"/>
  <c r="DD478" i="6"/>
  <c r="DD486" i="6"/>
  <c r="DD494" i="6"/>
  <c r="DD502" i="6"/>
  <c r="DD510" i="6"/>
  <c r="DD518" i="6"/>
  <c r="DD526" i="6"/>
  <c r="DD534" i="6"/>
  <c r="DD542" i="6"/>
  <c r="DD550" i="6"/>
  <c r="DD558" i="6"/>
  <c r="DD566" i="6"/>
  <c r="DD574" i="6"/>
  <c r="DD582" i="6"/>
  <c r="DD590" i="6"/>
  <c r="DD598" i="6"/>
  <c r="DD606" i="6"/>
  <c r="DD614" i="6"/>
  <c r="DD622" i="6"/>
  <c r="DD630" i="6"/>
  <c r="DD271" i="6"/>
  <c r="DD279" i="6"/>
  <c r="DD287" i="6"/>
  <c r="DD295" i="6"/>
  <c r="DD303" i="6"/>
  <c r="DD311" i="6"/>
  <c r="DD319" i="6"/>
  <c r="DD327" i="6"/>
  <c r="DD335" i="6"/>
  <c r="DD343" i="6"/>
  <c r="DD351" i="6"/>
  <c r="DD359" i="6"/>
  <c r="DD367" i="6"/>
  <c r="DD375" i="6"/>
  <c r="DD383" i="6"/>
  <c r="DD391" i="6"/>
  <c r="DD399" i="6"/>
  <c r="DD407" i="6"/>
  <c r="DD415" i="6"/>
  <c r="DD423" i="6"/>
  <c r="DD431" i="6"/>
  <c r="DD439" i="6"/>
  <c r="DD447" i="6"/>
  <c r="DD455" i="6"/>
  <c r="DD463" i="6"/>
  <c r="DD471" i="6"/>
  <c r="DD479" i="6"/>
  <c r="DD487" i="6"/>
  <c r="DD495" i="6"/>
  <c r="DD503" i="6"/>
  <c r="DD511" i="6"/>
  <c r="DD519" i="6"/>
  <c r="DD527" i="6"/>
  <c r="DD535" i="6"/>
  <c r="DD543" i="6"/>
  <c r="DD551" i="6"/>
  <c r="DD559" i="6"/>
  <c r="DD567" i="6"/>
  <c r="DD575" i="6"/>
  <c r="DD583" i="6"/>
  <c r="DD591" i="6"/>
  <c r="DD599" i="6"/>
  <c r="DD607" i="6"/>
  <c r="DD615" i="6"/>
  <c r="DD623" i="6"/>
  <c r="DD631" i="6"/>
  <c r="DD639" i="6"/>
  <c r="DD647" i="6"/>
  <c r="DD655" i="6"/>
  <c r="DD663" i="6"/>
  <c r="DD671" i="6"/>
  <c r="DD679" i="6"/>
  <c r="DD687" i="6"/>
  <c r="DD695" i="6"/>
  <c r="DD703" i="6"/>
  <c r="DD711" i="6"/>
  <c r="DD719" i="6"/>
  <c r="DD727" i="6"/>
  <c r="DD735" i="6"/>
  <c r="DD743" i="6"/>
  <c r="DD751" i="6"/>
  <c r="DD759" i="6"/>
  <c r="DD767" i="6"/>
  <c r="DD775" i="6"/>
  <c r="DD783" i="6"/>
  <c r="DD744" i="6"/>
  <c r="DD760" i="6"/>
  <c r="DD768" i="6"/>
  <c r="DD784" i="6"/>
  <c r="DD283" i="6"/>
  <c r="DD299" i="6"/>
  <c r="DD315" i="6"/>
  <c r="DD331" i="6"/>
  <c r="DD347" i="6"/>
  <c r="DD363" i="6"/>
  <c r="DD395" i="6"/>
  <c r="DD411" i="6"/>
  <c r="DD435" i="6"/>
  <c r="DD467" i="6"/>
  <c r="DD491" i="6"/>
  <c r="DD515" i="6"/>
  <c r="DD555" i="6"/>
  <c r="DD587" i="6"/>
  <c r="DD619" i="6"/>
  <c r="DD651" i="6"/>
  <c r="DD272" i="6"/>
  <c r="DD280" i="6"/>
  <c r="DD288" i="6"/>
  <c r="DD296" i="6"/>
  <c r="DD304" i="6"/>
  <c r="DD312" i="6"/>
  <c r="DD320" i="6"/>
  <c r="DD328" i="6"/>
  <c r="DD336" i="6"/>
  <c r="DD344" i="6"/>
  <c r="DD352" i="6"/>
  <c r="DD360" i="6"/>
  <c r="DD368" i="6"/>
  <c r="DD376" i="6"/>
  <c r="DD384" i="6"/>
  <c r="DD392" i="6"/>
  <c r="DD400" i="6"/>
  <c r="DD408" i="6"/>
  <c r="DD416" i="6"/>
  <c r="DD424" i="6"/>
  <c r="DD432" i="6"/>
  <c r="DD440" i="6"/>
  <c r="DD448" i="6"/>
  <c r="DD456" i="6"/>
  <c r="DD464" i="6"/>
  <c r="DD472" i="6"/>
  <c r="DD480" i="6"/>
  <c r="DD488" i="6"/>
  <c r="DD496" i="6"/>
  <c r="DD504" i="6"/>
  <c r="DD512" i="6"/>
  <c r="DD520" i="6"/>
  <c r="DD528" i="6"/>
  <c r="DD536" i="6"/>
  <c r="DD544" i="6"/>
  <c r="DD552" i="6"/>
  <c r="DD560" i="6"/>
  <c r="DD568" i="6"/>
  <c r="DD576" i="6"/>
  <c r="DD584" i="6"/>
  <c r="DD592" i="6"/>
  <c r="DD600" i="6"/>
  <c r="DD608" i="6"/>
  <c r="DD616" i="6"/>
  <c r="DD624" i="6"/>
  <c r="DD632" i="6"/>
  <c r="DD640" i="6"/>
  <c r="DD648" i="6"/>
  <c r="DD656" i="6"/>
  <c r="DD664" i="6"/>
  <c r="DD672" i="6"/>
  <c r="DD680" i="6"/>
  <c r="DD688" i="6"/>
  <c r="DD696" i="6"/>
  <c r="DD704" i="6"/>
  <c r="DD712" i="6"/>
  <c r="DD720" i="6"/>
  <c r="DD728" i="6"/>
  <c r="DD736" i="6"/>
  <c r="DD752" i="6"/>
  <c r="DD776" i="6"/>
  <c r="DD291" i="6"/>
  <c r="DD379" i="6"/>
  <c r="DD443" i="6"/>
  <c r="DD499" i="6"/>
  <c r="DD531" i="6"/>
  <c r="DD563" i="6"/>
  <c r="DD603" i="6"/>
  <c r="DD643" i="6"/>
  <c r="DD667" i="6"/>
  <c r="DD699" i="6"/>
  <c r="DD265" i="6"/>
  <c r="DD273" i="6"/>
  <c r="DD281" i="6"/>
  <c r="DD289" i="6"/>
  <c r="DD297" i="6"/>
  <c r="DD305" i="6"/>
  <c r="DD313" i="6"/>
  <c r="DD321" i="6"/>
  <c r="DD329" i="6"/>
  <c r="DD337" i="6"/>
  <c r="DD345" i="6"/>
  <c r="DD353" i="6"/>
  <c r="DD361" i="6"/>
  <c r="DD369" i="6"/>
  <c r="DD377" i="6"/>
  <c r="DD385" i="6"/>
  <c r="DD393" i="6"/>
  <c r="DD401" i="6"/>
  <c r="DD409" i="6"/>
  <c r="DD417" i="6"/>
  <c r="DD425" i="6"/>
  <c r="DD433" i="6"/>
  <c r="DD441" i="6"/>
  <c r="DD449" i="6"/>
  <c r="DD457" i="6"/>
  <c r="DD465" i="6"/>
  <c r="DD473" i="6"/>
  <c r="DD481" i="6"/>
  <c r="DD489" i="6"/>
  <c r="DD497" i="6"/>
  <c r="DD505" i="6"/>
  <c r="DD513" i="6"/>
  <c r="DD521" i="6"/>
  <c r="DD529" i="6"/>
  <c r="DD537" i="6"/>
  <c r="DD545" i="6"/>
  <c r="DD553" i="6"/>
  <c r="DD561" i="6"/>
  <c r="DD569" i="6"/>
  <c r="DD577" i="6"/>
  <c r="DD585" i="6"/>
  <c r="DD593" i="6"/>
  <c r="DD601" i="6"/>
  <c r="DD609" i="6"/>
  <c r="DD617" i="6"/>
  <c r="DD625" i="6"/>
  <c r="DD633" i="6"/>
  <c r="DD641" i="6"/>
  <c r="DD649" i="6"/>
  <c r="DD657" i="6"/>
  <c r="DD665" i="6"/>
  <c r="DD673" i="6"/>
  <c r="DD681" i="6"/>
  <c r="DD689" i="6"/>
  <c r="DD697" i="6"/>
  <c r="DD705" i="6"/>
  <c r="DD713" i="6"/>
  <c r="DD721" i="6"/>
  <c r="DD729" i="6"/>
  <c r="DD737" i="6"/>
  <c r="DD745" i="6"/>
  <c r="DD753" i="6"/>
  <c r="DD761" i="6"/>
  <c r="DD769" i="6"/>
  <c r="DD777" i="6"/>
  <c r="DD275" i="6"/>
  <c r="DD387" i="6"/>
  <c r="DD419" i="6"/>
  <c r="DD451" i="6"/>
  <c r="DD483" i="6"/>
  <c r="DD523" i="6"/>
  <c r="DD547" i="6"/>
  <c r="DD571" i="6"/>
  <c r="DD611" i="6"/>
  <c r="DD635" i="6"/>
  <c r="DD675" i="6"/>
  <c r="DD266" i="6"/>
  <c r="DD274" i="6"/>
  <c r="DD282" i="6"/>
  <c r="DD290" i="6"/>
  <c r="DD298" i="6"/>
  <c r="DD306" i="6"/>
  <c r="DD314" i="6"/>
  <c r="DD322" i="6"/>
  <c r="DD330" i="6"/>
  <c r="DD338" i="6"/>
  <c r="DD346" i="6"/>
  <c r="DD354" i="6"/>
  <c r="DD362" i="6"/>
  <c r="DD370" i="6"/>
  <c r="DD378" i="6"/>
  <c r="DD386" i="6"/>
  <c r="DD394" i="6"/>
  <c r="DD402" i="6"/>
  <c r="DD410" i="6"/>
  <c r="DD418" i="6"/>
  <c r="DD426" i="6"/>
  <c r="DD434" i="6"/>
  <c r="DD442" i="6"/>
  <c r="DD450" i="6"/>
  <c r="DD458" i="6"/>
  <c r="DD466" i="6"/>
  <c r="DD474" i="6"/>
  <c r="DD482" i="6"/>
  <c r="DD490" i="6"/>
  <c r="DD498" i="6"/>
  <c r="DD506" i="6"/>
  <c r="DD514" i="6"/>
  <c r="DD522" i="6"/>
  <c r="DD530" i="6"/>
  <c r="DD538" i="6"/>
  <c r="DD546" i="6"/>
  <c r="DD554" i="6"/>
  <c r="DD562" i="6"/>
  <c r="DD570" i="6"/>
  <c r="DD578" i="6"/>
  <c r="DD586" i="6"/>
  <c r="DD594" i="6"/>
  <c r="DD602" i="6"/>
  <c r="DD610" i="6"/>
  <c r="DD618" i="6"/>
  <c r="DD626" i="6"/>
  <c r="DD634" i="6"/>
  <c r="DD642" i="6"/>
  <c r="DD650" i="6"/>
  <c r="DD658" i="6"/>
  <c r="DD666" i="6"/>
  <c r="DD674" i="6"/>
  <c r="DD682" i="6"/>
  <c r="DD690" i="6"/>
  <c r="DD698" i="6"/>
  <c r="DD706" i="6"/>
  <c r="DD714" i="6"/>
  <c r="DD722" i="6"/>
  <c r="DD730" i="6"/>
  <c r="DD738" i="6"/>
  <c r="DD746" i="6"/>
  <c r="DD754" i="6"/>
  <c r="DD762" i="6"/>
  <c r="DD770" i="6"/>
  <c r="DD778" i="6"/>
  <c r="DD267" i="6"/>
  <c r="DD307" i="6"/>
  <c r="DD323" i="6"/>
  <c r="DD339" i="6"/>
  <c r="DD355" i="6"/>
  <c r="DD371" i="6"/>
  <c r="DD403" i="6"/>
  <c r="DD427" i="6"/>
  <c r="DD459" i="6"/>
  <c r="DD475" i="6"/>
  <c r="DD507" i="6"/>
  <c r="DD539" i="6"/>
  <c r="DD579" i="6"/>
  <c r="DD595" i="6"/>
  <c r="DD627" i="6"/>
  <c r="DD659" i="6"/>
  <c r="DD691" i="6"/>
  <c r="DD300" i="6"/>
  <c r="DD364" i="6"/>
  <c r="DD428" i="6"/>
  <c r="DD492" i="6"/>
  <c r="DD556" i="6"/>
  <c r="DD620" i="6"/>
  <c r="DD646" i="6"/>
  <c r="DD669" i="6"/>
  <c r="DD686" i="6"/>
  <c r="DD708" i="6"/>
  <c r="DD724" i="6"/>
  <c r="DD740" i="6"/>
  <c r="DD756" i="6"/>
  <c r="DD772" i="6"/>
  <c r="DD677" i="6"/>
  <c r="DD747" i="6"/>
  <c r="DD700" i="6"/>
  <c r="DD764" i="6"/>
  <c r="DD733" i="6"/>
  <c r="DD604" i="6"/>
  <c r="DD750" i="6"/>
  <c r="DD612" i="6"/>
  <c r="DD723" i="6"/>
  <c r="DD308" i="6"/>
  <c r="DD372" i="6"/>
  <c r="DD436" i="6"/>
  <c r="DD500" i="6"/>
  <c r="DD564" i="6"/>
  <c r="DD628" i="6"/>
  <c r="DD652" i="6"/>
  <c r="DD670" i="6"/>
  <c r="DD692" i="6"/>
  <c r="DD709" i="6"/>
  <c r="DD725" i="6"/>
  <c r="DD741" i="6"/>
  <c r="DD757" i="6"/>
  <c r="DD773" i="6"/>
  <c r="DD774" i="6"/>
  <c r="DD694" i="6"/>
  <c r="DD763" i="6"/>
  <c r="DD748" i="6"/>
  <c r="DD717" i="6"/>
  <c r="DD684" i="6"/>
  <c r="DD782" i="6"/>
  <c r="DD645" i="6"/>
  <c r="DD739" i="6"/>
  <c r="DD316" i="6"/>
  <c r="DD380" i="6"/>
  <c r="DD444" i="6"/>
  <c r="DD508" i="6"/>
  <c r="DD572" i="6"/>
  <c r="DD629" i="6"/>
  <c r="DD653" i="6"/>
  <c r="DD676" i="6"/>
  <c r="DD693" i="6"/>
  <c r="DD710" i="6"/>
  <c r="DD726" i="6"/>
  <c r="DD742" i="6"/>
  <c r="DD758" i="6"/>
  <c r="DD715" i="6"/>
  <c r="DD779" i="6"/>
  <c r="DD732" i="6"/>
  <c r="DD780" i="6"/>
  <c r="DD749" i="6"/>
  <c r="DD662" i="6"/>
  <c r="DD292" i="6"/>
  <c r="DD668" i="6"/>
  <c r="DD324" i="6"/>
  <c r="DD388" i="6"/>
  <c r="DD452" i="6"/>
  <c r="DD516" i="6"/>
  <c r="DD580" i="6"/>
  <c r="DD636" i="6"/>
  <c r="DD654" i="6"/>
  <c r="DD731" i="6"/>
  <c r="DD661" i="6"/>
  <c r="DD765" i="6"/>
  <c r="DD718" i="6"/>
  <c r="DD420" i="6"/>
  <c r="DD771" i="6"/>
  <c r="DD268" i="6"/>
  <c r="DD332" i="6"/>
  <c r="DD396" i="6"/>
  <c r="DD460" i="6"/>
  <c r="DD524" i="6"/>
  <c r="DD588" i="6"/>
  <c r="DD637" i="6"/>
  <c r="DD660" i="6"/>
  <c r="DD678" i="6"/>
  <c r="DD716" i="6"/>
  <c r="DD683" i="6"/>
  <c r="DD702" i="6"/>
  <c r="DD356" i="6"/>
  <c r="DD707" i="6"/>
  <c r="DD276" i="6"/>
  <c r="DD340" i="6"/>
  <c r="DD404" i="6"/>
  <c r="DD468" i="6"/>
  <c r="DD532" i="6"/>
  <c r="DD596" i="6"/>
  <c r="DD638" i="6"/>
  <c r="DD701" i="6"/>
  <c r="DD781" i="6"/>
  <c r="DD734" i="6"/>
  <c r="DD484" i="6"/>
  <c r="DD685" i="6"/>
  <c r="DD284" i="6"/>
  <c r="DD348" i="6"/>
  <c r="DD412" i="6"/>
  <c r="DD476" i="6"/>
  <c r="DD540" i="6"/>
  <c r="DD644" i="6"/>
  <c r="DD766" i="6"/>
  <c r="DD548" i="6"/>
  <c r="DD755" i="6"/>
  <c r="C262" i="6"/>
  <c r="F263" i="6" s="1"/>
  <c r="A7" i="3"/>
  <c r="DD150" i="6"/>
  <c r="DD158" i="6"/>
  <c r="DD166" i="6"/>
  <c r="DD174" i="6"/>
  <c r="DD182" i="6"/>
  <c r="DD190" i="6"/>
  <c r="DD198" i="6"/>
  <c r="DD206" i="6"/>
  <c r="DD214" i="6"/>
  <c r="DD222" i="6"/>
  <c r="DD230" i="6"/>
  <c r="DD238" i="6"/>
  <c r="DD246" i="6"/>
  <c r="DD254" i="6"/>
  <c r="DD260" i="6"/>
  <c r="DD122" i="6"/>
  <c r="DD130" i="6"/>
  <c r="DD138" i="6"/>
  <c r="DD146" i="6"/>
  <c r="DD189" i="6"/>
  <c r="DD237" i="6"/>
  <c r="DD121" i="6"/>
  <c r="DD151" i="6"/>
  <c r="DD159" i="6"/>
  <c r="DD167" i="6"/>
  <c r="DD175" i="6"/>
  <c r="DD183" i="6"/>
  <c r="DD191" i="6"/>
  <c r="DD199" i="6"/>
  <c r="DD207" i="6"/>
  <c r="DD215" i="6"/>
  <c r="DD223" i="6"/>
  <c r="DD231" i="6"/>
  <c r="DD239" i="6"/>
  <c r="DD247" i="6"/>
  <c r="DD255" i="6"/>
  <c r="DD261" i="6"/>
  <c r="DD123" i="6"/>
  <c r="DD131" i="6"/>
  <c r="DD139" i="6"/>
  <c r="DD147" i="6"/>
  <c r="DD173" i="6"/>
  <c r="DD245" i="6"/>
  <c r="DD152" i="6"/>
  <c r="DD160" i="6"/>
  <c r="DD168" i="6"/>
  <c r="DD176" i="6"/>
  <c r="DD184" i="6"/>
  <c r="DD192" i="6"/>
  <c r="DD200" i="6"/>
  <c r="DD208" i="6"/>
  <c r="DD216" i="6"/>
  <c r="DD224" i="6"/>
  <c r="DD232" i="6"/>
  <c r="DD240" i="6"/>
  <c r="DD248" i="6"/>
  <c r="DD256" i="6"/>
  <c r="DD262" i="6"/>
  <c r="DD124" i="6"/>
  <c r="DD132" i="6"/>
  <c r="DD140" i="6"/>
  <c r="DD148" i="6"/>
  <c r="DD205" i="6"/>
  <c r="DD153" i="6"/>
  <c r="DD161" i="6"/>
  <c r="DD169" i="6"/>
  <c r="DD177" i="6"/>
  <c r="DD185" i="6"/>
  <c r="DD193" i="6"/>
  <c r="DD201" i="6"/>
  <c r="DD209" i="6"/>
  <c r="DD217" i="6"/>
  <c r="DD225" i="6"/>
  <c r="DD233" i="6"/>
  <c r="DD241" i="6"/>
  <c r="DD249" i="6"/>
  <c r="DD257" i="6"/>
  <c r="DD263" i="6"/>
  <c r="DD125" i="6"/>
  <c r="DD133" i="6"/>
  <c r="DD141" i="6"/>
  <c r="DD149" i="6"/>
  <c r="DD143" i="6"/>
  <c r="DD165" i="6"/>
  <c r="DD129" i="6"/>
  <c r="DD154" i="6"/>
  <c r="DD162" i="6"/>
  <c r="DD170" i="6"/>
  <c r="DD178" i="6"/>
  <c r="DD186" i="6"/>
  <c r="DD194" i="6"/>
  <c r="DD202" i="6"/>
  <c r="DD210" i="6"/>
  <c r="DD218" i="6"/>
  <c r="DD226" i="6"/>
  <c r="DD234" i="6"/>
  <c r="DD242" i="6"/>
  <c r="DD250" i="6"/>
  <c r="DD258" i="6"/>
  <c r="DD264" i="6"/>
  <c r="DD126" i="6"/>
  <c r="DD134" i="6"/>
  <c r="DD142" i="6"/>
  <c r="DD127" i="6"/>
  <c r="DD181" i="6"/>
  <c r="DD259" i="6"/>
  <c r="DD155" i="6"/>
  <c r="DD163" i="6"/>
  <c r="DD171" i="6"/>
  <c r="DD179" i="6"/>
  <c r="DD187" i="6"/>
  <c r="DD195" i="6"/>
  <c r="DD203" i="6"/>
  <c r="DD211" i="6"/>
  <c r="DD219" i="6"/>
  <c r="DD227" i="6"/>
  <c r="DD235" i="6"/>
  <c r="DD243" i="6"/>
  <c r="DD251" i="6"/>
  <c r="DD119" i="6"/>
  <c r="DD135" i="6"/>
  <c r="DD197" i="6"/>
  <c r="DD253" i="6"/>
  <c r="DD145" i="6"/>
  <c r="DD156" i="6"/>
  <c r="DD164" i="6"/>
  <c r="DD172" i="6"/>
  <c r="DD180" i="6"/>
  <c r="DD188" i="6"/>
  <c r="DD196" i="6"/>
  <c r="DD204" i="6"/>
  <c r="DD212" i="6"/>
  <c r="DD220" i="6"/>
  <c r="DD228" i="6"/>
  <c r="DD236" i="6"/>
  <c r="DD244" i="6"/>
  <c r="DD252" i="6"/>
  <c r="DD120" i="6"/>
  <c r="DD128" i="6"/>
  <c r="DD136" i="6"/>
  <c r="DD144" i="6"/>
  <c r="DD157" i="6"/>
  <c r="DD213" i="6"/>
  <c r="DD221" i="6"/>
  <c r="DD229" i="6"/>
  <c r="DD137" i="6"/>
  <c r="D8" i="3"/>
  <c r="DD6" i="6" s="1"/>
  <c r="DC775" i="6"/>
  <c r="DB770" i="6"/>
  <c r="DC767" i="6"/>
  <c r="DB762" i="6"/>
  <c r="DC759" i="6"/>
  <c r="DB754" i="6"/>
  <c r="DC751" i="6"/>
  <c r="DB746" i="6"/>
  <c r="DC743" i="6"/>
  <c r="DB738" i="6"/>
  <c r="DC735" i="6"/>
  <c r="DB730" i="6"/>
  <c r="DC727" i="6"/>
  <c r="DB722" i="6"/>
  <c r="DC719" i="6"/>
  <c r="DB714" i="6"/>
  <c r="DC711" i="6"/>
  <c r="DB706" i="6"/>
  <c r="DC703" i="6"/>
  <c r="DB698" i="6"/>
  <c r="DC695" i="6"/>
  <c r="DB690" i="6"/>
  <c r="DC687" i="6"/>
  <c r="DB682" i="6"/>
  <c r="DC679" i="6"/>
  <c r="DB674" i="6"/>
  <c r="DC671" i="6"/>
  <c r="DB666" i="6"/>
  <c r="DC663" i="6"/>
  <c r="DB658" i="6"/>
  <c r="DC655" i="6"/>
  <c r="DB650" i="6"/>
  <c r="DC647" i="6"/>
  <c r="DB642" i="6"/>
  <c r="DC639" i="6"/>
  <c r="DB634" i="6"/>
  <c r="DC631" i="6"/>
  <c r="DB626" i="6"/>
  <c r="DC623" i="6"/>
  <c r="DB618" i="6"/>
  <c r="DC615" i="6"/>
  <c r="DB610" i="6"/>
  <c r="DC607" i="6"/>
  <c r="DB602" i="6"/>
  <c r="DC599" i="6"/>
  <c r="DB594" i="6"/>
  <c r="DC591" i="6"/>
  <c r="DB586" i="6"/>
  <c r="DC583" i="6"/>
  <c r="DB578" i="6"/>
  <c r="DC575" i="6"/>
  <c r="DB570" i="6"/>
  <c r="DC567" i="6"/>
  <c r="DB562" i="6"/>
  <c r="DC559" i="6"/>
  <c r="DB775" i="6"/>
  <c r="DC772" i="6"/>
  <c r="DB767" i="6"/>
  <c r="DC764" i="6"/>
  <c r="DB759" i="6"/>
  <c r="DC756" i="6"/>
  <c r="DB751" i="6"/>
  <c r="DC748" i="6"/>
  <c r="DB743" i="6"/>
  <c r="DC740" i="6"/>
  <c r="DB735" i="6"/>
  <c r="DC732" i="6"/>
  <c r="DB727" i="6"/>
  <c r="DC724" i="6"/>
  <c r="DB719" i="6"/>
  <c r="DC716" i="6"/>
  <c r="DB711" i="6"/>
  <c r="DC708" i="6"/>
  <c r="DB703" i="6"/>
  <c r="DC700" i="6"/>
  <c r="DB695" i="6"/>
  <c r="DC692" i="6"/>
  <c r="DB687" i="6"/>
  <c r="DC684" i="6"/>
  <c r="DB679" i="6"/>
  <c r="DC676" i="6"/>
  <c r="DB671" i="6"/>
  <c r="DC668" i="6"/>
  <c r="DB663" i="6"/>
  <c r="DC660" i="6"/>
  <c r="DB655" i="6"/>
  <c r="DC652" i="6"/>
  <c r="DB647" i="6"/>
  <c r="DC644" i="6"/>
  <c r="DB639" i="6"/>
  <c r="DC636" i="6"/>
  <c r="DB631" i="6"/>
  <c r="DC628" i="6"/>
  <c r="DB623" i="6"/>
  <c r="DC620" i="6"/>
  <c r="DB615" i="6"/>
  <c r="DC612" i="6"/>
  <c r="DB607" i="6"/>
  <c r="DC604" i="6"/>
  <c r="DB599" i="6"/>
  <c r="DC596" i="6"/>
  <c r="DB591" i="6"/>
  <c r="DC588" i="6"/>
  <c r="DB583" i="6"/>
  <c r="DC580" i="6"/>
  <c r="DB575" i="6"/>
  <c r="DC572" i="6"/>
  <c r="DB567" i="6"/>
  <c r="DC564" i="6"/>
  <c r="DB559" i="6"/>
  <c r="DC556" i="6"/>
  <c r="DC777" i="6"/>
  <c r="DB772" i="6"/>
  <c r="DC769" i="6"/>
  <c r="DB764" i="6"/>
  <c r="DC761" i="6"/>
  <c r="DB756" i="6"/>
  <c r="DC753" i="6"/>
  <c r="DB748" i="6"/>
  <c r="DC745" i="6"/>
  <c r="DB740" i="6"/>
  <c r="DC737" i="6"/>
  <c r="DB732" i="6"/>
  <c r="DC729" i="6"/>
  <c r="DB724" i="6"/>
  <c r="DC721" i="6"/>
  <c r="DB716" i="6"/>
  <c r="DC713" i="6"/>
  <c r="DB708" i="6"/>
  <c r="DC705" i="6"/>
  <c r="DB700" i="6"/>
  <c r="DC697" i="6"/>
  <c r="DB692" i="6"/>
  <c r="DC689" i="6"/>
  <c r="DB684" i="6"/>
  <c r="DC681" i="6"/>
  <c r="DB676" i="6"/>
  <c r="DC673" i="6"/>
  <c r="DB668" i="6"/>
  <c r="DC665" i="6"/>
  <c r="DB660" i="6"/>
  <c r="DC657" i="6"/>
  <c r="DB652" i="6"/>
  <c r="DC649" i="6"/>
  <c r="DB644" i="6"/>
  <c r="DC641" i="6"/>
  <c r="DB636" i="6"/>
  <c r="DC633" i="6"/>
  <c r="DB628" i="6"/>
  <c r="DC625" i="6"/>
  <c r="DB620" i="6"/>
  <c r="DC617" i="6"/>
  <c r="DB612" i="6"/>
  <c r="DC609" i="6"/>
  <c r="DB604" i="6"/>
  <c r="DC601" i="6"/>
  <c r="DB596" i="6"/>
  <c r="DC593" i="6"/>
  <c r="DB588" i="6"/>
  <c r="DC585" i="6"/>
  <c r="DB580" i="6"/>
  <c r="DC577" i="6"/>
  <c r="DB572" i="6"/>
  <c r="DC569" i="6"/>
  <c r="DB564" i="6"/>
  <c r="DC561" i="6"/>
  <c r="DB556" i="6"/>
  <c r="DC553" i="6"/>
  <c r="DB769" i="6"/>
  <c r="DC765" i="6"/>
  <c r="DB757" i="6"/>
  <c r="DC752" i="6"/>
  <c r="DB744" i="6"/>
  <c r="DC739" i="6"/>
  <c r="DB731" i="6"/>
  <c r="DC726" i="6"/>
  <c r="DB718" i="6"/>
  <c r="DC714" i="6"/>
  <c r="DB705" i="6"/>
  <c r="DC701" i="6"/>
  <c r="DB693" i="6"/>
  <c r="DC688" i="6"/>
  <c r="DB680" i="6"/>
  <c r="DC675" i="6"/>
  <c r="DB667" i="6"/>
  <c r="DC662" i="6"/>
  <c r="DB654" i="6"/>
  <c r="DC650" i="6"/>
  <c r="DB641" i="6"/>
  <c r="DC637" i="6"/>
  <c r="DB629" i="6"/>
  <c r="DC624" i="6"/>
  <c r="DB616" i="6"/>
  <c r="DC611" i="6"/>
  <c r="DB603" i="6"/>
  <c r="DC598" i="6"/>
  <c r="DB590" i="6"/>
  <c r="DC586" i="6"/>
  <c r="DB577" i="6"/>
  <c r="DC573" i="6"/>
  <c r="DB565" i="6"/>
  <c r="DC560" i="6"/>
  <c r="DC552" i="6"/>
  <c r="DB547" i="6"/>
  <c r="DC544" i="6"/>
  <c r="DB539" i="6"/>
  <c r="DC536" i="6"/>
  <c r="DB531" i="6"/>
  <c r="DC528" i="6"/>
  <c r="DB523" i="6"/>
  <c r="DC520" i="6"/>
  <c r="DB515" i="6"/>
  <c r="DC512" i="6"/>
  <c r="DB507" i="6"/>
  <c r="DC504" i="6"/>
  <c r="DB499" i="6"/>
  <c r="DC496" i="6"/>
  <c r="DB491" i="6"/>
  <c r="DC488" i="6"/>
  <c r="DB483" i="6"/>
  <c r="DC480" i="6"/>
  <c r="DB475" i="6"/>
  <c r="DC472" i="6"/>
  <c r="DB467" i="6"/>
  <c r="DB777" i="6"/>
  <c r="DC773" i="6"/>
  <c r="DB765" i="6"/>
  <c r="DC760" i="6"/>
  <c r="DB752" i="6"/>
  <c r="DC747" i="6"/>
  <c r="DB739" i="6"/>
  <c r="DC734" i="6"/>
  <c r="DB726" i="6"/>
  <c r="DC722" i="6"/>
  <c r="DB713" i="6"/>
  <c r="DC709" i="6"/>
  <c r="DB701" i="6"/>
  <c r="DC696" i="6"/>
  <c r="DB688" i="6"/>
  <c r="DC683" i="6"/>
  <c r="DB675" i="6"/>
  <c r="DC670" i="6"/>
  <c r="DB662" i="6"/>
  <c r="DC658" i="6"/>
  <c r="DB649" i="6"/>
  <c r="DC645" i="6"/>
  <c r="DB637" i="6"/>
  <c r="DC632" i="6"/>
  <c r="DB624" i="6"/>
  <c r="DC619" i="6"/>
  <c r="DB611" i="6"/>
  <c r="DC606" i="6"/>
  <c r="DB598" i="6"/>
  <c r="DC594" i="6"/>
  <c r="DB585" i="6"/>
  <c r="DC581" i="6"/>
  <c r="DB573" i="6"/>
  <c r="DC568" i="6"/>
  <c r="DB560" i="6"/>
  <c r="DC555" i="6"/>
  <c r="DB552" i="6"/>
  <c r="DC549" i="6"/>
  <c r="DB544" i="6"/>
  <c r="DC541" i="6"/>
  <c r="DB536" i="6"/>
  <c r="DC533" i="6"/>
  <c r="DB528" i="6"/>
  <c r="DC525" i="6"/>
  <c r="DB520" i="6"/>
  <c r="DC517" i="6"/>
  <c r="DB512" i="6"/>
  <c r="DC509" i="6"/>
  <c r="DB504" i="6"/>
  <c r="DC501" i="6"/>
  <c r="DB496" i="6"/>
  <c r="DC493" i="6"/>
  <c r="DB488" i="6"/>
  <c r="DC485" i="6"/>
  <c r="DB480" i="6"/>
  <c r="DC477" i="6"/>
  <c r="DB472" i="6"/>
  <c r="DC469" i="6"/>
  <c r="DB464" i="6"/>
  <c r="DB773" i="6"/>
  <c r="DC768" i="6"/>
  <c r="DB760" i="6"/>
  <c r="DC755" i="6"/>
  <c r="DB747" i="6"/>
  <c r="DC742" i="6"/>
  <c r="DB734" i="6"/>
  <c r="DC730" i="6"/>
  <c r="DB721" i="6"/>
  <c r="DC717" i="6"/>
  <c r="DB709" i="6"/>
  <c r="DC704" i="6"/>
  <c r="DB696" i="6"/>
  <c r="DC691" i="6"/>
  <c r="DB683" i="6"/>
  <c r="DC678" i="6"/>
  <c r="DB670" i="6"/>
  <c r="DC666" i="6"/>
  <c r="DB657" i="6"/>
  <c r="DC653" i="6"/>
  <c r="DB645" i="6"/>
  <c r="DC640" i="6"/>
  <c r="DB632" i="6"/>
  <c r="DC627" i="6"/>
  <c r="DB619" i="6"/>
  <c r="DC614" i="6"/>
  <c r="DB606" i="6"/>
  <c r="DC602" i="6"/>
  <c r="DB593" i="6"/>
  <c r="DC589" i="6"/>
  <c r="DB581" i="6"/>
  <c r="DC576" i="6"/>
  <c r="DB568" i="6"/>
  <c r="DC563" i="6"/>
  <c r="DB555" i="6"/>
  <c r="DB549" i="6"/>
  <c r="DC546" i="6"/>
  <c r="DB541" i="6"/>
  <c r="DC538" i="6"/>
  <c r="DB533" i="6"/>
  <c r="DC530" i="6"/>
  <c r="DB525" i="6"/>
  <c r="DC522" i="6"/>
  <c r="DB517" i="6"/>
  <c r="DC514" i="6"/>
  <c r="DB509" i="6"/>
  <c r="DC506" i="6"/>
  <c r="DB501" i="6"/>
  <c r="DC498" i="6"/>
  <c r="DB493" i="6"/>
  <c r="DC490" i="6"/>
  <c r="DB485" i="6"/>
  <c r="DB771" i="6"/>
  <c r="DC763" i="6"/>
  <c r="DB750" i="6"/>
  <c r="DC744" i="6"/>
  <c r="DB729" i="6"/>
  <c r="DC723" i="6"/>
  <c r="DB710" i="6"/>
  <c r="DC702" i="6"/>
  <c r="DB689" i="6"/>
  <c r="DC682" i="6"/>
  <c r="DB669" i="6"/>
  <c r="DC661" i="6"/>
  <c r="DB648" i="6"/>
  <c r="DC642" i="6"/>
  <c r="DB627" i="6"/>
  <c r="DC621" i="6"/>
  <c r="DB608" i="6"/>
  <c r="DC600" i="6"/>
  <c r="DB587" i="6"/>
  <c r="DC579" i="6"/>
  <c r="DB566" i="6"/>
  <c r="DC558" i="6"/>
  <c r="DB553" i="6"/>
  <c r="DC548" i="6"/>
  <c r="DB540" i="6"/>
  <c r="DC535" i="6"/>
  <c r="DB527" i="6"/>
  <c r="DC523" i="6"/>
  <c r="DB514" i="6"/>
  <c r="DC510" i="6"/>
  <c r="DB502" i="6"/>
  <c r="DC497" i="6"/>
  <c r="DB489" i="6"/>
  <c r="DC484" i="6"/>
  <c r="DB481" i="6"/>
  <c r="DB477" i="6"/>
  <c r="DC470" i="6"/>
  <c r="DC466" i="6"/>
  <c r="DC463" i="6"/>
  <c r="DB458" i="6"/>
  <c r="DC455" i="6"/>
  <c r="DB450" i="6"/>
  <c r="DC447" i="6"/>
  <c r="DB442" i="6"/>
  <c r="DC439" i="6"/>
  <c r="DB434" i="6"/>
  <c r="DC431" i="6"/>
  <c r="DB426" i="6"/>
  <c r="DC423" i="6"/>
  <c r="DB418" i="6"/>
  <c r="DC415" i="6"/>
  <c r="DB410" i="6"/>
  <c r="DC407" i="6"/>
  <c r="DB402" i="6"/>
  <c r="DC399" i="6"/>
  <c r="DB394" i="6"/>
  <c r="DC391" i="6"/>
  <c r="DB386" i="6"/>
  <c r="DC383" i="6"/>
  <c r="DB378" i="6"/>
  <c r="DC375" i="6"/>
  <c r="DB370" i="6"/>
  <c r="DC367" i="6"/>
  <c r="DB362" i="6"/>
  <c r="DC359" i="6"/>
  <c r="DB354" i="6"/>
  <c r="DC351" i="6"/>
  <c r="DB346" i="6"/>
  <c r="DC343" i="6"/>
  <c r="DB338" i="6"/>
  <c r="DC335" i="6"/>
  <c r="DB330" i="6"/>
  <c r="DC327" i="6"/>
  <c r="DB322" i="6"/>
  <c r="DC319" i="6"/>
  <c r="DB314" i="6"/>
  <c r="DC311" i="6"/>
  <c r="DB306" i="6"/>
  <c r="DC303" i="6"/>
  <c r="DB298" i="6"/>
  <c r="DC295" i="6"/>
  <c r="DB293" i="6"/>
  <c r="DC287" i="6"/>
  <c r="DB285" i="6"/>
  <c r="DC279" i="6"/>
  <c r="DB277" i="6"/>
  <c r="DC271" i="6"/>
  <c r="DB269" i="6"/>
  <c r="DC263" i="6"/>
  <c r="DB261" i="6"/>
  <c r="DC257" i="6"/>
  <c r="DB252" i="6"/>
  <c r="DC249" i="6"/>
  <c r="DB244" i="6"/>
  <c r="DC241" i="6"/>
  <c r="DB236" i="6"/>
  <c r="DC233" i="6"/>
  <c r="DB228" i="6"/>
  <c r="DC225" i="6"/>
  <c r="DB220" i="6"/>
  <c r="DC217" i="6"/>
  <c r="DB212" i="6"/>
  <c r="DC209" i="6"/>
  <c r="DB204" i="6"/>
  <c r="DC201" i="6"/>
  <c r="DC776" i="6"/>
  <c r="DB763" i="6"/>
  <c r="DC757" i="6"/>
  <c r="DB742" i="6"/>
  <c r="DC736" i="6"/>
  <c r="DB723" i="6"/>
  <c r="DC715" i="6"/>
  <c r="DB702" i="6"/>
  <c r="DC694" i="6"/>
  <c r="DB681" i="6"/>
  <c r="DC674" i="6"/>
  <c r="DB661" i="6"/>
  <c r="DC654" i="6"/>
  <c r="DB640" i="6"/>
  <c r="DC634" i="6"/>
  <c r="DB621" i="6"/>
  <c r="DC613" i="6"/>
  <c r="DB600" i="6"/>
  <c r="DC592" i="6"/>
  <c r="DB579" i="6"/>
  <c r="DC571" i="6"/>
  <c r="DB558" i="6"/>
  <c r="DB548" i="6"/>
  <c r="DC543" i="6"/>
  <c r="DB535" i="6"/>
  <c r="DC531" i="6"/>
  <c r="DB522" i="6"/>
  <c r="DC518" i="6"/>
  <c r="DB510" i="6"/>
  <c r="DC505" i="6"/>
  <c r="DB497" i="6"/>
  <c r="DC492" i="6"/>
  <c r="DB484" i="6"/>
  <c r="DC473" i="6"/>
  <c r="DB470" i="6"/>
  <c r="DB466" i="6"/>
  <c r="DB463" i="6"/>
  <c r="DC460" i="6"/>
  <c r="DB455" i="6"/>
  <c r="DC452" i="6"/>
  <c r="DB447" i="6"/>
  <c r="DC444" i="6"/>
  <c r="DB439" i="6"/>
  <c r="DC436" i="6"/>
  <c r="DB431" i="6"/>
  <c r="DC428" i="6"/>
  <c r="DB423" i="6"/>
  <c r="DC420" i="6"/>
  <c r="DB415" i="6"/>
  <c r="DC412" i="6"/>
  <c r="DB407" i="6"/>
  <c r="DC404" i="6"/>
  <c r="DB399" i="6"/>
  <c r="DC396" i="6"/>
  <c r="DB391" i="6"/>
  <c r="DC388" i="6"/>
  <c r="DB383" i="6"/>
  <c r="DC380" i="6"/>
  <c r="DB375" i="6"/>
  <c r="DC372" i="6"/>
  <c r="DB367" i="6"/>
  <c r="DC364" i="6"/>
  <c r="DB359" i="6"/>
  <c r="DC356" i="6"/>
  <c r="DB351" i="6"/>
  <c r="DC348" i="6"/>
  <c r="DB343" i="6"/>
  <c r="DC340" i="6"/>
  <c r="DB335" i="6"/>
  <c r="DC332" i="6"/>
  <c r="DB327" i="6"/>
  <c r="DC324" i="6"/>
  <c r="DB319" i="6"/>
  <c r="DC316" i="6"/>
  <c r="DB311" i="6"/>
  <c r="DC308" i="6"/>
  <c r="DB303" i="6"/>
  <c r="DC300" i="6"/>
  <c r="DB295" i="6"/>
  <c r="DC292" i="6"/>
  <c r="DB290" i="6"/>
  <c r="DC284" i="6"/>
  <c r="DB282" i="6"/>
  <c r="DC276" i="6"/>
  <c r="DB274" i="6"/>
  <c r="DC268" i="6"/>
  <c r="DB266" i="6"/>
  <c r="DC260" i="6"/>
  <c r="DB257" i="6"/>
  <c r="DC254" i="6"/>
  <c r="DB249" i="6"/>
  <c r="DC246" i="6"/>
  <c r="DB241" i="6"/>
  <c r="DC238" i="6"/>
  <c r="DB233" i="6"/>
  <c r="DC230" i="6"/>
  <c r="DB225" i="6"/>
  <c r="DC222" i="6"/>
  <c r="DB217" i="6"/>
  <c r="DC214" i="6"/>
  <c r="DB209" i="6"/>
  <c r="DC206" i="6"/>
  <c r="DB201" i="6"/>
  <c r="DC198" i="6"/>
  <c r="DB193" i="6"/>
  <c r="DC190" i="6"/>
  <c r="DB185" i="6"/>
  <c r="DC182" i="6"/>
  <c r="DB177" i="6"/>
  <c r="DC174" i="6"/>
  <c r="DB169" i="6"/>
  <c r="DB768" i="6"/>
  <c r="DC750" i="6"/>
  <c r="DC741" i="6"/>
  <c r="DB733" i="6"/>
  <c r="DC706" i="6"/>
  <c r="DB697" i="6"/>
  <c r="DB686" i="6"/>
  <c r="DC669" i="6"/>
  <c r="DC659" i="6"/>
  <c r="DB651" i="6"/>
  <c r="DC622" i="6"/>
  <c r="DB614" i="6"/>
  <c r="DB605" i="6"/>
  <c r="DC587" i="6"/>
  <c r="DC578" i="6"/>
  <c r="DB569" i="6"/>
  <c r="DB551" i="6"/>
  <c r="DC540" i="6"/>
  <c r="DC534" i="6"/>
  <c r="DB529" i="6"/>
  <c r="DC511" i="6"/>
  <c r="DB506" i="6"/>
  <c r="DB500" i="6"/>
  <c r="DC489" i="6"/>
  <c r="DC483" i="6"/>
  <c r="DB474" i="6"/>
  <c r="DB461" i="6"/>
  <c r="DB457" i="6"/>
  <c r="DC450" i="6"/>
  <c r="DC446" i="6"/>
  <c r="DB443" i="6"/>
  <c r="DC432" i="6"/>
  <c r="DB429" i="6"/>
  <c r="DB425" i="6"/>
  <c r="DC418" i="6"/>
  <c r="DC414" i="6"/>
  <c r="DB411" i="6"/>
  <c r="DC400" i="6"/>
  <c r="DB397" i="6"/>
  <c r="DB393" i="6"/>
  <c r="DC386" i="6"/>
  <c r="DC382" i="6"/>
  <c r="DB379" i="6"/>
  <c r="DC368" i="6"/>
  <c r="DB365" i="6"/>
  <c r="DB361" i="6"/>
  <c r="DC354" i="6"/>
  <c r="DC350" i="6"/>
  <c r="DB347" i="6"/>
  <c r="DC336" i="6"/>
  <c r="DB333" i="6"/>
  <c r="DB329" i="6"/>
  <c r="DC322" i="6"/>
  <c r="DC318" i="6"/>
  <c r="DB315" i="6"/>
  <c r="DC304" i="6"/>
  <c r="DB301" i="6"/>
  <c r="DB297" i="6"/>
  <c r="DC290" i="6"/>
  <c r="DC286" i="6"/>
  <c r="DB286" i="6"/>
  <c r="DC272" i="6"/>
  <c r="DB272" i="6"/>
  <c r="DB268" i="6"/>
  <c r="DB259" i="6"/>
  <c r="DC250" i="6"/>
  <c r="DB247" i="6"/>
  <c r="DB243" i="6"/>
  <c r="DC236" i="6"/>
  <c r="DC232" i="6"/>
  <c r="DB229" i="6"/>
  <c r="DC218" i="6"/>
  <c r="DB215" i="6"/>
  <c r="DB211" i="6"/>
  <c r="DC204" i="6"/>
  <c r="DC200" i="6"/>
  <c r="DB197" i="6"/>
  <c r="DB194" i="6"/>
  <c r="DB191" i="6"/>
  <c r="DB188" i="6"/>
  <c r="DB164" i="6"/>
  <c r="DB755" i="6"/>
  <c r="DC476" i="6"/>
  <c r="DC459" i="6"/>
  <c r="DB438" i="6"/>
  <c r="DC427" i="6"/>
  <c r="DB406" i="6"/>
  <c r="DC395" i="6"/>
  <c r="DB374" i="6"/>
  <c r="DB356" i="6"/>
  <c r="DC345" i="6"/>
  <c r="DC313" i="6"/>
  <c r="DC281" i="6"/>
  <c r="DB263" i="6"/>
  <c r="DB776" i="6"/>
  <c r="DC758" i="6"/>
  <c r="DC749" i="6"/>
  <c r="DB741" i="6"/>
  <c r="DC712" i="6"/>
  <c r="DB704" i="6"/>
  <c r="DB694" i="6"/>
  <c r="DC677" i="6"/>
  <c r="DC667" i="6"/>
  <c r="DB659" i="6"/>
  <c r="DC630" i="6"/>
  <c r="DB622" i="6"/>
  <c r="DB613" i="6"/>
  <c r="DC595" i="6"/>
  <c r="DC584" i="6"/>
  <c r="DB576" i="6"/>
  <c r="DC545" i="6"/>
  <c r="DC539" i="6"/>
  <c r="DB534" i="6"/>
  <c r="DC516" i="6"/>
  <c r="DB511" i="6"/>
  <c r="DB505" i="6"/>
  <c r="DC494" i="6"/>
  <c r="DC487" i="6"/>
  <c r="DC482" i="6"/>
  <c r="DC478" i="6"/>
  <c r="DB473" i="6"/>
  <c r="DC468" i="6"/>
  <c r="DC464" i="6"/>
  <c r="DB460" i="6"/>
  <c r="DC453" i="6"/>
  <c r="DC449" i="6"/>
  <c r="DB446" i="6"/>
  <c r="DC435" i="6"/>
  <c r="DB432" i="6"/>
  <c r="DB428" i="6"/>
  <c r="DC421" i="6"/>
  <c r="DC417" i="6"/>
  <c r="DB414" i="6"/>
  <c r="DC403" i="6"/>
  <c r="DB400" i="6"/>
  <c r="DB396" i="6"/>
  <c r="DC389" i="6"/>
  <c r="DC385" i="6"/>
  <c r="DB382" i="6"/>
  <c r="DC371" i="6"/>
  <c r="DB368" i="6"/>
  <c r="DB364" i="6"/>
  <c r="DC357" i="6"/>
  <c r="DC353" i="6"/>
  <c r="DB350" i="6"/>
  <c r="DC339" i="6"/>
  <c r="DB336" i="6"/>
  <c r="DB332" i="6"/>
  <c r="DC325" i="6"/>
  <c r="DC321" i="6"/>
  <c r="DB318" i="6"/>
  <c r="DC307" i="6"/>
  <c r="DB304" i="6"/>
  <c r="DB300" i="6"/>
  <c r="DC293" i="6"/>
  <c r="DC289" i="6"/>
  <c r="DB289" i="6"/>
  <c r="DC275" i="6"/>
  <c r="DB275" i="6"/>
  <c r="DB271" i="6"/>
  <c r="DC261" i="6"/>
  <c r="DC253" i="6"/>
  <c r="DB250" i="6"/>
  <c r="DB246" i="6"/>
  <c r="DC239" i="6"/>
  <c r="DC235" i="6"/>
  <c r="DB232" i="6"/>
  <c r="DC221" i="6"/>
  <c r="DB218" i="6"/>
  <c r="DB214" i="6"/>
  <c r="DC207" i="6"/>
  <c r="DC203" i="6"/>
  <c r="DB200" i="6"/>
  <c r="DC187" i="6"/>
  <c r="DC184" i="6"/>
  <c r="DC181" i="6"/>
  <c r="DC178" i="6"/>
  <c r="DC175" i="6"/>
  <c r="DC172" i="6"/>
  <c r="DC169" i="6"/>
  <c r="DC166" i="6"/>
  <c r="DB766" i="6"/>
  <c r="DC728" i="6"/>
  <c r="DC693" i="6"/>
  <c r="DB673" i="6"/>
  <c r="DC656" i="6"/>
  <c r="DB638" i="6"/>
  <c r="DB601" i="6"/>
  <c r="DB592" i="6"/>
  <c r="DC574" i="6"/>
  <c r="DB557" i="6"/>
  <c r="DB543" i="6"/>
  <c r="DC532" i="6"/>
  <c r="DB521" i="6"/>
  <c r="DC503" i="6"/>
  <c r="DB492" i="6"/>
  <c r="DB456" i="6"/>
  <c r="DC445" i="6"/>
  <c r="DB424" i="6"/>
  <c r="DC409" i="6"/>
  <c r="DB388" i="6"/>
  <c r="DC381" i="6"/>
  <c r="DB360" i="6"/>
  <c r="DC349" i="6"/>
  <c r="DC331" i="6"/>
  <c r="DB324" i="6"/>
  <c r="DB296" i="6"/>
  <c r="DB281" i="6"/>
  <c r="DC267" i="6"/>
  <c r="DB256" i="6"/>
  <c r="DC245" i="6"/>
  <c r="DC766" i="6"/>
  <c r="DB758" i="6"/>
  <c r="DB749" i="6"/>
  <c r="DC731" i="6"/>
  <c r="DC720" i="6"/>
  <c r="DB712" i="6"/>
  <c r="DC685" i="6"/>
  <c r="DB677" i="6"/>
  <c r="DB665" i="6"/>
  <c r="DC648" i="6"/>
  <c r="DC638" i="6"/>
  <c r="DB630" i="6"/>
  <c r="DC603" i="6"/>
  <c r="DB595" i="6"/>
  <c r="DB584" i="6"/>
  <c r="DC566" i="6"/>
  <c r="DC557" i="6"/>
  <c r="DC550" i="6"/>
  <c r="DB545" i="6"/>
  <c r="DB538" i="6"/>
  <c r="DC527" i="6"/>
  <c r="DC521" i="6"/>
  <c r="DB516" i="6"/>
  <c r="DC499" i="6"/>
  <c r="DB494" i="6"/>
  <c r="DB487" i="6"/>
  <c r="DB482" i="6"/>
  <c r="DB478" i="6"/>
  <c r="DB468" i="6"/>
  <c r="DC456" i="6"/>
  <c r="DB453" i="6"/>
  <c r="DB449" i="6"/>
  <c r="DC442" i="6"/>
  <c r="DC438" i="6"/>
  <c r="DB435" i="6"/>
  <c r="DC424" i="6"/>
  <c r="DB421" i="6"/>
  <c r="DB417" i="6"/>
  <c r="DC410" i="6"/>
  <c r="DC406" i="6"/>
  <c r="DB403" i="6"/>
  <c r="DC392" i="6"/>
  <c r="DB389" i="6"/>
  <c r="DB385" i="6"/>
  <c r="DC378" i="6"/>
  <c r="DC374" i="6"/>
  <c r="DB371" i="6"/>
  <c r="DC360" i="6"/>
  <c r="DB357" i="6"/>
  <c r="DB353" i="6"/>
  <c r="DC346" i="6"/>
  <c r="DC342" i="6"/>
  <c r="DB339" i="6"/>
  <c r="DC328" i="6"/>
  <c r="DB325" i="6"/>
  <c r="DB321" i="6"/>
  <c r="DC314" i="6"/>
  <c r="DC310" i="6"/>
  <c r="DB307" i="6"/>
  <c r="DC296" i="6"/>
  <c r="DB292" i="6"/>
  <c r="DC282" i="6"/>
  <c r="DC278" i="6"/>
  <c r="DB278" i="6"/>
  <c r="DC264" i="6"/>
  <c r="DB264" i="6"/>
  <c r="DB260" i="6"/>
  <c r="DC256" i="6"/>
  <c r="DB253" i="6"/>
  <c r="DC242" i="6"/>
  <c r="DB239" i="6"/>
  <c r="DB235" i="6"/>
  <c r="DC228" i="6"/>
  <c r="DC224" i="6"/>
  <c r="DB221" i="6"/>
  <c r="DC210" i="6"/>
  <c r="DB207" i="6"/>
  <c r="DB203" i="6"/>
  <c r="DC196" i="6"/>
  <c r="DC193" i="6"/>
  <c r="DB190" i="6"/>
  <c r="DB187" i="6"/>
  <c r="DB184" i="6"/>
  <c r="DB181" i="6"/>
  <c r="DB178" i="6"/>
  <c r="DB175" i="6"/>
  <c r="DB172" i="6"/>
  <c r="DB166" i="6"/>
  <c r="DC163" i="6"/>
  <c r="DC774" i="6"/>
  <c r="DC738" i="6"/>
  <c r="DB720" i="6"/>
  <c r="DB685" i="6"/>
  <c r="DC646" i="6"/>
  <c r="DC610" i="6"/>
  <c r="DC565" i="6"/>
  <c r="DB550" i="6"/>
  <c r="DC526" i="6"/>
  <c r="DB498" i="6"/>
  <c r="DB452" i="6"/>
  <c r="DC441" i="6"/>
  <c r="DB420" i="6"/>
  <c r="DC413" i="6"/>
  <c r="DB392" i="6"/>
  <c r="DC377" i="6"/>
  <c r="DC363" i="6"/>
  <c r="DB342" i="6"/>
  <c r="DB328" i="6"/>
  <c r="DC317" i="6"/>
  <c r="DB310" i="6"/>
  <c r="DC299" i="6"/>
  <c r="DC285" i="6"/>
  <c r="DB267" i="6"/>
  <c r="DB761" i="6"/>
  <c r="DB725" i="6"/>
  <c r="DC686" i="6"/>
  <c r="DC651" i="6"/>
  <c r="DB633" i="6"/>
  <c r="DC616" i="6"/>
  <c r="DB597" i="6"/>
  <c r="DB561" i="6"/>
  <c r="DB546" i="6"/>
  <c r="DB524" i="6"/>
  <c r="DC500" i="6"/>
  <c r="DB479" i="6"/>
  <c r="DB469" i="6"/>
  <c r="DC461" i="6"/>
  <c r="DB454" i="6"/>
  <c r="DB440" i="6"/>
  <c r="DC425" i="6"/>
  <c r="DC411" i="6"/>
  <c r="DB404" i="6"/>
  <c r="DC397" i="6"/>
  <c r="DB390" i="6"/>
  <c r="DB376" i="6"/>
  <c r="DC361" i="6"/>
  <c r="DC347" i="6"/>
  <c r="DB340" i="6"/>
  <c r="DC333" i="6"/>
  <c r="DB326" i="6"/>
  <c r="DB312" i="6"/>
  <c r="DC297" i="6"/>
  <c r="DC283" i="6"/>
  <c r="DB279" i="6"/>
  <c r="DC269" i="6"/>
  <c r="DB265" i="6"/>
  <c r="DB258" i="6"/>
  <c r="DC243" i="6"/>
  <c r="DC237" i="6"/>
  <c r="DC231" i="6"/>
  <c r="DC226" i="6"/>
  <c r="DC220" i="6"/>
  <c r="DC215" i="6"/>
  <c r="DC192" i="6"/>
  <c r="DC188" i="6"/>
  <c r="DB183" i="6"/>
  <c r="DC173" i="6"/>
  <c r="DB168" i="6"/>
  <c r="DC164" i="6"/>
  <c r="DC330" i="6"/>
  <c r="DB276" i="6"/>
  <c r="DB255" i="6"/>
  <c r="DB206" i="6"/>
  <c r="DC191" i="6"/>
  <c r="DB171" i="6"/>
  <c r="DC551" i="6"/>
  <c r="DB518" i="6"/>
  <c r="DB495" i="6"/>
  <c r="DB465" i="6"/>
  <c r="DB436" i="6"/>
  <c r="DB372" i="6"/>
  <c r="DB308" i="6"/>
  <c r="DC247" i="6"/>
  <c r="DC229" i="6"/>
  <c r="DB176" i="6"/>
  <c r="DC710" i="6"/>
  <c r="DB656" i="6"/>
  <c r="DC618" i="6"/>
  <c r="DB563" i="6"/>
  <c r="DC537" i="6"/>
  <c r="DB526" i="6"/>
  <c r="DC515" i="6"/>
  <c r="DC481" i="6"/>
  <c r="DC462" i="6"/>
  <c r="DC448" i="6"/>
  <c r="DB441" i="6"/>
  <c r="DB413" i="6"/>
  <c r="DC398" i="6"/>
  <c r="DC384" i="6"/>
  <c r="DC370" i="6"/>
  <c r="DC334" i="6"/>
  <c r="DB313" i="6"/>
  <c r="DC306" i="6"/>
  <c r="DB288" i="6"/>
  <c r="DC252" i="6"/>
  <c r="DB234" i="6"/>
  <c r="DC216" i="6"/>
  <c r="DC205" i="6"/>
  <c r="DC189" i="6"/>
  <c r="DB745" i="6"/>
  <c r="DC707" i="6"/>
  <c r="DC672" i="6"/>
  <c r="DC635" i="6"/>
  <c r="DB471" i="6"/>
  <c r="DC419" i="6"/>
  <c r="DC405" i="6"/>
  <c r="DB348" i="6"/>
  <c r="DC341" i="6"/>
  <c r="DC305" i="6"/>
  <c r="DC291" i="6"/>
  <c r="DB273" i="6"/>
  <c r="DB238" i="6"/>
  <c r="DB227" i="6"/>
  <c r="DB222" i="6"/>
  <c r="DB210" i="6"/>
  <c r="DB199" i="6"/>
  <c r="DC194" i="6"/>
  <c r="DB170" i="6"/>
  <c r="DC690" i="6"/>
  <c r="DB672" i="6"/>
  <c r="DB635" i="6"/>
  <c r="DC547" i="6"/>
  <c r="DB774" i="6"/>
  <c r="DB737" i="6"/>
  <c r="DC699" i="6"/>
  <c r="DC664" i="6"/>
  <c r="DB646" i="6"/>
  <c r="DC629" i="6"/>
  <c r="DB609" i="6"/>
  <c r="DB574" i="6"/>
  <c r="DB532" i="6"/>
  <c r="DC508" i="6"/>
  <c r="DC486" i="6"/>
  <c r="DB476" i="6"/>
  <c r="DC467" i="6"/>
  <c r="DB459" i="6"/>
  <c r="DB445" i="6"/>
  <c r="DC430" i="6"/>
  <c r="DC416" i="6"/>
  <c r="DB409" i="6"/>
  <c r="DC402" i="6"/>
  <c r="DB395" i="6"/>
  <c r="DB381" i="6"/>
  <c r="DC366" i="6"/>
  <c r="DC352" i="6"/>
  <c r="DB345" i="6"/>
  <c r="DC338" i="6"/>
  <c r="DB331" i="6"/>
  <c r="DB317" i="6"/>
  <c r="DC302" i="6"/>
  <c r="DC288" i="6"/>
  <c r="DB284" i="6"/>
  <c r="DC274" i="6"/>
  <c r="DB270" i="6"/>
  <c r="DC248" i="6"/>
  <c r="DB242" i="6"/>
  <c r="DB237" i="6"/>
  <c r="DB231" i="6"/>
  <c r="DB226" i="6"/>
  <c r="DC219" i="6"/>
  <c r="DC213" i="6"/>
  <c r="DC208" i="6"/>
  <c r="DC202" i="6"/>
  <c r="DC197" i="6"/>
  <c r="DB192" i="6"/>
  <c r="DC177" i="6"/>
  <c r="DB173" i="6"/>
  <c r="DB163" i="6"/>
  <c r="DB337" i="6"/>
  <c r="DC280" i="6"/>
  <c r="DB262" i="6"/>
  <c r="DC195" i="6"/>
  <c r="DB186" i="6"/>
  <c r="DC176" i="6"/>
  <c r="DB167" i="6"/>
  <c r="DC770" i="6"/>
  <c r="DC570" i="6"/>
  <c r="DC529" i="6"/>
  <c r="DC474" i="6"/>
  <c r="DC429" i="6"/>
  <c r="DB408" i="6"/>
  <c r="DC379" i="6"/>
  <c r="DC365" i="6"/>
  <c r="DB344" i="6"/>
  <c r="DC315" i="6"/>
  <c r="DC301" i="6"/>
  <c r="DB283" i="6"/>
  <c r="DC265" i="6"/>
  <c r="DC240" i="6"/>
  <c r="DC223" i="6"/>
  <c r="DC212" i="6"/>
  <c r="DB728" i="6"/>
  <c r="DB349" i="6"/>
  <c r="DB299" i="6"/>
  <c r="DB240" i="6"/>
  <c r="DC227" i="6"/>
  <c r="DC199" i="6"/>
  <c r="DC185" i="6"/>
  <c r="DC170" i="6"/>
  <c r="DC725" i="6"/>
  <c r="DC562" i="6"/>
  <c r="DC524" i="6"/>
  <c r="DC754" i="6"/>
  <c r="DB736" i="6"/>
  <c r="DC718" i="6"/>
  <c r="DB699" i="6"/>
  <c r="DB664" i="6"/>
  <c r="DC626" i="6"/>
  <c r="DC590" i="6"/>
  <c r="DB571" i="6"/>
  <c r="DC554" i="6"/>
  <c r="DC542" i="6"/>
  <c r="DB530" i="6"/>
  <c r="DC519" i="6"/>
  <c r="DB508" i="6"/>
  <c r="DB486" i="6"/>
  <c r="DC451" i="6"/>
  <c r="DB444" i="6"/>
  <c r="DC437" i="6"/>
  <c r="DB430" i="6"/>
  <c r="DB416" i="6"/>
  <c r="DC401" i="6"/>
  <c r="DC387" i="6"/>
  <c r="DB380" i="6"/>
  <c r="DC373" i="6"/>
  <c r="DB366" i="6"/>
  <c r="DB352" i="6"/>
  <c r="DC337" i="6"/>
  <c r="DC323" i="6"/>
  <c r="DB316" i="6"/>
  <c r="DC309" i="6"/>
  <c r="DB302" i="6"/>
  <c r="DB291" i="6"/>
  <c r="DC273" i="6"/>
  <c r="DC255" i="6"/>
  <c r="DB248" i="6"/>
  <c r="DB230" i="6"/>
  <c r="DB224" i="6"/>
  <c r="DB219" i="6"/>
  <c r="DB213" i="6"/>
  <c r="DB208" i="6"/>
  <c r="DB202" i="6"/>
  <c r="DB196" i="6"/>
  <c r="DC186" i="6"/>
  <c r="DB182" i="6"/>
  <c r="DC171" i="6"/>
  <c r="DC167" i="6"/>
  <c r="DC771" i="6"/>
  <c r="DB753" i="6"/>
  <c r="DB717" i="6"/>
  <c r="DC680" i="6"/>
  <c r="DC643" i="6"/>
  <c r="DB625" i="6"/>
  <c r="DC608" i="6"/>
  <c r="DB589" i="6"/>
  <c r="DB554" i="6"/>
  <c r="DB542" i="6"/>
  <c r="DB519" i="6"/>
  <c r="DC495" i="6"/>
  <c r="DC475" i="6"/>
  <c r="DC465" i="6"/>
  <c r="DC458" i="6"/>
  <c r="DB451" i="6"/>
  <c r="DB437" i="6"/>
  <c r="DC422" i="6"/>
  <c r="DC408" i="6"/>
  <c r="DB401" i="6"/>
  <c r="DC394" i="6"/>
  <c r="DB387" i="6"/>
  <c r="DB373" i="6"/>
  <c r="DC358" i="6"/>
  <c r="DC344" i="6"/>
  <c r="DB323" i="6"/>
  <c r="DB309" i="6"/>
  <c r="DC294" i="6"/>
  <c r="DC266" i="6"/>
  <c r="DC162" i="6"/>
  <c r="DC733" i="6"/>
  <c r="DB715" i="6"/>
  <c r="DC698" i="6"/>
  <c r="DB678" i="6"/>
  <c r="DB643" i="6"/>
  <c r="DC605" i="6"/>
  <c r="DC507" i="6"/>
  <c r="DC457" i="6"/>
  <c r="DC443" i="6"/>
  <c r="DB422" i="6"/>
  <c r="DC393" i="6"/>
  <c r="DB358" i="6"/>
  <c r="DC329" i="6"/>
  <c r="DB294" i="6"/>
  <c r="DC259" i="6"/>
  <c r="DB254" i="6"/>
  <c r="DC234" i="6"/>
  <c r="DB195" i="6"/>
  <c r="DC180" i="6"/>
  <c r="DC746" i="6"/>
  <c r="DB691" i="6"/>
  <c r="DC582" i="6"/>
  <c r="DB503" i="6"/>
  <c r="DC471" i="6"/>
  <c r="DC434" i="6"/>
  <c r="DB427" i="6"/>
  <c r="DB377" i="6"/>
  <c r="DB363" i="6"/>
  <c r="DC320" i="6"/>
  <c r="DC270" i="6"/>
  <c r="DB245" i="6"/>
  <c r="DB223" i="6"/>
  <c r="DC211" i="6"/>
  <c r="DB180" i="6"/>
  <c r="DC165" i="6"/>
  <c r="DB653" i="6"/>
  <c r="DB617" i="6"/>
  <c r="DB582" i="6"/>
  <c r="DB537" i="6"/>
  <c r="DC513" i="6"/>
  <c r="DC491" i="6"/>
  <c r="DB462" i="6"/>
  <c r="DB448" i="6"/>
  <c r="DC433" i="6"/>
  <c r="DB412" i="6"/>
  <c r="DB398" i="6"/>
  <c r="DB384" i="6"/>
  <c r="DC369" i="6"/>
  <c r="DC355" i="6"/>
  <c r="DB334" i="6"/>
  <c r="DB320" i="6"/>
  <c r="DB287" i="6"/>
  <c r="DC277" i="6"/>
  <c r="DC251" i="6"/>
  <c r="DB216" i="6"/>
  <c r="DB205" i="6"/>
  <c r="DB189" i="6"/>
  <c r="DC179" i="6"/>
  <c r="DB174" i="6"/>
  <c r="DB165" i="6"/>
  <c r="DC762" i="6"/>
  <c r="DB707" i="6"/>
  <c r="DC597" i="6"/>
  <c r="DC390" i="6"/>
  <c r="DB280" i="6"/>
  <c r="DB513" i="6"/>
  <c r="DC440" i="6"/>
  <c r="DC326" i="6"/>
  <c r="DC183" i="6"/>
  <c r="DC502" i="6"/>
  <c r="DB433" i="6"/>
  <c r="DC376" i="6"/>
  <c r="DB179" i="6"/>
  <c r="DB490" i="6"/>
  <c r="DB419" i="6"/>
  <c r="DC258" i="6"/>
  <c r="DC298" i="6"/>
  <c r="DB198" i="6"/>
  <c r="DB341" i="6"/>
  <c r="DC262" i="6"/>
  <c r="DC426" i="6"/>
  <c r="DC312" i="6"/>
  <c r="DC362" i="6"/>
  <c r="DB251" i="6"/>
  <c r="DB405" i="6"/>
  <c r="DC244" i="6"/>
  <c r="DB369" i="6"/>
  <c r="DC479" i="6"/>
  <c r="DB305" i="6"/>
  <c r="DC168" i="6"/>
  <c r="DB355" i="6"/>
  <c r="DC454" i="6"/>
  <c r="DB161" i="6"/>
  <c r="DB157" i="6"/>
  <c r="DB153" i="6"/>
  <c r="DB149" i="6"/>
  <c r="DB145" i="6"/>
  <c r="DB141" i="6"/>
  <c r="DB137" i="6"/>
  <c r="DC156" i="6"/>
  <c r="DC152" i="6"/>
  <c r="DC148" i="6"/>
  <c r="DC144" i="6"/>
  <c r="DC140" i="6"/>
  <c r="DC136" i="6"/>
  <c r="DB152" i="6"/>
  <c r="DB144" i="6"/>
  <c r="DB140" i="6"/>
  <c r="DC159" i="6"/>
  <c r="DC147" i="6"/>
  <c r="DB162" i="6"/>
  <c r="DB150" i="6"/>
  <c r="DB138" i="6"/>
  <c r="DC161" i="6"/>
  <c r="DC149" i="6"/>
  <c r="DC137" i="6"/>
  <c r="DC160" i="6"/>
  <c r="DB160" i="6"/>
  <c r="DB148" i="6"/>
  <c r="DC151" i="6"/>
  <c r="DC139" i="6"/>
  <c r="DB159" i="6"/>
  <c r="DB155" i="6"/>
  <c r="DB151" i="6"/>
  <c r="DB147" i="6"/>
  <c r="DB143" i="6"/>
  <c r="DB139" i="6"/>
  <c r="DC150" i="6"/>
  <c r="DC142" i="6"/>
  <c r="DC138" i="6"/>
  <c r="DB154" i="6"/>
  <c r="DB146" i="6"/>
  <c r="DC153" i="6"/>
  <c r="DC141" i="6"/>
  <c r="DB156" i="6"/>
  <c r="DC155" i="6"/>
  <c r="DC143" i="6"/>
  <c r="DC154" i="6"/>
  <c r="DC146" i="6"/>
  <c r="DB158" i="6"/>
  <c r="DB142" i="6"/>
  <c r="DC157" i="6"/>
  <c r="DC145" i="6"/>
  <c r="DC158" i="6"/>
  <c r="DB134" i="6"/>
  <c r="DB130" i="6"/>
  <c r="DB126" i="6"/>
  <c r="DB122" i="6"/>
  <c r="DB118" i="6"/>
  <c r="DB114" i="6"/>
  <c r="DB133" i="6"/>
  <c r="DB125" i="6"/>
  <c r="DB117" i="6"/>
  <c r="DB113" i="6"/>
  <c r="DC132" i="6"/>
  <c r="DC120" i="6"/>
  <c r="DC116" i="6"/>
  <c r="DC112" i="6"/>
  <c r="DB132" i="6"/>
  <c r="DB124" i="6"/>
  <c r="DB112" i="6"/>
  <c r="DC127" i="6"/>
  <c r="DC123" i="6"/>
  <c r="DC115" i="6"/>
  <c r="DB131" i="6"/>
  <c r="DB115" i="6"/>
  <c r="DC130" i="6"/>
  <c r="DC122" i="6"/>
  <c r="DC114" i="6"/>
  <c r="DC133" i="6"/>
  <c r="DC129" i="6"/>
  <c r="DC125" i="6"/>
  <c r="DC121" i="6"/>
  <c r="DC117" i="6"/>
  <c r="DC113" i="6"/>
  <c r="DB129" i="6"/>
  <c r="DB121" i="6"/>
  <c r="DC124" i="6"/>
  <c r="DB120" i="6"/>
  <c r="DB123" i="6"/>
  <c r="DC128" i="6"/>
  <c r="DB136" i="6"/>
  <c r="DB128" i="6"/>
  <c r="DB116" i="6"/>
  <c r="DC131" i="6"/>
  <c r="DC119" i="6"/>
  <c r="DC111" i="6"/>
  <c r="DB127" i="6"/>
  <c r="DB111" i="6"/>
  <c r="DC135" i="6"/>
  <c r="DB135" i="6"/>
  <c r="DB119" i="6"/>
  <c r="DC134" i="6"/>
  <c r="DC126" i="6"/>
  <c r="DC118" i="6"/>
  <c r="DC110" i="6"/>
  <c r="DD118" i="6"/>
  <c r="DD110" i="6"/>
  <c r="DD112" i="6"/>
  <c r="DD117" i="6"/>
  <c r="DD114" i="6"/>
  <c r="DD115" i="6"/>
  <c r="DD111" i="6"/>
  <c r="DD116" i="6"/>
  <c r="DD113" i="6"/>
  <c r="DB107" i="6"/>
  <c r="DB103" i="6"/>
  <c r="DB99" i="6"/>
  <c r="DB95" i="6"/>
  <c r="DB91" i="6"/>
  <c r="DB87" i="6"/>
  <c r="DB83" i="6"/>
  <c r="DB79" i="6"/>
  <c r="DB75" i="6"/>
  <c r="DB71" i="6"/>
  <c r="DB67" i="6"/>
  <c r="DB63" i="6"/>
  <c r="DB59" i="6"/>
  <c r="DB55" i="6"/>
  <c r="DB51" i="6"/>
  <c r="DB47" i="6"/>
  <c r="DB43" i="6"/>
  <c r="DB39" i="6"/>
  <c r="DB35" i="6"/>
  <c r="DC106" i="6"/>
  <c r="DC102" i="6"/>
  <c r="DC98" i="6"/>
  <c r="DC94" i="6"/>
  <c r="DC90" i="6"/>
  <c r="DC86" i="6"/>
  <c r="DC82" i="6"/>
  <c r="DC78" i="6"/>
  <c r="DC74" i="6"/>
  <c r="DC70" i="6"/>
  <c r="DC66" i="6"/>
  <c r="DC62" i="6"/>
  <c r="DC58" i="6"/>
  <c r="DC54" i="6"/>
  <c r="DC50" i="6"/>
  <c r="DC46" i="6"/>
  <c r="DC42" i="6"/>
  <c r="DC38" i="6"/>
  <c r="DC34" i="6"/>
  <c r="DB110" i="6"/>
  <c r="DB106" i="6"/>
  <c r="DB102" i="6"/>
  <c r="DB98" i="6"/>
  <c r="DB94" i="6"/>
  <c r="DB90" i="6"/>
  <c r="DB86" i="6"/>
  <c r="DB82" i="6"/>
  <c r="DB78" i="6"/>
  <c r="DB74" i="6"/>
  <c r="DB70" i="6"/>
  <c r="DB66" i="6"/>
  <c r="DB62" i="6"/>
  <c r="DB58" i="6"/>
  <c r="DB54" i="6"/>
  <c r="DB50" i="6"/>
  <c r="DB46" i="6"/>
  <c r="DB42" i="6"/>
  <c r="DB38" i="6"/>
  <c r="DB34" i="6"/>
  <c r="DC109" i="6"/>
  <c r="DC105" i="6"/>
  <c r="DC101" i="6"/>
  <c r="DC97" i="6"/>
  <c r="DC93" i="6"/>
  <c r="DC89" i="6"/>
  <c r="DC85" i="6"/>
  <c r="DC81" i="6"/>
  <c r="DC77" i="6"/>
  <c r="DC73" i="6"/>
  <c r="DC69" i="6"/>
  <c r="DC65" i="6"/>
  <c r="DC61" i="6"/>
  <c r="DC57" i="6"/>
  <c r="DC53" i="6"/>
  <c r="DC49" i="6"/>
  <c r="DC45" i="6"/>
  <c r="DC41" i="6"/>
  <c r="DC37" i="6"/>
  <c r="DC33" i="6"/>
  <c r="DB109" i="6"/>
  <c r="DB105" i="6"/>
  <c r="DB101" i="6"/>
  <c r="DB97" i="6"/>
  <c r="DB93" i="6"/>
  <c r="DB89" i="6"/>
  <c r="DB85" i="6"/>
  <c r="DC100" i="6"/>
  <c r="DC91" i="6"/>
  <c r="DC80" i="6"/>
  <c r="DC72" i="6"/>
  <c r="DC64" i="6"/>
  <c r="DC56" i="6"/>
  <c r="DC48" i="6"/>
  <c r="DC40" i="6"/>
  <c r="DC32" i="6"/>
  <c r="DB100" i="6"/>
  <c r="DC88" i="6"/>
  <c r="DB80" i="6"/>
  <c r="DB72" i="6"/>
  <c r="DB64" i="6"/>
  <c r="DB56" i="6"/>
  <c r="DB48" i="6"/>
  <c r="DB40" i="6"/>
  <c r="DC99" i="6"/>
  <c r="DB88" i="6"/>
  <c r="DC79" i="6"/>
  <c r="DC71" i="6"/>
  <c r="DC63" i="6"/>
  <c r="DC55" i="6"/>
  <c r="DC47" i="6"/>
  <c r="DC39" i="6"/>
  <c r="DC104" i="6"/>
  <c r="DC95" i="6"/>
  <c r="DB84" i="6"/>
  <c r="DB76" i="6"/>
  <c r="DB68" i="6"/>
  <c r="DB60" i="6"/>
  <c r="DB52" i="6"/>
  <c r="DB44" i="6"/>
  <c r="DB36" i="6"/>
  <c r="DB104" i="6"/>
  <c r="DC92" i="6"/>
  <c r="DC83" i="6"/>
  <c r="DC75" i="6"/>
  <c r="DC67" i="6"/>
  <c r="DC59" i="6"/>
  <c r="DC51" i="6"/>
  <c r="DC43" i="6"/>
  <c r="DC35" i="6"/>
  <c r="DC103" i="6"/>
  <c r="DB92" i="6"/>
  <c r="DB81" i="6"/>
  <c r="DB73" i="6"/>
  <c r="DB65" i="6"/>
  <c r="DB57" i="6"/>
  <c r="DB49" i="6"/>
  <c r="DB41" i="6"/>
  <c r="DB33" i="6"/>
  <c r="DC108" i="6"/>
  <c r="DB108" i="6"/>
  <c r="DC96" i="6"/>
  <c r="DC87" i="6"/>
  <c r="DB77" i="6"/>
  <c r="DB69" i="6"/>
  <c r="DB61" i="6"/>
  <c r="DB53" i="6"/>
  <c r="DB45" i="6"/>
  <c r="DB37" i="6"/>
  <c r="DC107" i="6"/>
  <c r="DB96" i="6"/>
  <c r="DC84" i="6"/>
  <c r="DC76" i="6"/>
  <c r="DC68" i="6"/>
  <c r="DC60" i="6"/>
  <c r="DC52" i="6"/>
  <c r="DC44" i="6"/>
  <c r="DC36" i="6"/>
  <c r="DD102" i="6"/>
  <c r="DD94" i="6"/>
  <c r="DD86" i="6"/>
  <c r="DD78" i="6"/>
  <c r="DD70" i="6"/>
  <c r="DD62" i="6"/>
  <c r="DD54" i="6"/>
  <c r="DD46" i="6"/>
  <c r="DD38" i="6"/>
  <c r="DD107" i="6"/>
  <c r="DD99" i="6"/>
  <c r="DD91" i="6"/>
  <c r="DD83" i="6"/>
  <c r="DD75" i="6"/>
  <c r="DD67" i="6"/>
  <c r="DD59" i="6"/>
  <c r="DD51" i="6"/>
  <c r="DD43" i="6"/>
  <c r="DD35" i="6"/>
  <c r="DD104" i="6"/>
  <c r="DD96" i="6"/>
  <c r="DD88" i="6"/>
  <c r="DD80" i="6"/>
  <c r="DD72" i="6"/>
  <c r="DD64" i="6"/>
  <c r="DD56" i="6"/>
  <c r="DD48" i="6"/>
  <c r="DD40" i="6"/>
  <c r="DD32" i="6"/>
  <c r="DD109" i="6"/>
  <c r="DD101" i="6"/>
  <c r="DD93" i="6"/>
  <c r="DD85" i="6"/>
  <c r="DD77" i="6"/>
  <c r="DD69" i="6"/>
  <c r="DD61" i="6"/>
  <c r="DD53" i="6"/>
  <c r="DD45" i="6"/>
  <c r="DD37" i="6"/>
  <c r="DD106" i="6"/>
  <c r="DD98" i="6"/>
  <c r="DD90" i="6"/>
  <c r="DD82" i="6"/>
  <c r="DD74" i="6"/>
  <c r="DD66" i="6"/>
  <c r="DD58" i="6"/>
  <c r="DD50" i="6"/>
  <c r="DD42" i="6"/>
  <c r="DD34" i="6"/>
  <c r="DD103" i="6"/>
  <c r="DD95" i="6"/>
  <c r="DD87" i="6"/>
  <c r="DD79" i="6"/>
  <c r="DD71" i="6"/>
  <c r="DD63" i="6"/>
  <c r="DD55" i="6"/>
  <c r="DD47" i="6"/>
  <c r="DD39" i="6"/>
  <c r="DD108" i="6"/>
  <c r="DD100" i="6"/>
  <c r="DD92" i="6"/>
  <c r="DD84" i="6"/>
  <c r="DD76" i="6"/>
  <c r="DD68" i="6"/>
  <c r="DD60" i="6"/>
  <c r="DD52" i="6"/>
  <c r="DD44" i="6"/>
  <c r="DD36" i="6"/>
  <c r="DD105" i="6"/>
  <c r="DD97" i="6"/>
  <c r="DD89" i="6"/>
  <c r="DD81" i="6"/>
  <c r="DD73" i="6"/>
  <c r="DD65" i="6"/>
  <c r="DD57" i="6"/>
  <c r="DD49" i="6"/>
  <c r="DD41" i="6"/>
  <c r="DD33" i="6"/>
  <c r="DD27" i="6"/>
  <c r="DD19" i="6"/>
  <c r="DD11" i="6"/>
  <c r="DD18" i="6"/>
  <c r="DD10" i="6"/>
  <c r="DD31" i="6"/>
  <c r="DD28" i="6"/>
  <c r="DD12" i="6"/>
  <c r="DD25" i="6"/>
  <c r="DD9" i="6"/>
  <c r="DD30" i="6"/>
  <c r="DD24" i="6"/>
  <c r="DD16" i="6"/>
  <c r="DD8" i="6"/>
  <c r="DD26" i="6"/>
  <c r="DD23" i="6"/>
  <c r="DD20" i="6"/>
  <c r="DD14" i="6"/>
  <c r="DD29" i="6"/>
  <c r="DD21" i="6"/>
  <c r="DD13" i="6"/>
  <c r="DD15" i="6"/>
  <c r="DD7" i="6"/>
  <c r="DD17" i="6"/>
  <c r="DD22" i="6"/>
  <c r="DC30" i="6"/>
  <c r="DB25" i="6"/>
  <c r="DC22" i="6"/>
  <c r="DB17" i="6"/>
  <c r="DC14" i="6"/>
  <c r="DB9" i="6"/>
  <c r="DC6" i="6"/>
  <c r="DB6" i="6"/>
  <c r="DB32" i="6"/>
  <c r="DB24" i="6"/>
  <c r="DC26" i="6"/>
  <c r="DB21" i="6"/>
  <c r="DB13" i="6"/>
  <c r="DC23" i="6"/>
  <c r="DC15" i="6"/>
  <c r="DB15" i="6"/>
  <c r="DB20" i="6"/>
  <c r="DB12" i="6"/>
  <c r="DB30" i="6"/>
  <c r="DC27" i="6"/>
  <c r="DB22" i="6"/>
  <c r="DC19" i="6"/>
  <c r="DB14" i="6"/>
  <c r="DC11" i="6"/>
  <c r="DB16" i="6"/>
  <c r="DC10" i="6"/>
  <c r="DC7" i="6"/>
  <c r="DC28" i="6"/>
  <c r="DC20" i="6"/>
  <c r="DC12" i="6"/>
  <c r="DC25" i="6"/>
  <c r="DB27" i="6"/>
  <c r="DC24" i="6"/>
  <c r="DB19" i="6"/>
  <c r="DC16" i="6"/>
  <c r="DB11" i="6"/>
  <c r="DC8" i="6"/>
  <c r="DC29" i="6"/>
  <c r="DC21" i="6"/>
  <c r="DC13" i="6"/>
  <c r="DB8" i="6"/>
  <c r="DB29" i="6"/>
  <c r="DC18" i="6"/>
  <c r="DC31" i="6"/>
  <c r="DB26" i="6"/>
  <c r="DB18" i="6"/>
  <c r="DB10" i="6"/>
  <c r="DB31" i="6"/>
  <c r="DB23" i="6"/>
  <c r="DB7" i="6"/>
  <c r="DB28" i="6"/>
  <c r="DC17" i="6"/>
  <c r="DC9" i="6"/>
  <c r="D2" i="3"/>
  <c r="E788" i="3"/>
  <c r="E780" i="3"/>
  <c r="E772" i="3"/>
  <c r="E764" i="3"/>
  <c r="E756" i="3"/>
  <c r="E748" i="3"/>
  <c r="E740" i="3"/>
  <c r="E732" i="3"/>
  <c r="E724" i="3"/>
  <c r="E716" i="3"/>
  <c r="E708" i="3"/>
  <c r="E700" i="3"/>
  <c r="E692" i="3"/>
  <c r="E684" i="3"/>
  <c r="E676" i="3"/>
  <c r="E668" i="3"/>
  <c r="E660" i="3"/>
  <c r="E652" i="3"/>
  <c r="E644" i="3"/>
  <c r="E784" i="3"/>
  <c r="E776" i="3"/>
  <c r="E768" i="3"/>
  <c r="E760" i="3"/>
  <c r="E752" i="3"/>
  <c r="E744" i="3"/>
  <c r="E736" i="3"/>
  <c r="E728" i="3"/>
  <c r="E720" i="3"/>
  <c r="E712" i="3"/>
  <c r="E704" i="3"/>
  <c r="E696" i="3"/>
  <c r="E688" i="3"/>
  <c r="E680" i="3"/>
  <c r="E672" i="3"/>
  <c r="E664" i="3"/>
  <c r="E656" i="3"/>
  <c r="E648" i="3"/>
  <c r="E789" i="3"/>
  <c r="E781" i="3"/>
  <c r="E773" i="3"/>
  <c r="E765" i="3"/>
  <c r="E757" i="3"/>
  <c r="E749" i="3"/>
  <c r="E741" i="3"/>
  <c r="E733" i="3"/>
  <c r="E725" i="3"/>
  <c r="E717" i="3"/>
  <c r="E709" i="3"/>
  <c r="E701" i="3"/>
  <c r="E693" i="3"/>
  <c r="E685" i="3"/>
  <c r="E677" i="3"/>
  <c r="E669" i="3"/>
  <c r="E661" i="3"/>
  <c r="E653" i="3"/>
  <c r="E645" i="3"/>
  <c r="E637" i="3"/>
  <c r="E629" i="3"/>
  <c r="E621" i="3"/>
  <c r="E613" i="3"/>
  <c r="E605" i="3"/>
  <c r="E597" i="3"/>
  <c r="E589" i="3"/>
  <c r="E581" i="3"/>
  <c r="E573" i="3"/>
  <c r="E565" i="3"/>
  <c r="E783" i="3"/>
  <c r="E775" i="3"/>
  <c r="E767" i="3"/>
  <c r="E759" i="3"/>
  <c r="E751" i="3"/>
  <c r="E743" i="3"/>
  <c r="E735" i="3"/>
  <c r="E727" i="3"/>
  <c r="E719" i="3"/>
  <c r="E711" i="3"/>
  <c r="E703" i="3"/>
  <c r="E695" i="3"/>
  <c r="E687" i="3"/>
  <c r="E679" i="3"/>
  <c r="E671" i="3"/>
  <c r="E663" i="3"/>
  <c r="E655" i="3"/>
  <c r="E647" i="3"/>
  <c r="E639" i="3"/>
  <c r="E631" i="3"/>
  <c r="E623" i="3"/>
  <c r="E615" i="3"/>
  <c r="E607" i="3"/>
  <c r="E599" i="3"/>
  <c r="E591" i="3"/>
  <c r="E778" i="3"/>
  <c r="E762" i="3"/>
  <c r="E746" i="3"/>
  <c r="E730" i="3"/>
  <c r="E714" i="3"/>
  <c r="E698" i="3"/>
  <c r="E682" i="3"/>
  <c r="E666" i="3"/>
  <c r="E650" i="3"/>
  <c r="E640" i="3"/>
  <c r="E636" i="3"/>
  <c r="E622" i="3"/>
  <c r="E608" i="3"/>
  <c r="E604" i="3"/>
  <c r="E590" i="3"/>
  <c r="E587" i="3"/>
  <c r="E584" i="3"/>
  <c r="E560" i="3"/>
  <c r="E552" i="3"/>
  <c r="E544" i="3"/>
  <c r="E536" i="3"/>
  <c r="E528" i="3"/>
  <c r="E520" i="3"/>
  <c r="E512" i="3"/>
  <c r="E504" i="3"/>
  <c r="E496" i="3"/>
  <c r="E488" i="3"/>
  <c r="E480" i="3"/>
  <c r="E777" i="3"/>
  <c r="E761" i="3"/>
  <c r="E745" i="3"/>
  <c r="E729" i="3"/>
  <c r="E713" i="3"/>
  <c r="E697" i="3"/>
  <c r="E681" i="3"/>
  <c r="E665" i="3"/>
  <c r="E649" i="3"/>
  <c r="E625" i="3"/>
  <c r="E618" i="3"/>
  <c r="E611" i="3"/>
  <c r="E593" i="3"/>
  <c r="E557" i="3"/>
  <c r="E549" i="3"/>
  <c r="E541" i="3"/>
  <c r="E533" i="3"/>
  <c r="E525" i="3"/>
  <c r="E517" i="3"/>
  <c r="E782" i="3"/>
  <c r="E766" i="3"/>
  <c r="E750" i="3"/>
  <c r="E734" i="3"/>
  <c r="E718" i="3"/>
  <c r="E702" i="3"/>
  <c r="E686" i="3"/>
  <c r="E670" i="3"/>
  <c r="E654" i="3"/>
  <c r="E632" i="3"/>
  <c r="E628" i="3"/>
  <c r="E614" i="3"/>
  <c r="E600" i="3"/>
  <c r="E596" i="3"/>
  <c r="E586" i="3"/>
  <c r="E583" i="3"/>
  <c r="E580" i="3"/>
  <c r="E577" i="3"/>
  <c r="E574" i="3"/>
  <c r="E571" i="3"/>
  <c r="E568" i="3"/>
  <c r="E562" i="3"/>
  <c r="E554" i="3"/>
  <c r="E546" i="3"/>
  <c r="E538" i="3"/>
  <c r="E530" i="3"/>
  <c r="E522" i="3"/>
  <c r="E786" i="3"/>
  <c r="E770" i="3"/>
  <c r="E754" i="3"/>
  <c r="E738" i="3"/>
  <c r="E722" i="3"/>
  <c r="E706" i="3"/>
  <c r="E690" i="3"/>
  <c r="E674" i="3"/>
  <c r="E658" i="3"/>
  <c r="E642" i="3"/>
  <c r="E638" i="3"/>
  <c r="E624" i="3"/>
  <c r="E620" i="3"/>
  <c r="E606" i="3"/>
  <c r="E592" i="3"/>
  <c r="E570" i="3"/>
  <c r="E567" i="3"/>
  <c r="E564" i="3"/>
  <c r="E556" i="3"/>
  <c r="E548" i="3"/>
  <c r="E540" i="3"/>
  <c r="E532" i="3"/>
  <c r="E524" i="3"/>
  <c r="E516" i="3"/>
  <c r="E508" i="3"/>
  <c r="E785" i="3"/>
  <c r="E769" i="3"/>
  <c r="E753" i="3"/>
  <c r="E737" i="3"/>
  <c r="E721" i="3"/>
  <c r="E705" i="3"/>
  <c r="E689" i="3"/>
  <c r="E673" i="3"/>
  <c r="E657" i="3"/>
  <c r="E641" i="3"/>
  <c r="E634" i="3"/>
  <c r="E627" i="3"/>
  <c r="E609" i="3"/>
  <c r="E602" i="3"/>
  <c r="E595" i="3"/>
  <c r="E588" i="3"/>
  <c r="E585" i="3"/>
  <c r="E582" i="3"/>
  <c r="E579" i="3"/>
  <c r="E576" i="3"/>
  <c r="E561" i="3"/>
  <c r="E774" i="3"/>
  <c r="E758" i="3"/>
  <c r="E742" i="3"/>
  <c r="E726" i="3"/>
  <c r="E710" i="3"/>
  <c r="E694" i="3"/>
  <c r="E678" i="3"/>
  <c r="E662" i="3"/>
  <c r="E646" i="3"/>
  <c r="E630" i="3"/>
  <c r="E616" i="3"/>
  <c r="E612" i="3"/>
  <c r="E598" i="3"/>
  <c r="E787" i="3"/>
  <c r="E723" i="3"/>
  <c r="E659" i="3"/>
  <c r="E610" i="3"/>
  <c r="E559" i="3"/>
  <c r="E543" i="3"/>
  <c r="E527" i="3"/>
  <c r="E509" i="3"/>
  <c r="E502" i="3"/>
  <c r="E499" i="3"/>
  <c r="E469" i="3"/>
  <c r="E461" i="3"/>
  <c r="E453" i="3"/>
  <c r="E445" i="3"/>
  <c r="E437" i="3"/>
  <c r="E429" i="3"/>
  <c r="E421" i="3"/>
  <c r="E413" i="3"/>
  <c r="E405" i="3"/>
  <c r="E397" i="3"/>
  <c r="E389" i="3"/>
  <c r="E381" i="3"/>
  <c r="E373" i="3"/>
  <c r="E365" i="3"/>
  <c r="E357" i="3"/>
  <c r="E349" i="3"/>
  <c r="E341" i="3"/>
  <c r="E333" i="3"/>
  <c r="E325" i="3"/>
  <c r="E317" i="3"/>
  <c r="E309" i="3"/>
  <c r="E763" i="3"/>
  <c r="E699" i="3"/>
  <c r="E594" i="3"/>
  <c r="E569" i="3"/>
  <c r="E553" i="3"/>
  <c r="E537" i="3"/>
  <c r="E521" i="3"/>
  <c r="E505" i="3"/>
  <c r="E477" i="3"/>
  <c r="E474" i="3"/>
  <c r="E466" i="3"/>
  <c r="E458" i="3"/>
  <c r="E450" i="3"/>
  <c r="E442" i="3"/>
  <c r="E434" i="3"/>
  <c r="E426" i="3"/>
  <c r="E418" i="3"/>
  <c r="E410" i="3"/>
  <c r="E402" i="3"/>
  <c r="E394" i="3"/>
  <c r="E386" i="3"/>
  <c r="E378" i="3"/>
  <c r="E370" i="3"/>
  <c r="E362" i="3"/>
  <c r="E354" i="3"/>
  <c r="E346" i="3"/>
  <c r="E739" i="3"/>
  <c r="E675" i="3"/>
  <c r="E635" i="3"/>
  <c r="E558" i="3"/>
  <c r="E542" i="3"/>
  <c r="E526" i="3"/>
  <c r="E501" i="3"/>
  <c r="E498" i="3"/>
  <c r="E495" i="3"/>
  <c r="E492" i="3"/>
  <c r="E489" i="3"/>
  <c r="E486" i="3"/>
  <c r="E483" i="3"/>
  <c r="E471" i="3"/>
  <c r="E463" i="3"/>
  <c r="E455" i="3"/>
  <c r="E447" i="3"/>
  <c r="E439" i="3"/>
  <c r="E431" i="3"/>
  <c r="E423" i="3"/>
  <c r="E415" i="3"/>
  <c r="E407" i="3"/>
  <c r="E399" i="3"/>
  <c r="E391" i="3"/>
  <c r="E383" i="3"/>
  <c r="E375" i="3"/>
  <c r="E367" i="3"/>
  <c r="E359" i="3"/>
  <c r="E351" i="3"/>
  <c r="E343" i="3"/>
  <c r="E755" i="3"/>
  <c r="E691" i="3"/>
  <c r="E617" i="3"/>
  <c r="E603" i="3"/>
  <c r="E551" i="3"/>
  <c r="E535" i="3"/>
  <c r="E519" i="3"/>
  <c r="E511" i="3"/>
  <c r="E485" i="3"/>
  <c r="E482" i="3"/>
  <c r="E479" i="3"/>
  <c r="E476" i="3"/>
  <c r="E473" i="3"/>
  <c r="E465" i="3"/>
  <c r="E457" i="3"/>
  <c r="E449" i="3"/>
  <c r="E441" i="3"/>
  <c r="E433" i="3"/>
  <c r="E425" i="3"/>
  <c r="E417" i="3"/>
  <c r="E409" i="3"/>
  <c r="E401" i="3"/>
  <c r="E393" i="3"/>
  <c r="E385" i="3"/>
  <c r="E377" i="3"/>
  <c r="E369" i="3"/>
  <c r="E361" i="3"/>
  <c r="E353" i="3"/>
  <c r="E345" i="3"/>
  <c r="E337" i="3"/>
  <c r="E329" i="3"/>
  <c r="E321" i="3"/>
  <c r="E313" i="3"/>
  <c r="E731" i="3"/>
  <c r="E667" i="3"/>
  <c r="E601" i="3"/>
  <c r="E575" i="3"/>
  <c r="E563" i="3"/>
  <c r="E545" i="3"/>
  <c r="E529" i="3"/>
  <c r="E514" i="3"/>
  <c r="E507" i="3"/>
  <c r="E500" i="3"/>
  <c r="E497" i="3"/>
  <c r="E494" i="3"/>
  <c r="E491" i="3"/>
  <c r="E470" i="3"/>
  <c r="E462" i="3"/>
  <c r="E454" i="3"/>
  <c r="E446" i="3"/>
  <c r="E438" i="3"/>
  <c r="E430" i="3"/>
  <c r="E422" i="3"/>
  <c r="E414" i="3"/>
  <c r="E406" i="3"/>
  <c r="E398" i="3"/>
  <c r="E390" i="3"/>
  <c r="E382" i="3"/>
  <c r="E374" i="3"/>
  <c r="E366" i="3"/>
  <c r="E358" i="3"/>
  <c r="E350" i="3"/>
  <c r="E342" i="3"/>
  <c r="E771" i="3"/>
  <c r="E707" i="3"/>
  <c r="E643" i="3"/>
  <c r="E550" i="3"/>
  <c r="E534" i="3"/>
  <c r="E518" i="3"/>
  <c r="E510" i="3"/>
  <c r="E503" i="3"/>
  <c r="E467" i="3"/>
  <c r="E459" i="3"/>
  <c r="E451" i="3"/>
  <c r="E443" i="3"/>
  <c r="E435" i="3"/>
  <c r="E427" i="3"/>
  <c r="E419" i="3"/>
  <c r="E411" i="3"/>
  <c r="E403" i="3"/>
  <c r="E395" i="3"/>
  <c r="E387" i="3"/>
  <c r="E379" i="3"/>
  <c r="E371" i="3"/>
  <c r="E363" i="3"/>
  <c r="E355" i="3"/>
  <c r="E347" i="3"/>
  <c r="E339" i="3"/>
  <c r="E241" i="3"/>
  <c r="E779" i="3"/>
  <c r="E619" i="3"/>
  <c r="E566" i="3"/>
  <c r="E468" i="3"/>
  <c r="E436" i="3"/>
  <c r="E404" i="3"/>
  <c r="E372" i="3"/>
  <c r="E340" i="3"/>
  <c r="E332" i="3"/>
  <c r="E314" i="3"/>
  <c r="E302" i="3"/>
  <c r="E294" i="3"/>
  <c r="E286" i="3"/>
  <c r="E278" i="3"/>
  <c r="E270" i="3"/>
  <c r="E262" i="3"/>
  <c r="E254" i="3"/>
  <c r="E246" i="3"/>
  <c r="E238" i="3"/>
  <c r="E230" i="3"/>
  <c r="E222" i="3"/>
  <c r="E747" i="3"/>
  <c r="E555" i="3"/>
  <c r="E513" i="3"/>
  <c r="E487" i="3"/>
  <c r="E432" i="3"/>
  <c r="E400" i="3"/>
  <c r="E334" i="3"/>
  <c r="E327" i="3"/>
  <c r="E320" i="3"/>
  <c r="E683" i="3"/>
  <c r="E539" i="3"/>
  <c r="E490" i="3"/>
  <c r="E478" i="3"/>
  <c r="E456" i="3"/>
  <c r="E424" i="3"/>
  <c r="E392" i="3"/>
  <c r="E360" i="3"/>
  <c r="E335" i="3"/>
  <c r="E328" i="3"/>
  <c r="E310" i="3"/>
  <c r="E307" i="3"/>
  <c r="E299" i="3"/>
  <c r="E291" i="3"/>
  <c r="E283" i="3"/>
  <c r="E275" i="3"/>
  <c r="E267" i="3"/>
  <c r="E259" i="3"/>
  <c r="E251" i="3"/>
  <c r="E243" i="3"/>
  <c r="E235" i="3"/>
  <c r="E227" i="3"/>
  <c r="E285" i="3"/>
  <c r="E277" i="3"/>
  <c r="E221" i="3"/>
  <c r="E515" i="3"/>
  <c r="E444" i="3"/>
  <c r="E412" i="3"/>
  <c r="E380" i="3"/>
  <c r="E348" i="3"/>
  <c r="E338" i="3"/>
  <c r="E331" i="3"/>
  <c r="E324" i="3"/>
  <c r="E304" i="3"/>
  <c r="E296" i="3"/>
  <c r="E288" i="3"/>
  <c r="E280" i="3"/>
  <c r="E272" i="3"/>
  <c r="E264" i="3"/>
  <c r="E256" i="3"/>
  <c r="E248" i="3"/>
  <c r="E240" i="3"/>
  <c r="E232" i="3"/>
  <c r="E224" i="3"/>
  <c r="E475" i="3"/>
  <c r="E464" i="3"/>
  <c r="E368" i="3"/>
  <c r="E301" i="3"/>
  <c r="E293" i="3"/>
  <c r="E269" i="3"/>
  <c r="E261" i="3"/>
  <c r="E253" i="3"/>
  <c r="E245" i="3"/>
  <c r="E237" i="3"/>
  <c r="E229" i="3"/>
  <c r="E651" i="3"/>
  <c r="E531" i="3"/>
  <c r="E452" i="3"/>
  <c r="E420" i="3"/>
  <c r="E388" i="3"/>
  <c r="E356" i="3"/>
  <c r="E330" i="3"/>
  <c r="E323" i="3"/>
  <c r="E316" i="3"/>
  <c r="E306" i="3"/>
  <c r="E298" i="3"/>
  <c r="E290" i="3"/>
  <c r="E282" i="3"/>
  <c r="E274" i="3"/>
  <c r="E266" i="3"/>
  <c r="E258" i="3"/>
  <c r="E250" i="3"/>
  <c r="E242" i="3"/>
  <c r="E234" i="3"/>
  <c r="E226" i="3"/>
  <c r="E263" i="3"/>
  <c r="E247" i="3"/>
  <c r="E231" i="3"/>
  <c r="E220" i="3"/>
  <c r="E228" i="3"/>
  <c r="E790" i="3"/>
  <c r="E572" i="3"/>
  <c r="E523" i="3"/>
  <c r="E481" i="3"/>
  <c r="E448" i="3"/>
  <c r="E336" i="3"/>
  <c r="E289" i="3"/>
  <c r="E281" i="3"/>
  <c r="E273" i="3"/>
  <c r="E265" i="3"/>
  <c r="E257" i="3"/>
  <c r="E249" i="3"/>
  <c r="E484" i="3"/>
  <c r="E472" i="3"/>
  <c r="E440" i="3"/>
  <c r="E408" i="3"/>
  <c r="E376" i="3"/>
  <c r="E344" i="3"/>
  <c r="E326" i="3"/>
  <c r="E319" i="3"/>
  <c r="E312" i="3"/>
  <c r="E303" i="3"/>
  <c r="E295" i="3"/>
  <c r="E287" i="3"/>
  <c r="E279" i="3"/>
  <c r="E271" i="3"/>
  <c r="E255" i="3"/>
  <c r="E239" i="3"/>
  <c r="E223" i="3"/>
  <c r="E493" i="3"/>
  <c r="E416" i="3"/>
  <c r="E384" i="3"/>
  <c r="E352" i="3"/>
  <c r="E305" i="3"/>
  <c r="E297" i="3"/>
  <c r="E225" i="3"/>
  <c r="E715" i="3"/>
  <c r="E633" i="3"/>
  <c r="E578" i="3"/>
  <c r="E547" i="3"/>
  <c r="E460" i="3"/>
  <c r="E428" i="3"/>
  <c r="E396" i="3"/>
  <c r="E364" i="3"/>
  <c r="E322" i="3"/>
  <c r="E315" i="3"/>
  <c r="E308" i="3"/>
  <c r="E300" i="3"/>
  <c r="E292" i="3"/>
  <c r="E284" i="3"/>
  <c r="E276" i="3"/>
  <c r="E268" i="3"/>
  <c r="E260" i="3"/>
  <c r="E252" i="3"/>
  <c r="E244" i="3"/>
  <c r="E236" i="3"/>
  <c r="E626" i="3"/>
  <c r="E506" i="3"/>
  <c r="E318" i="3"/>
  <c r="E311" i="3"/>
  <c r="E233" i="3"/>
  <c r="E219" i="3"/>
  <c r="E203" i="3"/>
  <c r="E187" i="3"/>
  <c r="E171" i="3"/>
  <c r="E155" i="3"/>
  <c r="E208" i="3"/>
  <c r="E192" i="3"/>
  <c r="E104" i="3"/>
  <c r="E84" i="3"/>
  <c r="E68" i="3"/>
  <c r="E52" i="3"/>
  <c r="E36" i="3"/>
  <c r="E20" i="3"/>
  <c r="E154" i="3"/>
  <c r="E131" i="3"/>
  <c r="O14" i="3"/>
  <c r="E135" i="3"/>
  <c r="E12" i="3"/>
  <c r="E96" i="3"/>
  <c r="E79" i="3"/>
  <c r="E63" i="3"/>
  <c r="E47" i="3"/>
  <c r="E31" i="3"/>
  <c r="E15" i="3"/>
  <c r="E164" i="3"/>
  <c r="E139" i="3"/>
  <c r="E143" i="3"/>
  <c r="E132" i="3"/>
  <c r="E169" i="3"/>
  <c r="E82" i="3"/>
  <c r="E217" i="3"/>
  <c r="E201" i="3"/>
  <c r="E185" i="3"/>
  <c r="E153" i="3"/>
  <c r="E206" i="3"/>
  <c r="E190" i="3"/>
  <c r="E145" i="3"/>
  <c r="E50" i="3"/>
  <c r="E215" i="3"/>
  <c r="E199" i="3"/>
  <c r="E183" i="3"/>
  <c r="E167" i="3"/>
  <c r="E151" i="3"/>
  <c r="E204" i="3"/>
  <c r="E188" i="3"/>
  <c r="E120" i="3"/>
  <c r="E80" i="3"/>
  <c r="E64" i="3"/>
  <c r="E48" i="3"/>
  <c r="E32" i="3"/>
  <c r="E16" i="3"/>
  <c r="E178" i="3"/>
  <c r="E117" i="3"/>
  <c r="E112" i="3"/>
  <c r="E75" i="3"/>
  <c r="E59" i="3"/>
  <c r="E43" i="3"/>
  <c r="E27" i="3"/>
  <c r="E156" i="3"/>
  <c r="E91" i="3"/>
  <c r="E125" i="3"/>
  <c r="E111" i="3"/>
  <c r="E170" i="3"/>
  <c r="E213" i="3"/>
  <c r="E197" i="3"/>
  <c r="E181" i="3"/>
  <c r="E165" i="3"/>
  <c r="E149" i="3"/>
  <c r="E218" i="3"/>
  <c r="E202" i="3"/>
  <c r="E186" i="3"/>
  <c r="E97" i="3"/>
  <c r="E78" i="3"/>
  <c r="E62" i="3"/>
  <c r="E46" i="3"/>
  <c r="E30" i="3"/>
  <c r="E14" i="3"/>
  <c r="E174" i="3"/>
  <c r="E122" i="3"/>
  <c r="E92" i="3"/>
  <c r="E150" i="3"/>
  <c r="E11" i="3"/>
  <c r="E126" i="3"/>
  <c r="E89" i="3"/>
  <c r="E73" i="3"/>
  <c r="E57" i="3"/>
  <c r="E41" i="3"/>
  <c r="E25" i="3"/>
  <c r="E152" i="3"/>
  <c r="E130" i="3"/>
  <c r="E116" i="3"/>
  <c r="E93" i="3"/>
  <c r="Q11" i="3"/>
  <c r="E9" i="3"/>
  <c r="E102" i="3"/>
  <c r="E127" i="3"/>
  <c r="E99" i="3"/>
  <c r="E211" i="3"/>
  <c r="E195" i="3"/>
  <c r="E179" i="3"/>
  <c r="E163" i="3"/>
  <c r="E147" i="3"/>
  <c r="E216" i="3"/>
  <c r="E200" i="3"/>
  <c r="E184" i="3"/>
  <c r="E136" i="3"/>
  <c r="E76" i="3"/>
  <c r="E60" i="3"/>
  <c r="E44" i="3"/>
  <c r="E28" i="3"/>
  <c r="O12" i="3"/>
  <c r="E209" i="3"/>
  <c r="E193" i="3"/>
  <c r="E177" i="3"/>
  <c r="E161" i="3"/>
  <c r="E214" i="3"/>
  <c r="E198" i="3"/>
  <c r="E182" i="3"/>
  <c r="E113" i="3"/>
  <c r="E207" i="3"/>
  <c r="E191" i="3"/>
  <c r="E175" i="3"/>
  <c r="E159" i="3"/>
  <c r="E212" i="3"/>
  <c r="E196" i="3"/>
  <c r="E180" i="3"/>
  <c r="E88" i="3"/>
  <c r="E72" i="3"/>
  <c r="E56" i="3"/>
  <c r="E40" i="3"/>
  <c r="E24" i="3"/>
  <c r="E162" i="3"/>
  <c r="E115" i="3"/>
  <c r="E140" i="3"/>
  <c r="E119" i="3"/>
  <c r="E144" i="3"/>
  <c r="E83" i="3"/>
  <c r="E67" i="3"/>
  <c r="E51" i="3"/>
  <c r="E35" i="3"/>
  <c r="E19" i="3"/>
  <c r="E172" i="3"/>
  <c r="E123" i="3"/>
  <c r="Q12" i="3"/>
  <c r="E148" i="3"/>
  <c r="O11" i="3"/>
  <c r="E205" i="3"/>
  <c r="E66" i="3"/>
  <c r="E18" i="3"/>
  <c r="E101" i="3"/>
  <c r="E103" i="3"/>
  <c r="E128" i="3"/>
  <c r="E87" i="3"/>
  <c r="E55" i="3"/>
  <c r="E23" i="3"/>
  <c r="E118" i="3"/>
  <c r="E189" i="3"/>
  <c r="E210" i="3"/>
  <c r="E58" i="3"/>
  <c r="E142" i="3"/>
  <c r="E85" i="3"/>
  <c r="E53" i="3"/>
  <c r="E21" i="3"/>
  <c r="E176" i="3"/>
  <c r="E173" i="3"/>
  <c r="E194" i="3"/>
  <c r="E129" i="3"/>
  <c r="E54" i="3"/>
  <c r="E94" i="3"/>
  <c r="E121" i="3"/>
  <c r="E81" i="3"/>
  <c r="E49" i="3"/>
  <c r="E17" i="3"/>
  <c r="E168" i="3"/>
  <c r="E141" i="3"/>
  <c r="E95" i="3"/>
  <c r="E69" i="3"/>
  <c r="E146" i="3"/>
  <c r="E70" i="3"/>
  <c r="E22" i="3"/>
  <c r="E138" i="3"/>
  <c r="E10" i="3"/>
  <c r="E137" i="3"/>
  <c r="E61" i="3"/>
  <c r="E157" i="3"/>
  <c r="E42" i="3"/>
  <c r="E133" i="3"/>
  <c r="E77" i="3"/>
  <c r="E45" i="3"/>
  <c r="E13" i="3"/>
  <c r="E160" i="3"/>
  <c r="E114" i="3"/>
  <c r="E134" i="3"/>
  <c r="E86" i="3"/>
  <c r="E158" i="3"/>
  <c r="E37" i="3"/>
  <c r="E110" i="3"/>
  <c r="E38" i="3"/>
  <c r="E166" i="3"/>
  <c r="E106" i="3"/>
  <c r="E124" i="3"/>
  <c r="E71" i="3"/>
  <c r="E39" i="3"/>
  <c r="O10" i="3" a="1"/>
  <c r="O10" i="3" s="1"/>
  <c r="E107" i="3"/>
  <c r="E34" i="3"/>
  <c r="E105" i="3"/>
  <c r="E74" i="3"/>
  <c r="E26" i="3"/>
  <c r="E90" i="3"/>
  <c r="E65" i="3"/>
  <c r="E33" i="3"/>
  <c r="E98" i="3"/>
  <c r="E100" i="3"/>
  <c r="E108" i="3"/>
  <c r="E29" i="3"/>
  <c r="E109" i="3"/>
  <c r="I263" i="6" l="1"/>
  <c r="I264" i="6"/>
  <c r="I279" i="6"/>
  <c r="I269" i="6"/>
  <c r="I277" i="6"/>
  <c r="I275" i="6"/>
  <c r="H263" i="6"/>
  <c r="H264" i="6"/>
  <c r="H279" i="6"/>
  <c r="H269" i="6"/>
  <c r="H277" i="6"/>
  <c r="H275" i="6"/>
  <c r="G263" i="6"/>
  <c r="G277" i="6"/>
  <c r="G279" i="6"/>
  <c r="G269" i="6"/>
  <c r="G264" i="6"/>
  <c r="G275" i="6"/>
  <c r="F264" i="6"/>
  <c r="F279" i="6"/>
  <c r="F269" i="6"/>
  <c r="F270" i="6" s="1"/>
  <c r="F277" i="6"/>
  <c r="F278" i="6" s="1"/>
  <c r="F275" i="6"/>
  <c r="D263" i="6"/>
  <c r="D280" i="6" s="1"/>
  <c r="E263" i="6"/>
  <c r="E264" i="6"/>
  <c r="E277" i="6"/>
  <c r="E269" i="6"/>
  <c r="E275" i="6"/>
  <c r="E279" i="6"/>
  <c r="D264" i="6"/>
  <c r="D269" i="6"/>
  <c r="D275" i="6"/>
  <c r="D277" i="6"/>
  <c r="C263" i="6"/>
  <c r="C270" i="6" s="1"/>
  <c r="O17" i="3"/>
  <c r="O16" i="3"/>
  <c r="O15" i="3"/>
  <c r="Q3" i="5"/>
  <c r="Q4" i="5"/>
  <c r="Q2" i="5"/>
  <c r="O13" i="3"/>
  <c r="I270" i="6" l="1"/>
  <c r="I265" i="6"/>
  <c r="I276" i="6"/>
  <c r="I278" i="6"/>
  <c r="I280" i="6"/>
  <c r="H265" i="6"/>
  <c r="H276" i="6"/>
  <c r="H278" i="6"/>
  <c r="H270" i="6"/>
  <c r="H280" i="6"/>
  <c r="G265" i="6"/>
  <c r="G276" i="6"/>
  <c r="G270" i="6"/>
  <c r="G278" i="6"/>
  <c r="G280" i="6"/>
  <c r="D265" i="6"/>
  <c r="D270" i="6"/>
  <c r="D278" i="6"/>
  <c r="D276" i="6"/>
  <c r="E270" i="6"/>
  <c r="F276" i="6"/>
  <c r="F280" i="6"/>
  <c r="F265" i="6"/>
  <c r="E265" i="6"/>
  <c r="E278" i="6"/>
  <c r="E276" i="6"/>
  <c r="E280" i="6"/>
  <c r="C278" i="6" l="1"/>
  <c r="C283" i="6" s="1"/>
  <c r="C280" i="6"/>
  <c r="C284" i="6" s="1"/>
  <c r="C276" i="6"/>
  <c r="C282" i="6" s="1"/>
  <c r="C271" i="6"/>
  <c r="C265" i="6"/>
  <c r="C266" i="6" s="1"/>
  <c r="K3" i="5" l="1"/>
  <c r="K4" i="5"/>
  <c r="N4" i="5"/>
  <c r="N2" i="5"/>
  <c r="N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AACE05-EB96-4B7F-9222-1DC4363D31C9}" keepAlive="1" name="Query - Table 1" description="Connection to the 'Table 1' query in the workbook." type="5" refreshedVersion="0" background="1">
    <dbPr connection="Provider=Microsoft.Mashup.OleDb.1;Data Source=$Workbook$;Location=&quot;Table 1&quot;;Extended Properties=&quot;&quot;" command="SELECT * FROM [Table 1]"/>
  </connection>
  <connection id="2" xr16:uid="{3074C5F3-F228-4BC4-92B5-50B33074ED98}" keepAlive="1" name="Query - Table 1 (2)" description="Connection to the 'Table 1 (2)' query in the workbook." type="5" refreshedVersion="0" background="1">
    <dbPr connection="Provider=Microsoft.Mashup.OleDb.1;Data Source=$Workbook$;Location=&quot;Table 1 (2)&quot;;Extended Properties=&quot;&quot;" command="SELECT * FROM [Table 1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30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6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8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0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2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4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6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8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0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2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4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6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8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0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2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4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6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8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0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2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4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6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8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0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2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4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6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8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0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2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4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6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8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0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2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4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6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8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0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2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4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6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8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0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2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4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6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8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0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2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4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6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8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0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2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4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6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8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0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2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4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6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8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0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2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4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6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8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0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2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4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6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8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0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2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4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6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8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0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2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4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6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8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0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2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4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6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8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0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2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4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6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8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0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2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4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6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8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0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2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4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6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8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0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2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4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6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8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0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2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4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6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8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0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2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4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6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8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0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2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4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6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8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0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2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4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6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8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0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2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4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6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8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0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2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4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6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8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0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2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4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6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8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0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2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4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6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8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0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2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4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6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8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0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2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4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6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8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0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2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4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6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8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0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2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4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6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8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0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2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4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6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8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0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2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4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6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8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0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2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4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6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8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0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2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4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6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8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0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2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4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6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8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0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2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4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6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8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0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2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4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6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8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0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2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4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6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8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0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2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4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6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8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0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2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4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6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8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0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2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4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6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8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0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2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4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6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8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0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2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4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6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8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0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2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4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6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8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0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2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4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6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8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0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2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4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6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8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0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2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4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6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8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0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2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4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6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8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0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2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4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6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8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0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2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4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6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8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0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2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4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6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8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0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2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4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6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8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0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2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4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6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8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0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2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4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6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8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0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2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4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6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8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0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2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4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6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8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0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2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4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6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8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0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2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4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6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8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0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2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4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6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8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0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2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4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6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8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0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2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4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6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8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0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2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4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6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8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0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2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4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6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8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0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2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4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6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8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0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2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4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6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8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0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2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4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6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8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0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2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4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6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8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0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2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4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6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8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0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2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4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6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8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0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2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4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6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8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0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2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4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6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8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0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2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4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6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8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0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2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4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6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8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0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2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4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6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8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0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2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4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6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8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0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2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4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6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8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0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2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4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6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8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0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2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4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6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8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0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2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4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6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8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0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2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4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6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8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0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2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4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6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8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0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2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4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6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8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0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2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4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6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8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0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2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4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6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8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0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2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4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6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8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0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2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4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6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8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0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2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4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6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8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0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2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4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6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8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0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2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4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6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8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0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2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4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6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8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0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2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4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6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8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0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2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4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6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8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0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2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4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6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8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0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2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4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6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8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0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2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4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6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8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0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2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4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6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8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0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2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4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6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8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0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2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4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6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8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0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2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4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6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8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0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2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4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6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8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0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2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4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6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8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0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2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4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6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8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0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2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4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6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8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0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2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4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6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8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0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2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4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6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8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0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2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4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6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8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0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2"/>
        </ext>
      </extLst>
    </bk>
    <bk>
      <extLst>
        <ext uri="{3e2802c4-a4d2-4d8b-9148-e3be6c30e623}">
          <xlrd:rvb i="1993"/>
        </ext>
      </extLst>
    </bk>
    <bk>
      <extLst>
        <ext uri="{3e2802c4-a4d2-4d8b-9148-e3be6c30e623}">
          <xlrd:rvb i="1994"/>
        </ext>
      </extLst>
    </bk>
    <bk>
      <extLst>
        <ext uri="{3e2802c4-a4d2-4d8b-9148-e3be6c30e623}">
          <xlrd:rvb i="1995"/>
        </ext>
      </extLst>
    </bk>
    <bk>
      <extLst>
        <ext uri="{3e2802c4-a4d2-4d8b-9148-e3be6c30e623}">
          <xlrd:rvb i="1996"/>
        </ext>
      </extLst>
    </bk>
    <bk>
      <extLst>
        <ext uri="{3e2802c4-a4d2-4d8b-9148-e3be6c30e623}">
          <xlrd:rvb i="1997"/>
        </ext>
      </extLst>
    </bk>
    <bk>
      <extLst>
        <ext uri="{3e2802c4-a4d2-4d8b-9148-e3be6c30e623}">
          <xlrd:rvb i="1998"/>
        </ext>
      </extLst>
    </bk>
    <bk>
      <extLst>
        <ext uri="{3e2802c4-a4d2-4d8b-9148-e3be6c30e623}">
          <xlrd:rvb i="1999"/>
        </ext>
      </extLst>
    </bk>
    <bk>
      <extLst>
        <ext uri="{3e2802c4-a4d2-4d8b-9148-e3be6c30e623}">
          <xlrd:rvb i="2000"/>
        </ext>
      </extLst>
    </bk>
    <bk>
      <extLst>
        <ext uri="{3e2802c4-a4d2-4d8b-9148-e3be6c30e623}">
          <xlrd:rvb i="2001"/>
        </ext>
      </extLst>
    </bk>
    <bk>
      <extLst>
        <ext uri="{3e2802c4-a4d2-4d8b-9148-e3be6c30e623}">
          <xlrd:rvb i="2002"/>
        </ext>
      </extLst>
    </bk>
    <bk>
      <extLst>
        <ext uri="{3e2802c4-a4d2-4d8b-9148-e3be6c30e623}">
          <xlrd:rvb i="2003"/>
        </ext>
      </extLst>
    </bk>
    <bk>
      <extLst>
        <ext uri="{3e2802c4-a4d2-4d8b-9148-e3be6c30e623}">
          <xlrd:rvb i="2004"/>
        </ext>
      </extLst>
    </bk>
    <bk>
      <extLst>
        <ext uri="{3e2802c4-a4d2-4d8b-9148-e3be6c30e623}">
          <xlrd:rvb i="2005"/>
        </ext>
      </extLst>
    </bk>
    <bk>
      <extLst>
        <ext uri="{3e2802c4-a4d2-4d8b-9148-e3be6c30e623}">
          <xlrd:rvb i="2006"/>
        </ext>
      </extLst>
    </bk>
    <bk>
      <extLst>
        <ext uri="{3e2802c4-a4d2-4d8b-9148-e3be6c30e623}">
          <xlrd:rvb i="2007"/>
        </ext>
      </extLst>
    </bk>
    <bk>
      <extLst>
        <ext uri="{3e2802c4-a4d2-4d8b-9148-e3be6c30e623}">
          <xlrd:rvb i="2008"/>
        </ext>
      </extLst>
    </bk>
    <bk>
      <extLst>
        <ext uri="{3e2802c4-a4d2-4d8b-9148-e3be6c30e623}">
          <xlrd:rvb i="2009"/>
        </ext>
      </extLst>
    </bk>
    <bk>
      <extLst>
        <ext uri="{3e2802c4-a4d2-4d8b-9148-e3be6c30e623}">
          <xlrd:rvb i="2010"/>
        </ext>
      </extLst>
    </bk>
    <bk>
      <extLst>
        <ext uri="{3e2802c4-a4d2-4d8b-9148-e3be6c30e623}">
          <xlrd:rvb i="2011"/>
        </ext>
      </extLst>
    </bk>
    <bk>
      <extLst>
        <ext uri="{3e2802c4-a4d2-4d8b-9148-e3be6c30e623}">
          <xlrd:rvb i="2012"/>
        </ext>
      </extLst>
    </bk>
    <bk>
      <extLst>
        <ext uri="{3e2802c4-a4d2-4d8b-9148-e3be6c30e623}">
          <xlrd:rvb i="2013"/>
        </ext>
      </extLst>
    </bk>
    <bk>
      <extLst>
        <ext uri="{3e2802c4-a4d2-4d8b-9148-e3be6c30e623}">
          <xlrd:rvb i="2014"/>
        </ext>
      </extLst>
    </bk>
    <bk>
      <extLst>
        <ext uri="{3e2802c4-a4d2-4d8b-9148-e3be6c30e623}">
          <xlrd:rvb i="2015"/>
        </ext>
      </extLst>
    </bk>
    <bk>
      <extLst>
        <ext uri="{3e2802c4-a4d2-4d8b-9148-e3be6c30e623}">
          <xlrd:rvb i="2016"/>
        </ext>
      </extLst>
    </bk>
    <bk>
      <extLst>
        <ext uri="{3e2802c4-a4d2-4d8b-9148-e3be6c30e623}">
          <xlrd:rvb i="2017"/>
        </ext>
      </extLst>
    </bk>
    <bk>
      <extLst>
        <ext uri="{3e2802c4-a4d2-4d8b-9148-e3be6c30e623}">
          <xlrd:rvb i="2018"/>
        </ext>
      </extLst>
    </bk>
    <bk>
      <extLst>
        <ext uri="{3e2802c4-a4d2-4d8b-9148-e3be6c30e623}">
          <xlrd:rvb i="2019"/>
        </ext>
      </extLst>
    </bk>
    <bk>
      <extLst>
        <ext uri="{3e2802c4-a4d2-4d8b-9148-e3be6c30e623}">
          <xlrd:rvb i="2020"/>
        </ext>
      </extLst>
    </bk>
    <bk>
      <extLst>
        <ext uri="{3e2802c4-a4d2-4d8b-9148-e3be6c30e623}">
          <xlrd:rvb i="2021"/>
        </ext>
      </extLst>
    </bk>
    <bk>
      <extLst>
        <ext uri="{3e2802c4-a4d2-4d8b-9148-e3be6c30e623}">
          <xlrd:rvb i="2022"/>
        </ext>
      </extLst>
    </bk>
    <bk>
      <extLst>
        <ext uri="{3e2802c4-a4d2-4d8b-9148-e3be6c30e623}">
          <xlrd:rvb i="2023"/>
        </ext>
      </extLst>
    </bk>
    <bk>
      <extLst>
        <ext uri="{3e2802c4-a4d2-4d8b-9148-e3be6c30e623}">
          <xlrd:rvb i="2024"/>
        </ext>
      </extLst>
    </bk>
    <bk>
      <extLst>
        <ext uri="{3e2802c4-a4d2-4d8b-9148-e3be6c30e623}">
          <xlrd:rvb i="2025"/>
        </ext>
      </extLst>
    </bk>
    <bk>
      <extLst>
        <ext uri="{3e2802c4-a4d2-4d8b-9148-e3be6c30e623}">
          <xlrd:rvb i="2026"/>
        </ext>
      </extLst>
    </bk>
    <bk>
      <extLst>
        <ext uri="{3e2802c4-a4d2-4d8b-9148-e3be6c30e623}">
          <xlrd:rvb i="2027"/>
        </ext>
      </extLst>
    </bk>
    <bk>
      <extLst>
        <ext uri="{3e2802c4-a4d2-4d8b-9148-e3be6c30e623}">
          <xlrd:rvb i="2028"/>
        </ext>
      </extLst>
    </bk>
    <bk>
      <extLst>
        <ext uri="{3e2802c4-a4d2-4d8b-9148-e3be6c30e623}">
          <xlrd:rvb i="2029"/>
        </ext>
      </extLst>
    </bk>
    <bk>
      <extLst>
        <ext uri="{3e2802c4-a4d2-4d8b-9148-e3be6c30e623}">
          <xlrd:rvb i="2030"/>
        </ext>
      </extLst>
    </bk>
    <bk>
      <extLst>
        <ext uri="{3e2802c4-a4d2-4d8b-9148-e3be6c30e623}">
          <xlrd:rvb i="2031"/>
        </ext>
      </extLst>
    </bk>
    <bk>
      <extLst>
        <ext uri="{3e2802c4-a4d2-4d8b-9148-e3be6c30e623}">
          <xlrd:rvb i="2032"/>
        </ext>
      </extLst>
    </bk>
    <bk>
      <extLst>
        <ext uri="{3e2802c4-a4d2-4d8b-9148-e3be6c30e623}">
          <xlrd:rvb i="2033"/>
        </ext>
      </extLst>
    </bk>
    <bk>
      <extLst>
        <ext uri="{3e2802c4-a4d2-4d8b-9148-e3be6c30e623}">
          <xlrd:rvb i="2034"/>
        </ext>
      </extLst>
    </bk>
    <bk>
      <extLst>
        <ext uri="{3e2802c4-a4d2-4d8b-9148-e3be6c30e623}">
          <xlrd:rvb i="2035"/>
        </ext>
      </extLst>
    </bk>
    <bk>
      <extLst>
        <ext uri="{3e2802c4-a4d2-4d8b-9148-e3be6c30e623}">
          <xlrd:rvb i="2036"/>
        </ext>
      </extLst>
    </bk>
    <bk>
      <extLst>
        <ext uri="{3e2802c4-a4d2-4d8b-9148-e3be6c30e623}">
          <xlrd:rvb i="2037"/>
        </ext>
      </extLst>
    </bk>
    <bk>
      <extLst>
        <ext uri="{3e2802c4-a4d2-4d8b-9148-e3be6c30e623}">
          <xlrd:rvb i="2038"/>
        </ext>
      </extLst>
    </bk>
    <bk>
      <extLst>
        <ext uri="{3e2802c4-a4d2-4d8b-9148-e3be6c30e623}">
          <xlrd:rvb i="2039"/>
        </ext>
      </extLst>
    </bk>
    <bk>
      <extLst>
        <ext uri="{3e2802c4-a4d2-4d8b-9148-e3be6c30e623}">
          <xlrd:rvb i="2040"/>
        </ext>
      </extLst>
    </bk>
    <bk>
      <extLst>
        <ext uri="{3e2802c4-a4d2-4d8b-9148-e3be6c30e623}">
          <xlrd:rvb i="2041"/>
        </ext>
      </extLst>
    </bk>
    <bk>
      <extLst>
        <ext uri="{3e2802c4-a4d2-4d8b-9148-e3be6c30e623}">
          <xlrd:rvb i="2042"/>
        </ext>
      </extLst>
    </bk>
    <bk>
      <extLst>
        <ext uri="{3e2802c4-a4d2-4d8b-9148-e3be6c30e623}">
          <xlrd:rvb i="2043"/>
        </ext>
      </extLst>
    </bk>
    <bk>
      <extLst>
        <ext uri="{3e2802c4-a4d2-4d8b-9148-e3be6c30e623}">
          <xlrd:rvb i="2044"/>
        </ext>
      </extLst>
    </bk>
    <bk>
      <extLst>
        <ext uri="{3e2802c4-a4d2-4d8b-9148-e3be6c30e623}">
          <xlrd:rvb i="2045"/>
        </ext>
      </extLst>
    </bk>
    <bk>
      <extLst>
        <ext uri="{3e2802c4-a4d2-4d8b-9148-e3be6c30e623}">
          <xlrd:rvb i="2046"/>
        </ext>
      </extLst>
    </bk>
    <bk>
      <extLst>
        <ext uri="{3e2802c4-a4d2-4d8b-9148-e3be6c30e623}">
          <xlrd:rvb i="2047"/>
        </ext>
      </extLst>
    </bk>
    <bk>
      <extLst>
        <ext uri="{3e2802c4-a4d2-4d8b-9148-e3be6c30e623}">
          <xlrd:rvb i="2048"/>
        </ext>
      </extLst>
    </bk>
    <bk>
      <extLst>
        <ext uri="{3e2802c4-a4d2-4d8b-9148-e3be6c30e623}">
          <xlrd:rvb i="2049"/>
        </ext>
      </extLst>
    </bk>
    <bk>
      <extLst>
        <ext uri="{3e2802c4-a4d2-4d8b-9148-e3be6c30e623}">
          <xlrd:rvb i="2050"/>
        </ext>
      </extLst>
    </bk>
    <bk>
      <extLst>
        <ext uri="{3e2802c4-a4d2-4d8b-9148-e3be6c30e623}">
          <xlrd:rvb i="2051"/>
        </ext>
      </extLst>
    </bk>
    <bk>
      <extLst>
        <ext uri="{3e2802c4-a4d2-4d8b-9148-e3be6c30e623}">
          <xlrd:rvb i="2052"/>
        </ext>
      </extLst>
    </bk>
    <bk>
      <extLst>
        <ext uri="{3e2802c4-a4d2-4d8b-9148-e3be6c30e623}">
          <xlrd:rvb i="2053"/>
        </ext>
      </extLst>
    </bk>
    <bk>
      <extLst>
        <ext uri="{3e2802c4-a4d2-4d8b-9148-e3be6c30e623}">
          <xlrd:rvb i="2054"/>
        </ext>
      </extLst>
    </bk>
    <bk>
      <extLst>
        <ext uri="{3e2802c4-a4d2-4d8b-9148-e3be6c30e623}">
          <xlrd:rvb i="2055"/>
        </ext>
      </extLst>
    </bk>
    <bk>
      <extLst>
        <ext uri="{3e2802c4-a4d2-4d8b-9148-e3be6c30e623}">
          <xlrd:rvb i="2056"/>
        </ext>
      </extLst>
    </bk>
    <bk>
      <extLst>
        <ext uri="{3e2802c4-a4d2-4d8b-9148-e3be6c30e623}">
          <xlrd:rvb i="2057"/>
        </ext>
      </extLst>
    </bk>
    <bk>
      <extLst>
        <ext uri="{3e2802c4-a4d2-4d8b-9148-e3be6c30e623}">
          <xlrd:rvb i="2058"/>
        </ext>
      </extLst>
    </bk>
    <bk>
      <extLst>
        <ext uri="{3e2802c4-a4d2-4d8b-9148-e3be6c30e623}">
          <xlrd:rvb i="2059"/>
        </ext>
      </extLst>
    </bk>
    <bk>
      <extLst>
        <ext uri="{3e2802c4-a4d2-4d8b-9148-e3be6c30e623}">
          <xlrd:rvb i="2060"/>
        </ext>
      </extLst>
    </bk>
    <bk>
      <extLst>
        <ext uri="{3e2802c4-a4d2-4d8b-9148-e3be6c30e623}">
          <xlrd:rvb i="2061"/>
        </ext>
      </extLst>
    </bk>
    <bk>
      <extLst>
        <ext uri="{3e2802c4-a4d2-4d8b-9148-e3be6c30e623}">
          <xlrd:rvb i="2062"/>
        </ext>
      </extLst>
    </bk>
    <bk>
      <extLst>
        <ext uri="{3e2802c4-a4d2-4d8b-9148-e3be6c30e623}">
          <xlrd:rvb i="2063"/>
        </ext>
      </extLst>
    </bk>
    <bk>
      <extLst>
        <ext uri="{3e2802c4-a4d2-4d8b-9148-e3be6c30e623}">
          <xlrd:rvb i="2064"/>
        </ext>
      </extLst>
    </bk>
    <bk>
      <extLst>
        <ext uri="{3e2802c4-a4d2-4d8b-9148-e3be6c30e623}">
          <xlrd:rvb i="2065"/>
        </ext>
      </extLst>
    </bk>
    <bk>
      <extLst>
        <ext uri="{3e2802c4-a4d2-4d8b-9148-e3be6c30e623}">
          <xlrd:rvb i="2066"/>
        </ext>
      </extLst>
    </bk>
    <bk>
      <extLst>
        <ext uri="{3e2802c4-a4d2-4d8b-9148-e3be6c30e623}">
          <xlrd:rvb i="2067"/>
        </ext>
      </extLst>
    </bk>
    <bk>
      <extLst>
        <ext uri="{3e2802c4-a4d2-4d8b-9148-e3be6c30e623}">
          <xlrd:rvb i="2068"/>
        </ext>
      </extLst>
    </bk>
    <bk>
      <extLst>
        <ext uri="{3e2802c4-a4d2-4d8b-9148-e3be6c30e623}">
          <xlrd:rvb i="2069"/>
        </ext>
      </extLst>
    </bk>
    <bk>
      <extLst>
        <ext uri="{3e2802c4-a4d2-4d8b-9148-e3be6c30e623}">
          <xlrd:rvb i="2070"/>
        </ext>
      </extLst>
    </bk>
    <bk>
      <extLst>
        <ext uri="{3e2802c4-a4d2-4d8b-9148-e3be6c30e623}">
          <xlrd:rvb i="2071"/>
        </ext>
      </extLst>
    </bk>
    <bk>
      <extLst>
        <ext uri="{3e2802c4-a4d2-4d8b-9148-e3be6c30e623}">
          <xlrd:rvb i="2072"/>
        </ext>
      </extLst>
    </bk>
    <bk>
      <extLst>
        <ext uri="{3e2802c4-a4d2-4d8b-9148-e3be6c30e623}">
          <xlrd:rvb i="2073"/>
        </ext>
      </extLst>
    </bk>
    <bk>
      <extLst>
        <ext uri="{3e2802c4-a4d2-4d8b-9148-e3be6c30e623}">
          <xlrd:rvb i="2074"/>
        </ext>
      </extLst>
    </bk>
    <bk>
      <extLst>
        <ext uri="{3e2802c4-a4d2-4d8b-9148-e3be6c30e623}">
          <xlrd:rvb i="2075"/>
        </ext>
      </extLst>
    </bk>
    <bk>
      <extLst>
        <ext uri="{3e2802c4-a4d2-4d8b-9148-e3be6c30e623}">
          <xlrd:rvb i="2076"/>
        </ext>
      </extLst>
    </bk>
    <bk>
      <extLst>
        <ext uri="{3e2802c4-a4d2-4d8b-9148-e3be6c30e623}">
          <xlrd:rvb i="2077"/>
        </ext>
      </extLst>
    </bk>
    <bk>
      <extLst>
        <ext uri="{3e2802c4-a4d2-4d8b-9148-e3be6c30e623}">
          <xlrd:rvb i="2078"/>
        </ext>
      </extLst>
    </bk>
    <bk>
      <extLst>
        <ext uri="{3e2802c4-a4d2-4d8b-9148-e3be6c30e623}">
          <xlrd:rvb i="2079"/>
        </ext>
      </extLst>
    </bk>
    <bk>
      <extLst>
        <ext uri="{3e2802c4-a4d2-4d8b-9148-e3be6c30e623}">
          <xlrd:rvb i="2080"/>
        </ext>
      </extLst>
    </bk>
    <bk>
      <extLst>
        <ext uri="{3e2802c4-a4d2-4d8b-9148-e3be6c30e623}">
          <xlrd:rvb i="2081"/>
        </ext>
      </extLst>
    </bk>
    <bk>
      <extLst>
        <ext uri="{3e2802c4-a4d2-4d8b-9148-e3be6c30e623}">
          <xlrd:rvb i="2082"/>
        </ext>
      </extLst>
    </bk>
    <bk>
      <extLst>
        <ext uri="{3e2802c4-a4d2-4d8b-9148-e3be6c30e623}">
          <xlrd:rvb i="2083"/>
        </ext>
      </extLst>
    </bk>
    <bk>
      <extLst>
        <ext uri="{3e2802c4-a4d2-4d8b-9148-e3be6c30e623}">
          <xlrd:rvb i="2084"/>
        </ext>
      </extLst>
    </bk>
    <bk>
      <extLst>
        <ext uri="{3e2802c4-a4d2-4d8b-9148-e3be6c30e623}">
          <xlrd:rvb i="2085"/>
        </ext>
      </extLst>
    </bk>
    <bk>
      <extLst>
        <ext uri="{3e2802c4-a4d2-4d8b-9148-e3be6c30e623}">
          <xlrd:rvb i="2086"/>
        </ext>
      </extLst>
    </bk>
    <bk>
      <extLst>
        <ext uri="{3e2802c4-a4d2-4d8b-9148-e3be6c30e623}">
          <xlrd:rvb i="2087"/>
        </ext>
      </extLst>
    </bk>
    <bk>
      <extLst>
        <ext uri="{3e2802c4-a4d2-4d8b-9148-e3be6c30e623}">
          <xlrd:rvb i="2088"/>
        </ext>
      </extLst>
    </bk>
    <bk>
      <extLst>
        <ext uri="{3e2802c4-a4d2-4d8b-9148-e3be6c30e623}">
          <xlrd:rvb i="2089"/>
        </ext>
      </extLst>
    </bk>
    <bk>
      <extLst>
        <ext uri="{3e2802c4-a4d2-4d8b-9148-e3be6c30e623}">
          <xlrd:rvb i="2090"/>
        </ext>
      </extLst>
    </bk>
    <bk>
      <extLst>
        <ext uri="{3e2802c4-a4d2-4d8b-9148-e3be6c30e623}">
          <xlrd:rvb i="2091"/>
        </ext>
      </extLst>
    </bk>
    <bk>
      <extLst>
        <ext uri="{3e2802c4-a4d2-4d8b-9148-e3be6c30e623}">
          <xlrd:rvb i="2092"/>
        </ext>
      </extLst>
    </bk>
    <bk>
      <extLst>
        <ext uri="{3e2802c4-a4d2-4d8b-9148-e3be6c30e623}">
          <xlrd:rvb i="2093"/>
        </ext>
      </extLst>
    </bk>
    <bk>
      <extLst>
        <ext uri="{3e2802c4-a4d2-4d8b-9148-e3be6c30e623}">
          <xlrd:rvb i="2094"/>
        </ext>
      </extLst>
    </bk>
    <bk>
      <extLst>
        <ext uri="{3e2802c4-a4d2-4d8b-9148-e3be6c30e623}">
          <xlrd:rvb i="2095"/>
        </ext>
      </extLst>
    </bk>
    <bk>
      <extLst>
        <ext uri="{3e2802c4-a4d2-4d8b-9148-e3be6c30e623}">
          <xlrd:rvb i="2096"/>
        </ext>
      </extLst>
    </bk>
    <bk>
      <extLst>
        <ext uri="{3e2802c4-a4d2-4d8b-9148-e3be6c30e623}">
          <xlrd:rvb i="2097"/>
        </ext>
      </extLst>
    </bk>
    <bk>
      <extLst>
        <ext uri="{3e2802c4-a4d2-4d8b-9148-e3be6c30e623}">
          <xlrd:rvb i="2098"/>
        </ext>
      </extLst>
    </bk>
    <bk>
      <extLst>
        <ext uri="{3e2802c4-a4d2-4d8b-9148-e3be6c30e623}">
          <xlrd:rvb i="2099"/>
        </ext>
      </extLst>
    </bk>
    <bk>
      <extLst>
        <ext uri="{3e2802c4-a4d2-4d8b-9148-e3be6c30e623}">
          <xlrd:rvb i="2100"/>
        </ext>
      </extLst>
    </bk>
    <bk>
      <extLst>
        <ext uri="{3e2802c4-a4d2-4d8b-9148-e3be6c30e623}">
          <xlrd:rvb i="2101"/>
        </ext>
      </extLst>
    </bk>
    <bk>
      <extLst>
        <ext uri="{3e2802c4-a4d2-4d8b-9148-e3be6c30e623}">
          <xlrd:rvb i="2102"/>
        </ext>
      </extLst>
    </bk>
    <bk>
      <extLst>
        <ext uri="{3e2802c4-a4d2-4d8b-9148-e3be6c30e623}">
          <xlrd:rvb i="2103"/>
        </ext>
      </extLst>
    </bk>
    <bk>
      <extLst>
        <ext uri="{3e2802c4-a4d2-4d8b-9148-e3be6c30e623}">
          <xlrd:rvb i="2104"/>
        </ext>
      </extLst>
    </bk>
    <bk>
      <extLst>
        <ext uri="{3e2802c4-a4d2-4d8b-9148-e3be6c30e623}">
          <xlrd:rvb i="2105"/>
        </ext>
      </extLst>
    </bk>
    <bk>
      <extLst>
        <ext uri="{3e2802c4-a4d2-4d8b-9148-e3be6c30e623}">
          <xlrd:rvb i="2106"/>
        </ext>
      </extLst>
    </bk>
    <bk>
      <extLst>
        <ext uri="{3e2802c4-a4d2-4d8b-9148-e3be6c30e623}">
          <xlrd:rvb i="2107"/>
        </ext>
      </extLst>
    </bk>
    <bk>
      <extLst>
        <ext uri="{3e2802c4-a4d2-4d8b-9148-e3be6c30e623}">
          <xlrd:rvb i="2108"/>
        </ext>
      </extLst>
    </bk>
    <bk>
      <extLst>
        <ext uri="{3e2802c4-a4d2-4d8b-9148-e3be6c30e623}">
          <xlrd:rvb i="2109"/>
        </ext>
      </extLst>
    </bk>
    <bk>
      <extLst>
        <ext uri="{3e2802c4-a4d2-4d8b-9148-e3be6c30e623}">
          <xlrd:rvb i="2110"/>
        </ext>
      </extLst>
    </bk>
    <bk>
      <extLst>
        <ext uri="{3e2802c4-a4d2-4d8b-9148-e3be6c30e623}">
          <xlrd:rvb i="2111"/>
        </ext>
      </extLst>
    </bk>
    <bk>
      <extLst>
        <ext uri="{3e2802c4-a4d2-4d8b-9148-e3be6c30e623}">
          <xlrd:rvb i="2112"/>
        </ext>
      </extLst>
    </bk>
    <bk>
      <extLst>
        <ext uri="{3e2802c4-a4d2-4d8b-9148-e3be6c30e623}">
          <xlrd:rvb i="2113"/>
        </ext>
      </extLst>
    </bk>
    <bk>
      <extLst>
        <ext uri="{3e2802c4-a4d2-4d8b-9148-e3be6c30e623}">
          <xlrd:rvb i="2114"/>
        </ext>
      </extLst>
    </bk>
    <bk>
      <extLst>
        <ext uri="{3e2802c4-a4d2-4d8b-9148-e3be6c30e623}">
          <xlrd:rvb i="2115"/>
        </ext>
      </extLst>
    </bk>
    <bk>
      <extLst>
        <ext uri="{3e2802c4-a4d2-4d8b-9148-e3be6c30e623}">
          <xlrd:rvb i="2116"/>
        </ext>
      </extLst>
    </bk>
    <bk>
      <extLst>
        <ext uri="{3e2802c4-a4d2-4d8b-9148-e3be6c30e623}">
          <xlrd:rvb i="2117"/>
        </ext>
      </extLst>
    </bk>
    <bk>
      <extLst>
        <ext uri="{3e2802c4-a4d2-4d8b-9148-e3be6c30e623}">
          <xlrd:rvb i="2118"/>
        </ext>
      </extLst>
    </bk>
    <bk>
      <extLst>
        <ext uri="{3e2802c4-a4d2-4d8b-9148-e3be6c30e623}">
          <xlrd:rvb i="2119"/>
        </ext>
      </extLst>
    </bk>
    <bk>
      <extLst>
        <ext uri="{3e2802c4-a4d2-4d8b-9148-e3be6c30e623}">
          <xlrd:rvb i="2120"/>
        </ext>
      </extLst>
    </bk>
    <bk>
      <extLst>
        <ext uri="{3e2802c4-a4d2-4d8b-9148-e3be6c30e623}">
          <xlrd:rvb i="2121"/>
        </ext>
      </extLst>
    </bk>
    <bk>
      <extLst>
        <ext uri="{3e2802c4-a4d2-4d8b-9148-e3be6c30e623}">
          <xlrd:rvb i="2122"/>
        </ext>
      </extLst>
    </bk>
    <bk>
      <extLst>
        <ext uri="{3e2802c4-a4d2-4d8b-9148-e3be6c30e623}">
          <xlrd:rvb i="2123"/>
        </ext>
      </extLst>
    </bk>
    <bk>
      <extLst>
        <ext uri="{3e2802c4-a4d2-4d8b-9148-e3be6c30e623}">
          <xlrd:rvb i="2124"/>
        </ext>
      </extLst>
    </bk>
    <bk>
      <extLst>
        <ext uri="{3e2802c4-a4d2-4d8b-9148-e3be6c30e623}">
          <xlrd:rvb i="2125"/>
        </ext>
      </extLst>
    </bk>
    <bk>
      <extLst>
        <ext uri="{3e2802c4-a4d2-4d8b-9148-e3be6c30e623}">
          <xlrd:rvb i="2126"/>
        </ext>
      </extLst>
    </bk>
    <bk>
      <extLst>
        <ext uri="{3e2802c4-a4d2-4d8b-9148-e3be6c30e623}">
          <xlrd:rvb i="2127"/>
        </ext>
      </extLst>
    </bk>
    <bk>
      <extLst>
        <ext uri="{3e2802c4-a4d2-4d8b-9148-e3be6c30e623}">
          <xlrd:rvb i="2128"/>
        </ext>
      </extLst>
    </bk>
    <bk>
      <extLst>
        <ext uri="{3e2802c4-a4d2-4d8b-9148-e3be6c30e623}">
          <xlrd:rvb i="2129"/>
        </ext>
      </extLst>
    </bk>
    <bk>
      <extLst>
        <ext uri="{3e2802c4-a4d2-4d8b-9148-e3be6c30e623}">
          <xlrd:rvb i="2130"/>
        </ext>
      </extLst>
    </bk>
    <bk>
      <extLst>
        <ext uri="{3e2802c4-a4d2-4d8b-9148-e3be6c30e623}">
          <xlrd:rvb i="2131"/>
        </ext>
      </extLst>
    </bk>
    <bk>
      <extLst>
        <ext uri="{3e2802c4-a4d2-4d8b-9148-e3be6c30e623}">
          <xlrd:rvb i="2132"/>
        </ext>
      </extLst>
    </bk>
    <bk>
      <extLst>
        <ext uri="{3e2802c4-a4d2-4d8b-9148-e3be6c30e623}">
          <xlrd:rvb i="2133"/>
        </ext>
      </extLst>
    </bk>
    <bk>
      <extLst>
        <ext uri="{3e2802c4-a4d2-4d8b-9148-e3be6c30e623}">
          <xlrd:rvb i="2134"/>
        </ext>
      </extLst>
    </bk>
    <bk>
      <extLst>
        <ext uri="{3e2802c4-a4d2-4d8b-9148-e3be6c30e623}">
          <xlrd:rvb i="2135"/>
        </ext>
      </extLst>
    </bk>
    <bk>
      <extLst>
        <ext uri="{3e2802c4-a4d2-4d8b-9148-e3be6c30e623}">
          <xlrd:rvb i="2136"/>
        </ext>
      </extLst>
    </bk>
    <bk>
      <extLst>
        <ext uri="{3e2802c4-a4d2-4d8b-9148-e3be6c30e623}">
          <xlrd:rvb i="2137"/>
        </ext>
      </extLst>
    </bk>
    <bk>
      <extLst>
        <ext uri="{3e2802c4-a4d2-4d8b-9148-e3be6c30e623}">
          <xlrd:rvb i="2138"/>
        </ext>
      </extLst>
    </bk>
    <bk>
      <extLst>
        <ext uri="{3e2802c4-a4d2-4d8b-9148-e3be6c30e623}">
          <xlrd:rvb i="2139"/>
        </ext>
      </extLst>
    </bk>
    <bk>
      <extLst>
        <ext uri="{3e2802c4-a4d2-4d8b-9148-e3be6c30e623}">
          <xlrd:rvb i="2140"/>
        </ext>
      </extLst>
    </bk>
    <bk>
      <extLst>
        <ext uri="{3e2802c4-a4d2-4d8b-9148-e3be6c30e623}">
          <xlrd:rvb i="2141"/>
        </ext>
      </extLst>
    </bk>
    <bk>
      <extLst>
        <ext uri="{3e2802c4-a4d2-4d8b-9148-e3be6c30e623}">
          <xlrd:rvb i="2142"/>
        </ext>
      </extLst>
    </bk>
    <bk>
      <extLst>
        <ext uri="{3e2802c4-a4d2-4d8b-9148-e3be6c30e623}">
          <xlrd:rvb i="2143"/>
        </ext>
      </extLst>
    </bk>
    <bk>
      <extLst>
        <ext uri="{3e2802c4-a4d2-4d8b-9148-e3be6c30e623}">
          <xlrd:rvb i="2144"/>
        </ext>
      </extLst>
    </bk>
    <bk>
      <extLst>
        <ext uri="{3e2802c4-a4d2-4d8b-9148-e3be6c30e623}">
          <xlrd:rvb i="2145"/>
        </ext>
      </extLst>
    </bk>
    <bk>
      <extLst>
        <ext uri="{3e2802c4-a4d2-4d8b-9148-e3be6c30e623}">
          <xlrd:rvb i="2146"/>
        </ext>
      </extLst>
    </bk>
    <bk>
      <extLst>
        <ext uri="{3e2802c4-a4d2-4d8b-9148-e3be6c30e623}">
          <xlrd:rvb i="2147"/>
        </ext>
      </extLst>
    </bk>
    <bk>
      <extLst>
        <ext uri="{3e2802c4-a4d2-4d8b-9148-e3be6c30e623}">
          <xlrd:rvb i="2148"/>
        </ext>
      </extLst>
    </bk>
    <bk>
      <extLst>
        <ext uri="{3e2802c4-a4d2-4d8b-9148-e3be6c30e623}">
          <xlrd:rvb i="2149"/>
        </ext>
      </extLst>
    </bk>
    <bk>
      <extLst>
        <ext uri="{3e2802c4-a4d2-4d8b-9148-e3be6c30e623}">
          <xlrd:rvb i="2150"/>
        </ext>
      </extLst>
    </bk>
    <bk>
      <extLst>
        <ext uri="{3e2802c4-a4d2-4d8b-9148-e3be6c30e623}">
          <xlrd:rvb i="2151"/>
        </ext>
      </extLst>
    </bk>
    <bk>
      <extLst>
        <ext uri="{3e2802c4-a4d2-4d8b-9148-e3be6c30e623}">
          <xlrd:rvb i="2152"/>
        </ext>
      </extLst>
    </bk>
    <bk>
      <extLst>
        <ext uri="{3e2802c4-a4d2-4d8b-9148-e3be6c30e623}">
          <xlrd:rvb i="2153"/>
        </ext>
      </extLst>
    </bk>
    <bk>
      <extLst>
        <ext uri="{3e2802c4-a4d2-4d8b-9148-e3be6c30e623}">
          <xlrd:rvb i="2154"/>
        </ext>
      </extLst>
    </bk>
    <bk>
      <extLst>
        <ext uri="{3e2802c4-a4d2-4d8b-9148-e3be6c30e623}">
          <xlrd:rvb i="2155"/>
        </ext>
      </extLst>
    </bk>
    <bk>
      <extLst>
        <ext uri="{3e2802c4-a4d2-4d8b-9148-e3be6c30e623}">
          <xlrd:rvb i="2156"/>
        </ext>
      </extLst>
    </bk>
    <bk>
      <extLst>
        <ext uri="{3e2802c4-a4d2-4d8b-9148-e3be6c30e623}">
          <xlrd:rvb i="2157"/>
        </ext>
      </extLst>
    </bk>
    <bk>
      <extLst>
        <ext uri="{3e2802c4-a4d2-4d8b-9148-e3be6c30e623}">
          <xlrd:rvb i="2158"/>
        </ext>
      </extLst>
    </bk>
    <bk>
      <extLst>
        <ext uri="{3e2802c4-a4d2-4d8b-9148-e3be6c30e623}">
          <xlrd:rvb i="2159"/>
        </ext>
      </extLst>
    </bk>
    <bk>
      <extLst>
        <ext uri="{3e2802c4-a4d2-4d8b-9148-e3be6c30e623}">
          <xlrd:rvb i="2160"/>
        </ext>
      </extLst>
    </bk>
    <bk>
      <extLst>
        <ext uri="{3e2802c4-a4d2-4d8b-9148-e3be6c30e623}">
          <xlrd:rvb i="2161"/>
        </ext>
      </extLst>
    </bk>
    <bk>
      <extLst>
        <ext uri="{3e2802c4-a4d2-4d8b-9148-e3be6c30e623}">
          <xlrd:rvb i="2162"/>
        </ext>
      </extLst>
    </bk>
    <bk>
      <extLst>
        <ext uri="{3e2802c4-a4d2-4d8b-9148-e3be6c30e623}">
          <xlrd:rvb i="2163"/>
        </ext>
      </extLst>
    </bk>
    <bk>
      <extLst>
        <ext uri="{3e2802c4-a4d2-4d8b-9148-e3be6c30e623}">
          <xlrd:rvb i="2164"/>
        </ext>
      </extLst>
    </bk>
    <bk>
      <extLst>
        <ext uri="{3e2802c4-a4d2-4d8b-9148-e3be6c30e623}">
          <xlrd:rvb i="2165"/>
        </ext>
      </extLst>
    </bk>
    <bk>
      <extLst>
        <ext uri="{3e2802c4-a4d2-4d8b-9148-e3be6c30e623}">
          <xlrd:rvb i="2166"/>
        </ext>
      </extLst>
    </bk>
    <bk>
      <extLst>
        <ext uri="{3e2802c4-a4d2-4d8b-9148-e3be6c30e623}">
          <xlrd:rvb i="2167"/>
        </ext>
      </extLst>
    </bk>
    <bk>
      <extLst>
        <ext uri="{3e2802c4-a4d2-4d8b-9148-e3be6c30e623}">
          <xlrd:rvb i="2168"/>
        </ext>
      </extLst>
    </bk>
    <bk>
      <extLst>
        <ext uri="{3e2802c4-a4d2-4d8b-9148-e3be6c30e623}">
          <xlrd:rvb i="2169"/>
        </ext>
      </extLst>
    </bk>
    <bk>
      <extLst>
        <ext uri="{3e2802c4-a4d2-4d8b-9148-e3be6c30e623}">
          <xlrd:rvb i="2170"/>
        </ext>
      </extLst>
    </bk>
    <bk>
      <extLst>
        <ext uri="{3e2802c4-a4d2-4d8b-9148-e3be6c30e623}">
          <xlrd:rvb i="2171"/>
        </ext>
      </extLst>
    </bk>
    <bk>
      <extLst>
        <ext uri="{3e2802c4-a4d2-4d8b-9148-e3be6c30e623}">
          <xlrd:rvb i="2172"/>
        </ext>
      </extLst>
    </bk>
    <bk>
      <extLst>
        <ext uri="{3e2802c4-a4d2-4d8b-9148-e3be6c30e623}">
          <xlrd:rvb i="2173"/>
        </ext>
      </extLst>
    </bk>
    <bk>
      <extLst>
        <ext uri="{3e2802c4-a4d2-4d8b-9148-e3be6c30e623}">
          <xlrd:rvb i="2174"/>
        </ext>
      </extLst>
    </bk>
    <bk>
      <extLst>
        <ext uri="{3e2802c4-a4d2-4d8b-9148-e3be6c30e623}">
          <xlrd:rvb i="2175"/>
        </ext>
      </extLst>
    </bk>
    <bk>
      <extLst>
        <ext uri="{3e2802c4-a4d2-4d8b-9148-e3be6c30e623}">
          <xlrd:rvb i="2176"/>
        </ext>
      </extLst>
    </bk>
    <bk>
      <extLst>
        <ext uri="{3e2802c4-a4d2-4d8b-9148-e3be6c30e623}">
          <xlrd:rvb i="2177"/>
        </ext>
      </extLst>
    </bk>
    <bk>
      <extLst>
        <ext uri="{3e2802c4-a4d2-4d8b-9148-e3be6c30e623}">
          <xlrd:rvb i="2178"/>
        </ext>
      </extLst>
    </bk>
    <bk>
      <extLst>
        <ext uri="{3e2802c4-a4d2-4d8b-9148-e3be6c30e623}">
          <xlrd:rvb i="2179"/>
        </ext>
      </extLst>
    </bk>
    <bk>
      <extLst>
        <ext uri="{3e2802c4-a4d2-4d8b-9148-e3be6c30e623}">
          <xlrd:rvb i="2180"/>
        </ext>
      </extLst>
    </bk>
    <bk>
      <extLst>
        <ext uri="{3e2802c4-a4d2-4d8b-9148-e3be6c30e623}">
          <xlrd:rvb i="2181"/>
        </ext>
      </extLst>
    </bk>
    <bk>
      <extLst>
        <ext uri="{3e2802c4-a4d2-4d8b-9148-e3be6c30e623}">
          <xlrd:rvb i="2182"/>
        </ext>
      </extLst>
    </bk>
    <bk>
      <extLst>
        <ext uri="{3e2802c4-a4d2-4d8b-9148-e3be6c30e623}">
          <xlrd:rvb i="2183"/>
        </ext>
      </extLst>
    </bk>
    <bk>
      <extLst>
        <ext uri="{3e2802c4-a4d2-4d8b-9148-e3be6c30e623}">
          <xlrd:rvb i="2184"/>
        </ext>
      </extLst>
    </bk>
    <bk>
      <extLst>
        <ext uri="{3e2802c4-a4d2-4d8b-9148-e3be6c30e623}">
          <xlrd:rvb i="2185"/>
        </ext>
      </extLst>
    </bk>
    <bk>
      <extLst>
        <ext uri="{3e2802c4-a4d2-4d8b-9148-e3be6c30e623}">
          <xlrd:rvb i="2186"/>
        </ext>
      </extLst>
    </bk>
    <bk>
      <extLst>
        <ext uri="{3e2802c4-a4d2-4d8b-9148-e3be6c30e623}">
          <xlrd:rvb i="2187"/>
        </ext>
      </extLst>
    </bk>
    <bk>
      <extLst>
        <ext uri="{3e2802c4-a4d2-4d8b-9148-e3be6c30e623}">
          <xlrd:rvb i="2188"/>
        </ext>
      </extLst>
    </bk>
    <bk>
      <extLst>
        <ext uri="{3e2802c4-a4d2-4d8b-9148-e3be6c30e623}">
          <xlrd:rvb i="2189"/>
        </ext>
      </extLst>
    </bk>
    <bk>
      <extLst>
        <ext uri="{3e2802c4-a4d2-4d8b-9148-e3be6c30e623}">
          <xlrd:rvb i="2190"/>
        </ext>
      </extLst>
    </bk>
    <bk>
      <extLst>
        <ext uri="{3e2802c4-a4d2-4d8b-9148-e3be6c30e623}">
          <xlrd:rvb i="2191"/>
        </ext>
      </extLst>
    </bk>
    <bk>
      <extLst>
        <ext uri="{3e2802c4-a4d2-4d8b-9148-e3be6c30e623}">
          <xlrd:rvb i="2192"/>
        </ext>
      </extLst>
    </bk>
    <bk>
      <extLst>
        <ext uri="{3e2802c4-a4d2-4d8b-9148-e3be6c30e623}">
          <xlrd:rvb i="2193"/>
        </ext>
      </extLst>
    </bk>
    <bk>
      <extLst>
        <ext uri="{3e2802c4-a4d2-4d8b-9148-e3be6c30e623}">
          <xlrd:rvb i="2194"/>
        </ext>
      </extLst>
    </bk>
    <bk>
      <extLst>
        <ext uri="{3e2802c4-a4d2-4d8b-9148-e3be6c30e623}">
          <xlrd:rvb i="2195"/>
        </ext>
      </extLst>
    </bk>
    <bk>
      <extLst>
        <ext uri="{3e2802c4-a4d2-4d8b-9148-e3be6c30e623}">
          <xlrd:rvb i="2196"/>
        </ext>
      </extLst>
    </bk>
    <bk>
      <extLst>
        <ext uri="{3e2802c4-a4d2-4d8b-9148-e3be6c30e623}">
          <xlrd:rvb i="2197"/>
        </ext>
      </extLst>
    </bk>
    <bk>
      <extLst>
        <ext uri="{3e2802c4-a4d2-4d8b-9148-e3be6c30e623}">
          <xlrd:rvb i="2198"/>
        </ext>
      </extLst>
    </bk>
    <bk>
      <extLst>
        <ext uri="{3e2802c4-a4d2-4d8b-9148-e3be6c30e623}">
          <xlrd:rvb i="2199"/>
        </ext>
      </extLst>
    </bk>
    <bk>
      <extLst>
        <ext uri="{3e2802c4-a4d2-4d8b-9148-e3be6c30e623}">
          <xlrd:rvb i="2200"/>
        </ext>
      </extLst>
    </bk>
    <bk>
      <extLst>
        <ext uri="{3e2802c4-a4d2-4d8b-9148-e3be6c30e623}">
          <xlrd:rvb i="2201"/>
        </ext>
      </extLst>
    </bk>
    <bk>
      <extLst>
        <ext uri="{3e2802c4-a4d2-4d8b-9148-e3be6c30e623}">
          <xlrd:rvb i="2202"/>
        </ext>
      </extLst>
    </bk>
    <bk>
      <extLst>
        <ext uri="{3e2802c4-a4d2-4d8b-9148-e3be6c30e623}">
          <xlrd:rvb i="2203"/>
        </ext>
      </extLst>
    </bk>
    <bk>
      <extLst>
        <ext uri="{3e2802c4-a4d2-4d8b-9148-e3be6c30e623}">
          <xlrd:rvb i="2204"/>
        </ext>
      </extLst>
    </bk>
    <bk>
      <extLst>
        <ext uri="{3e2802c4-a4d2-4d8b-9148-e3be6c30e623}">
          <xlrd:rvb i="2205"/>
        </ext>
      </extLst>
    </bk>
    <bk>
      <extLst>
        <ext uri="{3e2802c4-a4d2-4d8b-9148-e3be6c30e623}">
          <xlrd:rvb i="2206"/>
        </ext>
      </extLst>
    </bk>
    <bk>
      <extLst>
        <ext uri="{3e2802c4-a4d2-4d8b-9148-e3be6c30e623}">
          <xlrd:rvb i="2207"/>
        </ext>
      </extLst>
    </bk>
    <bk>
      <extLst>
        <ext uri="{3e2802c4-a4d2-4d8b-9148-e3be6c30e623}">
          <xlrd:rvb i="2208"/>
        </ext>
      </extLst>
    </bk>
    <bk>
      <extLst>
        <ext uri="{3e2802c4-a4d2-4d8b-9148-e3be6c30e623}">
          <xlrd:rvb i="2209"/>
        </ext>
      </extLst>
    </bk>
    <bk>
      <extLst>
        <ext uri="{3e2802c4-a4d2-4d8b-9148-e3be6c30e623}">
          <xlrd:rvb i="2210"/>
        </ext>
      </extLst>
    </bk>
    <bk>
      <extLst>
        <ext uri="{3e2802c4-a4d2-4d8b-9148-e3be6c30e623}">
          <xlrd:rvb i="2211"/>
        </ext>
      </extLst>
    </bk>
    <bk>
      <extLst>
        <ext uri="{3e2802c4-a4d2-4d8b-9148-e3be6c30e623}">
          <xlrd:rvb i="2212"/>
        </ext>
      </extLst>
    </bk>
    <bk>
      <extLst>
        <ext uri="{3e2802c4-a4d2-4d8b-9148-e3be6c30e623}">
          <xlrd:rvb i="2213"/>
        </ext>
      </extLst>
    </bk>
    <bk>
      <extLst>
        <ext uri="{3e2802c4-a4d2-4d8b-9148-e3be6c30e623}">
          <xlrd:rvb i="2214"/>
        </ext>
      </extLst>
    </bk>
    <bk>
      <extLst>
        <ext uri="{3e2802c4-a4d2-4d8b-9148-e3be6c30e623}">
          <xlrd:rvb i="2215"/>
        </ext>
      </extLst>
    </bk>
    <bk>
      <extLst>
        <ext uri="{3e2802c4-a4d2-4d8b-9148-e3be6c30e623}">
          <xlrd:rvb i="2216"/>
        </ext>
      </extLst>
    </bk>
    <bk>
      <extLst>
        <ext uri="{3e2802c4-a4d2-4d8b-9148-e3be6c30e623}">
          <xlrd:rvb i="2217"/>
        </ext>
      </extLst>
    </bk>
    <bk>
      <extLst>
        <ext uri="{3e2802c4-a4d2-4d8b-9148-e3be6c30e623}">
          <xlrd:rvb i="2218"/>
        </ext>
      </extLst>
    </bk>
    <bk>
      <extLst>
        <ext uri="{3e2802c4-a4d2-4d8b-9148-e3be6c30e623}">
          <xlrd:rvb i="2219"/>
        </ext>
      </extLst>
    </bk>
    <bk>
      <extLst>
        <ext uri="{3e2802c4-a4d2-4d8b-9148-e3be6c30e623}">
          <xlrd:rvb i="2220"/>
        </ext>
      </extLst>
    </bk>
    <bk>
      <extLst>
        <ext uri="{3e2802c4-a4d2-4d8b-9148-e3be6c30e623}">
          <xlrd:rvb i="2221"/>
        </ext>
      </extLst>
    </bk>
    <bk>
      <extLst>
        <ext uri="{3e2802c4-a4d2-4d8b-9148-e3be6c30e623}">
          <xlrd:rvb i="2222"/>
        </ext>
      </extLst>
    </bk>
    <bk>
      <extLst>
        <ext uri="{3e2802c4-a4d2-4d8b-9148-e3be6c30e623}">
          <xlrd:rvb i="2223"/>
        </ext>
      </extLst>
    </bk>
    <bk>
      <extLst>
        <ext uri="{3e2802c4-a4d2-4d8b-9148-e3be6c30e623}">
          <xlrd:rvb i="2224"/>
        </ext>
      </extLst>
    </bk>
    <bk>
      <extLst>
        <ext uri="{3e2802c4-a4d2-4d8b-9148-e3be6c30e623}">
          <xlrd:rvb i="2225"/>
        </ext>
      </extLst>
    </bk>
    <bk>
      <extLst>
        <ext uri="{3e2802c4-a4d2-4d8b-9148-e3be6c30e623}">
          <xlrd:rvb i="2226"/>
        </ext>
      </extLst>
    </bk>
    <bk>
      <extLst>
        <ext uri="{3e2802c4-a4d2-4d8b-9148-e3be6c30e623}">
          <xlrd:rvb i="2227"/>
        </ext>
      </extLst>
    </bk>
    <bk>
      <extLst>
        <ext uri="{3e2802c4-a4d2-4d8b-9148-e3be6c30e623}">
          <xlrd:rvb i="2228"/>
        </ext>
      </extLst>
    </bk>
    <bk>
      <extLst>
        <ext uri="{3e2802c4-a4d2-4d8b-9148-e3be6c30e623}">
          <xlrd:rvb i="2229"/>
        </ext>
      </extLst>
    </bk>
    <bk>
      <extLst>
        <ext uri="{3e2802c4-a4d2-4d8b-9148-e3be6c30e623}">
          <xlrd:rvb i="2230"/>
        </ext>
      </extLst>
    </bk>
    <bk>
      <extLst>
        <ext uri="{3e2802c4-a4d2-4d8b-9148-e3be6c30e623}">
          <xlrd:rvb i="2231"/>
        </ext>
      </extLst>
    </bk>
    <bk>
      <extLst>
        <ext uri="{3e2802c4-a4d2-4d8b-9148-e3be6c30e623}">
          <xlrd:rvb i="2232"/>
        </ext>
      </extLst>
    </bk>
    <bk>
      <extLst>
        <ext uri="{3e2802c4-a4d2-4d8b-9148-e3be6c30e623}">
          <xlrd:rvb i="2233"/>
        </ext>
      </extLst>
    </bk>
    <bk>
      <extLst>
        <ext uri="{3e2802c4-a4d2-4d8b-9148-e3be6c30e623}">
          <xlrd:rvb i="2234"/>
        </ext>
      </extLst>
    </bk>
    <bk>
      <extLst>
        <ext uri="{3e2802c4-a4d2-4d8b-9148-e3be6c30e623}">
          <xlrd:rvb i="2235"/>
        </ext>
      </extLst>
    </bk>
    <bk>
      <extLst>
        <ext uri="{3e2802c4-a4d2-4d8b-9148-e3be6c30e623}">
          <xlrd:rvb i="2236"/>
        </ext>
      </extLst>
    </bk>
    <bk>
      <extLst>
        <ext uri="{3e2802c4-a4d2-4d8b-9148-e3be6c30e623}">
          <xlrd:rvb i="2237"/>
        </ext>
      </extLst>
    </bk>
    <bk>
      <extLst>
        <ext uri="{3e2802c4-a4d2-4d8b-9148-e3be6c30e623}">
          <xlrd:rvb i="2238"/>
        </ext>
      </extLst>
    </bk>
    <bk>
      <extLst>
        <ext uri="{3e2802c4-a4d2-4d8b-9148-e3be6c30e623}">
          <xlrd:rvb i="2239"/>
        </ext>
      </extLst>
    </bk>
    <bk>
      <extLst>
        <ext uri="{3e2802c4-a4d2-4d8b-9148-e3be6c30e623}">
          <xlrd:rvb i="2240"/>
        </ext>
      </extLst>
    </bk>
    <bk>
      <extLst>
        <ext uri="{3e2802c4-a4d2-4d8b-9148-e3be6c30e623}">
          <xlrd:rvb i="2241"/>
        </ext>
      </extLst>
    </bk>
    <bk>
      <extLst>
        <ext uri="{3e2802c4-a4d2-4d8b-9148-e3be6c30e623}">
          <xlrd:rvb i="2242"/>
        </ext>
      </extLst>
    </bk>
    <bk>
      <extLst>
        <ext uri="{3e2802c4-a4d2-4d8b-9148-e3be6c30e623}">
          <xlrd:rvb i="2243"/>
        </ext>
      </extLst>
    </bk>
    <bk>
      <extLst>
        <ext uri="{3e2802c4-a4d2-4d8b-9148-e3be6c30e623}">
          <xlrd:rvb i="2244"/>
        </ext>
      </extLst>
    </bk>
    <bk>
      <extLst>
        <ext uri="{3e2802c4-a4d2-4d8b-9148-e3be6c30e623}">
          <xlrd:rvb i="2245"/>
        </ext>
      </extLst>
    </bk>
    <bk>
      <extLst>
        <ext uri="{3e2802c4-a4d2-4d8b-9148-e3be6c30e623}">
          <xlrd:rvb i="2246"/>
        </ext>
      </extLst>
    </bk>
    <bk>
      <extLst>
        <ext uri="{3e2802c4-a4d2-4d8b-9148-e3be6c30e623}">
          <xlrd:rvb i="2247"/>
        </ext>
      </extLst>
    </bk>
    <bk>
      <extLst>
        <ext uri="{3e2802c4-a4d2-4d8b-9148-e3be6c30e623}">
          <xlrd:rvb i="2248"/>
        </ext>
      </extLst>
    </bk>
    <bk>
      <extLst>
        <ext uri="{3e2802c4-a4d2-4d8b-9148-e3be6c30e623}">
          <xlrd:rvb i="2249"/>
        </ext>
      </extLst>
    </bk>
    <bk>
      <extLst>
        <ext uri="{3e2802c4-a4d2-4d8b-9148-e3be6c30e623}">
          <xlrd:rvb i="2250"/>
        </ext>
      </extLst>
    </bk>
    <bk>
      <extLst>
        <ext uri="{3e2802c4-a4d2-4d8b-9148-e3be6c30e623}">
          <xlrd:rvb i="2251"/>
        </ext>
      </extLst>
    </bk>
    <bk>
      <extLst>
        <ext uri="{3e2802c4-a4d2-4d8b-9148-e3be6c30e623}">
          <xlrd:rvb i="2252"/>
        </ext>
      </extLst>
    </bk>
    <bk>
      <extLst>
        <ext uri="{3e2802c4-a4d2-4d8b-9148-e3be6c30e623}">
          <xlrd:rvb i="2253"/>
        </ext>
      </extLst>
    </bk>
    <bk>
      <extLst>
        <ext uri="{3e2802c4-a4d2-4d8b-9148-e3be6c30e623}">
          <xlrd:rvb i="2254"/>
        </ext>
      </extLst>
    </bk>
    <bk>
      <extLst>
        <ext uri="{3e2802c4-a4d2-4d8b-9148-e3be6c30e623}">
          <xlrd:rvb i="2255"/>
        </ext>
      </extLst>
    </bk>
    <bk>
      <extLst>
        <ext uri="{3e2802c4-a4d2-4d8b-9148-e3be6c30e623}">
          <xlrd:rvb i="2256"/>
        </ext>
      </extLst>
    </bk>
    <bk>
      <extLst>
        <ext uri="{3e2802c4-a4d2-4d8b-9148-e3be6c30e623}">
          <xlrd:rvb i="2257"/>
        </ext>
      </extLst>
    </bk>
    <bk>
      <extLst>
        <ext uri="{3e2802c4-a4d2-4d8b-9148-e3be6c30e623}">
          <xlrd:rvb i="2258"/>
        </ext>
      </extLst>
    </bk>
    <bk>
      <extLst>
        <ext uri="{3e2802c4-a4d2-4d8b-9148-e3be6c30e623}">
          <xlrd:rvb i="2259"/>
        </ext>
      </extLst>
    </bk>
    <bk>
      <extLst>
        <ext uri="{3e2802c4-a4d2-4d8b-9148-e3be6c30e623}">
          <xlrd:rvb i="2260"/>
        </ext>
      </extLst>
    </bk>
    <bk>
      <extLst>
        <ext uri="{3e2802c4-a4d2-4d8b-9148-e3be6c30e623}">
          <xlrd:rvb i="2261"/>
        </ext>
      </extLst>
    </bk>
    <bk>
      <extLst>
        <ext uri="{3e2802c4-a4d2-4d8b-9148-e3be6c30e623}">
          <xlrd:rvb i="2262"/>
        </ext>
      </extLst>
    </bk>
    <bk>
      <extLst>
        <ext uri="{3e2802c4-a4d2-4d8b-9148-e3be6c30e623}">
          <xlrd:rvb i="2263"/>
        </ext>
      </extLst>
    </bk>
    <bk>
      <extLst>
        <ext uri="{3e2802c4-a4d2-4d8b-9148-e3be6c30e623}">
          <xlrd:rvb i="2264"/>
        </ext>
      </extLst>
    </bk>
    <bk>
      <extLst>
        <ext uri="{3e2802c4-a4d2-4d8b-9148-e3be6c30e623}">
          <xlrd:rvb i="2265"/>
        </ext>
      </extLst>
    </bk>
    <bk>
      <extLst>
        <ext uri="{3e2802c4-a4d2-4d8b-9148-e3be6c30e623}">
          <xlrd:rvb i="2266"/>
        </ext>
      </extLst>
    </bk>
    <bk>
      <extLst>
        <ext uri="{3e2802c4-a4d2-4d8b-9148-e3be6c30e623}">
          <xlrd:rvb i="2267"/>
        </ext>
      </extLst>
    </bk>
    <bk>
      <extLst>
        <ext uri="{3e2802c4-a4d2-4d8b-9148-e3be6c30e623}">
          <xlrd:rvb i="2268"/>
        </ext>
      </extLst>
    </bk>
    <bk>
      <extLst>
        <ext uri="{3e2802c4-a4d2-4d8b-9148-e3be6c30e623}">
          <xlrd:rvb i="2269"/>
        </ext>
      </extLst>
    </bk>
    <bk>
      <extLst>
        <ext uri="{3e2802c4-a4d2-4d8b-9148-e3be6c30e623}">
          <xlrd:rvb i="2270"/>
        </ext>
      </extLst>
    </bk>
    <bk>
      <extLst>
        <ext uri="{3e2802c4-a4d2-4d8b-9148-e3be6c30e623}">
          <xlrd:rvb i="2271"/>
        </ext>
      </extLst>
    </bk>
    <bk>
      <extLst>
        <ext uri="{3e2802c4-a4d2-4d8b-9148-e3be6c30e623}">
          <xlrd:rvb i="2272"/>
        </ext>
      </extLst>
    </bk>
    <bk>
      <extLst>
        <ext uri="{3e2802c4-a4d2-4d8b-9148-e3be6c30e623}">
          <xlrd:rvb i="2273"/>
        </ext>
      </extLst>
    </bk>
    <bk>
      <extLst>
        <ext uri="{3e2802c4-a4d2-4d8b-9148-e3be6c30e623}">
          <xlrd:rvb i="2274"/>
        </ext>
      </extLst>
    </bk>
    <bk>
      <extLst>
        <ext uri="{3e2802c4-a4d2-4d8b-9148-e3be6c30e623}">
          <xlrd:rvb i="2275"/>
        </ext>
      </extLst>
    </bk>
    <bk>
      <extLst>
        <ext uri="{3e2802c4-a4d2-4d8b-9148-e3be6c30e623}">
          <xlrd:rvb i="2276"/>
        </ext>
      </extLst>
    </bk>
    <bk>
      <extLst>
        <ext uri="{3e2802c4-a4d2-4d8b-9148-e3be6c30e623}">
          <xlrd:rvb i="2277"/>
        </ext>
      </extLst>
    </bk>
    <bk>
      <extLst>
        <ext uri="{3e2802c4-a4d2-4d8b-9148-e3be6c30e623}">
          <xlrd:rvb i="2278"/>
        </ext>
      </extLst>
    </bk>
    <bk>
      <extLst>
        <ext uri="{3e2802c4-a4d2-4d8b-9148-e3be6c30e623}">
          <xlrd:rvb i="2279"/>
        </ext>
      </extLst>
    </bk>
    <bk>
      <extLst>
        <ext uri="{3e2802c4-a4d2-4d8b-9148-e3be6c30e623}">
          <xlrd:rvb i="2280"/>
        </ext>
      </extLst>
    </bk>
    <bk>
      <extLst>
        <ext uri="{3e2802c4-a4d2-4d8b-9148-e3be6c30e623}">
          <xlrd:rvb i="2281"/>
        </ext>
      </extLst>
    </bk>
    <bk>
      <extLst>
        <ext uri="{3e2802c4-a4d2-4d8b-9148-e3be6c30e623}">
          <xlrd:rvb i="2282"/>
        </ext>
      </extLst>
    </bk>
    <bk>
      <extLst>
        <ext uri="{3e2802c4-a4d2-4d8b-9148-e3be6c30e623}">
          <xlrd:rvb i="2283"/>
        </ext>
      </extLst>
    </bk>
    <bk>
      <extLst>
        <ext uri="{3e2802c4-a4d2-4d8b-9148-e3be6c30e623}">
          <xlrd:rvb i="2284"/>
        </ext>
      </extLst>
    </bk>
    <bk>
      <extLst>
        <ext uri="{3e2802c4-a4d2-4d8b-9148-e3be6c30e623}">
          <xlrd:rvb i="2285"/>
        </ext>
      </extLst>
    </bk>
    <bk>
      <extLst>
        <ext uri="{3e2802c4-a4d2-4d8b-9148-e3be6c30e623}">
          <xlrd:rvb i="2286"/>
        </ext>
      </extLst>
    </bk>
    <bk>
      <extLst>
        <ext uri="{3e2802c4-a4d2-4d8b-9148-e3be6c30e623}">
          <xlrd:rvb i="2287"/>
        </ext>
      </extLst>
    </bk>
    <bk>
      <extLst>
        <ext uri="{3e2802c4-a4d2-4d8b-9148-e3be6c30e623}">
          <xlrd:rvb i="2288"/>
        </ext>
      </extLst>
    </bk>
    <bk>
      <extLst>
        <ext uri="{3e2802c4-a4d2-4d8b-9148-e3be6c30e623}">
          <xlrd:rvb i="2289"/>
        </ext>
      </extLst>
    </bk>
    <bk>
      <extLst>
        <ext uri="{3e2802c4-a4d2-4d8b-9148-e3be6c30e623}">
          <xlrd:rvb i="2290"/>
        </ext>
      </extLst>
    </bk>
    <bk>
      <extLst>
        <ext uri="{3e2802c4-a4d2-4d8b-9148-e3be6c30e623}">
          <xlrd:rvb i="2291"/>
        </ext>
      </extLst>
    </bk>
    <bk>
      <extLst>
        <ext uri="{3e2802c4-a4d2-4d8b-9148-e3be6c30e623}">
          <xlrd:rvb i="2292"/>
        </ext>
      </extLst>
    </bk>
    <bk>
      <extLst>
        <ext uri="{3e2802c4-a4d2-4d8b-9148-e3be6c30e623}">
          <xlrd:rvb i="2293"/>
        </ext>
      </extLst>
    </bk>
    <bk>
      <extLst>
        <ext uri="{3e2802c4-a4d2-4d8b-9148-e3be6c30e623}">
          <xlrd:rvb i="2294"/>
        </ext>
      </extLst>
    </bk>
    <bk>
      <extLst>
        <ext uri="{3e2802c4-a4d2-4d8b-9148-e3be6c30e623}">
          <xlrd:rvb i="2295"/>
        </ext>
      </extLst>
    </bk>
    <bk>
      <extLst>
        <ext uri="{3e2802c4-a4d2-4d8b-9148-e3be6c30e623}">
          <xlrd:rvb i="2296"/>
        </ext>
      </extLst>
    </bk>
    <bk>
      <extLst>
        <ext uri="{3e2802c4-a4d2-4d8b-9148-e3be6c30e623}">
          <xlrd:rvb i="2297"/>
        </ext>
      </extLst>
    </bk>
    <bk>
      <extLst>
        <ext uri="{3e2802c4-a4d2-4d8b-9148-e3be6c30e623}">
          <xlrd:rvb i="2298"/>
        </ext>
      </extLst>
    </bk>
    <bk>
      <extLst>
        <ext uri="{3e2802c4-a4d2-4d8b-9148-e3be6c30e623}">
          <xlrd:rvb i="2299"/>
        </ext>
      </extLst>
    </bk>
    <bk>
      <extLst>
        <ext uri="{3e2802c4-a4d2-4d8b-9148-e3be6c30e623}">
          <xlrd:rvb i="2300"/>
        </ext>
      </extLst>
    </bk>
    <bk>
      <extLst>
        <ext uri="{3e2802c4-a4d2-4d8b-9148-e3be6c30e623}">
          <xlrd:rvb i="2301"/>
        </ext>
      </extLst>
    </bk>
    <bk>
      <extLst>
        <ext uri="{3e2802c4-a4d2-4d8b-9148-e3be6c30e623}">
          <xlrd:rvb i="2302"/>
        </ext>
      </extLst>
    </bk>
  </futureMetadata>
  <cellMetadata count="1">
    <bk>
      <rc t="1" v="0"/>
    </bk>
  </cellMetadata>
  <valueMetadata count="2303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  <bk>
      <rc t="2" v="1987"/>
    </bk>
    <bk>
      <rc t="2" v="1988"/>
    </bk>
    <bk>
      <rc t="2" v="1989"/>
    </bk>
    <bk>
      <rc t="2" v="1990"/>
    </bk>
    <bk>
      <rc t="2" v="1991"/>
    </bk>
    <bk>
      <rc t="2" v="1992"/>
    </bk>
    <bk>
      <rc t="2" v="1993"/>
    </bk>
    <bk>
      <rc t="2" v="1994"/>
    </bk>
    <bk>
      <rc t="2" v="1995"/>
    </bk>
    <bk>
      <rc t="2" v="1996"/>
    </bk>
    <bk>
      <rc t="2" v="1997"/>
    </bk>
    <bk>
      <rc t="2" v="1998"/>
    </bk>
    <bk>
      <rc t="2" v="1999"/>
    </bk>
    <bk>
      <rc t="2" v="2000"/>
    </bk>
    <bk>
      <rc t="2" v="2001"/>
    </bk>
    <bk>
      <rc t="2" v="2002"/>
    </bk>
    <bk>
      <rc t="2" v="2003"/>
    </bk>
    <bk>
      <rc t="2" v="2004"/>
    </bk>
    <bk>
      <rc t="2" v="2005"/>
    </bk>
    <bk>
      <rc t="2" v="2006"/>
    </bk>
    <bk>
      <rc t="2" v="2007"/>
    </bk>
    <bk>
      <rc t="2" v="2008"/>
    </bk>
    <bk>
      <rc t="2" v="2009"/>
    </bk>
    <bk>
      <rc t="2" v="2010"/>
    </bk>
    <bk>
      <rc t="2" v="2011"/>
    </bk>
    <bk>
      <rc t="2" v="2012"/>
    </bk>
    <bk>
      <rc t="2" v="2013"/>
    </bk>
    <bk>
      <rc t="2" v="2014"/>
    </bk>
    <bk>
      <rc t="2" v="2015"/>
    </bk>
    <bk>
      <rc t="2" v="2016"/>
    </bk>
    <bk>
      <rc t="2" v="2017"/>
    </bk>
    <bk>
      <rc t="2" v="2018"/>
    </bk>
    <bk>
      <rc t="2" v="2019"/>
    </bk>
    <bk>
      <rc t="2" v="2020"/>
    </bk>
    <bk>
      <rc t="2" v="2021"/>
    </bk>
    <bk>
      <rc t="2" v="2022"/>
    </bk>
    <bk>
      <rc t="2" v="2023"/>
    </bk>
    <bk>
      <rc t="2" v="2024"/>
    </bk>
    <bk>
      <rc t="2" v="2025"/>
    </bk>
    <bk>
      <rc t="2" v="2026"/>
    </bk>
    <bk>
      <rc t="2" v="2027"/>
    </bk>
    <bk>
      <rc t="2" v="2028"/>
    </bk>
    <bk>
      <rc t="2" v="2029"/>
    </bk>
    <bk>
      <rc t="2" v="2030"/>
    </bk>
    <bk>
      <rc t="2" v="2031"/>
    </bk>
    <bk>
      <rc t="2" v="2032"/>
    </bk>
    <bk>
      <rc t="2" v="2033"/>
    </bk>
    <bk>
      <rc t="2" v="2034"/>
    </bk>
    <bk>
      <rc t="2" v="2035"/>
    </bk>
    <bk>
      <rc t="2" v="2036"/>
    </bk>
    <bk>
      <rc t="2" v="2037"/>
    </bk>
    <bk>
      <rc t="2" v="2038"/>
    </bk>
    <bk>
      <rc t="2" v="2039"/>
    </bk>
    <bk>
      <rc t="2" v="2040"/>
    </bk>
    <bk>
      <rc t="2" v="2041"/>
    </bk>
    <bk>
      <rc t="2" v="2042"/>
    </bk>
    <bk>
      <rc t="2" v="2043"/>
    </bk>
    <bk>
      <rc t="2" v="2044"/>
    </bk>
    <bk>
      <rc t="2" v="2045"/>
    </bk>
    <bk>
      <rc t="2" v="2046"/>
    </bk>
    <bk>
      <rc t="2" v="2047"/>
    </bk>
    <bk>
      <rc t="2" v="2048"/>
    </bk>
    <bk>
      <rc t="2" v="2049"/>
    </bk>
    <bk>
      <rc t="2" v="2050"/>
    </bk>
    <bk>
      <rc t="2" v="2051"/>
    </bk>
    <bk>
      <rc t="2" v="2052"/>
    </bk>
    <bk>
      <rc t="2" v="2053"/>
    </bk>
    <bk>
      <rc t="2" v="2054"/>
    </bk>
    <bk>
      <rc t="2" v="2055"/>
    </bk>
    <bk>
      <rc t="2" v="2056"/>
    </bk>
    <bk>
      <rc t="2" v="2057"/>
    </bk>
    <bk>
      <rc t="2" v="2058"/>
    </bk>
    <bk>
      <rc t="2" v="2059"/>
    </bk>
    <bk>
      <rc t="2" v="2060"/>
    </bk>
    <bk>
      <rc t="2" v="2061"/>
    </bk>
    <bk>
      <rc t="2" v="2062"/>
    </bk>
    <bk>
      <rc t="2" v="2063"/>
    </bk>
    <bk>
      <rc t="2" v="2064"/>
    </bk>
    <bk>
      <rc t="2" v="2065"/>
    </bk>
    <bk>
      <rc t="2" v="2066"/>
    </bk>
    <bk>
      <rc t="2" v="2067"/>
    </bk>
    <bk>
      <rc t="2" v="2068"/>
    </bk>
    <bk>
      <rc t="2" v="2069"/>
    </bk>
    <bk>
      <rc t="2" v="2070"/>
    </bk>
    <bk>
      <rc t="2" v="2071"/>
    </bk>
    <bk>
      <rc t="2" v="2072"/>
    </bk>
    <bk>
      <rc t="2" v="2073"/>
    </bk>
    <bk>
      <rc t="2" v="2074"/>
    </bk>
    <bk>
      <rc t="2" v="2075"/>
    </bk>
    <bk>
      <rc t="2" v="2076"/>
    </bk>
    <bk>
      <rc t="2" v="2077"/>
    </bk>
    <bk>
      <rc t="2" v="2078"/>
    </bk>
    <bk>
      <rc t="2" v="2079"/>
    </bk>
    <bk>
      <rc t="2" v="2080"/>
    </bk>
    <bk>
      <rc t="2" v="2081"/>
    </bk>
    <bk>
      <rc t="2" v="2082"/>
    </bk>
    <bk>
      <rc t="2" v="2083"/>
    </bk>
    <bk>
      <rc t="2" v="2084"/>
    </bk>
    <bk>
      <rc t="2" v="2085"/>
    </bk>
    <bk>
      <rc t="2" v="2086"/>
    </bk>
    <bk>
      <rc t="2" v="2087"/>
    </bk>
    <bk>
      <rc t="2" v="2088"/>
    </bk>
    <bk>
      <rc t="2" v="2089"/>
    </bk>
    <bk>
      <rc t="2" v="2090"/>
    </bk>
    <bk>
      <rc t="2" v="2091"/>
    </bk>
    <bk>
      <rc t="2" v="2092"/>
    </bk>
    <bk>
      <rc t="2" v="2093"/>
    </bk>
    <bk>
      <rc t="2" v="2094"/>
    </bk>
    <bk>
      <rc t="2" v="2095"/>
    </bk>
    <bk>
      <rc t="2" v="2096"/>
    </bk>
    <bk>
      <rc t="2" v="2097"/>
    </bk>
    <bk>
      <rc t="2" v="2098"/>
    </bk>
    <bk>
      <rc t="2" v="2099"/>
    </bk>
    <bk>
      <rc t="2" v="2100"/>
    </bk>
    <bk>
      <rc t="2" v="2101"/>
    </bk>
    <bk>
      <rc t="2" v="2102"/>
    </bk>
    <bk>
      <rc t="2" v="2103"/>
    </bk>
    <bk>
      <rc t="2" v="2104"/>
    </bk>
    <bk>
      <rc t="2" v="2105"/>
    </bk>
    <bk>
      <rc t="2" v="2106"/>
    </bk>
    <bk>
      <rc t="2" v="2107"/>
    </bk>
    <bk>
      <rc t="2" v="2108"/>
    </bk>
    <bk>
      <rc t="2" v="2109"/>
    </bk>
    <bk>
      <rc t="2" v="2110"/>
    </bk>
    <bk>
      <rc t="2" v="2111"/>
    </bk>
    <bk>
      <rc t="2" v="2112"/>
    </bk>
    <bk>
      <rc t="2" v="2113"/>
    </bk>
    <bk>
      <rc t="2" v="2114"/>
    </bk>
    <bk>
      <rc t="2" v="2115"/>
    </bk>
    <bk>
      <rc t="2" v="2116"/>
    </bk>
    <bk>
      <rc t="2" v="2117"/>
    </bk>
    <bk>
      <rc t="2" v="2118"/>
    </bk>
    <bk>
      <rc t="2" v="2119"/>
    </bk>
    <bk>
      <rc t="2" v="2120"/>
    </bk>
    <bk>
      <rc t="2" v="2121"/>
    </bk>
    <bk>
      <rc t="2" v="2122"/>
    </bk>
    <bk>
      <rc t="2" v="2123"/>
    </bk>
    <bk>
      <rc t="2" v="2124"/>
    </bk>
    <bk>
      <rc t="2" v="2125"/>
    </bk>
    <bk>
      <rc t="2" v="2126"/>
    </bk>
    <bk>
      <rc t="2" v="2127"/>
    </bk>
    <bk>
      <rc t="2" v="2128"/>
    </bk>
    <bk>
      <rc t="2" v="2129"/>
    </bk>
    <bk>
      <rc t="2" v="2130"/>
    </bk>
    <bk>
      <rc t="2" v="2131"/>
    </bk>
    <bk>
      <rc t="2" v="2132"/>
    </bk>
    <bk>
      <rc t="2" v="2133"/>
    </bk>
    <bk>
      <rc t="2" v="2134"/>
    </bk>
    <bk>
      <rc t="2" v="2135"/>
    </bk>
    <bk>
      <rc t="2" v="2136"/>
    </bk>
    <bk>
      <rc t="2" v="2137"/>
    </bk>
    <bk>
      <rc t="2" v="2138"/>
    </bk>
    <bk>
      <rc t="2" v="2139"/>
    </bk>
    <bk>
      <rc t="2" v="2140"/>
    </bk>
    <bk>
      <rc t="2" v="2141"/>
    </bk>
    <bk>
      <rc t="2" v="2142"/>
    </bk>
    <bk>
      <rc t="2" v="2143"/>
    </bk>
    <bk>
      <rc t="2" v="2144"/>
    </bk>
    <bk>
      <rc t="2" v="2145"/>
    </bk>
    <bk>
      <rc t="2" v="2146"/>
    </bk>
    <bk>
      <rc t="2" v="2147"/>
    </bk>
    <bk>
      <rc t="2" v="2148"/>
    </bk>
    <bk>
      <rc t="2" v="2149"/>
    </bk>
    <bk>
      <rc t="2" v="2150"/>
    </bk>
    <bk>
      <rc t="2" v="2151"/>
    </bk>
    <bk>
      <rc t="2" v="2152"/>
    </bk>
    <bk>
      <rc t="2" v="2153"/>
    </bk>
    <bk>
      <rc t="2" v="2154"/>
    </bk>
    <bk>
      <rc t="2" v="2155"/>
    </bk>
    <bk>
      <rc t="2" v="2156"/>
    </bk>
    <bk>
      <rc t="2" v="2157"/>
    </bk>
    <bk>
      <rc t="2" v="2158"/>
    </bk>
    <bk>
      <rc t="2" v="2159"/>
    </bk>
    <bk>
      <rc t="2" v="2160"/>
    </bk>
    <bk>
      <rc t="2" v="2161"/>
    </bk>
    <bk>
      <rc t="2" v="2162"/>
    </bk>
    <bk>
      <rc t="2" v="2163"/>
    </bk>
    <bk>
      <rc t="2" v="2164"/>
    </bk>
    <bk>
      <rc t="2" v="2165"/>
    </bk>
    <bk>
      <rc t="2" v="2166"/>
    </bk>
    <bk>
      <rc t="2" v="2167"/>
    </bk>
    <bk>
      <rc t="2" v="2168"/>
    </bk>
    <bk>
      <rc t="2" v="2169"/>
    </bk>
    <bk>
      <rc t="2" v="2170"/>
    </bk>
    <bk>
      <rc t="2" v="2171"/>
    </bk>
    <bk>
      <rc t="2" v="2172"/>
    </bk>
    <bk>
      <rc t="2" v="2173"/>
    </bk>
    <bk>
      <rc t="2" v="2174"/>
    </bk>
    <bk>
      <rc t="2" v="2175"/>
    </bk>
    <bk>
      <rc t="2" v="2176"/>
    </bk>
    <bk>
      <rc t="2" v="2177"/>
    </bk>
    <bk>
      <rc t="2" v="2178"/>
    </bk>
    <bk>
      <rc t="2" v="2179"/>
    </bk>
    <bk>
      <rc t="2" v="2180"/>
    </bk>
    <bk>
      <rc t="2" v="2181"/>
    </bk>
    <bk>
      <rc t="2" v="2182"/>
    </bk>
    <bk>
      <rc t="2" v="2183"/>
    </bk>
    <bk>
      <rc t="2" v="2184"/>
    </bk>
    <bk>
      <rc t="2" v="2185"/>
    </bk>
    <bk>
      <rc t="2" v="2186"/>
    </bk>
    <bk>
      <rc t="2" v="2187"/>
    </bk>
    <bk>
      <rc t="2" v="2188"/>
    </bk>
    <bk>
      <rc t="2" v="2189"/>
    </bk>
    <bk>
      <rc t="2" v="2190"/>
    </bk>
    <bk>
      <rc t="2" v="2191"/>
    </bk>
    <bk>
      <rc t="2" v="2192"/>
    </bk>
    <bk>
      <rc t="2" v="2193"/>
    </bk>
    <bk>
      <rc t="2" v="2194"/>
    </bk>
    <bk>
      <rc t="2" v="2195"/>
    </bk>
    <bk>
      <rc t="2" v="2196"/>
    </bk>
    <bk>
      <rc t="2" v="2197"/>
    </bk>
    <bk>
      <rc t="2" v="2198"/>
    </bk>
    <bk>
      <rc t="2" v="2199"/>
    </bk>
    <bk>
      <rc t="2" v="2200"/>
    </bk>
    <bk>
      <rc t="2" v="2201"/>
    </bk>
    <bk>
      <rc t="2" v="2202"/>
    </bk>
    <bk>
      <rc t="2" v="2203"/>
    </bk>
    <bk>
      <rc t="2" v="2204"/>
    </bk>
    <bk>
      <rc t="2" v="2205"/>
    </bk>
    <bk>
      <rc t="2" v="2206"/>
    </bk>
    <bk>
      <rc t="2" v="2207"/>
    </bk>
    <bk>
      <rc t="2" v="2208"/>
    </bk>
    <bk>
      <rc t="2" v="2209"/>
    </bk>
    <bk>
      <rc t="2" v="2210"/>
    </bk>
    <bk>
      <rc t="2" v="2211"/>
    </bk>
    <bk>
      <rc t="2" v="2212"/>
    </bk>
    <bk>
      <rc t="2" v="2213"/>
    </bk>
    <bk>
      <rc t="2" v="2214"/>
    </bk>
    <bk>
      <rc t="2" v="2215"/>
    </bk>
    <bk>
      <rc t="2" v="2216"/>
    </bk>
    <bk>
      <rc t="2" v="2217"/>
    </bk>
    <bk>
      <rc t="2" v="2218"/>
    </bk>
    <bk>
      <rc t="2" v="2219"/>
    </bk>
    <bk>
      <rc t="2" v="2220"/>
    </bk>
    <bk>
      <rc t="2" v="2221"/>
    </bk>
    <bk>
      <rc t="2" v="2222"/>
    </bk>
    <bk>
      <rc t="2" v="2223"/>
    </bk>
    <bk>
      <rc t="2" v="2224"/>
    </bk>
    <bk>
      <rc t="2" v="2225"/>
    </bk>
    <bk>
      <rc t="2" v="2226"/>
    </bk>
    <bk>
      <rc t="2" v="2227"/>
    </bk>
    <bk>
      <rc t="2" v="2228"/>
    </bk>
    <bk>
      <rc t="2" v="2229"/>
    </bk>
    <bk>
      <rc t="2" v="2230"/>
    </bk>
    <bk>
      <rc t="2" v="2231"/>
    </bk>
    <bk>
      <rc t="2" v="2232"/>
    </bk>
    <bk>
      <rc t="2" v="2233"/>
    </bk>
    <bk>
      <rc t="2" v="2234"/>
    </bk>
    <bk>
      <rc t="2" v="2235"/>
    </bk>
    <bk>
      <rc t="2" v="2236"/>
    </bk>
    <bk>
      <rc t="2" v="2237"/>
    </bk>
    <bk>
      <rc t="2" v="2238"/>
    </bk>
    <bk>
      <rc t="2" v="2239"/>
    </bk>
    <bk>
      <rc t="2" v="2240"/>
    </bk>
    <bk>
      <rc t="2" v="2241"/>
    </bk>
    <bk>
      <rc t="2" v="2242"/>
    </bk>
    <bk>
      <rc t="2" v="2243"/>
    </bk>
    <bk>
      <rc t="2" v="2244"/>
    </bk>
    <bk>
      <rc t="2" v="2245"/>
    </bk>
    <bk>
      <rc t="2" v="2246"/>
    </bk>
    <bk>
      <rc t="2" v="2247"/>
    </bk>
    <bk>
      <rc t="2" v="2248"/>
    </bk>
    <bk>
      <rc t="2" v="2249"/>
    </bk>
    <bk>
      <rc t="2" v="2250"/>
    </bk>
    <bk>
      <rc t="2" v="2251"/>
    </bk>
    <bk>
      <rc t="2" v="2252"/>
    </bk>
    <bk>
      <rc t="2" v="2253"/>
    </bk>
    <bk>
      <rc t="2" v="2254"/>
    </bk>
    <bk>
      <rc t="2" v="2255"/>
    </bk>
    <bk>
      <rc t="2" v="2256"/>
    </bk>
    <bk>
      <rc t="2" v="2257"/>
    </bk>
    <bk>
      <rc t="2" v="2258"/>
    </bk>
    <bk>
      <rc t="2" v="2259"/>
    </bk>
    <bk>
      <rc t="2" v="2260"/>
    </bk>
    <bk>
      <rc t="2" v="2261"/>
    </bk>
    <bk>
      <rc t="2" v="2262"/>
    </bk>
    <bk>
      <rc t="2" v="2263"/>
    </bk>
    <bk>
      <rc t="2" v="2264"/>
    </bk>
    <bk>
      <rc t="2" v="2265"/>
    </bk>
    <bk>
      <rc t="2" v="2266"/>
    </bk>
    <bk>
      <rc t="2" v="2267"/>
    </bk>
    <bk>
      <rc t="2" v="2268"/>
    </bk>
    <bk>
      <rc t="2" v="2269"/>
    </bk>
    <bk>
      <rc t="2" v="2270"/>
    </bk>
    <bk>
      <rc t="2" v="2271"/>
    </bk>
    <bk>
      <rc t="2" v="2272"/>
    </bk>
    <bk>
      <rc t="2" v="2273"/>
    </bk>
    <bk>
      <rc t="2" v="2274"/>
    </bk>
    <bk>
      <rc t="2" v="2275"/>
    </bk>
    <bk>
      <rc t="2" v="2276"/>
    </bk>
    <bk>
      <rc t="2" v="2277"/>
    </bk>
    <bk>
      <rc t="2" v="2278"/>
    </bk>
    <bk>
      <rc t="2" v="2279"/>
    </bk>
    <bk>
      <rc t="2" v="2280"/>
    </bk>
    <bk>
      <rc t="2" v="2281"/>
    </bk>
    <bk>
      <rc t="2" v="2282"/>
    </bk>
    <bk>
      <rc t="2" v="2283"/>
    </bk>
    <bk>
      <rc t="2" v="2284"/>
    </bk>
    <bk>
      <rc t="2" v="2285"/>
    </bk>
    <bk>
      <rc t="2" v="2286"/>
    </bk>
    <bk>
      <rc t="2" v="2287"/>
    </bk>
    <bk>
      <rc t="2" v="2288"/>
    </bk>
    <bk>
      <rc t="2" v="2289"/>
    </bk>
    <bk>
      <rc t="2" v="2290"/>
    </bk>
    <bk>
      <rc t="2" v="2291"/>
    </bk>
    <bk>
      <rc t="2" v="2292"/>
    </bk>
    <bk>
      <rc t="2" v="2293"/>
    </bk>
    <bk>
      <rc t="2" v="2294"/>
    </bk>
    <bk>
      <rc t="2" v="2295"/>
    </bk>
    <bk>
      <rc t="2" v="2296"/>
    </bk>
    <bk>
      <rc t="2" v="2297"/>
    </bk>
    <bk>
      <rc t="2" v="2298"/>
    </bk>
    <bk>
      <rc t="2" v="2299"/>
    </bk>
    <bk>
      <rc t="2" v="2300"/>
    </bk>
    <bk>
      <rc t="2" v="2301"/>
    </bk>
    <bk>
      <rc t="2" v="2302"/>
    </bk>
  </valueMetadata>
</metadata>
</file>

<file path=xl/sharedStrings.xml><?xml version="1.0" encoding="utf-8"?>
<sst xmlns="http://schemas.openxmlformats.org/spreadsheetml/2006/main" count="1362" uniqueCount="1352">
  <si>
    <t>SPY</t>
  </si>
  <si>
    <t>VOO</t>
  </si>
  <si>
    <t>IVV</t>
  </si>
  <si>
    <t>VTI</t>
  </si>
  <si>
    <t>QQQ</t>
  </si>
  <si>
    <t>VUG</t>
  </si>
  <si>
    <t>SPDR S&amp;P 500 ETF Trust</t>
  </si>
  <si>
    <t>Vanguard S&amp;P 500 ETF</t>
  </si>
  <si>
    <t>iShares Core S&amp;P 500 ETF</t>
  </si>
  <si>
    <t>Vanguard Total Stock Market ETF</t>
  </si>
  <si>
    <t>Invesco QQQ Trust Series I</t>
  </si>
  <si>
    <t>Vanguard Growth ETF</t>
  </si>
  <si>
    <t>VEA</t>
  </si>
  <si>
    <t>Vanguard FTSE Developed Markets ETF</t>
  </si>
  <si>
    <t>VTV</t>
  </si>
  <si>
    <t>Vanguard Value ETF</t>
  </si>
  <si>
    <t>BND</t>
  </si>
  <si>
    <t>Vanguard Total Bond Market ETF</t>
  </si>
  <si>
    <t>IEFA</t>
  </si>
  <si>
    <t>iShares Core MSCI EAFE ETF</t>
  </si>
  <si>
    <t>AGG</t>
  </si>
  <si>
    <t>iShares Core U.S. Aggregate Bond ETF</t>
  </si>
  <si>
    <t>IWF</t>
  </si>
  <si>
    <t>iShares Russell 1000 Growth ETF</t>
  </si>
  <si>
    <t>IJH</t>
  </si>
  <si>
    <t>iShares Core S&amp;P Mid-Cap ETF</t>
  </si>
  <si>
    <t>IJR</t>
  </si>
  <si>
    <t>iShares Core S&amp;P Small-Cap ETF</t>
  </si>
  <si>
    <t>VIG</t>
  </si>
  <si>
    <t>Vanguard Dividend Appreciation ETF</t>
  </si>
  <si>
    <t>VGT</t>
  </si>
  <si>
    <t>Vanguard Information Technology ETF</t>
  </si>
  <si>
    <t>VWO</t>
  </si>
  <si>
    <t>Vanguard FTSE Emerging Markets ETF</t>
  </si>
  <si>
    <t>IWM</t>
  </si>
  <si>
    <t>iShares Russell 2000 ETF</t>
  </si>
  <si>
    <t>IEMG</t>
  </si>
  <si>
    <t>iShares Core MSCI Emerging Markets ETF</t>
  </si>
  <si>
    <t>VXUS</t>
  </si>
  <si>
    <t>Vanguard Total International Stock ETF</t>
  </si>
  <si>
    <t>VO</t>
  </si>
  <si>
    <t>Vanguard Mid-Cap ETF</t>
  </si>
  <si>
    <t>GLD</t>
  </si>
  <si>
    <t>SPDR Gold Shares</t>
  </si>
  <si>
    <t>RSP</t>
  </si>
  <si>
    <t>Invesco S&amp;P 500® Equal Weight ETF</t>
  </si>
  <si>
    <t>XLK</t>
  </si>
  <si>
    <t>Technology Select Sector SPDR Fund</t>
  </si>
  <si>
    <t>SCHD</t>
  </si>
  <si>
    <t>Schwab US Dividend Equity ETF</t>
  </si>
  <si>
    <t>VB</t>
  </si>
  <si>
    <t>Vanguard Small Cap ETF</t>
  </si>
  <si>
    <t>ITOT</t>
  </si>
  <si>
    <t>iShares Core S&amp;P Total U.S. Stock Market ETF</t>
  </si>
  <si>
    <t>BNDX</t>
  </si>
  <si>
    <t>Vanguard Total International Bond ETF</t>
  </si>
  <si>
    <t>IWD</t>
  </si>
  <si>
    <t>iShares Russell 1000 Value ETF</t>
  </si>
  <si>
    <t>VYM</t>
  </si>
  <si>
    <t>Vanguard High Dividend Yield Index ETF</t>
  </si>
  <si>
    <t>IVW</t>
  </si>
  <si>
    <t>iShares S&amp;P 500 Growth ETF</t>
  </si>
  <si>
    <t>TLT</t>
  </si>
  <si>
    <t>iShares 20+ Year Treasury Bond ETF</t>
  </si>
  <si>
    <t>EFA</t>
  </si>
  <si>
    <t>iShares MSCI EAFE ETF</t>
  </si>
  <si>
    <t>SPLG</t>
  </si>
  <si>
    <t>SPDR Portfolio S&amp;P 500 ETF</t>
  </si>
  <si>
    <t>SCHX</t>
  </si>
  <si>
    <t>Schwab U.S. Large-Cap ETF</t>
  </si>
  <si>
    <t>QUAL</t>
  </si>
  <si>
    <t>iShares MSCI USA Quality Factor ETF</t>
  </si>
  <si>
    <t>IBIT</t>
  </si>
  <si>
    <t>iShares Bitcoin Trust ETF</t>
  </si>
  <si>
    <t>XLF</t>
  </si>
  <si>
    <t>Financial Select Sector SPDR Fund</t>
  </si>
  <si>
    <t>VCIT</t>
  </si>
  <si>
    <t>Vanguard Intermediate-Term Corporate Bond ETF</t>
  </si>
  <si>
    <t>VT</t>
  </si>
  <si>
    <t>Vanguard Total World Stock ETF</t>
  </si>
  <si>
    <t>MUB</t>
  </si>
  <si>
    <t>iShares National Muni Bond ETF</t>
  </si>
  <si>
    <t>SCHF</t>
  </si>
  <si>
    <t>Schwab International Equity ETF</t>
  </si>
  <si>
    <t>IWR</t>
  </si>
  <si>
    <t>iShares Russell Midcap ETF</t>
  </si>
  <si>
    <t>VV</t>
  </si>
  <si>
    <t>Vanguard Large Cap ETF</t>
  </si>
  <si>
    <t>IWB</t>
  </si>
  <si>
    <t>iShares Russell 1000 ETF</t>
  </si>
  <si>
    <t>VEU</t>
  </si>
  <si>
    <t>Vanguard FTSE All-World ex-US Index Fund</t>
  </si>
  <si>
    <t>DIA</t>
  </si>
  <si>
    <t>SPDR Dow Jones Industrial Average ETF Trust</t>
  </si>
  <si>
    <t>IXUS</t>
  </si>
  <si>
    <t>iShares Core MSCI Total International Stock ETF</t>
  </si>
  <si>
    <t>QQQM</t>
  </si>
  <si>
    <t>Invesco NASDAQ 100 ETF</t>
  </si>
  <si>
    <t>XLV</t>
  </si>
  <si>
    <t>Health Care Select Sector SPDR Fund</t>
  </si>
  <si>
    <t>JEPI</t>
  </si>
  <si>
    <t>JPMorgan Equity Premium Income Fund</t>
  </si>
  <si>
    <t>SCHG</t>
  </si>
  <si>
    <t>Schwab U.S. Large-Cap Growth ETF</t>
  </si>
  <si>
    <t>VTEB</t>
  </si>
  <si>
    <t>Vanguard Tax-Exempt Bond ETF</t>
  </si>
  <si>
    <t>IVE</t>
  </si>
  <si>
    <t>iShares S&amp;P 500 Value ETF</t>
  </si>
  <si>
    <t>MBB</t>
  </si>
  <si>
    <t>iShares MBS ETF</t>
  </si>
  <si>
    <t>VNQ</t>
  </si>
  <si>
    <t>Vanguard Real Estate ETF</t>
  </si>
  <si>
    <t>XLE</t>
  </si>
  <si>
    <t>Energy Select Sector SPDR Fund</t>
  </si>
  <si>
    <t>VCSH</t>
  </si>
  <si>
    <t>Vanguard Short-Term Corporate Bond ETF</t>
  </si>
  <si>
    <t>BIL</t>
  </si>
  <si>
    <t>SPDR Bloomberg 1-3 Month T-Bill ETF</t>
  </si>
  <si>
    <t>SPYG</t>
  </si>
  <si>
    <t>SPDR Portfolio S&amp;P 500 Growth ETF</t>
  </si>
  <si>
    <t>IAU</t>
  </si>
  <si>
    <t>iShares Gold Trust</t>
  </si>
  <si>
    <t>DFAC</t>
  </si>
  <si>
    <t>Dimensional U.S. Core Equity 2 ETF</t>
  </si>
  <si>
    <t>SCHB</t>
  </si>
  <si>
    <t>Schwab U.S. Broad Market ETF</t>
  </si>
  <si>
    <t>BSV</t>
  </si>
  <si>
    <t>Vanguard Short-Term Bond ETF</t>
  </si>
  <si>
    <t>VBR</t>
  </si>
  <si>
    <t>Vanguard Small Cap Value ETF</t>
  </si>
  <si>
    <t>IEF</t>
  </si>
  <si>
    <t>iShares 7-10 Year Treasury Bond ETF</t>
  </si>
  <si>
    <t>LQD</t>
  </si>
  <si>
    <t>iShares iBoxx $ Investment Grade Corporate Bond ETF</t>
  </si>
  <si>
    <t>IUSB</t>
  </si>
  <si>
    <t>iShares Core Total USD Bond Market ETF</t>
  </si>
  <si>
    <t>VGIT</t>
  </si>
  <si>
    <t>Vanguard Intermediate-Term Treasury ETF</t>
  </si>
  <si>
    <t>DGRO</t>
  </si>
  <si>
    <t>iShares Core Dividend Growth ETF</t>
  </si>
  <si>
    <t>GOVT</t>
  </si>
  <si>
    <t>iShares U.S. Treasury Bond ETF</t>
  </si>
  <si>
    <t>SGOV</t>
  </si>
  <si>
    <t>iShares 0-3 Month Treasury Bond ETF</t>
  </si>
  <si>
    <t>JPST</t>
  </si>
  <si>
    <t>JPMorgan Ultra-Short Income ETF</t>
  </si>
  <si>
    <t>COWZ</t>
  </si>
  <si>
    <t>Pacer US Cash Cows 100 ETF</t>
  </si>
  <si>
    <t>TQQQ</t>
  </si>
  <si>
    <t>ProShares UltraPro QQQ</t>
  </si>
  <si>
    <t>MDY</t>
  </si>
  <si>
    <t>SPDR S&amp;P Midcap 400 ETF Trust</t>
  </si>
  <si>
    <t>SPYV</t>
  </si>
  <si>
    <t>SPDR Portfolio S&amp;P 500 Value ETF</t>
  </si>
  <si>
    <t>MGK</t>
  </si>
  <si>
    <t>Vanguard Mega Cap Growth ETF</t>
  </si>
  <si>
    <t>VONG</t>
  </si>
  <si>
    <t>Vanguard Russell 1000 Growth ETF</t>
  </si>
  <si>
    <t>XLY</t>
  </si>
  <si>
    <t>Consumer Discretionary Select Sector SPDR Fund</t>
  </si>
  <si>
    <t>USMV</t>
  </si>
  <si>
    <t>iShares MSCI USA Min Vol Factor ETF</t>
  </si>
  <si>
    <t>SMH</t>
  </si>
  <si>
    <t>VanEck Semiconductor ETF</t>
  </si>
  <si>
    <t>SHY</t>
  </si>
  <si>
    <t>iShares 1-3 Year Treasury Bond ETF</t>
  </si>
  <si>
    <t>VXF</t>
  </si>
  <si>
    <t>Vanguard Extended Market ETF</t>
  </si>
  <si>
    <t>XLI</t>
  </si>
  <si>
    <t>Industrial Select Sector SPDR Fund</t>
  </si>
  <si>
    <t>IUSG</t>
  </si>
  <si>
    <t>iShares Core S&amp;P U.S. Growth ETF</t>
  </si>
  <si>
    <t>SDY</t>
  </si>
  <si>
    <t>SPDR S&amp;P Dividend ETF</t>
  </si>
  <si>
    <t>XLC</t>
  </si>
  <si>
    <t>Communication Services Select Sector SPDR Fund</t>
  </si>
  <si>
    <t>SPDW</t>
  </si>
  <si>
    <t>SPDR Portfolio Developed World ex-US ETF</t>
  </si>
  <si>
    <t>BIV</t>
  </si>
  <si>
    <t>Vanguard Intermediate-Term Bond ETF</t>
  </si>
  <si>
    <t>IGSB</t>
  </si>
  <si>
    <t>iShares 1-5 Year Investment Grade Corporate Bond ETF</t>
  </si>
  <si>
    <t>DVY</t>
  </si>
  <si>
    <t>iShares Select Dividend ETF</t>
  </si>
  <si>
    <t>VBK</t>
  </si>
  <si>
    <t>Vanguard Small Cap Growth ETF</t>
  </si>
  <si>
    <t>GBTC</t>
  </si>
  <si>
    <t>Grayscale Bitcoin Trust ETF</t>
  </si>
  <si>
    <t>USHY</t>
  </si>
  <si>
    <t>iShares Broad USD High Yield Corporate Bond ETF</t>
  </si>
  <si>
    <t>JEPQ</t>
  </si>
  <si>
    <t>JPMorgan NASDAQ Equity Premium Income ETF</t>
  </si>
  <si>
    <t>IUSV</t>
  </si>
  <si>
    <t>iShares Core S&amp;P U.S. Value ETF</t>
  </si>
  <si>
    <t>IYW</t>
  </si>
  <si>
    <t>iShares U.S. Technology ETF</t>
  </si>
  <si>
    <t>FBTC</t>
  </si>
  <si>
    <t>Fidelity Wise Origin Bitcoin Fund</t>
  </si>
  <si>
    <t>VGSH</t>
  </si>
  <si>
    <t>Vanguard Short-Term Treasury ETF</t>
  </si>
  <si>
    <t>Today's Date</t>
  </si>
  <si>
    <t>Time Offerings</t>
  </si>
  <si>
    <t>1 Week</t>
  </si>
  <si>
    <t>1 Month</t>
  </si>
  <si>
    <t>6 Months</t>
  </si>
  <si>
    <t>1 Year</t>
  </si>
  <si>
    <t>18 Months</t>
  </si>
  <si>
    <t>2 Years</t>
  </si>
  <si>
    <t>2.5 Years</t>
  </si>
  <si>
    <t>3 Years</t>
  </si>
  <si>
    <t>5 Years</t>
  </si>
  <si>
    <t>10 Years</t>
  </si>
  <si>
    <t>12.5 Years</t>
  </si>
  <si>
    <t>15 Years</t>
  </si>
  <si>
    <t>ETF</t>
  </si>
  <si>
    <t>Date</t>
  </si>
  <si>
    <t>Descriptive Statistics</t>
  </si>
  <si>
    <t>Asset Type</t>
  </si>
  <si>
    <t>Stock</t>
  </si>
  <si>
    <t>ETFs:</t>
  </si>
  <si>
    <t>Stocks:</t>
  </si>
  <si>
    <t>Apple Inc.</t>
  </si>
  <si>
    <t>AAPL</t>
  </si>
  <si>
    <t>Nvidia Corp</t>
  </si>
  <si>
    <t>NVDA</t>
  </si>
  <si>
    <t>Microsoft Corp</t>
  </si>
  <si>
    <t>MSFT</t>
  </si>
  <si>
    <t>Amazon.com Inc</t>
  </si>
  <si>
    <t>AMZN</t>
  </si>
  <si>
    <t>Meta Platforms, Inc. Class A</t>
  </si>
  <si>
    <t>META</t>
  </si>
  <si>
    <t>Tesla, Inc.</t>
  </si>
  <si>
    <t>TSLA</t>
  </si>
  <si>
    <t>Alphabet Inc. Class A</t>
  </si>
  <si>
    <t>GOOGL</t>
  </si>
  <si>
    <t>Alphabet Inc. Class C</t>
  </si>
  <si>
    <t>GOOG</t>
  </si>
  <si>
    <t>Broadcom Inc.</t>
  </si>
  <si>
    <t>AVGO</t>
  </si>
  <si>
    <t>Berkshire Hathaway Class B</t>
  </si>
  <si>
    <t>BRK.B</t>
  </si>
  <si>
    <t>Jpmorgan Chase &amp; Co.</t>
  </si>
  <si>
    <t>JPM</t>
  </si>
  <si>
    <t>Eli Lilly &amp; Co.</t>
  </si>
  <si>
    <t>LLY</t>
  </si>
  <si>
    <t>Visa Inc.</t>
  </si>
  <si>
    <t>V</t>
  </si>
  <si>
    <t>Exxon Mobil Corporation</t>
  </si>
  <si>
    <t>XOM</t>
  </si>
  <si>
    <t>Unitedhealth Group Incorporated</t>
  </si>
  <si>
    <t>UNH</t>
  </si>
  <si>
    <t>Costco Wholesale Corp</t>
  </si>
  <si>
    <t>COST</t>
  </si>
  <si>
    <t>Mastercard Incorporated</t>
  </si>
  <si>
    <t>MA</t>
  </si>
  <si>
    <t>Home Depot, Inc.</t>
  </si>
  <si>
    <t>HD</t>
  </si>
  <si>
    <t>Walmart Inc.</t>
  </si>
  <si>
    <t>WMT</t>
  </si>
  <si>
    <t>Netflix Inc</t>
  </si>
  <si>
    <t>NFLX</t>
  </si>
  <si>
    <t>Procter &amp; Gamble Company</t>
  </si>
  <si>
    <t>PG</t>
  </si>
  <si>
    <t>Johnson &amp; Johnson</t>
  </si>
  <si>
    <t>JNJ</t>
  </si>
  <si>
    <t>Salesforce, Inc.</t>
  </si>
  <si>
    <t>CRM</t>
  </si>
  <si>
    <t>Bank of America Corporation</t>
  </si>
  <si>
    <t>BAC</t>
  </si>
  <si>
    <t>Abbvie Inc.</t>
  </si>
  <si>
    <t>ABBV</t>
  </si>
  <si>
    <t>Oracle Corp</t>
  </si>
  <si>
    <t>ORCL</t>
  </si>
  <si>
    <t>Chevron Corporation</t>
  </si>
  <si>
    <t>CVX</t>
  </si>
  <si>
    <t>Merck &amp; Co., Inc.</t>
  </si>
  <si>
    <t>MRK</t>
  </si>
  <si>
    <t>Adobe Inc.</t>
  </si>
  <si>
    <t>ADBE</t>
  </si>
  <si>
    <t>Wells Fargo &amp; Co.</t>
  </si>
  <si>
    <t>WFC</t>
  </si>
  <si>
    <t>Coca-Cola Company</t>
  </si>
  <si>
    <t>KO</t>
  </si>
  <si>
    <t>Servicenow, Inc.</t>
  </si>
  <si>
    <t>NOW</t>
  </si>
  <si>
    <t>Cisco Systems, Inc.</t>
  </si>
  <si>
    <t>CSCO</t>
  </si>
  <si>
    <t>Accenture Plc</t>
  </si>
  <si>
    <t>ACN</t>
  </si>
  <si>
    <t>Pepsico, Inc.</t>
  </si>
  <si>
    <t>PEP</t>
  </si>
  <si>
    <t>Mcdonald's Corporation</t>
  </si>
  <si>
    <t>MCD</t>
  </si>
  <si>
    <t>International Business Machines Corporation</t>
  </si>
  <si>
    <t>IBM</t>
  </si>
  <si>
    <t>Linde Plc</t>
  </si>
  <si>
    <t>LIN</t>
  </si>
  <si>
    <t>Advanced Micro Devices</t>
  </si>
  <si>
    <t>AMD</t>
  </si>
  <si>
    <t>The Walt Disney Company</t>
  </si>
  <si>
    <t>DIS</t>
  </si>
  <si>
    <t>Thermo Fisher Scientific, Inc.</t>
  </si>
  <si>
    <t>TMO</t>
  </si>
  <si>
    <t>Abbott Laboratories</t>
  </si>
  <si>
    <t>ABT</t>
  </si>
  <si>
    <t>Philip Morris International Inc.</t>
  </si>
  <si>
    <t>PM</t>
  </si>
  <si>
    <t>Intuitive Surgical Inc.</t>
  </si>
  <si>
    <t>ISRG</t>
  </si>
  <si>
    <t>Caterpillar Inc.</t>
  </si>
  <si>
    <t>CAT</t>
  </si>
  <si>
    <t>Intuit Inc</t>
  </si>
  <si>
    <t>INTU</t>
  </si>
  <si>
    <t>Goldman Sachs Group Inc.</t>
  </si>
  <si>
    <t>GS</t>
  </si>
  <si>
    <t>Ge Aerospace</t>
  </si>
  <si>
    <t>GE</t>
  </si>
  <si>
    <t>Qualcomm Inc</t>
  </si>
  <si>
    <t>QCOM</t>
  </si>
  <si>
    <t>Booking Holdings Inc.</t>
  </si>
  <si>
    <t>BKNG</t>
  </si>
  <si>
    <t>Verizon Communications</t>
  </si>
  <si>
    <t>VZ</t>
  </si>
  <si>
    <t>Texas Instruments Incorporated</t>
  </si>
  <si>
    <t>TXN</t>
  </si>
  <si>
    <t>American Express Company</t>
  </si>
  <si>
    <t>AXP</t>
  </si>
  <si>
    <t>At&amp;t Inc.</t>
  </si>
  <si>
    <t>T</t>
  </si>
  <si>
    <t>S&amp;p Global Inc.</t>
  </si>
  <si>
    <t>SPGI</t>
  </si>
  <si>
    <t>Morgan Stanley</t>
  </si>
  <si>
    <t>MS</t>
  </si>
  <si>
    <t>Rtx Corporation</t>
  </si>
  <si>
    <t>RTX</t>
  </si>
  <si>
    <t>Comcast Corp</t>
  </si>
  <si>
    <t>CMCSA</t>
  </si>
  <si>
    <t>Lowe's Companies Inc.</t>
  </si>
  <si>
    <t>LOW</t>
  </si>
  <si>
    <t>Nextra Energy, Inc.</t>
  </si>
  <si>
    <t>NEE</t>
  </si>
  <si>
    <t>Danaher Corporation</t>
  </si>
  <si>
    <t>DHR</t>
  </si>
  <si>
    <t>Honeywell International, Inc.</t>
  </si>
  <si>
    <t>HON</t>
  </si>
  <si>
    <t>Blackrock, Inc.</t>
  </si>
  <si>
    <t>BLK</t>
  </si>
  <si>
    <t>Amgen Inc</t>
  </si>
  <si>
    <t>AMGN</t>
  </si>
  <si>
    <t>Palantir Technologies Inc. Class A</t>
  </si>
  <si>
    <t>PLTR</t>
  </si>
  <si>
    <t>Eaton Corporation, Plcs</t>
  </si>
  <si>
    <t>ETN</t>
  </si>
  <si>
    <t>Tjx Companies, Inc.</t>
  </si>
  <si>
    <t>TJX</t>
  </si>
  <si>
    <t>Pfizer Inc.</t>
  </si>
  <si>
    <t>PFE</t>
  </si>
  <si>
    <t>Progressive Corporation</t>
  </si>
  <si>
    <t>PGR</t>
  </si>
  <si>
    <t>Union Pacific Corp.</t>
  </si>
  <si>
    <t>UNP</t>
  </si>
  <si>
    <t>Applied Materials Inc</t>
  </si>
  <si>
    <t>AMAT</t>
  </si>
  <si>
    <t>Blackstone Inc.</t>
  </si>
  <si>
    <t>BX</t>
  </si>
  <si>
    <t>Citigroup Inc.</t>
  </si>
  <si>
    <t>C</t>
  </si>
  <si>
    <t>Boston Scientific Corp.</t>
  </si>
  <si>
    <t>BSX</t>
  </si>
  <si>
    <t>Conocophillips</t>
  </si>
  <si>
    <t>COP</t>
  </si>
  <si>
    <t>Palo Alto Networks, Inc.</t>
  </si>
  <si>
    <t>PANW</t>
  </si>
  <si>
    <t>Stryker Corporation</t>
  </si>
  <si>
    <t>SYK</t>
  </si>
  <si>
    <t>Uber Technologies, Inc.</t>
  </si>
  <si>
    <t>UBER</t>
  </si>
  <si>
    <t>The Charles Schwab Corporation</t>
  </si>
  <si>
    <t>SCHW</t>
  </si>
  <si>
    <t>Automatic Data Processing</t>
  </si>
  <si>
    <t>ADP</t>
  </si>
  <si>
    <t>Boeing Company</t>
  </si>
  <si>
    <t>BA</t>
  </si>
  <si>
    <t>Vertex Pharmaceuticals Inc</t>
  </si>
  <si>
    <t>VRTX</t>
  </si>
  <si>
    <t>Fiserv, Inc.</t>
  </si>
  <si>
    <t>FI</t>
  </si>
  <si>
    <t>Gilead Sciences Inc</t>
  </si>
  <si>
    <t>GILD</t>
  </si>
  <si>
    <t>Bristol-Myers Squibb Co.</t>
  </si>
  <si>
    <t>BMY</t>
  </si>
  <si>
    <t>T-Mobile Us, Inc.</t>
  </si>
  <si>
    <t>TMUS</t>
  </si>
  <si>
    <t>Deere &amp; Company</t>
  </si>
  <si>
    <t>DE</t>
  </si>
  <si>
    <t>Micron Technology, Inc.</t>
  </si>
  <si>
    <t>MU</t>
  </si>
  <si>
    <t>Starbucks Corp</t>
  </si>
  <si>
    <t>SBUX</t>
  </si>
  <si>
    <t>Arista Networks</t>
  </si>
  <si>
    <t>ANET</t>
  </si>
  <si>
    <t>Analog Devices, Inc.</t>
  </si>
  <si>
    <t>ADI</t>
  </si>
  <si>
    <t>Lockheed Martin Corp.</t>
  </si>
  <si>
    <t>LMT</t>
  </si>
  <si>
    <t>Medtronic Plc</t>
  </si>
  <si>
    <t>MDT</t>
  </si>
  <si>
    <t>Kkr &amp; Co. Inc.</t>
  </si>
  <si>
    <t>KKR</t>
  </si>
  <si>
    <t>Marsh &amp; Mclennan Companies, Inc.</t>
  </si>
  <si>
    <t>MMC</t>
  </si>
  <si>
    <t>Chubb Limited</t>
  </si>
  <si>
    <t>CB</t>
  </si>
  <si>
    <t>Prologis, Inc.</t>
  </si>
  <si>
    <t>PLD</t>
  </si>
  <si>
    <t>Lam Research Corp</t>
  </si>
  <si>
    <t>LRCX</t>
  </si>
  <si>
    <t>Nike, Inc.</t>
  </si>
  <si>
    <t>NKE</t>
  </si>
  <si>
    <t>United Parcel Service, Inc. Class B</t>
  </si>
  <si>
    <t>UPS</t>
  </si>
  <si>
    <t>Ge Vernova Inc.</t>
  </si>
  <si>
    <t>GEV</t>
  </si>
  <si>
    <t>Altria Group, Inc.</t>
  </si>
  <si>
    <t>MO</t>
  </si>
  <si>
    <t>American Tower Corporation</t>
  </si>
  <si>
    <t>AMT</t>
  </si>
  <si>
    <t>Paypal Holdings, Inc.</t>
  </si>
  <si>
    <t>PYPL</t>
  </si>
  <si>
    <t>Equinix, Inc. Reit</t>
  </si>
  <si>
    <t>EQIX</t>
  </si>
  <si>
    <t>The Southern Company</t>
  </si>
  <si>
    <t>SO</t>
  </si>
  <si>
    <t>Intercontinental Exchange  Inc.</t>
  </si>
  <si>
    <t>ICE</t>
  </si>
  <si>
    <t>Trane Technologies Plc</t>
  </si>
  <si>
    <t>TT</t>
  </si>
  <si>
    <t>Chipotle Mexican Grill, Inc.</t>
  </si>
  <si>
    <t>CMG</t>
  </si>
  <si>
    <t>Elevance Health, Inc.</t>
  </si>
  <si>
    <t>ELV</t>
  </si>
  <si>
    <t>Amphenol Corporation</t>
  </si>
  <si>
    <t>APH</t>
  </si>
  <si>
    <t>Parker-Hannifin Corporation</t>
  </si>
  <si>
    <t>PH</t>
  </si>
  <si>
    <t>Kla Corporation</t>
  </si>
  <si>
    <t>KLAC</t>
  </si>
  <si>
    <t>The Sherwin-Williams Company</t>
  </si>
  <si>
    <t>SHW</t>
  </si>
  <si>
    <t>Intel Corp</t>
  </si>
  <si>
    <t>INTC</t>
  </si>
  <si>
    <t>Duke Energy Corporation</t>
  </si>
  <si>
    <t>DUK</t>
  </si>
  <si>
    <t>Cadence Design Systems</t>
  </si>
  <si>
    <t>CDNS</t>
  </si>
  <si>
    <t>Cme Group Inc.</t>
  </si>
  <si>
    <t>CME</t>
  </si>
  <si>
    <t>Mondelez International, Inc. Class A</t>
  </si>
  <si>
    <t>MDLZ</t>
  </si>
  <si>
    <t>Crowdstrike Holdings, Inc. Class A</t>
  </si>
  <si>
    <t>CRWD</t>
  </si>
  <si>
    <t>The Cigna Group</t>
  </si>
  <si>
    <t>CI</t>
  </si>
  <si>
    <t>Regeneron Pharmaceuticals Inc</t>
  </si>
  <si>
    <t>REGN</t>
  </si>
  <si>
    <t>Pnc Financial Services Group</t>
  </si>
  <si>
    <t>PNC</t>
  </si>
  <si>
    <t>Zoetis Inc.</t>
  </si>
  <si>
    <t>ZTS</t>
  </si>
  <si>
    <t>U.S. Bancorp</t>
  </si>
  <si>
    <t>USB</t>
  </si>
  <si>
    <t>Motorola Solutions, Inc.</t>
  </si>
  <si>
    <t>MSI</t>
  </si>
  <si>
    <t>Aon Plc Class A</t>
  </si>
  <si>
    <t>AON</t>
  </si>
  <si>
    <t>Synopsys Inc</t>
  </si>
  <si>
    <t>SNPS</t>
  </si>
  <si>
    <t>Waste Management, Inc.</t>
  </si>
  <si>
    <t>WM</t>
  </si>
  <si>
    <t>Moody's Corporation</t>
  </si>
  <si>
    <t>MCO</t>
  </si>
  <si>
    <t>Colgate-Palmolive Company</t>
  </si>
  <si>
    <t>CL</t>
  </si>
  <si>
    <t>Emerson Electric Co.</t>
  </si>
  <si>
    <t>EMR</t>
  </si>
  <si>
    <t>Mckesson Corporation</t>
  </si>
  <si>
    <t>MCK</t>
  </si>
  <si>
    <t>Welltower Inc.</t>
  </si>
  <si>
    <t>WELL</t>
  </si>
  <si>
    <t>Constellation Energy Corporation</t>
  </si>
  <si>
    <t>CEG</t>
  </si>
  <si>
    <t>Illinois Tool Works Inc.</t>
  </si>
  <si>
    <t>ITW</t>
  </si>
  <si>
    <t>O'reilly Automotive, Inc.</t>
  </si>
  <si>
    <t>ORLY</t>
  </si>
  <si>
    <t>Eog Resources, Inc.</t>
  </si>
  <si>
    <t>EOG</t>
  </si>
  <si>
    <t>Cintas Corp</t>
  </si>
  <si>
    <t>CTAS</t>
  </si>
  <si>
    <t>3m Company</t>
  </si>
  <si>
    <t>MMM</t>
  </si>
  <si>
    <t>Capital One Financial</t>
  </si>
  <si>
    <t>COF</t>
  </si>
  <si>
    <t>Transdigm Group Incorporated</t>
  </si>
  <si>
    <t>TDG</t>
  </si>
  <si>
    <t>Air Products &amp; Chemicals, Inc.</t>
  </si>
  <si>
    <t>APD</t>
  </si>
  <si>
    <t>General Dynamics Corporation</t>
  </si>
  <si>
    <t>GD</t>
  </si>
  <si>
    <t>Marriot International Class A</t>
  </si>
  <si>
    <t>MAR</t>
  </si>
  <si>
    <t>Williams Companies Inc.</t>
  </si>
  <si>
    <t>WMB</t>
  </si>
  <si>
    <t>Autodesk Inc</t>
  </si>
  <si>
    <t>ADSK</t>
  </si>
  <si>
    <t>Northrop Grumman Corp.</t>
  </si>
  <si>
    <t>NOC</t>
  </si>
  <si>
    <t>Csx Corporation</t>
  </si>
  <si>
    <t>CSX</t>
  </si>
  <si>
    <t>Cvs Health Corporation</t>
  </si>
  <si>
    <t>CVS</t>
  </si>
  <si>
    <t>Becton, Dickinson and Co.</t>
  </si>
  <si>
    <t>BDX</t>
  </si>
  <si>
    <t>Fedex Corporation</t>
  </si>
  <si>
    <t>FDX</t>
  </si>
  <si>
    <t>Hilton Worldwide Holdings Inc.</t>
  </si>
  <si>
    <t>HLT</t>
  </si>
  <si>
    <t>Target Corporation</t>
  </si>
  <si>
    <t>TGT</t>
  </si>
  <si>
    <t>Fortinet, Inc.</t>
  </si>
  <si>
    <t>FTNT</t>
  </si>
  <si>
    <t>Ecolab, Inc.</t>
  </si>
  <si>
    <t>ECL</t>
  </si>
  <si>
    <t>Arthur J. Gallagher &amp; Co.</t>
  </si>
  <si>
    <t>AJG</t>
  </si>
  <si>
    <t>Carrier Global Corporation</t>
  </si>
  <si>
    <t>CARR</t>
  </si>
  <si>
    <t>Freeport-Mcmoran Inc.</t>
  </si>
  <si>
    <t>FCX</t>
  </si>
  <si>
    <t>Truist Financial Corporation</t>
  </si>
  <si>
    <t>TFC</t>
  </si>
  <si>
    <t>Airbnb, Inc. Class A</t>
  </si>
  <si>
    <t>ABNB</t>
  </si>
  <si>
    <t>Oneok, Inc.</t>
  </si>
  <si>
    <t>OKE</t>
  </si>
  <si>
    <t>Paccar Inc</t>
  </si>
  <si>
    <t>PCAR</t>
  </si>
  <si>
    <t>Roper Technologies, Inc.</t>
  </si>
  <si>
    <t>ROP</t>
  </si>
  <si>
    <t>Schlumberger Limited</t>
  </si>
  <si>
    <t>SLB</t>
  </si>
  <si>
    <t>Bank of New York Mellon Corporation</t>
  </si>
  <si>
    <t>BK</t>
  </si>
  <si>
    <t>Hca Healthcare, Inc.</t>
  </si>
  <si>
    <t>HCA</t>
  </si>
  <si>
    <t>General Motors Company</t>
  </si>
  <si>
    <t>GM</t>
  </si>
  <si>
    <t>Royal Caribbean Group</t>
  </si>
  <si>
    <t>RCL</t>
  </si>
  <si>
    <t>Digital Realty Trust, Inc.</t>
  </si>
  <si>
    <t>DLR</t>
  </si>
  <si>
    <t>Autozone, Inc.</t>
  </si>
  <si>
    <t>AZO</t>
  </si>
  <si>
    <t>Johnson Controls International Plc</t>
  </si>
  <si>
    <t>JCI</t>
  </si>
  <si>
    <t>Nxp Semiconductors N.v.</t>
  </si>
  <si>
    <t>NXPI</t>
  </si>
  <si>
    <t>Norfolk Southern Corp.</t>
  </si>
  <si>
    <t>NSC</t>
  </si>
  <si>
    <t>The Travelers Companies, Inc.</t>
  </si>
  <si>
    <t>TRV</t>
  </si>
  <si>
    <t>Sempra</t>
  </si>
  <si>
    <t>SRE</t>
  </si>
  <si>
    <t>Copart Inc</t>
  </si>
  <si>
    <t>CPRT</t>
  </si>
  <si>
    <t>Simon Property Group, Inc.</t>
  </si>
  <si>
    <t>SPG</t>
  </si>
  <si>
    <t>Ameriprise Financial, Inc.</t>
  </si>
  <si>
    <t>AMP</t>
  </si>
  <si>
    <t>Fair Isaac Corporation</t>
  </si>
  <si>
    <t>FICO</t>
  </si>
  <si>
    <t>United Rentals, Inc.</t>
  </si>
  <si>
    <t>URI</t>
  </si>
  <si>
    <t>Aflac Inc.</t>
  </si>
  <si>
    <t>AFL</t>
  </si>
  <si>
    <t>Phillips 66</t>
  </si>
  <si>
    <t>PSX</t>
  </si>
  <si>
    <t>Kinder Morgan, Inc.</t>
  </si>
  <si>
    <t>KMI</t>
  </si>
  <si>
    <t>Ross Stores Inc</t>
  </si>
  <si>
    <t>ROST</t>
  </si>
  <si>
    <t>W.W. Grainger, Inc.</t>
  </si>
  <si>
    <t>GWW</t>
  </si>
  <si>
    <t>Public Storage</t>
  </si>
  <si>
    <t>PSA</t>
  </si>
  <si>
    <t>The Allstate Corporation</t>
  </si>
  <si>
    <t>ALL</t>
  </si>
  <si>
    <t>Marathon Petroleum Corporation</t>
  </si>
  <si>
    <t>MPC</t>
  </si>
  <si>
    <t>Cummins Inc.</t>
  </si>
  <si>
    <t>CMI</t>
  </si>
  <si>
    <t>Vistra Corp.</t>
  </si>
  <si>
    <t>VST</t>
  </si>
  <si>
    <t>American Electric Power Company, Inc.</t>
  </si>
  <si>
    <t>AEP</t>
  </si>
  <si>
    <t>Msci, Inc.</t>
  </si>
  <si>
    <t>MSCI</t>
  </si>
  <si>
    <t>Quanta Services, Inc.</t>
  </si>
  <si>
    <t>PWR</t>
  </si>
  <si>
    <t>Newmont Corporation</t>
  </si>
  <si>
    <t>NEM</t>
  </si>
  <si>
    <t>Realty Income Corporation</t>
  </si>
  <si>
    <t>O</t>
  </si>
  <si>
    <t>American International Group, Inc.</t>
  </si>
  <si>
    <t>AIG</t>
  </si>
  <si>
    <t>Howmet Aerospace Inc.</t>
  </si>
  <si>
    <t>HWM</t>
  </si>
  <si>
    <t>Metlife, Inc.</t>
  </si>
  <si>
    <t>MET</t>
  </si>
  <si>
    <t>Fidelity National Information Services, Inc.</t>
  </si>
  <si>
    <t>FIS</t>
  </si>
  <si>
    <t>Axon Enterprise, Inc.</t>
  </si>
  <si>
    <t>AXON</t>
  </si>
  <si>
    <t>Lululemon Athletica Inc.</t>
  </si>
  <si>
    <t>LULU</t>
  </si>
  <si>
    <t>Te Connectivity Plc</t>
  </si>
  <si>
    <t>TEL</t>
  </si>
  <si>
    <t>Dominion Energy, Inc.</t>
  </si>
  <si>
    <t>D</t>
  </si>
  <si>
    <t>Fastenal Co</t>
  </si>
  <si>
    <t>FAST</t>
  </si>
  <si>
    <t>Paychex Inc</t>
  </si>
  <si>
    <t>PAYX</t>
  </si>
  <si>
    <t>D.R. Horton Inc.</t>
  </si>
  <si>
    <t>DHI</t>
  </si>
  <si>
    <t>Discover Financial Services</t>
  </si>
  <si>
    <t>DFS</t>
  </si>
  <si>
    <t>Edwards Lifesciences Corp</t>
  </si>
  <si>
    <t>EW</t>
  </si>
  <si>
    <t>Kimberly-Clark Corp.</t>
  </si>
  <si>
    <t>KMB</t>
  </si>
  <si>
    <t>Ametek, Inc.</t>
  </si>
  <si>
    <t>AME</t>
  </si>
  <si>
    <t>L3harris Technologies, Inc.</t>
  </si>
  <si>
    <t>LHX</t>
  </si>
  <si>
    <t>Pg&amp;e Corporation</t>
  </si>
  <si>
    <t>PCG</t>
  </si>
  <si>
    <t>Crown Castle Inc.</t>
  </si>
  <si>
    <t>CCI</t>
  </si>
  <si>
    <t>Republic Services Inc.</t>
  </si>
  <si>
    <t>RSG</t>
  </si>
  <si>
    <t>Prudential Financial, Inc.</t>
  </si>
  <si>
    <t>PRU</t>
  </si>
  <si>
    <t>Valero Energy Corporation</t>
  </si>
  <si>
    <t>VLO</t>
  </si>
  <si>
    <t>Public Service Enterprise Group Incorporated</t>
  </si>
  <si>
    <t>PEG</t>
  </si>
  <si>
    <t>Kenvue Inc.</t>
  </si>
  <si>
    <t>KVUE</t>
  </si>
  <si>
    <t>Baker Hughes Company</t>
  </si>
  <si>
    <t>BKR</t>
  </si>
  <si>
    <t>Cbre Group, Inc.</t>
  </si>
  <si>
    <t>CBRE</t>
  </si>
  <si>
    <t>Corteva, Inc.</t>
  </si>
  <si>
    <t>CTVA</t>
  </si>
  <si>
    <t>Agilent Technologies Inc.</t>
  </si>
  <si>
    <t>A</t>
  </si>
  <si>
    <t>Ingersoll Rand Inc.</t>
  </si>
  <si>
    <t>IR</t>
  </si>
  <si>
    <t>Targa Resources Corp.</t>
  </si>
  <si>
    <t>TRGP</t>
  </si>
  <si>
    <t>The Kroger Co.</t>
  </si>
  <si>
    <t>KR</t>
  </si>
  <si>
    <t>Delta Air Lines, Inc.</t>
  </si>
  <si>
    <t>DAL</t>
  </si>
  <si>
    <t>Ford Motor Company</t>
  </si>
  <si>
    <t>F</t>
  </si>
  <si>
    <t>Verisk Analytics, Inc.</t>
  </si>
  <si>
    <t>VRSK</t>
  </si>
  <si>
    <t>Cencora, Inc.</t>
  </si>
  <si>
    <t>COR</t>
  </si>
  <si>
    <t>Cognizant Technology Solutions</t>
  </si>
  <si>
    <t>CTSH</t>
  </si>
  <si>
    <t>Gartner, Inc.</t>
  </si>
  <si>
    <t>IT</t>
  </si>
  <si>
    <t>Otis Worldwide Corporation</t>
  </si>
  <si>
    <t>OTIS</t>
  </si>
  <si>
    <t>Sysco Corporation</t>
  </si>
  <si>
    <t>SYY</t>
  </si>
  <si>
    <t>Electronic Arts Inc</t>
  </si>
  <si>
    <t>EA</t>
  </si>
  <si>
    <t>Hess Corporation</t>
  </si>
  <si>
    <t>HES</t>
  </si>
  <si>
    <t>Yum! Brands, Inc.</t>
  </si>
  <si>
    <t>YUM</t>
  </si>
  <si>
    <t>Old Dominion Freight Line</t>
  </si>
  <si>
    <t>ODFL</t>
  </si>
  <si>
    <t>Lennar Corporation Class A</t>
  </si>
  <si>
    <t>LEN</t>
  </si>
  <si>
    <t>Xcel Energy, Inc.</t>
  </si>
  <si>
    <t>XEL</t>
  </si>
  <si>
    <t>Ge Healthcare Technologies Inc.</t>
  </si>
  <si>
    <t>GEHC</t>
  </si>
  <si>
    <t>Constellation Brands, Inc.</t>
  </si>
  <si>
    <t>STZ</t>
  </si>
  <si>
    <t>Keurig Dr Pepper Inc.</t>
  </si>
  <si>
    <t>KDP</t>
  </si>
  <si>
    <t>Vulcan Materials Company</t>
  </si>
  <si>
    <t>VMC</t>
  </si>
  <si>
    <t>Exelon Corporation</t>
  </si>
  <si>
    <t>EXC</t>
  </si>
  <si>
    <t>Monster Beverage Corporation</t>
  </si>
  <si>
    <t>MNST</t>
  </si>
  <si>
    <t>Charter Comm Inc Del Cl a</t>
  </si>
  <si>
    <t>CHTR</t>
  </si>
  <si>
    <t>Corning Incorporated</t>
  </si>
  <si>
    <t>GLW</t>
  </si>
  <si>
    <t>General Mills, Inc.</t>
  </si>
  <si>
    <t>GIS</t>
  </si>
  <si>
    <t>Resmed Inc.</t>
  </si>
  <si>
    <t>RMD</t>
  </si>
  <si>
    <t>Idexx Laboratories Inc</t>
  </si>
  <si>
    <t>IDXX</t>
  </si>
  <si>
    <t>Wabtec Inc.</t>
  </si>
  <si>
    <t>WAB</t>
  </si>
  <si>
    <t>Arch Capital Group Ltd</t>
  </si>
  <si>
    <t>ACGL</t>
  </si>
  <si>
    <t>Iqvia Holdings Inc.</t>
  </si>
  <si>
    <t>IQV</t>
  </si>
  <si>
    <t>Martin Marietta Materials</t>
  </si>
  <si>
    <t>MLM</t>
  </si>
  <si>
    <t>Dupont De Nemours, Inc.</t>
  </si>
  <si>
    <t>DD</t>
  </si>
  <si>
    <t>Dell Technologies Inc.</t>
  </si>
  <si>
    <t>DELL</t>
  </si>
  <si>
    <t>Garmin Ltd</t>
  </si>
  <si>
    <t>GRMN</t>
  </si>
  <si>
    <t>Extra Space Storage, Inc.</t>
  </si>
  <si>
    <t>EXR</t>
  </si>
  <si>
    <t>Hp Inc.</t>
  </si>
  <si>
    <t>HPQ</t>
  </si>
  <si>
    <t>Rockwell Automation, Inc.</t>
  </si>
  <si>
    <t>ROK</t>
  </si>
  <si>
    <t>M&amp;t Bank Corp.</t>
  </si>
  <si>
    <t>MTB</t>
  </si>
  <si>
    <t>Nasdaq, Inc.</t>
  </si>
  <si>
    <t>NDAQ</t>
  </si>
  <si>
    <t>Humana Inc.</t>
  </si>
  <si>
    <t>HUM</t>
  </si>
  <si>
    <t>Iron Mountain Inc.</t>
  </si>
  <si>
    <t>IRM</t>
  </si>
  <si>
    <t>The Hartford Financial Services Group, Inc.</t>
  </si>
  <si>
    <t>HIG</t>
  </si>
  <si>
    <t>Microchip Technology Inc</t>
  </si>
  <si>
    <t>MCHP</t>
  </si>
  <si>
    <t>Nucor Corporation</t>
  </si>
  <si>
    <t>NUE</t>
  </si>
  <si>
    <t>Vici Properties Inc.</t>
  </si>
  <si>
    <t>VICI</t>
  </si>
  <si>
    <t>Occidental Petroleum Corporation</t>
  </si>
  <si>
    <t>OXY</t>
  </si>
  <si>
    <t>United Airlines Holdings, Inc.</t>
  </si>
  <si>
    <t>UAL</t>
  </si>
  <si>
    <t>Equifax, Incorporated</t>
  </si>
  <si>
    <t>EFX</t>
  </si>
  <si>
    <t>Dexcom, Inc.</t>
  </si>
  <si>
    <t>DXCM</t>
  </si>
  <si>
    <t>Avalonbay Communities, Inc.</t>
  </si>
  <si>
    <t>AVB</t>
  </si>
  <si>
    <t>Consolidated Edison, Inc.</t>
  </si>
  <si>
    <t>ED</t>
  </si>
  <si>
    <t>Costar Group Inc</t>
  </si>
  <si>
    <t>CSGP</t>
  </si>
  <si>
    <t>Entergy Corporation</t>
  </si>
  <si>
    <t>ETR</t>
  </si>
  <si>
    <t>Edison International</t>
  </si>
  <si>
    <t>EIX</t>
  </si>
  <si>
    <t>Willis Towers Watson Public Limited Companys</t>
  </si>
  <si>
    <t>WTW</t>
  </si>
  <si>
    <t>Deckers Outdoor Corp</t>
  </si>
  <si>
    <t>DECK</t>
  </si>
  <si>
    <t>Take-Two Interactive Software Inc</t>
  </si>
  <si>
    <t>TTWO</t>
  </si>
  <si>
    <t>Fifth Third Bancorp</t>
  </si>
  <si>
    <t>FITB</t>
  </si>
  <si>
    <t>Ebay Inc</t>
  </si>
  <si>
    <t>EBAY</t>
  </si>
  <si>
    <t>Tractor Supply Co</t>
  </si>
  <si>
    <t>TSCO</t>
  </si>
  <si>
    <t>Diamondback Energy, Inc.</t>
  </si>
  <si>
    <t>FANG</t>
  </si>
  <si>
    <t>Monolithic Power Systems, Inc.</t>
  </si>
  <si>
    <t>MPWR</t>
  </si>
  <si>
    <t>Wec Energy Group, Inc.</t>
  </si>
  <si>
    <t>WEC</t>
  </si>
  <si>
    <t>Ansys Inc</t>
  </si>
  <si>
    <t>ANSS</t>
  </si>
  <si>
    <t>Xylem Inc</t>
  </si>
  <si>
    <t>XYL</t>
  </si>
  <si>
    <t>Raymond James Financial, Inc.</t>
  </si>
  <si>
    <t>RJF</t>
  </si>
  <si>
    <t>Centene Corporation</t>
  </si>
  <si>
    <t>CNC</t>
  </si>
  <si>
    <t>Global Payments, Inc.</t>
  </si>
  <si>
    <t>GPN</t>
  </si>
  <si>
    <t>State Street Corporation</t>
  </si>
  <si>
    <t>STT</t>
  </si>
  <si>
    <t>Godaddy Inc</t>
  </si>
  <si>
    <t>GDDY</t>
  </si>
  <si>
    <t>Keysight Technologies, Inc.</t>
  </si>
  <si>
    <t>KEYS</t>
  </si>
  <si>
    <t>On Semiconductor Corp</t>
  </si>
  <si>
    <t>ON</t>
  </si>
  <si>
    <t>Dow Inc.</t>
  </si>
  <si>
    <t>DOW</t>
  </si>
  <si>
    <t>Cardinal Health, Inc.</t>
  </si>
  <si>
    <t>CAH</t>
  </si>
  <si>
    <t>Ppg Industries, Inc.</t>
  </si>
  <si>
    <t>PPG</t>
  </si>
  <si>
    <t>Hewlett Packard Enterprise Company</t>
  </si>
  <si>
    <t>HPE</t>
  </si>
  <si>
    <t>Dover Corporation</t>
  </si>
  <si>
    <t>DOV</t>
  </si>
  <si>
    <t>The Kraft Heinz Company</t>
  </si>
  <si>
    <t>KHC</t>
  </si>
  <si>
    <t>Broadridge Financial Solutions Inc</t>
  </si>
  <si>
    <t>BR</t>
  </si>
  <si>
    <t>Fortive Corporation</t>
  </si>
  <si>
    <t>FTV</t>
  </si>
  <si>
    <t>Nvr, Inc.</t>
  </si>
  <si>
    <t>NVR</t>
  </si>
  <si>
    <t>T Rowe Price Group Inc</t>
  </si>
  <si>
    <t>TROW</t>
  </si>
  <si>
    <t>Synchrony Financial</t>
  </si>
  <si>
    <t>SYF</t>
  </si>
  <si>
    <t>Eqt Corp</t>
  </si>
  <si>
    <t>EQT</t>
  </si>
  <si>
    <t>Carnival Corporation</t>
  </si>
  <si>
    <t>CCL</t>
  </si>
  <si>
    <t>Mettler-Toledo International</t>
  </si>
  <si>
    <t>MTD</t>
  </si>
  <si>
    <t>Tyler Technologies, Inc.</t>
  </si>
  <si>
    <t>TYL</t>
  </si>
  <si>
    <t>Smurfit Westrock Plc</t>
  </si>
  <si>
    <t>SW</t>
  </si>
  <si>
    <t>The Hershey Company</t>
  </si>
  <si>
    <t>HSY</t>
  </si>
  <si>
    <t>Veralto Corporation</t>
  </si>
  <si>
    <t>VLTO</t>
  </si>
  <si>
    <t>Church &amp; Dwight Co., Inc.</t>
  </si>
  <si>
    <t>CHD</t>
  </si>
  <si>
    <t>Halliburton Company</t>
  </si>
  <si>
    <t>HAL</t>
  </si>
  <si>
    <t>American Water Works Company, Inc</t>
  </si>
  <si>
    <t>AWK</t>
  </si>
  <si>
    <t>Corpay, Inc.</t>
  </si>
  <si>
    <t>CPAY</t>
  </si>
  <si>
    <t>Archer Daniels Midland Company</t>
  </si>
  <si>
    <t>ADM</t>
  </si>
  <si>
    <t>Pultegroup, Inc.</t>
  </si>
  <si>
    <t>PHM</t>
  </si>
  <si>
    <t>Huntington Bancshares Inc</t>
  </si>
  <si>
    <t>HBAN</t>
  </si>
  <si>
    <t>Netapp, Inc</t>
  </si>
  <si>
    <t>NTAP</t>
  </si>
  <si>
    <t>Ventas, Inc.</t>
  </si>
  <si>
    <t>VTR</t>
  </si>
  <si>
    <t>Dte Energy Company</t>
  </si>
  <si>
    <t>DTE</t>
  </si>
  <si>
    <t>Equity Residential</t>
  </si>
  <si>
    <t>EQR</t>
  </si>
  <si>
    <t>Brown &amp; Brown, Inc.</t>
  </si>
  <si>
    <t>BRO</t>
  </si>
  <si>
    <t>Hubbell Incorporated</t>
  </si>
  <si>
    <t>HUBB</t>
  </si>
  <si>
    <t>Ptc, Inc</t>
  </si>
  <si>
    <t>PTC</t>
  </si>
  <si>
    <t>Ppl Corporation</t>
  </si>
  <si>
    <t>PPL</t>
  </si>
  <si>
    <t>Warner Bros. Discovery, Inc. Series a</t>
  </si>
  <si>
    <t>WBD</t>
  </si>
  <si>
    <t>Ameren Corporation</t>
  </si>
  <si>
    <t>AEE</t>
  </si>
  <si>
    <t>Cdw Corporation</t>
  </si>
  <si>
    <t>CDW</t>
  </si>
  <si>
    <t>Expedia Group, Inc.</t>
  </si>
  <si>
    <t>EXPE</t>
  </si>
  <si>
    <t>Cincinnati Financial Corp</t>
  </si>
  <si>
    <t>CINF</t>
  </si>
  <si>
    <t>Regions Financial Corp.</t>
  </si>
  <si>
    <t>RF</t>
  </si>
  <si>
    <t>Sba Communications Corp</t>
  </si>
  <si>
    <t>SBAC</t>
  </si>
  <si>
    <t>West Pharmaceutical Services, Inc.</t>
  </si>
  <si>
    <t>WST</t>
  </si>
  <si>
    <t>Biogen Inc.</t>
  </si>
  <si>
    <t>BIIB</t>
  </si>
  <si>
    <t>Waters Corp</t>
  </si>
  <si>
    <t>WAT</t>
  </si>
  <si>
    <t>Western Digital Corp.</t>
  </si>
  <si>
    <t>WDC</t>
  </si>
  <si>
    <t>Texas Pacific Land Corporation</t>
  </si>
  <si>
    <t>TPL</t>
  </si>
  <si>
    <t>Weyerhaeuser Company</t>
  </si>
  <si>
    <t>WY</t>
  </si>
  <si>
    <t>International Flavors &amp; Fragrances Inc.</t>
  </si>
  <si>
    <t>IFF</t>
  </si>
  <si>
    <t>Teledyne Technologies Incorporated</t>
  </si>
  <si>
    <t>TDY</t>
  </si>
  <si>
    <t>Zimmer Biomet Holdings, Inc.</t>
  </si>
  <si>
    <t>ZBH</t>
  </si>
  <si>
    <t>Devon Energy Corporation</t>
  </si>
  <si>
    <t>DVN</t>
  </si>
  <si>
    <t>Atmos Energy Corporation</t>
  </si>
  <si>
    <t>ATO</t>
  </si>
  <si>
    <t>Kellanova</t>
  </si>
  <si>
    <t>K</t>
  </si>
  <si>
    <t>First Solar, Inc.</t>
  </si>
  <si>
    <t>FSLR</t>
  </si>
  <si>
    <t>Eversource Energy</t>
  </si>
  <si>
    <t>ES</t>
  </si>
  <si>
    <t>Packaging Corp of America</t>
  </si>
  <si>
    <t>PKG</t>
  </si>
  <si>
    <t>Cboe Global Markets, Inc.</t>
  </si>
  <si>
    <t>CBOE</t>
  </si>
  <si>
    <t>Northern Trust Corp</t>
  </si>
  <si>
    <t>NTRS</t>
  </si>
  <si>
    <t>Live Nation Entertainment Inc.</t>
  </si>
  <si>
    <t>LYV</t>
  </si>
  <si>
    <t>Zebra Technologies Corporation</t>
  </si>
  <si>
    <t>ZBRA</t>
  </si>
  <si>
    <t>Citizens Financial Group, Inc.</t>
  </si>
  <si>
    <t>CFG</t>
  </si>
  <si>
    <t>Leidos Holdings, Inc.</t>
  </si>
  <si>
    <t>LDOS</t>
  </si>
  <si>
    <t>Steris Plc</t>
  </si>
  <si>
    <t>STE</t>
  </si>
  <si>
    <t>Seagate Technology Holdings Plcs</t>
  </si>
  <si>
    <t>STX</t>
  </si>
  <si>
    <t>Firstenergy Corp.</t>
  </si>
  <si>
    <t>FE</t>
  </si>
  <si>
    <t>Ulta Beauty, Inc.</t>
  </si>
  <si>
    <t>ULTA</t>
  </si>
  <si>
    <t>Mccormick &amp; Company, Incorporated Non-Vtg Cs</t>
  </si>
  <si>
    <t>MKC</t>
  </si>
  <si>
    <t>Centerpoint Energy, Inc.</t>
  </si>
  <si>
    <t>CNP</t>
  </si>
  <si>
    <t>Clorox Company</t>
  </si>
  <si>
    <t>CLX</t>
  </si>
  <si>
    <t>Southwest Airlines Co.</t>
  </si>
  <si>
    <t>LUV</t>
  </si>
  <si>
    <t>Builders Firstsource, Inc.</t>
  </si>
  <si>
    <t>BLDR</t>
  </si>
  <si>
    <t>Cms Energy Corporation</t>
  </si>
  <si>
    <t>CMS</t>
  </si>
  <si>
    <t>Darden Restaurants, Inc.</t>
  </si>
  <si>
    <t>DRI</t>
  </si>
  <si>
    <t>Lyondellbasell Industries N.v. Class A</t>
  </si>
  <si>
    <t>LYB</t>
  </si>
  <si>
    <t>The Cooper Companies, Inc.</t>
  </si>
  <si>
    <t>COO</t>
  </si>
  <si>
    <t>Nrg Energy, Inc.</t>
  </si>
  <si>
    <t>NRG</t>
  </si>
  <si>
    <t>Teradyne, Inc.</t>
  </si>
  <si>
    <t>TER</t>
  </si>
  <si>
    <t>Super Micro Computer, Inc.</t>
  </si>
  <si>
    <t>SMCI</t>
  </si>
  <si>
    <t>Labcorp Holdings Inc.</t>
  </si>
  <si>
    <t>LH</t>
  </si>
  <si>
    <t>Las Vegas Sands Corp.</t>
  </si>
  <si>
    <t>LVS</t>
  </si>
  <si>
    <t>Steel Dynamics Inc</t>
  </si>
  <si>
    <t>STLD</t>
  </si>
  <si>
    <t>Insulet Corporation</t>
  </si>
  <si>
    <t>PODD</t>
  </si>
  <si>
    <t>Essex Property Trust, Inc</t>
  </si>
  <si>
    <t>ESS</t>
  </si>
  <si>
    <t>Invitation Homes Inc.</t>
  </si>
  <si>
    <t>INVH</t>
  </si>
  <si>
    <t>International Paper Co.</t>
  </si>
  <si>
    <t>IP</t>
  </si>
  <si>
    <t>The Estee Lauder Companies Inc. Class A</t>
  </si>
  <si>
    <t>EL</t>
  </si>
  <si>
    <t>Snap-on Incorporated</t>
  </si>
  <si>
    <t>SNA</t>
  </si>
  <si>
    <t>Coterra Energy Inc.</t>
  </si>
  <si>
    <t>CTRA</t>
  </si>
  <si>
    <t>Factset Research Systems</t>
  </si>
  <si>
    <t>FDS</t>
  </si>
  <si>
    <t>Mid-America Apartment Communities, Inc.</t>
  </si>
  <si>
    <t>MAA</t>
  </si>
  <si>
    <t>W.R. Berkley Corporation</t>
  </si>
  <si>
    <t>WRB</t>
  </si>
  <si>
    <t>Pentair Plc</t>
  </si>
  <si>
    <t>PNR</t>
  </si>
  <si>
    <t>Trimble Inc.</t>
  </si>
  <si>
    <t>TRMB</t>
  </si>
  <si>
    <t>Omnicom Group Inc.</t>
  </si>
  <si>
    <t>OMC</t>
  </si>
  <si>
    <t>Tyson Foods, Inc.</t>
  </si>
  <si>
    <t>TSN</t>
  </si>
  <si>
    <t>Molina Healthcare, Inc.</t>
  </si>
  <si>
    <t>MOH</t>
  </si>
  <si>
    <t>Dollar General Corp.</t>
  </si>
  <si>
    <t>DG</t>
  </si>
  <si>
    <t>Hologic Inc</t>
  </si>
  <si>
    <t>HOLX</t>
  </si>
  <si>
    <t>Ball Corporation</t>
  </si>
  <si>
    <t>BALL</t>
  </si>
  <si>
    <t>Quest Diagnostics Inc.</t>
  </si>
  <si>
    <t>DGX</t>
  </si>
  <si>
    <t>Masco Corporation</t>
  </si>
  <si>
    <t>MAS</t>
  </si>
  <si>
    <t>Idex Corporation</t>
  </si>
  <si>
    <t>IEX</t>
  </si>
  <si>
    <t>Genuine Parts Company</t>
  </si>
  <si>
    <t>GPC</t>
  </si>
  <si>
    <t>Best Buy Company, Inc.</t>
  </si>
  <si>
    <t>BBY</t>
  </si>
  <si>
    <t>Principal Financial Group, Inc.</t>
  </si>
  <si>
    <t>PFG</t>
  </si>
  <si>
    <t>Keycorp</t>
  </si>
  <si>
    <t>KEY</t>
  </si>
  <si>
    <t>Expeditors International of Washington, Inc.</t>
  </si>
  <si>
    <t>EXPD</t>
  </si>
  <si>
    <t>Jacobs Solutions Inc.</t>
  </si>
  <si>
    <t>J</t>
  </si>
  <si>
    <t>Align Technology Inc</t>
  </si>
  <si>
    <t>ALGN</t>
  </si>
  <si>
    <t>Verisign Inc</t>
  </si>
  <si>
    <t>VRSN</t>
  </si>
  <si>
    <t>Nisource Inc.</t>
  </si>
  <si>
    <t>NI</t>
  </si>
  <si>
    <t>Kimco Realty Corp.</t>
  </si>
  <si>
    <t>KIM</t>
  </si>
  <si>
    <t>Gen Digital Inc.</t>
  </si>
  <si>
    <t>GEN</t>
  </si>
  <si>
    <t>Cf Industries Holding, Inc.</t>
  </si>
  <si>
    <t>CF</t>
  </si>
  <si>
    <t>Alexandria Real Estate Equities, Inc.</t>
  </si>
  <si>
    <t>ARE</t>
  </si>
  <si>
    <t>Domino's Pizza Inc.</t>
  </si>
  <si>
    <t>DPZ</t>
  </si>
  <si>
    <t>Avery Dennison Corp.</t>
  </si>
  <si>
    <t>AVY</t>
  </si>
  <si>
    <t>Baxter International Inc.</t>
  </si>
  <si>
    <t>BAX</t>
  </si>
  <si>
    <t>Everest Group, Ltd.</t>
  </si>
  <si>
    <t>EG</t>
  </si>
  <si>
    <t>Aptiv Plc</t>
  </si>
  <si>
    <t>APTV</t>
  </si>
  <si>
    <t>Alliant Energy Corporation</t>
  </si>
  <si>
    <t>LNT</t>
  </si>
  <si>
    <t>Loews Corporation</t>
  </si>
  <si>
    <t>L</t>
  </si>
  <si>
    <t>Textron, Inc.</t>
  </si>
  <si>
    <t>TXT</t>
  </si>
  <si>
    <t>Viatris Inc.</t>
  </si>
  <si>
    <t>VTRS</t>
  </si>
  <si>
    <t>Jabil Inc.</t>
  </si>
  <si>
    <t>JBL</t>
  </si>
  <si>
    <t>Akamai Technologies Inc</t>
  </si>
  <si>
    <t>AKAM</t>
  </si>
  <si>
    <t>F5, Inc.</t>
  </si>
  <si>
    <t>FFIV</t>
  </si>
  <si>
    <t>Healthpeak Properties, Inc.</t>
  </si>
  <si>
    <t>DOC</t>
  </si>
  <si>
    <t>Jb Hunt Transport Services Inc</t>
  </si>
  <si>
    <t>JBHT</t>
  </si>
  <si>
    <t>Moderna, Inc.</t>
  </si>
  <si>
    <t>MRNA</t>
  </si>
  <si>
    <t>Amcor Plcs</t>
  </si>
  <si>
    <t>AMCR</t>
  </si>
  <si>
    <t>Dollar Tree Inc.</t>
  </si>
  <si>
    <t>DLTR</t>
  </si>
  <si>
    <t>Epam Systems, Inc.</t>
  </si>
  <si>
    <t>EPAM</t>
  </si>
  <si>
    <t>Pool Corporation</t>
  </si>
  <si>
    <t>POOL</t>
  </si>
  <si>
    <t>Revvity, Inc.</t>
  </si>
  <si>
    <t>RVTY</t>
  </si>
  <si>
    <t>Tapestry, Inc.</t>
  </si>
  <si>
    <t>TPR</t>
  </si>
  <si>
    <t>Evergy, Inc.</t>
  </si>
  <si>
    <t>EVRG</t>
  </si>
  <si>
    <t>Skyworks Solutions Inc</t>
  </si>
  <si>
    <t>SWKS</t>
  </si>
  <si>
    <t>Rollins, Inc.</t>
  </si>
  <si>
    <t>ROL</t>
  </si>
  <si>
    <t>Carmax Inc.</t>
  </si>
  <si>
    <t>KMX</t>
  </si>
  <si>
    <t>Nordson Corp</t>
  </si>
  <si>
    <t>NDSN</t>
  </si>
  <si>
    <t>Udr, Inc.</t>
  </si>
  <si>
    <t>UDR</t>
  </si>
  <si>
    <t>Host Hotels &amp; Resorts, Inc.</t>
  </si>
  <si>
    <t>HST</t>
  </si>
  <si>
    <t>Conagra Brands, Inc.</t>
  </si>
  <si>
    <t>CAG</t>
  </si>
  <si>
    <t>Henry (Jack) &amp; Associates</t>
  </si>
  <si>
    <t>JKHY</t>
  </si>
  <si>
    <t>Stanley Black &amp; Decker, Inc.</t>
  </si>
  <si>
    <t>SWK</t>
  </si>
  <si>
    <t>Camden Property Trust</t>
  </si>
  <si>
    <t>CPT</t>
  </si>
  <si>
    <t>C.H. Robinson Worldwide, Inc.</t>
  </si>
  <si>
    <t>CHRW</t>
  </si>
  <si>
    <t>Dayforce, Inc.</t>
  </si>
  <si>
    <t>DAY</t>
  </si>
  <si>
    <t>Juniper Networks Inc</t>
  </si>
  <si>
    <t>JNPR</t>
  </si>
  <si>
    <t>Allegion Public Limited Company</t>
  </si>
  <si>
    <t>ALLE</t>
  </si>
  <si>
    <t>Albemarle Corporation</t>
  </si>
  <si>
    <t>ALB</t>
  </si>
  <si>
    <t>Regency Centers Corporation</t>
  </si>
  <si>
    <t>REG</t>
  </si>
  <si>
    <t>Bio-Techne Corp.</t>
  </si>
  <si>
    <t>TECH</t>
  </si>
  <si>
    <t>Norwegian Cruise Line Holdings Ltd.s</t>
  </si>
  <si>
    <t>NCLH</t>
  </si>
  <si>
    <t>The J.M. Smucker Company</t>
  </si>
  <si>
    <t>SJM</t>
  </si>
  <si>
    <t>Bunge Global Sa</t>
  </si>
  <si>
    <t>BG</t>
  </si>
  <si>
    <t>Paycom Software, Inc.</t>
  </si>
  <si>
    <t>PAYC</t>
  </si>
  <si>
    <t>Bxp, Inc.</t>
  </si>
  <si>
    <t>BXP</t>
  </si>
  <si>
    <t>Eastman Chemical Company</t>
  </si>
  <si>
    <t>EMN</t>
  </si>
  <si>
    <t>Incyte Genomics Inc</t>
  </si>
  <si>
    <t>INCY</t>
  </si>
  <si>
    <t>Catalent, Inc.</t>
  </si>
  <si>
    <t>CTLT</t>
  </si>
  <si>
    <t>Universal Health Services, Inc. Class B</t>
  </si>
  <si>
    <t>UHS</t>
  </si>
  <si>
    <t>The Interpublic Group of Companies, Inc.</t>
  </si>
  <si>
    <t>IPG</t>
  </si>
  <si>
    <t>Assurant, Inc.</t>
  </si>
  <si>
    <t>AIZ</t>
  </si>
  <si>
    <t>News Corporation Class A</t>
  </si>
  <si>
    <t>NWSA</t>
  </si>
  <si>
    <t>Molson Coors Beverage Company Class B</t>
  </si>
  <si>
    <t>TAP</t>
  </si>
  <si>
    <t>Lamb Weston Holdings, Inc.</t>
  </si>
  <si>
    <t>LW</t>
  </si>
  <si>
    <t>Fox Corporation Class A</t>
  </si>
  <si>
    <t>FOXA</t>
  </si>
  <si>
    <t>Generac Holdings Inc</t>
  </si>
  <si>
    <t>GNRC</t>
  </si>
  <si>
    <t>Erie Indemnity Co</t>
  </si>
  <si>
    <t>ERIE</t>
  </si>
  <si>
    <t>Lkq Corporation</t>
  </si>
  <si>
    <t>LKQ</t>
  </si>
  <si>
    <t>Pinnacle West Capital Corporation</t>
  </si>
  <si>
    <t>PNW</t>
  </si>
  <si>
    <t>Enphase Energy, Inc.</t>
  </si>
  <si>
    <t>ENPH</t>
  </si>
  <si>
    <t>Charles River Laboratories International, Inc.</t>
  </si>
  <si>
    <t>CRL</t>
  </si>
  <si>
    <t>Henry Schein Inc</t>
  </si>
  <si>
    <t>HSIC</t>
  </si>
  <si>
    <t>Solventum Corporation</t>
  </si>
  <si>
    <t>SOLV</t>
  </si>
  <si>
    <t>Aes Corporation</t>
  </si>
  <si>
    <t>AES</t>
  </si>
  <si>
    <t>Hormel Foods Corporation</t>
  </si>
  <si>
    <t>HRL</t>
  </si>
  <si>
    <t>Globe Life Inc.</t>
  </si>
  <si>
    <t>GL</t>
  </si>
  <si>
    <t>Ralph Lauren Corporation</t>
  </si>
  <si>
    <t>RL</t>
  </si>
  <si>
    <t>Wynn Resorts Ltd</t>
  </si>
  <si>
    <t>WYNN</t>
  </si>
  <si>
    <t>Marketaxess Holdings Inc.</t>
  </si>
  <si>
    <t>MKTX</t>
  </si>
  <si>
    <t>A.O. Smith Corporation</t>
  </si>
  <si>
    <t>AOS</t>
  </si>
  <si>
    <t>Teleflex Incorporated</t>
  </si>
  <si>
    <t>TFX</t>
  </si>
  <si>
    <t>The Mosaic Company</t>
  </si>
  <si>
    <t>MOS</t>
  </si>
  <si>
    <t>Mgm Resorts International</t>
  </si>
  <si>
    <t>MGM</t>
  </si>
  <si>
    <t>The Campbell's Company</t>
  </si>
  <si>
    <t>CPB</t>
  </si>
  <si>
    <t>Federal Realty Investment Trust</t>
  </si>
  <si>
    <t>FRT</t>
  </si>
  <si>
    <t>Hasbro, Inc.</t>
  </si>
  <si>
    <t>HAS</t>
  </si>
  <si>
    <t>Invesco Ltd</t>
  </si>
  <si>
    <t>IVZ</t>
  </si>
  <si>
    <t>Apa Corporation</t>
  </si>
  <si>
    <t>APA</t>
  </si>
  <si>
    <t>Brown-Forman Corporation Class B</t>
  </si>
  <si>
    <t>BF.B</t>
  </si>
  <si>
    <t>Match Group, Inc</t>
  </si>
  <si>
    <t>MTCH</t>
  </si>
  <si>
    <t>Caesars Entertainment, Inc.</t>
  </si>
  <si>
    <t>CZR</t>
  </si>
  <si>
    <t>Borgwarner Inc.</t>
  </si>
  <si>
    <t>BWA</t>
  </si>
  <si>
    <t>Huntington Ingalls Industries, Inc.</t>
  </si>
  <si>
    <t>HII</t>
  </si>
  <si>
    <t>Celanese Corporation</t>
  </si>
  <si>
    <t>CE</t>
  </si>
  <si>
    <t>Davita Inc.</t>
  </si>
  <si>
    <t>DVA</t>
  </si>
  <si>
    <t>Walgreens Boots Alliance, Inc</t>
  </si>
  <si>
    <t>WBA</t>
  </si>
  <si>
    <t>Fmc Corporation</t>
  </si>
  <si>
    <t>FMC</t>
  </si>
  <si>
    <t>Franklin Resources, Inc.</t>
  </si>
  <si>
    <t>BEN</t>
  </si>
  <si>
    <t>Mohawk Industries, Inc.</t>
  </si>
  <si>
    <t>MHK</t>
  </si>
  <si>
    <t>Paramount Global Class B</t>
  </si>
  <si>
    <t>PARA</t>
  </si>
  <si>
    <t>Qorvo, Inc.</t>
  </si>
  <si>
    <t>QRVO</t>
  </si>
  <si>
    <t>Fox Corporation Class B</t>
  </si>
  <si>
    <t>FOX</t>
  </si>
  <si>
    <t>News Corporation Class B</t>
  </si>
  <si>
    <t>NWS</t>
  </si>
  <si>
    <t>Amentum Holdings, Inc.</t>
  </si>
  <si>
    <t>AMTM</t>
  </si>
  <si>
    <t>Total Return</t>
  </si>
  <si>
    <t>on</t>
  </si>
  <si>
    <t>Period High</t>
  </si>
  <si>
    <t>Period Low</t>
  </si>
  <si>
    <t>Asset Ticker</t>
  </si>
  <si>
    <t>Return</t>
  </si>
  <si>
    <t xml:space="preserve">Mutual Funds: </t>
  </si>
  <si>
    <t>Vanguard Total Stock Market Index Fund; Institutional Plus</t>
  </si>
  <si>
    <t>Fidelity 500 Index Fund</t>
  </si>
  <si>
    <t>Vanguard 500 Index Fund;Admiral</t>
  </si>
  <si>
    <t>Vanguard Total Stock Market Index Fund;Admiral</t>
  </si>
  <si>
    <t>Fidelity Government Money Market Fund</t>
  </si>
  <si>
    <t>Vanguard Federal Money Market Fund;Investor</t>
  </si>
  <si>
    <t>Fidelity Government Cash Reserves</t>
  </si>
  <si>
    <t>Goldman Sachs FS Government Fund;Institutional</t>
  </si>
  <si>
    <t>Schwab Value Advantage Money Fund;Investor</t>
  </si>
  <si>
    <t>Vanguard Total International Stock Index Fund;Investor</t>
  </si>
  <si>
    <t>Vanguard 500 Index Fund;Institutional Select</t>
  </si>
  <si>
    <t>Vanguard Institutional Index Fund;Inst Plus</t>
  </si>
  <si>
    <t>JPMorgan US Government Money Market Fund;Capital</t>
  </si>
  <si>
    <t>Morgan Stanley Inst Liq Government Port;Institutional</t>
  </si>
  <si>
    <t>Vanguard Total Bond Market II Index Fund;Institutional</t>
  </si>
  <si>
    <t>BlackRock Liquidity FedFund;Institutional</t>
  </si>
  <si>
    <t>Fidelity Instl Government Portfolio;Institutional</t>
  </si>
  <si>
    <t>BlackRock Liquidity Treasury Trust Fund;Institutional</t>
  </si>
  <si>
    <t>American Funds Growth Fund of America;A</t>
  </si>
  <si>
    <t>Vanguard Total Bond Market II Index Fund;Investor</t>
  </si>
  <si>
    <t>State Street US Government Money Market Fund;Prem</t>
  </si>
  <si>
    <t>Fidelity Strategic Advisers Fidelity US Total Stk</t>
  </si>
  <si>
    <t>Fidelity Contrafund</t>
  </si>
  <si>
    <t>Vanguard Institutional Index Fund;Institutional</t>
  </si>
  <si>
    <t>Vanguard Cash Reserves Federal Money Market Fd;Adm</t>
  </si>
  <si>
    <t>VSMPX</t>
  </si>
  <si>
    <t>FXAIX</t>
  </si>
  <si>
    <t>VFAIX</t>
  </si>
  <si>
    <t>VTSAX</t>
  </si>
  <si>
    <t>SPAXX</t>
  </si>
  <si>
    <t>VFMXX</t>
  </si>
  <si>
    <t>FDRXX</t>
  </si>
  <si>
    <t>FGTXX</t>
  </si>
  <si>
    <t>SWVXX</t>
  </si>
  <si>
    <t>VGTSX</t>
  </si>
  <si>
    <t>VFFSX</t>
  </si>
  <si>
    <t>VIIIX</t>
  </si>
  <si>
    <t>MVRXX</t>
  </si>
  <si>
    <t>OGVXX</t>
  </si>
  <si>
    <t>VTBNX</t>
  </si>
  <si>
    <t>TFDXX</t>
  </si>
  <si>
    <t>FRGXX</t>
  </si>
  <si>
    <t>TTTXX</t>
  </si>
  <si>
    <t>AGTHX</t>
  </si>
  <si>
    <t>VTBIX</t>
  </si>
  <si>
    <t>GVMXX</t>
  </si>
  <si>
    <t>FCDTX</t>
  </si>
  <si>
    <t>FCNTX</t>
  </si>
  <si>
    <t>VINIX</t>
  </si>
  <si>
    <t>VMRXX</t>
  </si>
  <si>
    <t>Mutual Fund</t>
  </si>
  <si>
    <t>Average Rate of Return</t>
  </si>
  <si>
    <t>Period Delta</t>
  </si>
  <si>
    <t>from</t>
  </si>
  <si>
    <t>Quantity</t>
  </si>
  <si>
    <t>Amount</t>
  </si>
  <si>
    <t>Portfolio Analytics</t>
  </si>
  <si>
    <t>Portfolio Builder</t>
  </si>
  <si>
    <t>Total Cost of Portfolio:</t>
  </si>
  <si>
    <t>(Supports up to 100 different securities)</t>
  </si>
  <si>
    <t>Historical Returns</t>
  </si>
  <si>
    <t>6mo-&gt;</t>
  </si>
  <si>
    <t>1y-&gt;</t>
  </si>
  <si>
    <t>Portfolio Beta:</t>
  </si>
  <si>
    <t>Portfolio Deviation:</t>
  </si>
  <si>
    <t>6mo Return:</t>
  </si>
  <si>
    <t>1y Return:</t>
  </si>
  <si>
    <t>5y Return:</t>
  </si>
  <si>
    <t>Calculations</t>
  </si>
  <si>
    <t>% of total portfolio</t>
  </si>
  <si>
    <t>Partial Beta:</t>
  </si>
  <si>
    <t>Weighted Beta</t>
  </si>
  <si>
    <t>Sums</t>
  </si>
  <si>
    <t>St.Dev</t>
  </si>
  <si>
    <t>Weighted St.Dev</t>
  </si>
  <si>
    <t>Portfolio Beta</t>
  </si>
  <si>
    <t>Portfolio Deviation</t>
  </si>
  <si>
    <t>Partial Returns</t>
  </si>
  <si>
    <t>6mo Partials</t>
  </si>
  <si>
    <t>1y Partials</t>
  </si>
  <si>
    <t>5y Partials</t>
  </si>
  <si>
    <t>6mo Portfolio</t>
  </si>
  <si>
    <t>1y Portfolio</t>
  </si>
  <si>
    <t>5y Portfolio</t>
  </si>
  <si>
    <t>Comparative DJI Returns</t>
  </si>
  <si>
    <t>"Returns" Sheet Assets</t>
  </si>
  <si>
    <t>Returns Calculator:</t>
  </si>
  <si>
    <t>Security Validation:</t>
  </si>
  <si>
    <t>Days Subtractable:</t>
  </si>
  <si>
    <t>Emergency in case of Portfolio Builder VBA Bug:</t>
  </si>
  <si>
    <t>6mo S&amp;P</t>
  </si>
  <si>
    <t>1y S&amp;P</t>
  </si>
  <si>
    <t>5y S&amp;P</t>
  </si>
  <si>
    <t>Market Correlation with the S&amp;P 500</t>
  </si>
  <si>
    <t>Correlation with S&amp;P 500</t>
  </si>
  <si>
    <t>5y w/ MoE-&gt;</t>
  </si>
  <si>
    <t>DJI</t>
  </si>
  <si>
    <t>Cryptocurrencies (Beta):</t>
  </si>
  <si>
    <t>Bitcoin</t>
  </si>
  <si>
    <t>Bitcoin Cash</t>
  </si>
  <si>
    <t>Litecoin</t>
  </si>
  <si>
    <t>Ripple</t>
  </si>
  <si>
    <t>Ethereum</t>
  </si>
  <si>
    <t>ETH/USD</t>
  </si>
  <si>
    <t>XRP/USD</t>
  </si>
  <si>
    <t>LTC/USD</t>
  </si>
  <si>
    <t>BCH/USD</t>
  </si>
  <si>
    <t>BTC/USD</t>
  </si>
  <si>
    <t>Crypto</t>
  </si>
  <si>
    <t>Dow-Jones</t>
  </si>
  <si>
    <t>Most Recent -&gt;</t>
  </si>
  <si>
    <t>BTC</t>
  </si>
  <si>
    <t>BCH</t>
  </si>
  <si>
    <t>ETH</t>
  </si>
  <si>
    <t>LTC</t>
  </si>
  <si>
    <t>XRP</t>
  </si>
  <si>
    <t>Most Recent Close:</t>
  </si>
  <si>
    <t>Portfolio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</si>
</sst>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"/>
    <numFmt numFmtId="165" formatCode="0.0000"/>
    <numFmt numFmtId="166" formatCode="0.00;;"/>
    <numFmt numFmtId="167" formatCode="&quot;$&quot;#,##0.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8.5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i/>
      <sz val="13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i/>
      <sz val="9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6">
    <xf numFmtId="0" fontId="0" fillId="0" borderId="0" xfId="0"/>
    <xf numFmtId="0" fontId="2" fillId="2" borderId="1" xfId="0" applyFont="1" applyFill="1" applyBorder="1"/>
    <xf numFmtId="14" fontId="0" fillId="2" borderId="0" xfId="0" applyNumberFormat="1" applyFill="1"/>
    <xf numFmtId="0" fontId="0" fillId="2" borderId="0" xfId="0" applyFill="1"/>
    <xf numFmtId="0" fontId="5" fillId="2" borderId="0" xfId="0" applyFont="1" applyFill="1"/>
    <xf numFmtId="10" fontId="5" fillId="2" borderId="0" xfId="1" applyNumberFormat="1" applyFont="1" applyFill="1" applyBorder="1"/>
    <xf numFmtId="44" fontId="3" fillId="2" borderId="0" xfId="2" applyFont="1" applyFill="1" applyBorder="1"/>
    <xf numFmtId="0" fontId="3" fillId="2" borderId="2" xfId="0" applyFont="1" applyFill="1" applyBorder="1"/>
    <xf numFmtId="0" fontId="5" fillId="2" borderId="2" xfId="0" applyFont="1" applyFill="1" applyBorder="1"/>
    <xf numFmtId="0" fontId="3" fillId="2" borderId="0" xfId="0" applyFont="1" applyFill="1"/>
    <xf numFmtId="2" fontId="4" fillId="2" borderId="0" xfId="0" applyNumberFormat="1" applyFont="1" applyFill="1"/>
    <xf numFmtId="0" fontId="2" fillId="2" borderId="0" xfId="0" applyFont="1" applyFill="1"/>
    <xf numFmtId="10" fontId="5" fillId="2" borderId="0" xfId="1" applyNumberFormat="1" applyFont="1" applyFill="1"/>
    <xf numFmtId="10" fontId="4" fillId="2" borderId="0" xfId="1" applyNumberFormat="1" applyFont="1" applyFill="1"/>
    <xf numFmtId="9" fontId="0" fillId="2" borderId="0" xfId="0" applyNumberFormat="1" applyFill="1"/>
    <xf numFmtId="44" fontId="3" fillId="2" borderId="0" xfId="2" applyFont="1" applyFill="1"/>
    <xf numFmtId="0" fontId="6" fillId="2" borderId="0" xfId="0" applyFont="1" applyFill="1"/>
    <xf numFmtId="2" fontId="3" fillId="2" borderId="0" xfId="0" applyNumberFormat="1" applyFont="1" applyFill="1"/>
    <xf numFmtId="0" fontId="0" fillId="2" borderId="2" xfId="0" applyFill="1" applyBorder="1"/>
    <xf numFmtId="2" fontId="0" fillId="2" borderId="0" xfId="0" applyNumberFormat="1" applyFill="1"/>
    <xf numFmtId="10" fontId="3" fillId="2" borderId="0" xfId="1" applyNumberFormat="1" applyFont="1" applyFill="1"/>
    <xf numFmtId="0" fontId="5" fillId="2" borderId="2" xfId="0" applyFont="1" applyFill="1" applyBorder="1" applyAlignment="1">
      <alignment vertical="top"/>
    </xf>
    <xf numFmtId="0" fontId="4" fillId="2" borderId="0" xfId="0" applyFont="1" applyFill="1"/>
    <xf numFmtId="0" fontId="3" fillId="2" borderId="1" xfId="0" applyFont="1" applyFill="1" applyBorder="1"/>
    <xf numFmtId="14" fontId="3" fillId="2" borderId="1" xfId="0" applyNumberFormat="1" applyFont="1" applyFill="1" applyBorder="1" applyAlignment="1">
      <alignment horizontal="left"/>
    </xf>
    <xf numFmtId="9" fontId="4" fillId="2" borderId="0" xfId="0" applyNumberFormat="1" applyFont="1" applyFill="1" applyAlignment="1">
      <alignment horizontal="right"/>
    </xf>
    <xf numFmtId="44" fontId="3" fillId="2" borderId="0" xfId="0" applyNumberFormat="1" applyFont="1" applyFill="1"/>
    <xf numFmtId="14" fontId="3" fillId="2" borderId="0" xfId="0" applyNumberFormat="1" applyFont="1" applyFill="1" applyAlignment="1">
      <alignment horizontal="left"/>
    </xf>
    <xf numFmtId="14" fontId="3" fillId="2" borderId="0" xfId="0" applyNumberFormat="1" applyFont="1" applyFill="1"/>
    <xf numFmtId="0" fontId="3" fillId="2" borderId="0" xfId="0" applyFont="1" applyFill="1" applyAlignment="1">
      <alignment horizontal="right"/>
    </xf>
    <xf numFmtId="0" fontId="8" fillId="2" borderId="2" xfId="0" applyFont="1" applyFill="1" applyBorder="1"/>
    <xf numFmtId="0" fontId="9" fillId="2" borderId="2" xfId="0" applyFont="1" applyFill="1" applyBorder="1"/>
    <xf numFmtId="0" fontId="10" fillId="2" borderId="2" xfId="0" applyFont="1" applyFill="1" applyBorder="1"/>
    <xf numFmtId="0" fontId="11" fillId="2" borderId="2" xfId="0" applyFont="1" applyFill="1" applyBorder="1"/>
    <xf numFmtId="0" fontId="12" fillId="2" borderId="2" xfId="0" applyFont="1" applyFill="1" applyBorder="1"/>
    <xf numFmtId="0" fontId="13" fillId="2" borderId="0" xfId="0" applyFont="1" applyFill="1"/>
    <xf numFmtId="0" fontId="0" fillId="2" borderId="3" xfId="0" applyFill="1" applyBorder="1"/>
    <xf numFmtId="10" fontId="4" fillId="2" borderId="2" xfId="1" applyNumberFormat="1" applyFont="1" applyFill="1" applyBorder="1"/>
    <xf numFmtId="0" fontId="4" fillId="2" borderId="2" xfId="0" applyFont="1" applyFill="1" applyBorder="1"/>
    <xf numFmtId="44" fontId="15" fillId="2" borderId="0" xfId="2" applyFont="1" applyFill="1" applyBorder="1"/>
    <xf numFmtId="165" fontId="15" fillId="2" borderId="0" xfId="0" applyNumberFormat="1" applyFont="1" applyFill="1"/>
    <xf numFmtId="10" fontId="15" fillId="2" borderId="0" xfId="1" applyNumberFormat="1" applyFont="1" applyFill="1"/>
    <xf numFmtId="0" fontId="0" fillId="2" borderId="0" xfId="0" applyFill="1" applyProtection="1">
      <protection hidden="1"/>
    </xf>
    <xf numFmtId="0" fontId="14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166" fontId="3" fillId="2" borderId="0" xfId="0" applyNumberFormat="1" applyFont="1" applyFill="1"/>
    <xf numFmtId="0" fontId="17" fillId="2" borderId="0" xfId="0" applyFont="1" applyFill="1"/>
    <xf numFmtId="10" fontId="4" fillId="2" borderId="0" xfId="0" applyNumberFormat="1" applyFont="1" applyFill="1"/>
    <xf numFmtId="164" fontId="5" fillId="2" borderId="0" xfId="0" applyNumberFormat="1" applyFont="1" applyFill="1"/>
    <xf numFmtId="2" fontId="5" fillId="2" borderId="0" xfId="0" applyNumberFormat="1" applyFont="1" applyFill="1"/>
    <xf numFmtId="164" fontId="4" fillId="2" borderId="0" xfId="0" applyNumberFormat="1" applyFont="1" applyFill="1"/>
    <xf numFmtId="164" fontId="4" fillId="2" borderId="2" xfId="0" applyNumberFormat="1" applyFont="1" applyFill="1" applyBorder="1"/>
    <xf numFmtId="0" fontId="16" fillId="2" borderId="0" xfId="0" applyFont="1" applyFill="1"/>
    <xf numFmtId="0" fontId="5" fillId="2" borderId="0" xfId="0" applyFont="1" applyFill="1" applyAlignment="1">
      <alignment vertical="top"/>
    </xf>
    <xf numFmtId="10" fontId="5" fillId="2" borderId="0" xfId="0" applyNumberFormat="1" applyFont="1" applyFill="1"/>
    <xf numFmtId="0" fontId="0" fillId="2" borderId="0" xfId="0" applyFill="1" applyAlignment="1">
      <alignment horizontal="right"/>
    </xf>
    <xf numFmtId="0" fontId="19" fillId="2" borderId="0" xfId="0" applyFont="1" applyFill="1"/>
    <xf numFmtId="0" fontId="18" fillId="2" borderId="0" xfId="0" applyFont="1" applyFill="1"/>
    <xf numFmtId="2" fontId="20" fillId="2" borderId="0" xfId="0" applyNumberFormat="1" applyFont="1" applyFill="1"/>
    <xf numFmtId="167" fontId="3" fillId="2" borderId="0" xfId="2" applyNumberFormat="1" applyFont="1" applyFill="1"/>
    <xf numFmtId="167" fontId="3" fillId="2" borderId="0" xfId="0" applyNumberFormat="1" applyFont="1" applyFill="1"/>
    <xf numFmtId="167" fontId="3" fillId="2" borderId="0" xfId="2" applyNumberFormat="1" applyFont="1" applyFill="1" applyBorder="1" applyProtection="1">
      <protection hidden="1"/>
    </xf>
    <xf numFmtId="2" fontId="3" fillId="2" borderId="4" xfId="0" applyNumberFormat="1" applyFont="1" applyFill="1" applyBorder="1"/>
    <xf numFmtId="2" fontId="3" fillId="2" borderId="5" xfId="0" applyNumberFormat="1" applyFont="1" applyFill="1" applyBorder="1"/>
    <xf numFmtId="2" fontId="3" fillId="2" borderId="6" xfId="0" applyNumberFormat="1" applyFont="1" applyFill="1" applyBorder="1"/>
    <xf numFmtId="0" fontId="2" fillId="2" borderId="0" xfId="0" applyFont="1" applyFill="1" applyAlignment="1">
      <alignment horizontal="left"/>
    </xf>
  </cellXfs>
  <cellStyles count="3">
    <cellStyle name="Currency" xfId="2" builtinId="4"/>
    <cellStyle name="Normal" xfId="0" builtinId="0"/>
    <cellStyle name="Percent" xfId="1" builtinId="5"/>
  </cellStyles>
  <dxfs count="7">
    <dxf>
      <font>
        <color theme="9" tint="0.39994506668294322"/>
      </font>
    </dxf>
    <dxf>
      <font>
        <color rgb="FFFF0000"/>
      </font>
    </dxf>
    <dxf>
      <font>
        <color rgb="FFFF0000"/>
      </font>
    </dxf>
    <dxf>
      <font>
        <color theme="9" tint="0.39994506668294322"/>
      </font>
    </dxf>
    <dxf>
      <font>
        <color rgb="FFFF0000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ichStyles" Target="richData/rich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Array" Target="richData/rdarray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17/06/relationships/rdSupportingPropertyBag" Target="richData/rdsupportingpropertybag.xml"/><Relationship Id="rId10" Type="http://schemas.microsoft.com/office/2017/06/relationships/rdRichValue" Target="richData/rdrichvalue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Backdoor!$DC$5</c:f>
              <c:strCache>
                <c:ptCount val="1"/>
                <c:pt idx="0">
                  <c:v>BRO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Backdoor!$DB$6:$DB$777</c:f>
              <c:numCache>
                <c:formatCode>m/d/yyyy</c:formatCode>
                <c:ptCount val="772"/>
                <c:pt idx="0">
                  <c:v>40225</c:v>
                </c:pt>
                <c:pt idx="1">
                  <c:v>40231</c:v>
                </c:pt>
                <c:pt idx="2">
                  <c:v>40238</c:v>
                </c:pt>
                <c:pt idx="3">
                  <c:v>40245</c:v>
                </c:pt>
                <c:pt idx="4">
                  <c:v>40252</c:v>
                </c:pt>
                <c:pt idx="5">
                  <c:v>40259</c:v>
                </c:pt>
                <c:pt idx="6">
                  <c:v>40266</c:v>
                </c:pt>
                <c:pt idx="7">
                  <c:v>40273</c:v>
                </c:pt>
                <c:pt idx="8">
                  <c:v>40280</c:v>
                </c:pt>
                <c:pt idx="9">
                  <c:v>40287</c:v>
                </c:pt>
                <c:pt idx="10">
                  <c:v>40294</c:v>
                </c:pt>
                <c:pt idx="11">
                  <c:v>40301</c:v>
                </c:pt>
                <c:pt idx="12">
                  <c:v>40308</c:v>
                </c:pt>
                <c:pt idx="13">
                  <c:v>40315</c:v>
                </c:pt>
                <c:pt idx="14">
                  <c:v>40322</c:v>
                </c:pt>
                <c:pt idx="15">
                  <c:v>40330</c:v>
                </c:pt>
                <c:pt idx="16">
                  <c:v>40336</c:v>
                </c:pt>
                <c:pt idx="17">
                  <c:v>40343</c:v>
                </c:pt>
                <c:pt idx="18">
                  <c:v>40350</c:v>
                </c:pt>
                <c:pt idx="19">
                  <c:v>40357</c:v>
                </c:pt>
                <c:pt idx="20">
                  <c:v>40365</c:v>
                </c:pt>
                <c:pt idx="21">
                  <c:v>40371</c:v>
                </c:pt>
                <c:pt idx="22">
                  <c:v>40378</c:v>
                </c:pt>
                <c:pt idx="23">
                  <c:v>40385</c:v>
                </c:pt>
                <c:pt idx="24">
                  <c:v>40392</c:v>
                </c:pt>
                <c:pt idx="25">
                  <c:v>40399</c:v>
                </c:pt>
                <c:pt idx="26">
                  <c:v>40406</c:v>
                </c:pt>
                <c:pt idx="27">
                  <c:v>40413</c:v>
                </c:pt>
                <c:pt idx="28">
                  <c:v>40420</c:v>
                </c:pt>
                <c:pt idx="29">
                  <c:v>40428</c:v>
                </c:pt>
                <c:pt idx="30">
                  <c:v>40434</c:v>
                </c:pt>
                <c:pt idx="31">
                  <c:v>40441</c:v>
                </c:pt>
                <c:pt idx="32">
                  <c:v>40448</c:v>
                </c:pt>
                <c:pt idx="33">
                  <c:v>40455</c:v>
                </c:pt>
                <c:pt idx="34">
                  <c:v>40462</c:v>
                </c:pt>
                <c:pt idx="35">
                  <c:v>40469</c:v>
                </c:pt>
                <c:pt idx="36">
                  <c:v>40476</c:v>
                </c:pt>
                <c:pt idx="37">
                  <c:v>40483</c:v>
                </c:pt>
                <c:pt idx="38">
                  <c:v>40490</c:v>
                </c:pt>
                <c:pt idx="39">
                  <c:v>40497</c:v>
                </c:pt>
                <c:pt idx="40">
                  <c:v>40504</c:v>
                </c:pt>
                <c:pt idx="41">
                  <c:v>40511</c:v>
                </c:pt>
                <c:pt idx="42">
                  <c:v>40518</c:v>
                </c:pt>
                <c:pt idx="43">
                  <c:v>40525</c:v>
                </c:pt>
                <c:pt idx="44">
                  <c:v>40532</c:v>
                </c:pt>
                <c:pt idx="45">
                  <c:v>40539</c:v>
                </c:pt>
                <c:pt idx="46">
                  <c:v>40546</c:v>
                </c:pt>
                <c:pt idx="47">
                  <c:v>40553</c:v>
                </c:pt>
                <c:pt idx="48">
                  <c:v>40561</c:v>
                </c:pt>
                <c:pt idx="49">
                  <c:v>40567</c:v>
                </c:pt>
                <c:pt idx="50">
                  <c:v>40574</c:v>
                </c:pt>
                <c:pt idx="51">
                  <c:v>40581</c:v>
                </c:pt>
                <c:pt idx="52">
                  <c:v>40588</c:v>
                </c:pt>
                <c:pt idx="53">
                  <c:v>40596</c:v>
                </c:pt>
                <c:pt idx="54">
                  <c:v>40602</c:v>
                </c:pt>
                <c:pt idx="55">
                  <c:v>40609</c:v>
                </c:pt>
                <c:pt idx="56">
                  <c:v>40616</c:v>
                </c:pt>
                <c:pt idx="57">
                  <c:v>40623</c:v>
                </c:pt>
                <c:pt idx="58">
                  <c:v>40630</c:v>
                </c:pt>
                <c:pt idx="59">
                  <c:v>40637</c:v>
                </c:pt>
                <c:pt idx="60">
                  <c:v>40644</c:v>
                </c:pt>
                <c:pt idx="61">
                  <c:v>40651</c:v>
                </c:pt>
                <c:pt idx="62">
                  <c:v>40658</c:v>
                </c:pt>
                <c:pt idx="63">
                  <c:v>40665</c:v>
                </c:pt>
                <c:pt idx="64">
                  <c:v>40672</c:v>
                </c:pt>
                <c:pt idx="65">
                  <c:v>40679</c:v>
                </c:pt>
                <c:pt idx="66">
                  <c:v>40686</c:v>
                </c:pt>
                <c:pt idx="67">
                  <c:v>40694</c:v>
                </c:pt>
                <c:pt idx="68">
                  <c:v>40700</c:v>
                </c:pt>
                <c:pt idx="69">
                  <c:v>40707</c:v>
                </c:pt>
                <c:pt idx="70">
                  <c:v>40714</c:v>
                </c:pt>
                <c:pt idx="71">
                  <c:v>40721</c:v>
                </c:pt>
                <c:pt idx="72">
                  <c:v>40729</c:v>
                </c:pt>
                <c:pt idx="73">
                  <c:v>40735</c:v>
                </c:pt>
                <c:pt idx="74">
                  <c:v>40742</c:v>
                </c:pt>
                <c:pt idx="75">
                  <c:v>40749</c:v>
                </c:pt>
                <c:pt idx="76">
                  <c:v>40756</c:v>
                </c:pt>
                <c:pt idx="77">
                  <c:v>40763</c:v>
                </c:pt>
                <c:pt idx="78">
                  <c:v>40770</c:v>
                </c:pt>
                <c:pt idx="79">
                  <c:v>40777</c:v>
                </c:pt>
                <c:pt idx="80">
                  <c:v>40784</c:v>
                </c:pt>
                <c:pt idx="81">
                  <c:v>40792</c:v>
                </c:pt>
                <c:pt idx="82">
                  <c:v>40798</c:v>
                </c:pt>
                <c:pt idx="83">
                  <c:v>40805</c:v>
                </c:pt>
                <c:pt idx="84">
                  <c:v>40812</c:v>
                </c:pt>
                <c:pt idx="85">
                  <c:v>40819</c:v>
                </c:pt>
                <c:pt idx="86">
                  <c:v>40826</c:v>
                </c:pt>
                <c:pt idx="87">
                  <c:v>40833</c:v>
                </c:pt>
                <c:pt idx="88">
                  <c:v>40840</c:v>
                </c:pt>
                <c:pt idx="89">
                  <c:v>40847</c:v>
                </c:pt>
                <c:pt idx="90">
                  <c:v>40854</c:v>
                </c:pt>
                <c:pt idx="91">
                  <c:v>40861</c:v>
                </c:pt>
                <c:pt idx="92">
                  <c:v>40868</c:v>
                </c:pt>
                <c:pt idx="93">
                  <c:v>40875</c:v>
                </c:pt>
                <c:pt idx="94">
                  <c:v>40882</c:v>
                </c:pt>
                <c:pt idx="95">
                  <c:v>40889</c:v>
                </c:pt>
                <c:pt idx="96">
                  <c:v>40896</c:v>
                </c:pt>
                <c:pt idx="97">
                  <c:v>40904</c:v>
                </c:pt>
                <c:pt idx="98">
                  <c:v>40911</c:v>
                </c:pt>
                <c:pt idx="99">
                  <c:v>40917</c:v>
                </c:pt>
                <c:pt idx="100">
                  <c:v>40925</c:v>
                </c:pt>
                <c:pt idx="101">
                  <c:v>40931</c:v>
                </c:pt>
                <c:pt idx="102">
                  <c:v>40938</c:v>
                </c:pt>
                <c:pt idx="103">
                  <c:v>40945</c:v>
                </c:pt>
                <c:pt idx="104">
                  <c:v>40952</c:v>
                </c:pt>
                <c:pt idx="105">
                  <c:v>40960</c:v>
                </c:pt>
                <c:pt idx="106">
                  <c:v>40966</c:v>
                </c:pt>
                <c:pt idx="107">
                  <c:v>40973</c:v>
                </c:pt>
                <c:pt idx="108">
                  <c:v>40980</c:v>
                </c:pt>
                <c:pt idx="109">
                  <c:v>40987</c:v>
                </c:pt>
                <c:pt idx="110">
                  <c:v>40994</c:v>
                </c:pt>
                <c:pt idx="111">
                  <c:v>41001</c:v>
                </c:pt>
                <c:pt idx="112">
                  <c:v>41008</c:v>
                </c:pt>
                <c:pt idx="113">
                  <c:v>41015</c:v>
                </c:pt>
                <c:pt idx="114">
                  <c:v>41022</c:v>
                </c:pt>
                <c:pt idx="115">
                  <c:v>41029</c:v>
                </c:pt>
                <c:pt idx="116">
                  <c:v>41036</c:v>
                </c:pt>
                <c:pt idx="117">
                  <c:v>41043</c:v>
                </c:pt>
                <c:pt idx="118">
                  <c:v>41050</c:v>
                </c:pt>
                <c:pt idx="119">
                  <c:v>41058</c:v>
                </c:pt>
                <c:pt idx="120">
                  <c:v>41064</c:v>
                </c:pt>
                <c:pt idx="121">
                  <c:v>41071</c:v>
                </c:pt>
                <c:pt idx="122">
                  <c:v>41078</c:v>
                </c:pt>
                <c:pt idx="123">
                  <c:v>41085</c:v>
                </c:pt>
                <c:pt idx="124">
                  <c:v>41092</c:v>
                </c:pt>
                <c:pt idx="125">
                  <c:v>41099</c:v>
                </c:pt>
                <c:pt idx="126">
                  <c:v>41106</c:v>
                </c:pt>
                <c:pt idx="127">
                  <c:v>41113</c:v>
                </c:pt>
                <c:pt idx="128">
                  <c:v>41120</c:v>
                </c:pt>
                <c:pt idx="129">
                  <c:v>41127</c:v>
                </c:pt>
                <c:pt idx="130">
                  <c:v>41134</c:v>
                </c:pt>
                <c:pt idx="131">
                  <c:v>41141</c:v>
                </c:pt>
                <c:pt idx="132">
                  <c:v>41148</c:v>
                </c:pt>
                <c:pt idx="133">
                  <c:v>41156</c:v>
                </c:pt>
                <c:pt idx="134">
                  <c:v>41162</c:v>
                </c:pt>
                <c:pt idx="135">
                  <c:v>41169</c:v>
                </c:pt>
                <c:pt idx="136">
                  <c:v>41176</c:v>
                </c:pt>
                <c:pt idx="137">
                  <c:v>41183</c:v>
                </c:pt>
                <c:pt idx="138">
                  <c:v>41190</c:v>
                </c:pt>
                <c:pt idx="139">
                  <c:v>41197</c:v>
                </c:pt>
                <c:pt idx="140">
                  <c:v>41204</c:v>
                </c:pt>
                <c:pt idx="141">
                  <c:v>41213</c:v>
                </c:pt>
                <c:pt idx="142">
                  <c:v>41218</c:v>
                </c:pt>
                <c:pt idx="143">
                  <c:v>41225</c:v>
                </c:pt>
                <c:pt idx="144">
                  <c:v>41232</c:v>
                </c:pt>
                <c:pt idx="145">
                  <c:v>41239</c:v>
                </c:pt>
                <c:pt idx="146">
                  <c:v>41246</c:v>
                </c:pt>
                <c:pt idx="147">
                  <c:v>41253</c:v>
                </c:pt>
                <c:pt idx="148">
                  <c:v>41260</c:v>
                </c:pt>
                <c:pt idx="149">
                  <c:v>41267</c:v>
                </c:pt>
                <c:pt idx="150">
                  <c:v>41274</c:v>
                </c:pt>
                <c:pt idx="151">
                  <c:v>41281</c:v>
                </c:pt>
                <c:pt idx="152">
                  <c:v>41288</c:v>
                </c:pt>
                <c:pt idx="153">
                  <c:v>41296</c:v>
                </c:pt>
                <c:pt idx="154">
                  <c:v>41302</c:v>
                </c:pt>
                <c:pt idx="155">
                  <c:v>41309</c:v>
                </c:pt>
                <c:pt idx="156">
                  <c:v>41316</c:v>
                </c:pt>
                <c:pt idx="157">
                  <c:v>41324</c:v>
                </c:pt>
                <c:pt idx="158">
                  <c:v>41330</c:v>
                </c:pt>
                <c:pt idx="159">
                  <c:v>41337</c:v>
                </c:pt>
                <c:pt idx="160">
                  <c:v>41344</c:v>
                </c:pt>
                <c:pt idx="161">
                  <c:v>41351</c:v>
                </c:pt>
                <c:pt idx="162">
                  <c:v>41358</c:v>
                </c:pt>
                <c:pt idx="163">
                  <c:v>41365</c:v>
                </c:pt>
                <c:pt idx="164">
                  <c:v>41372</c:v>
                </c:pt>
                <c:pt idx="165">
                  <c:v>41379</c:v>
                </c:pt>
                <c:pt idx="166">
                  <c:v>41386</c:v>
                </c:pt>
                <c:pt idx="167">
                  <c:v>41393</c:v>
                </c:pt>
                <c:pt idx="168">
                  <c:v>41400</c:v>
                </c:pt>
                <c:pt idx="169">
                  <c:v>41407</c:v>
                </c:pt>
                <c:pt idx="170">
                  <c:v>41414</c:v>
                </c:pt>
                <c:pt idx="171">
                  <c:v>41422</c:v>
                </c:pt>
                <c:pt idx="172">
                  <c:v>41428</c:v>
                </c:pt>
                <c:pt idx="173">
                  <c:v>41435</c:v>
                </c:pt>
                <c:pt idx="174">
                  <c:v>41442</c:v>
                </c:pt>
                <c:pt idx="175">
                  <c:v>41449</c:v>
                </c:pt>
                <c:pt idx="176">
                  <c:v>41456</c:v>
                </c:pt>
                <c:pt idx="177">
                  <c:v>41463</c:v>
                </c:pt>
                <c:pt idx="178">
                  <c:v>41470</c:v>
                </c:pt>
                <c:pt idx="179">
                  <c:v>41477</c:v>
                </c:pt>
                <c:pt idx="180">
                  <c:v>41484</c:v>
                </c:pt>
                <c:pt idx="181">
                  <c:v>41491</c:v>
                </c:pt>
                <c:pt idx="182">
                  <c:v>41498</c:v>
                </c:pt>
                <c:pt idx="183">
                  <c:v>41505</c:v>
                </c:pt>
                <c:pt idx="184">
                  <c:v>41512</c:v>
                </c:pt>
                <c:pt idx="185">
                  <c:v>41520</c:v>
                </c:pt>
                <c:pt idx="186">
                  <c:v>41526</c:v>
                </c:pt>
                <c:pt idx="187">
                  <c:v>41533</c:v>
                </c:pt>
                <c:pt idx="188">
                  <c:v>41540</c:v>
                </c:pt>
                <c:pt idx="189">
                  <c:v>41547</c:v>
                </c:pt>
                <c:pt idx="190">
                  <c:v>41554</c:v>
                </c:pt>
                <c:pt idx="191">
                  <c:v>41561</c:v>
                </c:pt>
                <c:pt idx="192">
                  <c:v>41568</c:v>
                </c:pt>
                <c:pt idx="193">
                  <c:v>41575</c:v>
                </c:pt>
                <c:pt idx="194">
                  <c:v>41582</c:v>
                </c:pt>
                <c:pt idx="195">
                  <c:v>41589</c:v>
                </c:pt>
                <c:pt idx="196">
                  <c:v>41596</c:v>
                </c:pt>
                <c:pt idx="197">
                  <c:v>41603</c:v>
                </c:pt>
                <c:pt idx="198">
                  <c:v>41610</c:v>
                </c:pt>
                <c:pt idx="199">
                  <c:v>41617</c:v>
                </c:pt>
                <c:pt idx="200">
                  <c:v>41624</c:v>
                </c:pt>
                <c:pt idx="201">
                  <c:v>41631</c:v>
                </c:pt>
                <c:pt idx="202">
                  <c:v>41638</c:v>
                </c:pt>
                <c:pt idx="203">
                  <c:v>41645</c:v>
                </c:pt>
                <c:pt idx="204">
                  <c:v>41652</c:v>
                </c:pt>
                <c:pt idx="205">
                  <c:v>41660</c:v>
                </c:pt>
                <c:pt idx="206">
                  <c:v>41666</c:v>
                </c:pt>
                <c:pt idx="207">
                  <c:v>41673</c:v>
                </c:pt>
                <c:pt idx="208">
                  <c:v>41680</c:v>
                </c:pt>
                <c:pt idx="209">
                  <c:v>41688</c:v>
                </c:pt>
                <c:pt idx="210">
                  <c:v>41694</c:v>
                </c:pt>
                <c:pt idx="211">
                  <c:v>41701</c:v>
                </c:pt>
                <c:pt idx="212">
                  <c:v>41708</c:v>
                </c:pt>
                <c:pt idx="213">
                  <c:v>41715</c:v>
                </c:pt>
                <c:pt idx="214">
                  <c:v>41722</c:v>
                </c:pt>
                <c:pt idx="215">
                  <c:v>41729</c:v>
                </c:pt>
                <c:pt idx="216">
                  <c:v>41736</c:v>
                </c:pt>
                <c:pt idx="217">
                  <c:v>41743</c:v>
                </c:pt>
                <c:pt idx="218">
                  <c:v>41750</c:v>
                </c:pt>
                <c:pt idx="219">
                  <c:v>41757</c:v>
                </c:pt>
                <c:pt idx="220">
                  <c:v>41764</c:v>
                </c:pt>
                <c:pt idx="221">
                  <c:v>41771</c:v>
                </c:pt>
                <c:pt idx="222">
                  <c:v>41778</c:v>
                </c:pt>
                <c:pt idx="223">
                  <c:v>41786</c:v>
                </c:pt>
                <c:pt idx="224">
                  <c:v>41792</c:v>
                </c:pt>
                <c:pt idx="225">
                  <c:v>41799</c:v>
                </c:pt>
                <c:pt idx="226">
                  <c:v>41806</c:v>
                </c:pt>
                <c:pt idx="227">
                  <c:v>41813</c:v>
                </c:pt>
                <c:pt idx="228">
                  <c:v>41820</c:v>
                </c:pt>
                <c:pt idx="229">
                  <c:v>41827</c:v>
                </c:pt>
                <c:pt idx="230">
                  <c:v>41834</c:v>
                </c:pt>
                <c:pt idx="231">
                  <c:v>41841</c:v>
                </c:pt>
                <c:pt idx="232">
                  <c:v>41848</c:v>
                </c:pt>
                <c:pt idx="233">
                  <c:v>41855</c:v>
                </c:pt>
                <c:pt idx="234">
                  <c:v>41862</c:v>
                </c:pt>
                <c:pt idx="235">
                  <c:v>41869</c:v>
                </c:pt>
                <c:pt idx="236">
                  <c:v>41876</c:v>
                </c:pt>
                <c:pt idx="237">
                  <c:v>41884</c:v>
                </c:pt>
                <c:pt idx="238">
                  <c:v>41890</c:v>
                </c:pt>
                <c:pt idx="239">
                  <c:v>41897</c:v>
                </c:pt>
                <c:pt idx="240">
                  <c:v>41904</c:v>
                </c:pt>
                <c:pt idx="241">
                  <c:v>41911</c:v>
                </c:pt>
                <c:pt idx="242">
                  <c:v>41918</c:v>
                </c:pt>
                <c:pt idx="243">
                  <c:v>41925</c:v>
                </c:pt>
                <c:pt idx="244">
                  <c:v>41932</c:v>
                </c:pt>
                <c:pt idx="245">
                  <c:v>41939</c:v>
                </c:pt>
                <c:pt idx="246">
                  <c:v>41946</c:v>
                </c:pt>
                <c:pt idx="247">
                  <c:v>41953</c:v>
                </c:pt>
                <c:pt idx="248">
                  <c:v>41960</c:v>
                </c:pt>
                <c:pt idx="249">
                  <c:v>41967</c:v>
                </c:pt>
                <c:pt idx="250">
                  <c:v>41974</c:v>
                </c:pt>
                <c:pt idx="251">
                  <c:v>41981</c:v>
                </c:pt>
                <c:pt idx="252">
                  <c:v>41988</c:v>
                </c:pt>
                <c:pt idx="253">
                  <c:v>42009</c:v>
                </c:pt>
                <c:pt idx="254">
                  <c:v>42052</c:v>
                </c:pt>
                <c:pt idx="255">
                  <c:v>42058</c:v>
                </c:pt>
                <c:pt idx="256">
                  <c:v>42065</c:v>
                </c:pt>
                <c:pt idx="257">
                  <c:v>42072</c:v>
                </c:pt>
                <c:pt idx="258">
                  <c:v>42079</c:v>
                </c:pt>
                <c:pt idx="259">
                  <c:v>42086</c:v>
                </c:pt>
                <c:pt idx="260">
                  <c:v>42093</c:v>
                </c:pt>
                <c:pt idx="261">
                  <c:v>42100</c:v>
                </c:pt>
                <c:pt idx="262">
                  <c:v>42107</c:v>
                </c:pt>
                <c:pt idx="263">
                  <c:v>42114</c:v>
                </c:pt>
                <c:pt idx="264">
                  <c:v>42121</c:v>
                </c:pt>
                <c:pt idx="265">
                  <c:v>42128</c:v>
                </c:pt>
                <c:pt idx="266">
                  <c:v>42135</c:v>
                </c:pt>
                <c:pt idx="267">
                  <c:v>42142</c:v>
                </c:pt>
                <c:pt idx="268">
                  <c:v>42150</c:v>
                </c:pt>
                <c:pt idx="269">
                  <c:v>42156</c:v>
                </c:pt>
                <c:pt idx="270">
                  <c:v>42163</c:v>
                </c:pt>
                <c:pt idx="271">
                  <c:v>42170</c:v>
                </c:pt>
                <c:pt idx="272">
                  <c:v>42177</c:v>
                </c:pt>
                <c:pt idx="273">
                  <c:v>42184</c:v>
                </c:pt>
                <c:pt idx="274">
                  <c:v>42191</c:v>
                </c:pt>
                <c:pt idx="275">
                  <c:v>42198</c:v>
                </c:pt>
                <c:pt idx="276">
                  <c:v>42205</c:v>
                </c:pt>
                <c:pt idx="277">
                  <c:v>42212</c:v>
                </c:pt>
                <c:pt idx="278">
                  <c:v>42219</c:v>
                </c:pt>
                <c:pt idx="279">
                  <c:v>42226</c:v>
                </c:pt>
                <c:pt idx="280">
                  <c:v>42233</c:v>
                </c:pt>
                <c:pt idx="281">
                  <c:v>42240</c:v>
                </c:pt>
                <c:pt idx="282">
                  <c:v>42247</c:v>
                </c:pt>
                <c:pt idx="283">
                  <c:v>42255</c:v>
                </c:pt>
                <c:pt idx="284">
                  <c:v>42261</c:v>
                </c:pt>
                <c:pt idx="285">
                  <c:v>42268</c:v>
                </c:pt>
                <c:pt idx="286">
                  <c:v>42275</c:v>
                </c:pt>
                <c:pt idx="287">
                  <c:v>42282</c:v>
                </c:pt>
                <c:pt idx="288">
                  <c:v>42310</c:v>
                </c:pt>
                <c:pt idx="289">
                  <c:v>42317</c:v>
                </c:pt>
                <c:pt idx="290">
                  <c:v>42324</c:v>
                </c:pt>
                <c:pt idx="291">
                  <c:v>42331</c:v>
                </c:pt>
                <c:pt idx="292">
                  <c:v>42338</c:v>
                </c:pt>
                <c:pt idx="293">
                  <c:v>42345</c:v>
                </c:pt>
                <c:pt idx="294">
                  <c:v>42352</c:v>
                </c:pt>
                <c:pt idx="295">
                  <c:v>42359</c:v>
                </c:pt>
                <c:pt idx="296">
                  <c:v>42366</c:v>
                </c:pt>
                <c:pt idx="297">
                  <c:v>42373</c:v>
                </c:pt>
                <c:pt idx="298">
                  <c:v>42380</c:v>
                </c:pt>
                <c:pt idx="299">
                  <c:v>42388</c:v>
                </c:pt>
                <c:pt idx="300">
                  <c:v>42394</c:v>
                </c:pt>
                <c:pt idx="301">
                  <c:v>42401</c:v>
                </c:pt>
                <c:pt idx="302">
                  <c:v>42408</c:v>
                </c:pt>
                <c:pt idx="303">
                  <c:v>42416</c:v>
                </c:pt>
                <c:pt idx="304">
                  <c:v>42422</c:v>
                </c:pt>
                <c:pt idx="305">
                  <c:v>42429</c:v>
                </c:pt>
                <c:pt idx="306">
                  <c:v>42436</c:v>
                </c:pt>
                <c:pt idx="307">
                  <c:v>42443</c:v>
                </c:pt>
                <c:pt idx="308">
                  <c:v>42450</c:v>
                </c:pt>
                <c:pt idx="309">
                  <c:v>42457</c:v>
                </c:pt>
                <c:pt idx="310">
                  <c:v>42464</c:v>
                </c:pt>
                <c:pt idx="311">
                  <c:v>42471</c:v>
                </c:pt>
                <c:pt idx="312">
                  <c:v>42478</c:v>
                </c:pt>
                <c:pt idx="313">
                  <c:v>42485</c:v>
                </c:pt>
                <c:pt idx="314">
                  <c:v>42492</c:v>
                </c:pt>
                <c:pt idx="315">
                  <c:v>42499</c:v>
                </c:pt>
                <c:pt idx="316">
                  <c:v>42506</c:v>
                </c:pt>
                <c:pt idx="317">
                  <c:v>42513</c:v>
                </c:pt>
                <c:pt idx="318">
                  <c:v>42521</c:v>
                </c:pt>
                <c:pt idx="319">
                  <c:v>42527</c:v>
                </c:pt>
                <c:pt idx="320">
                  <c:v>42534</c:v>
                </c:pt>
                <c:pt idx="321">
                  <c:v>42541</c:v>
                </c:pt>
                <c:pt idx="322">
                  <c:v>42548</c:v>
                </c:pt>
                <c:pt idx="323">
                  <c:v>42556</c:v>
                </c:pt>
                <c:pt idx="324">
                  <c:v>42562</c:v>
                </c:pt>
                <c:pt idx="325">
                  <c:v>42569</c:v>
                </c:pt>
                <c:pt idx="326">
                  <c:v>42576</c:v>
                </c:pt>
                <c:pt idx="327">
                  <c:v>42583</c:v>
                </c:pt>
                <c:pt idx="328">
                  <c:v>42590</c:v>
                </c:pt>
                <c:pt idx="329">
                  <c:v>42597</c:v>
                </c:pt>
                <c:pt idx="330">
                  <c:v>42604</c:v>
                </c:pt>
                <c:pt idx="331">
                  <c:v>42611</c:v>
                </c:pt>
                <c:pt idx="332">
                  <c:v>42619</c:v>
                </c:pt>
                <c:pt idx="333">
                  <c:v>42625</c:v>
                </c:pt>
                <c:pt idx="334">
                  <c:v>42632</c:v>
                </c:pt>
                <c:pt idx="335">
                  <c:v>42639</c:v>
                </c:pt>
                <c:pt idx="336">
                  <c:v>42646</c:v>
                </c:pt>
                <c:pt idx="337">
                  <c:v>42653</c:v>
                </c:pt>
                <c:pt idx="338">
                  <c:v>42660</c:v>
                </c:pt>
                <c:pt idx="339">
                  <c:v>42667</c:v>
                </c:pt>
                <c:pt idx="340">
                  <c:v>42674</c:v>
                </c:pt>
                <c:pt idx="341">
                  <c:v>42681</c:v>
                </c:pt>
                <c:pt idx="342">
                  <c:v>42688</c:v>
                </c:pt>
                <c:pt idx="343">
                  <c:v>42695</c:v>
                </c:pt>
                <c:pt idx="344">
                  <c:v>42702</c:v>
                </c:pt>
                <c:pt idx="345">
                  <c:v>42709</c:v>
                </c:pt>
                <c:pt idx="346">
                  <c:v>42716</c:v>
                </c:pt>
                <c:pt idx="347">
                  <c:v>42723</c:v>
                </c:pt>
                <c:pt idx="348">
                  <c:v>42731</c:v>
                </c:pt>
                <c:pt idx="349">
                  <c:v>42738</c:v>
                </c:pt>
                <c:pt idx="350">
                  <c:v>42744</c:v>
                </c:pt>
                <c:pt idx="351">
                  <c:v>42752</c:v>
                </c:pt>
                <c:pt idx="352">
                  <c:v>42758</c:v>
                </c:pt>
                <c:pt idx="353">
                  <c:v>42765</c:v>
                </c:pt>
                <c:pt idx="354">
                  <c:v>42772</c:v>
                </c:pt>
                <c:pt idx="355">
                  <c:v>42779</c:v>
                </c:pt>
                <c:pt idx="356">
                  <c:v>42787</c:v>
                </c:pt>
                <c:pt idx="357">
                  <c:v>42793</c:v>
                </c:pt>
                <c:pt idx="358">
                  <c:v>42800</c:v>
                </c:pt>
                <c:pt idx="359">
                  <c:v>42807</c:v>
                </c:pt>
                <c:pt idx="360">
                  <c:v>42814</c:v>
                </c:pt>
                <c:pt idx="361">
                  <c:v>42821</c:v>
                </c:pt>
                <c:pt idx="362">
                  <c:v>42828</c:v>
                </c:pt>
                <c:pt idx="363">
                  <c:v>42835</c:v>
                </c:pt>
                <c:pt idx="364">
                  <c:v>42842</c:v>
                </c:pt>
                <c:pt idx="365">
                  <c:v>42849</c:v>
                </c:pt>
                <c:pt idx="366">
                  <c:v>42856</c:v>
                </c:pt>
                <c:pt idx="367">
                  <c:v>42863</c:v>
                </c:pt>
                <c:pt idx="368">
                  <c:v>42870</c:v>
                </c:pt>
                <c:pt idx="369">
                  <c:v>42877</c:v>
                </c:pt>
                <c:pt idx="370">
                  <c:v>42885</c:v>
                </c:pt>
                <c:pt idx="371">
                  <c:v>42891</c:v>
                </c:pt>
                <c:pt idx="372">
                  <c:v>42898</c:v>
                </c:pt>
                <c:pt idx="373">
                  <c:v>42905</c:v>
                </c:pt>
                <c:pt idx="374">
                  <c:v>42912</c:v>
                </c:pt>
                <c:pt idx="375">
                  <c:v>42919</c:v>
                </c:pt>
                <c:pt idx="376">
                  <c:v>42926</c:v>
                </c:pt>
                <c:pt idx="377">
                  <c:v>42933</c:v>
                </c:pt>
                <c:pt idx="378">
                  <c:v>42940</c:v>
                </c:pt>
                <c:pt idx="379">
                  <c:v>42947</c:v>
                </c:pt>
                <c:pt idx="380">
                  <c:v>42954</c:v>
                </c:pt>
                <c:pt idx="381">
                  <c:v>42961</c:v>
                </c:pt>
                <c:pt idx="382">
                  <c:v>42968</c:v>
                </c:pt>
                <c:pt idx="383">
                  <c:v>42975</c:v>
                </c:pt>
                <c:pt idx="384">
                  <c:v>42983</c:v>
                </c:pt>
                <c:pt idx="385">
                  <c:v>42989</c:v>
                </c:pt>
                <c:pt idx="386">
                  <c:v>42996</c:v>
                </c:pt>
                <c:pt idx="387">
                  <c:v>43003</c:v>
                </c:pt>
                <c:pt idx="388">
                  <c:v>43010</c:v>
                </c:pt>
                <c:pt idx="389">
                  <c:v>43017</c:v>
                </c:pt>
                <c:pt idx="390">
                  <c:v>43024</c:v>
                </c:pt>
                <c:pt idx="391">
                  <c:v>43031</c:v>
                </c:pt>
                <c:pt idx="392">
                  <c:v>43038</c:v>
                </c:pt>
                <c:pt idx="393">
                  <c:v>43045</c:v>
                </c:pt>
                <c:pt idx="394">
                  <c:v>43052</c:v>
                </c:pt>
                <c:pt idx="395">
                  <c:v>43059</c:v>
                </c:pt>
                <c:pt idx="396">
                  <c:v>43066</c:v>
                </c:pt>
                <c:pt idx="397">
                  <c:v>43073</c:v>
                </c:pt>
                <c:pt idx="398">
                  <c:v>43080</c:v>
                </c:pt>
                <c:pt idx="399">
                  <c:v>43087</c:v>
                </c:pt>
                <c:pt idx="400">
                  <c:v>43095</c:v>
                </c:pt>
                <c:pt idx="401">
                  <c:v>43102</c:v>
                </c:pt>
                <c:pt idx="402">
                  <c:v>43108</c:v>
                </c:pt>
                <c:pt idx="403">
                  <c:v>43116</c:v>
                </c:pt>
                <c:pt idx="404">
                  <c:v>43122</c:v>
                </c:pt>
                <c:pt idx="405">
                  <c:v>43129</c:v>
                </c:pt>
                <c:pt idx="406">
                  <c:v>43136</c:v>
                </c:pt>
                <c:pt idx="407">
                  <c:v>43143</c:v>
                </c:pt>
                <c:pt idx="408">
                  <c:v>43151</c:v>
                </c:pt>
                <c:pt idx="409">
                  <c:v>43157</c:v>
                </c:pt>
                <c:pt idx="410">
                  <c:v>43164</c:v>
                </c:pt>
                <c:pt idx="411">
                  <c:v>43171</c:v>
                </c:pt>
                <c:pt idx="412">
                  <c:v>43178</c:v>
                </c:pt>
                <c:pt idx="413">
                  <c:v>43185</c:v>
                </c:pt>
                <c:pt idx="414">
                  <c:v>43192</c:v>
                </c:pt>
                <c:pt idx="415">
                  <c:v>43199</c:v>
                </c:pt>
                <c:pt idx="416">
                  <c:v>43206</c:v>
                </c:pt>
                <c:pt idx="417">
                  <c:v>43213</c:v>
                </c:pt>
                <c:pt idx="418">
                  <c:v>43220</c:v>
                </c:pt>
                <c:pt idx="419">
                  <c:v>43227</c:v>
                </c:pt>
                <c:pt idx="420">
                  <c:v>43234</c:v>
                </c:pt>
                <c:pt idx="421">
                  <c:v>43241</c:v>
                </c:pt>
                <c:pt idx="422">
                  <c:v>43249</c:v>
                </c:pt>
                <c:pt idx="423">
                  <c:v>43255</c:v>
                </c:pt>
                <c:pt idx="424">
                  <c:v>43262</c:v>
                </c:pt>
                <c:pt idx="425">
                  <c:v>43269</c:v>
                </c:pt>
                <c:pt idx="426">
                  <c:v>43276</c:v>
                </c:pt>
                <c:pt idx="427">
                  <c:v>43283</c:v>
                </c:pt>
                <c:pt idx="428">
                  <c:v>43290</c:v>
                </c:pt>
                <c:pt idx="429">
                  <c:v>43297</c:v>
                </c:pt>
                <c:pt idx="430">
                  <c:v>43304</c:v>
                </c:pt>
                <c:pt idx="431">
                  <c:v>43311</c:v>
                </c:pt>
                <c:pt idx="432">
                  <c:v>43318</c:v>
                </c:pt>
                <c:pt idx="433">
                  <c:v>43325</c:v>
                </c:pt>
                <c:pt idx="434">
                  <c:v>43332</c:v>
                </c:pt>
                <c:pt idx="435">
                  <c:v>43339</c:v>
                </c:pt>
                <c:pt idx="436">
                  <c:v>43347</c:v>
                </c:pt>
                <c:pt idx="437">
                  <c:v>43353</c:v>
                </c:pt>
                <c:pt idx="438">
                  <c:v>43360</c:v>
                </c:pt>
                <c:pt idx="439">
                  <c:v>43367</c:v>
                </c:pt>
                <c:pt idx="440">
                  <c:v>43374</c:v>
                </c:pt>
                <c:pt idx="441">
                  <c:v>43381</c:v>
                </c:pt>
                <c:pt idx="442">
                  <c:v>43388</c:v>
                </c:pt>
                <c:pt idx="443">
                  <c:v>43395</c:v>
                </c:pt>
                <c:pt idx="444">
                  <c:v>43402</c:v>
                </c:pt>
                <c:pt idx="445">
                  <c:v>43409</c:v>
                </c:pt>
                <c:pt idx="446">
                  <c:v>43416</c:v>
                </c:pt>
                <c:pt idx="447">
                  <c:v>43423</c:v>
                </c:pt>
                <c:pt idx="448">
                  <c:v>43430</c:v>
                </c:pt>
                <c:pt idx="449">
                  <c:v>43437</c:v>
                </c:pt>
                <c:pt idx="450">
                  <c:v>43444</c:v>
                </c:pt>
                <c:pt idx="451">
                  <c:v>43451</c:v>
                </c:pt>
                <c:pt idx="452">
                  <c:v>43458</c:v>
                </c:pt>
                <c:pt idx="453">
                  <c:v>43465</c:v>
                </c:pt>
                <c:pt idx="454">
                  <c:v>43472</c:v>
                </c:pt>
                <c:pt idx="455">
                  <c:v>43479</c:v>
                </c:pt>
                <c:pt idx="456">
                  <c:v>43487</c:v>
                </c:pt>
                <c:pt idx="457">
                  <c:v>43493</c:v>
                </c:pt>
                <c:pt idx="458">
                  <c:v>43500</c:v>
                </c:pt>
                <c:pt idx="459">
                  <c:v>43507</c:v>
                </c:pt>
                <c:pt idx="460">
                  <c:v>43515</c:v>
                </c:pt>
                <c:pt idx="461">
                  <c:v>43521</c:v>
                </c:pt>
                <c:pt idx="462">
                  <c:v>43528</c:v>
                </c:pt>
                <c:pt idx="463">
                  <c:v>43535</c:v>
                </c:pt>
                <c:pt idx="464">
                  <c:v>43542</c:v>
                </c:pt>
                <c:pt idx="465">
                  <c:v>43549</c:v>
                </c:pt>
                <c:pt idx="466">
                  <c:v>43556</c:v>
                </c:pt>
                <c:pt idx="467">
                  <c:v>43563</c:v>
                </c:pt>
                <c:pt idx="468">
                  <c:v>43570</c:v>
                </c:pt>
                <c:pt idx="469">
                  <c:v>43577</c:v>
                </c:pt>
                <c:pt idx="470">
                  <c:v>43584</c:v>
                </c:pt>
                <c:pt idx="471">
                  <c:v>43591</c:v>
                </c:pt>
                <c:pt idx="472">
                  <c:v>43598</c:v>
                </c:pt>
                <c:pt idx="473">
                  <c:v>43605</c:v>
                </c:pt>
                <c:pt idx="474">
                  <c:v>43613</c:v>
                </c:pt>
                <c:pt idx="475">
                  <c:v>43619</c:v>
                </c:pt>
                <c:pt idx="476">
                  <c:v>43626</c:v>
                </c:pt>
                <c:pt idx="477">
                  <c:v>43633</c:v>
                </c:pt>
                <c:pt idx="478">
                  <c:v>43640</c:v>
                </c:pt>
                <c:pt idx="479">
                  <c:v>43647</c:v>
                </c:pt>
                <c:pt idx="480">
                  <c:v>43654</c:v>
                </c:pt>
                <c:pt idx="481">
                  <c:v>43661</c:v>
                </c:pt>
                <c:pt idx="482">
                  <c:v>43668</c:v>
                </c:pt>
                <c:pt idx="483">
                  <c:v>43675</c:v>
                </c:pt>
                <c:pt idx="484">
                  <c:v>43682</c:v>
                </c:pt>
                <c:pt idx="485">
                  <c:v>43689</c:v>
                </c:pt>
                <c:pt idx="486">
                  <c:v>43696</c:v>
                </c:pt>
                <c:pt idx="487">
                  <c:v>43703</c:v>
                </c:pt>
                <c:pt idx="488">
                  <c:v>43711</c:v>
                </c:pt>
                <c:pt idx="489">
                  <c:v>43717</c:v>
                </c:pt>
                <c:pt idx="490">
                  <c:v>43724</c:v>
                </c:pt>
                <c:pt idx="491">
                  <c:v>43731</c:v>
                </c:pt>
                <c:pt idx="492">
                  <c:v>43738</c:v>
                </c:pt>
                <c:pt idx="493">
                  <c:v>43745</c:v>
                </c:pt>
                <c:pt idx="494">
                  <c:v>43752</c:v>
                </c:pt>
                <c:pt idx="495">
                  <c:v>43759</c:v>
                </c:pt>
                <c:pt idx="496">
                  <c:v>43766</c:v>
                </c:pt>
                <c:pt idx="497">
                  <c:v>43773</c:v>
                </c:pt>
                <c:pt idx="498">
                  <c:v>43780</c:v>
                </c:pt>
                <c:pt idx="499">
                  <c:v>43787</c:v>
                </c:pt>
                <c:pt idx="500">
                  <c:v>43794</c:v>
                </c:pt>
                <c:pt idx="501">
                  <c:v>43801</c:v>
                </c:pt>
                <c:pt idx="502">
                  <c:v>43808</c:v>
                </c:pt>
                <c:pt idx="503">
                  <c:v>43815</c:v>
                </c:pt>
                <c:pt idx="504">
                  <c:v>43822</c:v>
                </c:pt>
                <c:pt idx="505">
                  <c:v>43829</c:v>
                </c:pt>
                <c:pt idx="506">
                  <c:v>43836</c:v>
                </c:pt>
                <c:pt idx="507">
                  <c:v>43843</c:v>
                </c:pt>
                <c:pt idx="508">
                  <c:v>43851</c:v>
                </c:pt>
                <c:pt idx="509">
                  <c:v>43857</c:v>
                </c:pt>
                <c:pt idx="510">
                  <c:v>43864</c:v>
                </c:pt>
                <c:pt idx="511">
                  <c:v>43871</c:v>
                </c:pt>
                <c:pt idx="512">
                  <c:v>43879</c:v>
                </c:pt>
                <c:pt idx="513">
                  <c:v>43885</c:v>
                </c:pt>
                <c:pt idx="514">
                  <c:v>43892</c:v>
                </c:pt>
                <c:pt idx="515">
                  <c:v>43899</c:v>
                </c:pt>
                <c:pt idx="516">
                  <c:v>43906</c:v>
                </c:pt>
                <c:pt idx="517">
                  <c:v>43913</c:v>
                </c:pt>
                <c:pt idx="518">
                  <c:v>43920</c:v>
                </c:pt>
                <c:pt idx="519">
                  <c:v>43927</c:v>
                </c:pt>
                <c:pt idx="520">
                  <c:v>43934</c:v>
                </c:pt>
                <c:pt idx="521">
                  <c:v>43941</c:v>
                </c:pt>
                <c:pt idx="522">
                  <c:v>43948</c:v>
                </c:pt>
                <c:pt idx="523">
                  <c:v>43955</c:v>
                </c:pt>
                <c:pt idx="524">
                  <c:v>43962</c:v>
                </c:pt>
                <c:pt idx="525">
                  <c:v>43969</c:v>
                </c:pt>
                <c:pt idx="526">
                  <c:v>43977</c:v>
                </c:pt>
                <c:pt idx="527">
                  <c:v>43983</c:v>
                </c:pt>
                <c:pt idx="528">
                  <c:v>43990</c:v>
                </c:pt>
                <c:pt idx="529">
                  <c:v>43997</c:v>
                </c:pt>
                <c:pt idx="530">
                  <c:v>44004</c:v>
                </c:pt>
                <c:pt idx="531">
                  <c:v>44011</c:v>
                </c:pt>
                <c:pt idx="532">
                  <c:v>44018</c:v>
                </c:pt>
                <c:pt idx="533">
                  <c:v>44025</c:v>
                </c:pt>
                <c:pt idx="534">
                  <c:v>44032</c:v>
                </c:pt>
                <c:pt idx="535">
                  <c:v>44039</c:v>
                </c:pt>
                <c:pt idx="536">
                  <c:v>44046</c:v>
                </c:pt>
                <c:pt idx="537">
                  <c:v>44053</c:v>
                </c:pt>
                <c:pt idx="538">
                  <c:v>44060</c:v>
                </c:pt>
                <c:pt idx="539">
                  <c:v>44067</c:v>
                </c:pt>
                <c:pt idx="540">
                  <c:v>44074</c:v>
                </c:pt>
                <c:pt idx="541">
                  <c:v>44082</c:v>
                </c:pt>
                <c:pt idx="542">
                  <c:v>44088</c:v>
                </c:pt>
                <c:pt idx="543">
                  <c:v>44095</c:v>
                </c:pt>
                <c:pt idx="544">
                  <c:v>44102</c:v>
                </c:pt>
                <c:pt idx="545">
                  <c:v>44109</c:v>
                </c:pt>
                <c:pt idx="546">
                  <c:v>44116</c:v>
                </c:pt>
                <c:pt idx="547">
                  <c:v>44123</c:v>
                </c:pt>
                <c:pt idx="548">
                  <c:v>44130</c:v>
                </c:pt>
                <c:pt idx="549">
                  <c:v>44137</c:v>
                </c:pt>
                <c:pt idx="550">
                  <c:v>44144</c:v>
                </c:pt>
                <c:pt idx="551">
                  <c:v>44151</c:v>
                </c:pt>
                <c:pt idx="552">
                  <c:v>44158</c:v>
                </c:pt>
                <c:pt idx="553">
                  <c:v>44165</c:v>
                </c:pt>
                <c:pt idx="554">
                  <c:v>44172</c:v>
                </c:pt>
                <c:pt idx="555">
                  <c:v>44179</c:v>
                </c:pt>
                <c:pt idx="556">
                  <c:v>44186</c:v>
                </c:pt>
                <c:pt idx="557">
                  <c:v>44193</c:v>
                </c:pt>
                <c:pt idx="558">
                  <c:v>44200</c:v>
                </c:pt>
                <c:pt idx="559">
                  <c:v>44207</c:v>
                </c:pt>
                <c:pt idx="560">
                  <c:v>44215</c:v>
                </c:pt>
                <c:pt idx="561">
                  <c:v>44221</c:v>
                </c:pt>
                <c:pt idx="562">
                  <c:v>44228</c:v>
                </c:pt>
                <c:pt idx="563">
                  <c:v>44235</c:v>
                </c:pt>
                <c:pt idx="564">
                  <c:v>44243</c:v>
                </c:pt>
                <c:pt idx="565">
                  <c:v>44249</c:v>
                </c:pt>
                <c:pt idx="566">
                  <c:v>44256</c:v>
                </c:pt>
                <c:pt idx="567">
                  <c:v>44263</c:v>
                </c:pt>
                <c:pt idx="568">
                  <c:v>44270</c:v>
                </c:pt>
                <c:pt idx="569">
                  <c:v>44277</c:v>
                </c:pt>
                <c:pt idx="570">
                  <c:v>44284</c:v>
                </c:pt>
                <c:pt idx="571">
                  <c:v>44291</c:v>
                </c:pt>
                <c:pt idx="572">
                  <c:v>44298</c:v>
                </c:pt>
                <c:pt idx="573">
                  <c:v>44305</c:v>
                </c:pt>
                <c:pt idx="574">
                  <c:v>44312</c:v>
                </c:pt>
                <c:pt idx="575">
                  <c:v>44319</c:v>
                </c:pt>
                <c:pt idx="576">
                  <c:v>44326</c:v>
                </c:pt>
                <c:pt idx="577">
                  <c:v>44333</c:v>
                </c:pt>
                <c:pt idx="578">
                  <c:v>44340</c:v>
                </c:pt>
                <c:pt idx="579">
                  <c:v>44348</c:v>
                </c:pt>
                <c:pt idx="580">
                  <c:v>44354</c:v>
                </c:pt>
                <c:pt idx="581">
                  <c:v>44361</c:v>
                </c:pt>
                <c:pt idx="582">
                  <c:v>44368</c:v>
                </c:pt>
                <c:pt idx="583">
                  <c:v>44375</c:v>
                </c:pt>
                <c:pt idx="584">
                  <c:v>44383</c:v>
                </c:pt>
                <c:pt idx="585">
                  <c:v>44389</c:v>
                </c:pt>
                <c:pt idx="586">
                  <c:v>44396</c:v>
                </c:pt>
                <c:pt idx="587">
                  <c:v>44403</c:v>
                </c:pt>
                <c:pt idx="588">
                  <c:v>44410</c:v>
                </c:pt>
                <c:pt idx="589">
                  <c:v>44417</c:v>
                </c:pt>
                <c:pt idx="590">
                  <c:v>44424</c:v>
                </c:pt>
                <c:pt idx="591">
                  <c:v>44431</c:v>
                </c:pt>
                <c:pt idx="592">
                  <c:v>44438</c:v>
                </c:pt>
                <c:pt idx="593">
                  <c:v>44446</c:v>
                </c:pt>
                <c:pt idx="594">
                  <c:v>44452</c:v>
                </c:pt>
                <c:pt idx="595">
                  <c:v>44459</c:v>
                </c:pt>
                <c:pt idx="596">
                  <c:v>44466</c:v>
                </c:pt>
                <c:pt idx="597">
                  <c:v>44473</c:v>
                </c:pt>
                <c:pt idx="598">
                  <c:v>44480</c:v>
                </c:pt>
                <c:pt idx="599">
                  <c:v>44487</c:v>
                </c:pt>
                <c:pt idx="600">
                  <c:v>44494</c:v>
                </c:pt>
                <c:pt idx="601">
                  <c:v>44501</c:v>
                </c:pt>
                <c:pt idx="602">
                  <c:v>44508</c:v>
                </c:pt>
                <c:pt idx="603">
                  <c:v>44515</c:v>
                </c:pt>
                <c:pt idx="604">
                  <c:v>44522</c:v>
                </c:pt>
                <c:pt idx="605">
                  <c:v>44529</c:v>
                </c:pt>
                <c:pt idx="606">
                  <c:v>44536</c:v>
                </c:pt>
                <c:pt idx="607">
                  <c:v>44543</c:v>
                </c:pt>
                <c:pt idx="608">
                  <c:v>44550</c:v>
                </c:pt>
                <c:pt idx="609">
                  <c:v>44557</c:v>
                </c:pt>
                <c:pt idx="610">
                  <c:v>44564</c:v>
                </c:pt>
                <c:pt idx="611">
                  <c:v>44571</c:v>
                </c:pt>
                <c:pt idx="612">
                  <c:v>44579</c:v>
                </c:pt>
                <c:pt idx="613">
                  <c:v>44585</c:v>
                </c:pt>
                <c:pt idx="614">
                  <c:v>44592</c:v>
                </c:pt>
                <c:pt idx="615">
                  <c:v>44599</c:v>
                </c:pt>
                <c:pt idx="616">
                  <c:v>44606</c:v>
                </c:pt>
                <c:pt idx="617">
                  <c:v>44614</c:v>
                </c:pt>
                <c:pt idx="618">
                  <c:v>44620</c:v>
                </c:pt>
                <c:pt idx="619">
                  <c:v>44627</c:v>
                </c:pt>
                <c:pt idx="620">
                  <c:v>44634</c:v>
                </c:pt>
                <c:pt idx="621">
                  <c:v>44641</c:v>
                </c:pt>
                <c:pt idx="622">
                  <c:v>44648</c:v>
                </c:pt>
                <c:pt idx="623">
                  <c:v>44655</c:v>
                </c:pt>
                <c:pt idx="624">
                  <c:v>44662</c:v>
                </c:pt>
                <c:pt idx="625">
                  <c:v>44669</c:v>
                </c:pt>
                <c:pt idx="626">
                  <c:v>44676</c:v>
                </c:pt>
                <c:pt idx="627">
                  <c:v>44683</c:v>
                </c:pt>
                <c:pt idx="628">
                  <c:v>44690</c:v>
                </c:pt>
                <c:pt idx="629">
                  <c:v>44697</c:v>
                </c:pt>
                <c:pt idx="630">
                  <c:v>44704</c:v>
                </c:pt>
                <c:pt idx="631">
                  <c:v>44712</c:v>
                </c:pt>
                <c:pt idx="632">
                  <c:v>44718</c:v>
                </c:pt>
                <c:pt idx="633">
                  <c:v>44725</c:v>
                </c:pt>
                <c:pt idx="634">
                  <c:v>44733</c:v>
                </c:pt>
                <c:pt idx="635">
                  <c:v>44739</c:v>
                </c:pt>
                <c:pt idx="636">
                  <c:v>44747</c:v>
                </c:pt>
                <c:pt idx="637">
                  <c:v>44753</c:v>
                </c:pt>
                <c:pt idx="638">
                  <c:v>44760</c:v>
                </c:pt>
                <c:pt idx="639">
                  <c:v>44767</c:v>
                </c:pt>
                <c:pt idx="640">
                  <c:v>44774</c:v>
                </c:pt>
                <c:pt idx="641">
                  <c:v>44781</c:v>
                </c:pt>
                <c:pt idx="642">
                  <c:v>44788</c:v>
                </c:pt>
                <c:pt idx="643">
                  <c:v>44795</c:v>
                </c:pt>
                <c:pt idx="644">
                  <c:v>44802</c:v>
                </c:pt>
                <c:pt idx="645">
                  <c:v>44810</c:v>
                </c:pt>
                <c:pt idx="646">
                  <c:v>44816</c:v>
                </c:pt>
                <c:pt idx="647">
                  <c:v>44823</c:v>
                </c:pt>
                <c:pt idx="648">
                  <c:v>44830</c:v>
                </c:pt>
                <c:pt idx="649">
                  <c:v>44837</c:v>
                </c:pt>
                <c:pt idx="650">
                  <c:v>44844</c:v>
                </c:pt>
                <c:pt idx="651">
                  <c:v>44851</c:v>
                </c:pt>
                <c:pt idx="652">
                  <c:v>44858</c:v>
                </c:pt>
                <c:pt idx="653">
                  <c:v>44865</c:v>
                </c:pt>
                <c:pt idx="654">
                  <c:v>44872</c:v>
                </c:pt>
                <c:pt idx="655">
                  <c:v>44879</c:v>
                </c:pt>
                <c:pt idx="656">
                  <c:v>44886</c:v>
                </c:pt>
                <c:pt idx="657">
                  <c:v>44893</c:v>
                </c:pt>
                <c:pt idx="658">
                  <c:v>44900</c:v>
                </c:pt>
                <c:pt idx="659">
                  <c:v>44907</c:v>
                </c:pt>
                <c:pt idx="660">
                  <c:v>44914</c:v>
                </c:pt>
                <c:pt idx="661">
                  <c:v>44922</c:v>
                </c:pt>
                <c:pt idx="662">
                  <c:v>44929</c:v>
                </c:pt>
                <c:pt idx="663">
                  <c:v>44935</c:v>
                </c:pt>
                <c:pt idx="664">
                  <c:v>44943</c:v>
                </c:pt>
                <c:pt idx="665">
                  <c:v>44949</c:v>
                </c:pt>
                <c:pt idx="666">
                  <c:v>44956</c:v>
                </c:pt>
                <c:pt idx="667">
                  <c:v>44963</c:v>
                </c:pt>
                <c:pt idx="668">
                  <c:v>44970</c:v>
                </c:pt>
                <c:pt idx="669">
                  <c:v>44978</c:v>
                </c:pt>
                <c:pt idx="670">
                  <c:v>44984</c:v>
                </c:pt>
                <c:pt idx="671">
                  <c:v>44991</c:v>
                </c:pt>
                <c:pt idx="672">
                  <c:v>44998</c:v>
                </c:pt>
                <c:pt idx="673">
                  <c:v>45005</c:v>
                </c:pt>
                <c:pt idx="674">
                  <c:v>45012</c:v>
                </c:pt>
                <c:pt idx="675">
                  <c:v>45019</c:v>
                </c:pt>
                <c:pt idx="676">
                  <c:v>45026</c:v>
                </c:pt>
                <c:pt idx="677">
                  <c:v>45033</c:v>
                </c:pt>
                <c:pt idx="678">
                  <c:v>45040</c:v>
                </c:pt>
                <c:pt idx="679">
                  <c:v>45047</c:v>
                </c:pt>
                <c:pt idx="680">
                  <c:v>45054</c:v>
                </c:pt>
                <c:pt idx="681">
                  <c:v>45061</c:v>
                </c:pt>
                <c:pt idx="682">
                  <c:v>45068</c:v>
                </c:pt>
                <c:pt idx="683">
                  <c:v>45076</c:v>
                </c:pt>
                <c:pt idx="684">
                  <c:v>45082</c:v>
                </c:pt>
                <c:pt idx="685">
                  <c:v>45089</c:v>
                </c:pt>
                <c:pt idx="686">
                  <c:v>45097</c:v>
                </c:pt>
                <c:pt idx="687">
                  <c:v>45103</c:v>
                </c:pt>
                <c:pt idx="688">
                  <c:v>45110</c:v>
                </c:pt>
                <c:pt idx="689">
                  <c:v>45117</c:v>
                </c:pt>
                <c:pt idx="690">
                  <c:v>45124</c:v>
                </c:pt>
                <c:pt idx="691">
                  <c:v>45131</c:v>
                </c:pt>
                <c:pt idx="692">
                  <c:v>45138</c:v>
                </c:pt>
                <c:pt idx="693">
                  <c:v>45145</c:v>
                </c:pt>
                <c:pt idx="694">
                  <c:v>45152</c:v>
                </c:pt>
                <c:pt idx="695">
                  <c:v>45159</c:v>
                </c:pt>
                <c:pt idx="696">
                  <c:v>45166</c:v>
                </c:pt>
                <c:pt idx="697">
                  <c:v>45174</c:v>
                </c:pt>
                <c:pt idx="698">
                  <c:v>45180</c:v>
                </c:pt>
                <c:pt idx="699">
                  <c:v>45187</c:v>
                </c:pt>
                <c:pt idx="700">
                  <c:v>45194</c:v>
                </c:pt>
                <c:pt idx="701">
                  <c:v>45201</c:v>
                </c:pt>
                <c:pt idx="702">
                  <c:v>45208</c:v>
                </c:pt>
                <c:pt idx="703">
                  <c:v>45215</c:v>
                </c:pt>
                <c:pt idx="704">
                  <c:v>45222</c:v>
                </c:pt>
                <c:pt idx="705">
                  <c:v>45229</c:v>
                </c:pt>
                <c:pt idx="706">
                  <c:v>45236</c:v>
                </c:pt>
                <c:pt idx="707">
                  <c:v>45243</c:v>
                </c:pt>
                <c:pt idx="708">
                  <c:v>45250</c:v>
                </c:pt>
                <c:pt idx="709">
                  <c:v>45257</c:v>
                </c:pt>
                <c:pt idx="710">
                  <c:v>45264</c:v>
                </c:pt>
                <c:pt idx="711">
                  <c:v>45271</c:v>
                </c:pt>
                <c:pt idx="712">
                  <c:v>45278</c:v>
                </c:pt>
                <c:pt idx="713">
                  <c:v>45286</c:v>
                </c:pt>
                <c:pt idx="714">
                  <c:v>45293</c:v>
                </c:pt>
                <c:pt idx="715">
                  <c:v>45299</c:v>
                </c:pt>
                <c:pt idx="716">
                  <c:v>45307</c:v>
                </c:pt>
                <c:pt idx="717">
                  <c:v>45313</c:v>
                </c:pt>
                <c:pt idx="718">
                  <c:v>45320</c:v>
                </c:pt>
                <c:pt idx="719">
                  <c:v>45327</c:v>
                </c:pt>
                <c:pt idx="720">
                  <c:v>45334</c:v>
                </c:pt>
                <c:pt idx="721">
                  <c:v>45342</c:v>
                </c:pt>
                <c:pt idx="722">
                  <c:v>45348</c:v>
                </c:pt>
                <c:pt idx="723">
                  <c:v>45355</c:v>
                </c:pt>
                <c:pt idx="724">
                  <c:v>45362</c:v>
                </c:pt>
                <c:pt idx="725">
                  <c:v>45369</c:v>
                </c:pt>
                <c:pt idx="726">
                  <c:v>45376</c:v>
                </c:pt>
                <c:pt idx="727">
                  <c:v>45383</c:v>
                </c:pt>
                <c:pt idx="728">
                  <c:v>45390</c:v>
                </c:pt>
                <c:pt idx="729">
                  <c:v>45397</c:v>
                </c:pt>
                <c:pt idx="730">
                  <c:v>45404</c:v>
                </c:pt>
                <c:pt idx="731">
                  <c:v>45411</c:v>
                </c:pt>
                <c:pt idx="732">
                  <c:v>45418</c:v>
                </c:pt>
                <c:pt idx="733">
                  <c:v>45425</c:v>
                </c:pt>
                <c:pt idx="734">
                  <c:v>45432</c:v>
                </c:pt>
                <c:pt idx="735">
                  <c:v>45440</c:v>
                </c:pt>
                <c:pt idx="736">
                  <c:v>45446</c:v>
                </c:pt>
                <c:pt idx="737">
                  <c:v>45453</c:v>
                </c:pt>
                <c:pt idx="738">
                  <c:v>45460</c:v>
                </c:pt>
                <c:pt idx="739">
                  <c:v>45467</c:v>
                </c:pt>
                <c:pt idx="740">
                  <c:v>45474</c:v>
                </c:pt>
                <c:pt idx="741">
                  <c:v>45481</c:v>
                </c:pt>
                <c:pt idx="742">
                  <c:v>45488</c:v>
                </c:pt>
                <c:pt idx="743">
                  <c:v>45495</c:v>
                </c:pt>
                <c:pt idx="744">
                  <c:v>45502</c:v>
                </c:pt>
                <c:pt idx="745">
                  <c:v>45509</c:v>
                </c:pt>
                <c:pt idx="746">
                  <c:v>45516</c:v>
                </c:pt>
                <c:pt idx="747">
                  <c:v>45523</c:v>
                </c:pt>
                <c:pt idx="748">
                  <c:v>45530</c:v>
                </c:pt>
                <c:pt idx="749">
                  <c:v>45538</c:v>
                </c:pt>
                <c:pt idx="750">
                  <c:v>45544</c:v>
                </c:pt>
                <c:pt idx="751">
                  <c:v>45551</c:v>
                </c:pt>
                <c:pt idx="752">
                  <c:v>45558</c:v>
                </c:pt>
                <c:pt idx="753">
                  <c:v>45565</c:v>
                </c:pt>
                <c:pt idx="754">
                  <c:v>45572</c:v>
                </c:pt>
                <c:pt idx="755">
                  <c:v>45579</c:v>
                </c:pt>
                <c:pt idx="756">
                  <c:v>45586</c:v>
                </c:pt>
                <c:pt idx="757">
                  <c:v>45593</c:v>
                </c:pt>
                <c:pt idx="758">
                  <c:v>45600</c:v>
                </c:pt>
                <c:pt idx="759">
                  <c:v>45607</c:v>
                </c:pt>
                <c:pt idx="760">
                  <c:v>45614</c:v>
                </c:pt>
                <c:pt idx="761">
                  <c:v>45621</c:v>
                </c:pt>
                <c:pt idx="762">
                  <c:v>45628</c:v>
                </c:pt>
                <c:pt idx="763">
                  <c:v>45635</c:v>
                </c:pt>
                <c:pt idx="764">
                  <c:v>45642</c:v>
                </c:pt>
                <c:pt idx="765">
                  <c:v>45649</c:v>
                </c:pt>
                <c:pt idx="766">
                  <c:v>45656</c:v>
                </c:pt>
                <c:pt idx="767">
                  <c:v>45663</c:v>
                </c:pt>
                <c:pt idx="768">
                  <c:v>45670</c:v>
                </c:pt>
                <c:pt idx="769">
                  <c:v>45678</c:v>
                </c:pt>
                <c:pt idx="770">
                  <c:v>45684</c:v>
                </c:pt>
                <c:pt idx="771">
                  <c:v>45691</c:v>
                </c:pt>
              </c:numCache>
            </c:numRef>
          </c:cat>
          <c:val>
            <c:numRef>
              <c:f>Backdoor!$DC$6:$DC$777</c:f>
              <c:numCache>
                <c:formatCode>0.00%</c:formatCode>
                <c:ptCount val="772"/>
                <c:pt idx="0">
                  <c:v>3.5885167464115852E-3</c:v>
                </c:pt>
                <c:pt idx="1">
                  <c:v>3.4564958283670899E-2</c:v>
                </c:pt>
                <c:pt idx="2">
                  <c:v>1.7857142857143016E-2</c:v>
                </c:pt>
                <c:pt idx="3">
                  <c:v>1.754385964912264E-2</c:v>
                </c:pt>
                <c:pt idx="4">
                  <c:v>-9.4549499443827845E-3</c:v>
                </c:pt>
                <c:pt idx="5">
                  <c:v>-4.4918585064569472E-3</c:v>
                </c:pt>
                <c:pt idx="6">
                  <c:v>3.2148900169204797E-2</c:v>
                </c:pt>
                <c:pt idx="7">
                  <c:v>1.5846994535519077E-2</c:v>
                </c:pt>
                <c:pt idx="8">
                  <c:v>7.7461000537923708E-2</c:v>
                </c:pt>
                <c:pt idx="9">
                  <c:v>5.4917623564652018E-3</c:v>
                </c:pt>
                <c:pt idx="10">
                  <c:v>-5.6107249255213487E-2</c:v>
                </c:pt>
                <c:pt idx="11">
                  <c:v>2.6827985270909904E-2</c:v>
                </c:pt>
                <c:pt idx="12">
                  <c:v>-2.1516393442622905E-2</c:v>
                </c:pt>
                <c:pt idx="13">
                  <c:v>2.6178010471204161E-2</c:v>
                </c:pt>
                <c:pt idx="14">
                  <c:v>-1.5306122448979664E-2</c:v>
                </c:pt>
                <c:pt idx="15">
                  <c:v>2.1243523316062163E-2</c:v>
                </c:pt>
                <c:pt idx="16">
                  <c:v>2.5367833587011779E-2</c:v>
                </c:pt>
                <c:pt idx="17">
                  <c:v>-2.0781791192479027E-2</c:v>
                </c:pt>
                <c:pt idx="18">
                  <c:v>-4.4972208185952489E-2</c:v>
                </c:pt>
                <c:pt idx="19">
                  <c:v>3.0158730158730274E-2</c:v>
                </c:pt>
                <c:pt idx="20">
                  <c:v>-2.6707755521314769E-2</c:v>
                </c:pt>
                <c:pt idx="21">
                  <c:v>6.5435356200527872E-2</c:v>
                </c:pt>
                <c:pt idx="22">
                  <c:v>-8.420009905894088E-3</c:v>
                </c:pt>
                <c:pt idx="23">
                  <c:v>2.4975024975024684E-3</c:v>
                </c:pt>
                <c:pt idx="24">
                  <c:v>-3.3383158943697144E-2</c:v>
                </c:pt>
                <c:pt idx="25">
                  <c:v>4.1237113402061709E-3</c:v>
                </c:pt>
                <c:pt idx="26">
                  <c:v>2.5667351129363691E-3</c:v>
                </c:pt>
                <c:pt idx="27">
                  <c:v>1.5873015873015817E-2</c:v>
                </c:pt>
                <c:pt idx="28">
                  <c:v>5.5443548387097419E-3</c:v>
                </c:pt>
                <c:pt idx="29">
                  <c:v>1.6541353383458635E-2</c:v>
                </c:pt>
                <c:pt idx="30">
                  <c:v>-5.9171597633136397E-3</c:v>
                </c:pt>
                <c:pt idx="31">
                  <c:v>4.9603174603185529E-4</c:v>
                </c:pt>
                <c:pt idx="32">
                  <c:v>6.9410014873572123E-3</c:v>
                </c:pt>
                <c:pt idx="33">
                  <c:v>2.1171836533727229E-2</c:v>
                </c:pt>
                <c:pt idx="34">
                  <c:v>6.5091610414657719E-2</c:v>
                </c:pt>
                <c:pt idx="35">
                  <c:v>9.0538705296514532E-3</c:v>
                </c:pt>
                <c:pt idx="36">
                  <c:v>3.3198743831314603E-2</c:v>
                </c:pt>
                <c:pt idx="37">
                  <c:v>-2.0408163265306256E-2</c:v>
                </c:pt>
                <c:pt idx="38">
                  <c:v>-1.3297872340424233E-3</c:v>
                </c:pt>
                <c:pt idx="39">
                  <c:v>8.4332001775409005E-3</c:v>
                </c:pt>
                <c:pt idx="40">
                  <c:v>3.1690140845070491E-2</c:v>
                </c:pt>
                <c:pt idx="41">
                  <c:v>1.2372013651877012E-2</c:v>
                </c:pt>
                <c:pt idx="42">
                  <c:v>9.2709650231772578E-3</c:v>
                </c:pt>
                <c:pt idx="43">
                  <c:v>5.0104384133611291E-3</c:v>
                </c:pt>
                <c:pt idx="44">
                  <c:v>-5.4009140008308698E-3</c:v>
                </c:pt>
                <c:pt idx="45">
                  <c:v>8.3542188805345585E-3</c:v>
                </c:pt>
                <c:pt idx="46">
                  <c:v>2.1126760563380254E-2</c:v>
                </c:pt>
                <c:pt idx="47">
                  <c:v>-1.1764705882352899E-2</c:v>
                </c:pt>
                <c:pt idx="48">
                  <c:v>1.3957307060755264E-2</c:v>
                </c:pt>
                <c:pt idx="49">
                  <c:v>-1.6194331983805377E-3</c:v>
                </c:pt>
                <c:pt idx="50">
                  <c:v>2.3519870235198637E-2</c:v>
                </c:pt>
                <c:pt idx="51">
                  <c:v>5.0316957210776669E-2</c:v>
                </c:pt>
                <c:pt idx="52">
                  <c:v>-1.0939268200679142E-2</c:v>
                </c:pt>
                <c:pt idx="53">
                  <c:v>-3.3562166285278416E-2</c:v>
                </c:pt>
                <c:pt idx="54">
                  <c:v>3.1570639305447123E-3</c:v>
                </c:pt>
                <c:pt idx="55">
                  <c:v>-2.124311565696313E-2</c:v>
                </c:pt>
                <c:pt idx="56">
                  <c:v>8.4405144694534862E-3</c:v>
                </c:pt>
                <c:pt idx="57">
                  <c:v>4.8226385013949713E-2</c:v>
                </c:pt>
                <c:pt idx="58">
                  <c:v>8.7452471482889482E-3</c:v>
                </c:pt>
                <c:pt idx="59">
                  <c:v>-1.4700339238597815E-2</c:v>
                </c:pt>
                <c:pt idx="60">
                  <c:v>-3.7872991583779769E-2</c:v>
                </c:pt>
                <c:pt idx="61">
                  <c:v>2.7833001988071704E-2</c:v>
                </c:pt>
                <c:pt idx="62">
                  <c:v>-1.740812379110257E-2</c:v>
                </c:pt>
                <c:pt idx="63">
                  <c:v>8.2677165354330118E-3</c:v>
                </c:pt>
                <c:pt idx="64">
                  <c:v>1.1714174150722512E-2</c:v>
                </c:pt>
                <c:pt idx="65">
                  <c:v>6.5611732921651011E-3</c:v>
                </c:pt>
                <c:pt idx="66">
                  <c:v>-4.6012269938648931E-3</c:v>
                </c:pt>
                <c:pt idx="67">
                  <c:v>-3.3513097072419118E-2</c:v>
                </c:pt>
                <c:pt idx="68">
                  <c:v>-2.789956157831841E-3</c:v>
                </c:pt>
                <c:pt idx="69">
                  <c:v>6.3948840927259276E-3</c:v>
                </c:pt>
                <c:pt idx="70">
                  <c:v>2.779984114376477E-2</c:v>
                </c:pt>
                <c:pt idx="71">
                  <c:v>0</c:v>
                </c:pt>
                <c:pt idx="72">
                  <c:v>-5.641421947449754E-2</c:v>
                </c:pt>
                <c:pt idx="73">
                  <c:v>-0.10728910728910734</c:v>
                </c:pt>
                <c:pt idx="74">
                  <c:v>4.5871559633026138E-4</c:v>
                </c:pt>
                <c:pt idx="75">
                  <c:v>-7.4277854195323179E-2</c:v>
                </c:pt>
                <c:pt idx="76">
                  <c:v>-3.6651807825656357E-2</c:v>
                </c:pt>
                <c:pt idx="77">
                  <c:v>-1.4910025706940777E-2</c:v>
                </c:pt>
                <c:pt idx="78">
                  <c:v>6.6283924843423714E-2</c:v>
                </c:pt>
                <c:pt idx="79">
                  <c:v>-2.2515907978463034E-2</c:v>
                </c:pt>
                <c:pt idx="80">
                  <c:v>-1.9028542814221283E-2</c:v>
                </c:pt>
                <c:pt idx="81">
                  <c:v>-2.9606942317508822E-2</c:v>
                </c:pt>
                <c:pt idx="82">
                  <c:v>-7.680168332456605E-2</c:v>
                </c:pt>
                <c:pt idx="83">
                  <c:v>1.4245014245014342E-2</c:v>
                </c:pt>
                <c:pt idx="84">
                  <c:v>-8.4269662921349076E-3</c:v>
                </c:pt>
                <c:pt idx="85">
                  <c:v>4.4759206798866913E-2</c:v>
                </c:pt>
                <c:pt idx="86">
                  <c:v>0.1659436008676789</c:v>
                </c:pt>
                <c:pt idx="87">
                  <c:v>5.3023255813953618E-2</c:v>
                </c:pt>
                <c:pt idx="88">
                  <c:v>-3.2243816254416968E-2</c:v>
                </c:pt>
                <c:pt idx="89">
                  <c:v>1.1866727521679721E-2</c:v>
                </c:pt>
                <c:pt idx="90">
                  <c:v>-4.9616599007668127E-2</c:v>
                </c:pt>
                <c:pt idx="91">
                  <c:v>-6.2648315140009458E-2</c:v>
                </c:pt>
                <c:pt idx="92">
                  <c:v>7.4430379746835307E-2</c:v>
                </c:pt>
                <c:pt idx="93">
                  <c:v>2.6861451460886032E-2</c:v>
                </c:pt>
                <c:pt idx="94">
                  <c:v>3.6714089031666397E-3</c:v>
                </c:pt>
                <c:pt idx="95">
                  <c:v>2.9263831732967649E-2</c:v>
                </c:pt>
                <c:pt idx="96">
                  <c:v>5.3309640159928673E-3</c:v>
                </c:pt>
                <c:pt idx="97">
                  <c:v>-1.0163499779054397E-2</c:v>
                </c:pt>
                <c:pt idx="98">
                  <c:v>1.7857142857143016E-2</c:v>
                </c:pt>
                <c:pt idx="99">
                  <c:v>1.4912280701754321E-2</c:v>
                </c:pt>
                <c:pt idx="100">
                  <c:v>0</c:v>
                </c:pt>
                <c:pt idx="101">
                  <c:v>9.0751944684528407E-3</c:v>
                </c:pt>
                <c:pt idx="102">
                  <c:v>6.0385438972162753E-2</c:v>
                </c:pt>
                <c:pt idx="103">
                  <c:v>-2.0193861066235885E-2</c:v>
                </c:pt>
                <c:pt idx="104">
                  <c:v>-1.1129431162407388E-2</c:v>
                </c:pt>
                <c:pt idx="105">
                  <c:v>-5.002084201750634E-3</c:v>
                </c:pt>
                <c:pt idx="106">
                  <c:v>-4.1893590280694948E-4</c:v>
                </c:pt>
                <c:pt idx="107">
                  <c:v>1.7183570829840678E-2</c:v>
                </c:pt>
                <c:pt idx="108">
                  <c:v>-2.7194066749072987E-2</c:v>
                </c:pt>
                <c:pt idx="109">
                  <c:v>7.2003388394747958E-3</c:v>
                </c:pt>
                <c:pt idx="110">
                  <c:v>3.1539108494533119E-2</c:v>
                </c:pt>
                <c:pt idx="111">
                  <c:v>-4.2397064818589625E-2</c:v>
                </c:pt>
                <c:pt idx="112">
                  <c:v>0.1094082588335461</c:v>
                </c:pt>
                <c:pt idx="113">
                  <c:v>4.4512663085187976E-2</c:v>
                </c:pt>
                <c:pt idx="114">
                  <c:v>-2.5349008082292346E-2</c:v>
                </c:pt>
                <c:pt idx="115">
                  <c:v>-1.8846588767433836E-3</c:v>
                </c:pt>
                <c:pt idx="116">
                  <c:v>-4.7205438066465266E-2</c:v>
                </c:pt>
                <c:pt idx="117">
                  <c:v>1.8232263178755481E-2</c:v>
                </c:pt>
                <c:pt idx="118">
                  <c:v>-1.245620864149477E-2</c:v>
                </c:pt>
                <c:pt idx="119">
                  <c:v>2.404414662987775E-2</c:v>
                </c:pt>
                <c:pt idx="120">
                  <c:v>1.8090839107005374E-2</c:v>
                </c:pt>
                <c:pt idx="121">
                  <c:v>9.0737240075615677E-3</c:v>
                </c:pt>
                <c:pt idx="122">
                  <c:v>2.1730985387785617E-2</c:v>
                </c:pt>
                <c:pt idx="123">
                  <c:v>3.6670333700050683E-4</c:v>
                </c:pt>
                <c:pt idx="124">
                  <c:v>3.6656891495590038E-4</c:v>
                </c:pt>
                <c:pt idx="125">
                  <c:v>-5.2033711982411024E-2</c:v>
                </c:pt>
                <c:pt idx="126">
                  <c:v>-2.3192887514495997E-3</c:v>
                </c:pt>
                <c:pt idx="127">
                  <c:v>-1.1235955056179692E-2</c:v>
                </c:pt>
                <c:pt idx="128">
                  <c:v>-1.9200626959247624E-2</c:v>
                </c:pt>
                <c:pt idx="129">
                  <c:v>2.5169796244506548E-2</c:v>
                </c:pt>
                <c:pt idx="130">
                  <c:v>6.2353858144972296E-3</c:v>
                </c:pt>
                <c:pt idx="131">
                  <c:v>1.6266460108443015E-2</c:v>
                </c:pt>
                <c:pt idx="132">
                  <c:v>7.6219512195141448E-4</c:v>
                </c:pt>
                <c:pt idx="133">
                  <c:v>1.5613099771515593E-2</c:v>
                </c:pt>
                <c:pt idx="134">
                  <c:v>-1.0873640794900719E-2</c:v>
                </c:pt>
                <c:pt idx="135">
                  <c:v>-1.1751326762698966E-2</c:v>
                </c:pt>
                <c:pt idx="136">
                  <c:v>3.4522439585730647E-2</c:v>
                </c:pt>
                <c:pt idx="137">
                  <c:v>-2.6696329254727424E-2</c:v>
                </c:pt>
                <c:pt idx="138">
                  <c:v>-3.8476190476190553E-2</c:v>
                </c:pt>
                <c:pt idx="139">
                  <c:v>2.3771790808242432E-3</c:v>
                </c:pt>
                <c:pt idx="140">
                  <c:v>1.383399209486158E-2</c:v>
                </c:pt>
                <c:pt idx="141">
                  <c:v>1.6764132553606315E-2</c:v>
                </c:pt>
                <c:pt idx="142">
                  <c:v>-6.1349693251532278E-3</c:v>
                </c:pt>
                <c:pt idx="143">
                  <c:v>3.8580246913580307E-2</c:v>
                </c:pt>
                <c:pt idx="144">
                  <c:v>-2.9717682020803382E-3</c:v>
                </c:pt>
                <c:pt idx="145">
                  <c:v>-2.0491803278688603E-2</c:v>
                </c:pt>
                <c:pt idx="146">
                  <c:v>-1.9779383796120209E-2</c:v>
                </c:pt>
                <c:pt idx="147">
                  <c:v>-5.044625533566105E-3</c:v>
                </c:pt>
                <c:pt idx="148">
                  <c:v>-1.2480499219968855E-2</c:v>
                </c:pt>
                <c:pt idx="149">
                  <c:v>5.4502369668246509E-2</c:v>
                </c:pt>
                <c:pt idx="150">
                  <c:v>-1.5730337078651568E-2</c:v>
                </c:pt>
                <c:pt idx="151">
                  <c:v>1.9025875190258779E-2</c:v>
                </c:pt>
                <c:pt idx="152">
                  <c:v>1.3069454817027593E-2</c:v>
                </c:pt>
                <c:pt idx="153">
                  <c:v>1.3269443420567573E-2</c:v>
                </c:pt>
                <c:pt idx="154">
                  <c:v>5.7475445616588017E-2</c:v>
                </c:pt>
                <c:pt idx="155">
                  <c:v>1.031991744066052E-2</c:v>
                </c:pt>
                <c:pt idx="156">
                  <c:v>1.0214504596527174E-2</c:v>
                </c:pt>
                <c:pt idx="157">
                  <c:v>4.7185709470844994E-3</c:v>
                </c:pt>
                <c:pt idx="158">
                  <c:v>2.9184837302918432E-2</c:v>
                </c:pt>
                <c:pt idx="159">
                  <c:v>-2.9335071707953242E-3</c:v>
                </c:pt>
                <c:pt idx="160">
                  <c:v>3.1709709055246726E-2</c:v>
                </c:pt>
                <c:pt idx="161">
                  <c:v>1.5209125475285079E-2</c:v>
                </c:pt>
                <c:pt idx="162">
                  <c:v>-4.2759051186017416E-2</c:v>
                </c:pt>
                <c:pt idx="163">
                  <c:v>2.1193348549070734E-2</c:v>
                </c:pt>
                <c:pt idx="164">
                  <c:v>-2.61813537675607E-2</c:v>
                </c:pt>
                <c:pt idx="165">
                  <c:v>-1.6393442622950616E-3</c:v>
                </c:pt>
                <c:pt idx="166">
                  <c:v>3.284072249589487E-2</c:v>
                </c:pt>
                <c:pt idx="167">
                  <c:v>1.3036565977742498E-2</c:v>
                </c:pt>
                <c:pt idx="168">
                  <c:v>1.4438166980539791E-2</c:v>
                </c:pt>
                <c:pt idx="169">
                  <c:v>6.8069306930693685E-3</c:v>
                </c:pt>
                <c:pt idx="170">
                  <c:v>-8.2974800245849689E-3</c:v>
                </c:pt>
                <c:pt idx="171">
                  <c:v>3.0988534242326615E-4</c:v>
                </c:pt>
                <c:pt idx="172">
                  <c:v>3.4076827757125727E-3</c:v>
                </c:pt>
                <c:pt idx="173">
                  <c:v>-2.6860142019141775E-2</c:v>
                </c:pt>
                <c:pt idx="174">
                  <c:v>2.2842639593908753E-2</c:v>
                </c:pt>
                <c:pt idx="175">
                  <c:v>1.7059553349875856E-2</c:v>
                </c:pt>
                <c:pt idx="176">
                  <c:v>2.9582189691979233E-2</c:v>
                </c:pt>
                <c:pt idx="177">
                  <c:v>1.0663507109004655E-2</c:v>
                </c:pt>
                <c:pt idx="178">
                  <c:v>-3.2825322391559109E-2</c:v>
                </c:pt>
                <c:pt idx="179">
                  <c:v>2.1818181818181737E-2</c:v>
                </c:pt>
                <c:pt idx="180">
                  <c:v>-1.2752075919335693E-2</c:v>
                </c:pt>
                <c:pt idx="181">
                  <c:v>-2.8837488735355965E-2</c:v>
                </c:pt>
                <c:pt idx="182">
                  <c:v>1.5465511908445695E-3</c:v>
                </c:pt>
                <c:pt idx="183">
                  <c:v>-3.8295243977764071E-2</c:v>
                </c:pt>
                <c:pt idx="184">
                  <c:v>1.0276172125883054E-2</c:v>
                </c:pt>
                <c:pt idx="185">
                  <c:v>2.383979656706936E-2</c:v>
                </c:pt>
                <c:pt idx="186">
                  <c:v>1.6764979819931636E-2</c:v>
                </c:pt>
                <c:pt idx="187">
                  <c:v>-1.7099236641221482E-2</c:v>
                </c:pt>
                <c:pt idx="188">
                  <c:v>2.1745883814849432E-2</c:v>
                </c:pt>
                <c:pt idx="189">
                  <c:v>3.0404378230466378E-3</c:v>
                </c:pt>
                <c:pt idx="190">
                  <c:v>7.5780539557441795E-3</c:v>
                </c:pt>
                <c:pt idx="191">
                  <c:v>-1.6847172081829176E-2</c:v>
                </c:pt>
                <c:pt idx="192">
                  <c:v>-2.4785801713586242E-2</c:v>
                </c:pt>
                <c:pt idx="193">
                  <c:v>-1.5688735487919714E-2</c:v>
                </c:pt>
                <c:pt idx="194">
                  <c:v>2.1357985336308616E-2</c:v>
                </c:pt>
                <c:pt idx="195">
                  <c:v>-1.2172284644194731E-2</c:v>
                </c:pt>
                <c:pt idx="196">
                  <c:v>-9.4786729857809782E-4</c:v>
                </c:pt>
                <c:pt idx="197">
                  <c:v>-2.024035420619863E-2</c:v>
                </c:pt>
                <c:pt idx="198">
                  <c:v>-3.5506778566817387E-2</c:v>
                </c:pt>
                <c:pt idx="199">
                  <c:v>1.8406961178045522E-2</c:v>
                </c:pt>
                <c:pt idx="200">
                  <c:v>1.5445284258954972E-2</c:v>
                </c:pt>
                <c:pt idx="201">
                  <c:v>6.4724919093852584E-3</c:v>
                </c:pt>
                <c:pt idx="202">
                  <c:v>1.8971061093247643E-2</c:v>
                </c:pt>
                <c:pt idx="203">
                  <c:v>2.2720100978226521E-2</c:v>
                </c:pt>
                <c:pt idx="204">
                  <c:v>-3.1163221228015958E-2</c:v>
                </c:pt>
                <c:pt idx="205">
                  <c:v>2.8662420382166154E-3</c:v>
                </c:pt>
                <c:pt idx="206">
                  <c:v>-7.3356621149571311E-2</c:v>
                </c:pt>
                <c:pt idx="207">
                  <c:v>1.4393420150788261E-2</c:v>
                </c:pt>
                <c:pt idx="208">
                  <c:v>1.2162162162162149E-2</c:v>
                </c:pt>
                <c:pt idx="209">
                  <c:v>4.6728971962617383E-3</c:v>
                </c:pt>
                <c:pt idx="210">
                  <c:v>2.6245847176079806E-2</c:v>
                </c:pt>
                <c:pt idx="211">
                  <c:v>6.1508578828100013E-3</c:v>
                </c:pt>
                <c:pt idx="212">
                  <c:v>-2.8957528957529455E-3</c:v>
                </c:pt>
                <c:pt idx="213">
                  <c:v>-1.742497579864466E-2</c:v>
                </c:pt>
                <c:pt idx="214">
                  <c:v>2.6272577996715452E-3</c:v>
                </c:pt>
                <c:pt idx="215">
                  <c:v>-4.9787094660989184E-2</c:v>
                </c:pt>
                <c:pt idx="216">
                  <c:v>3.7917959324370809E-2</c:v>
                </c:pt>
                <c:pt idx="217">
                  <c:v>-1.7270009963467281E-2</c:v>
                </c:pt>
                <c:pt idx="218">
                  <c:v>2.3656640757012681E-3</c:v>
                </c:pt>
                <c:pt idx="219">
                  <c:v>-1.3486176668914274E-3</c:v>
                </c:pt>
                <c:pt idx="220">
                  <c:v>-1.3504388926401933E-3</c:v>
                </c:pt>
                <c:pt idx="221">
                  <c:v>1.6565246788370569E-2</c:v>
                </c:pt>
                <c:pt idx="222">
                  <c:v>3.9906883937479432E-3</c:v>
                </c:pt>
                <c:pt idx="223">
                  <c:v>1.9211659489897226E-2</c:v>
                </c:pt>
                <c:pt idx="224">
                  <c:v>-6.4998375040623557E-3</c:v>
                </c:pt>
                <c:pt idx="225">
                  <c:v>-9.8135426889112143E-4</c:v>
                </c:pt>
                <c:pt idx="226">
                  <c:v>-1.9646365422396617E-3</c:v>
                </c:pt>
                <c:pt idx="227">
                  <c:v>9.5144356955381149E-3</c:v>
                </c:pt>
                <c:pt idx="228">
                  <c:v>-1.5924601884952816E-2</c:v>
                </c:pt>
                <c:pt idx="229">
                  <c:v>2.97225891677666E-3</c:v>
                </c:pt>
                <c:pt idx="230">
                  <c:v>4.1159038524860136E-2</c:v>
                </c:pt>
                <c:pt idx="231">
                  <c:v>-3.4155597722960174E-2</c:v>
                </c:pt>
                <c:pt idx="232">
                  <c:v>2.292075965946383E-3</c:v>
                </c:pt>
                <c:pt idx="233">
                  <c:v>2.7442012414243599E-2</c:v>
                </c:pt>
                <c:pt idx="234">
                  <c:v>2.4801271860095397E-2</c:v>
                </c:pt>
                <c:pt idx="235">
                  <c:v>1.2100527458889232E-2</c:v>
                </c:pt>
                <c:pt idx="236">
                  <c:v>7.6640098099325371E-3</c:v>
                </c:pt>
                <c:pt idx="237">
                  <c:v>6.0845756008531815E-4</c:v>
                </c:pt>
                <c:pt idx="238">
                  <c:v>-1.5202189115232079E-3</c:v>
                </c:pt>
                <c:pt idx="239">
                  <c:v>-9.4397076735689422E-3</c:v>
                </c:pt>
                <c:pt idx="240">
                  <c:v>-7.3778051029819158E-3</c:v>
                </c:pt>
                <c:pt idx="241">
                  <c:v>-2.5394859089501454E-2</c:v>
                </c:pt>
                <c:pt idx="242">
                  <c:v>1.8748013981569889E-2</c:v>
                </c:pt>
                <c:pt idx="243">
                  <c:v>-1.8091079226450479E-2</c:v>
                </c:pt>
                <c:pt idx="244">
                  <c:v>1.2071156289707785E-2</c:v>
                </c:pt>
                <c:pt idx="245">
                  <c:v>1.3810420590081529E-2</c:v>
                </c:pt>
                <c:pt idx="246">
                  <c:v>-9.5975232198142191E-3</c:v>
                </c:pt>
                <c:pt idx="247">
                  <c:v>6.2519537355432142E-4</c:v>
                </c:pt>
                <c:pt idx="248">
                  <c:v>5.9356451109029429E-3</c:v>
                </c:pt>
                <c:pt idx="249">
                  <c:v>1.8633540372670732E-2</c:v>
                </c:pt>
                <c:pt idx="250">
                  <c:v>-2.682926829268284E-2</c:v>
                </c:pt>
                <c:pt idx="251">
                  <c:v>1.5977443609022535E-2</c:v>
                </c:pt>
                <c:pt idx="252">
                  <c:v>5.8587727412888757E-3</c:v>
                </c:pt>
                <c:pt idx="253">
                  <c:v>-1.9710502001847874E-2</c:v>
                </c:pt>
                <c:pt idx="254">
                  <c:v>2.3162445954292732E-2</c:v>
                </c:pt>
                <c:pt idx="255">
                  <c:v>-1.116812556595248E-2</c:v>
                </c:pt>
                <c:pt idx="256">
                  <c:v>1.1294261294261476E-2</c:v>
                </c:pt>
                <c:pt idx="257">
                  <c:v>2.4147298520977856E-3</c:v>
                </c:pt>
                <c:pt idx="258">
                  <c:v>-1.9271303824149322E-2</c:v>
                </c:pt>
                <c:pt idx="259">
                  <c:v>-4.298434141848384E-3</c:v>
                </c:pt>
                <c:pt idx="260">
                  <c:v>-1.788467468393462E-2</c:v>
                </c:pt>
                <c:pt idx="261">
                  <c:v>1.8838304552590834E-3</c:v>
                </c:pt>
                <c:pt idx="262">
                  <c:v>4.3873393920399462E-3</c:v>
                </c:pt>
                <c:pt idx="263">
                  <c:v>7.8003120124805481E-3</c:v>
                </c:pt>
                <c:pt idx="264">
                  <c:v>2.7863777089784936E-3</c:v>
                </c:pt>
                <c:pt idx="265">
                  <c:v>1.6671812287743171E-2</c:v>
                </c:pt>
                <c:pt idx="266">
                  <c:v>1.3665350744002547E-2</c:v>
                </c:pt>
                <c:pt idx="267">
                  <c:v>4.7932893948470223E-3</c:v>
                </c:pt>
                <c:pt idx="268">
                  <c:v>-1.222420989862838E-2</c:v>
                </c:pt>
                <c:pt idx="269">
                  <c:v>0</c:v>
                </c:pt>
                <c:pt idx="270">
                  <c:v>1.5695744038635606E-2</c:v>
                </c:pt>
                <c:pt idx="271">
                  <c:v>1.9019316493313454E-2</c:v>
                </c:pt>
                <c:pt idx="272">
                  <c:v>-2.6538349372994929E-2</c:v>
                </c:pt>
                <c:pt idx="273">
                  <c:v>2.0970641102455723E-3</c:v>
                </c:pt>
                <c:pt idx="274">
                  <c:v>3.8863976083705065E-3</c:v>
                </c:pt>
                <c:pt idx="275">
                  <c:v>2.4121500893389047E-2</c:v>
                </c:pt>
                <c:pt idx="276">
                  <c:v>-5.0014539110206369E-2</c:v>
                </c:pt>
                <c:pt idx="277">
                  <c:v>-8.5705540250995416E-3</c:v>
                </c:pt>
                <c:pt idx="278">
                  <c:v>-3.8592158073479488E-2</c:v>
                </c:pt>
                <c:pt idx="279">
                  <c:v>2.0873474630699995E-2</c:v>
                </c:pt>
                <c:pt idx="280">
                  <c:v>-1.2582573136206365E-2</c:v>
                </c:pt>
                <c:pt idx="281">
                  <c:v>-3.504300732717458E-3</c:v>
                </c:pt>
                <c:pt idx="282">
                  <c:v>-6.0741687979539716E-3</c:v>
                </c:pt>
                <c:pt idx="283">
                  <c:v>2.8304921196526278E-2</c:v>
                </c:pt>
                <c:pt idx="284">
                  <c:v>-2.03315608382858E-2</c:v>
                </c:pt>
                <c:pt idx="285">
                  <c:v>2.3307790549169649E-2</c:v>
                </c:pt>
                <c:pt idx="286">
                  <c:v>6.8642745709830422E-3</c:v>
                </c:pt>
                <c:pt idx="287">
                  <c:v>-4.9581654787729246E-3</c:v>
                </c:pt>
                <c:pt idx="288">
                  <c:v>-2.3980068514481423E-2</c:v>
                </c:pt>
                <c:pt idx="289">
                  <c:v>3.9566049776643242E-2</c:v>
                </c:pt>
                <c:pt idx="290">
                  <c:v>-5.5248618784530246E-3</c:v>
                </c:pt>
                <c:pt idx="291">
                  <c:v>1.9135802469135932E-2</c:v>
                </c:pt>
                <c:pt idx="292">
                  <c:v>-3.0284675953967333E-2</c:v>
                </c:pt>
                <c:pt idx="293">
                  <c:v>-2.4047470331043153E-2</c:v>
                </c:pt>
                <c:pt idx="294">
                  <c:v>2.6559999999999917E-2</c:v>
                </c:pt>
                <c:pt idx="295">
                  <c:v>6.2344139650871711E-4</c:v>
                </c:pt>
                <c:pt idx="296">
                  <c:v>-5.9190031152648093E-2</c:v>
                </c:pt>
                <c:pt idx="297">
                  <c:v>-1.0927152317880773E-2</c:v>
                </c:pt>
                <c:pt idx="298">
                  <c:v>-1.5734851021091512E-2</c:v>
                </c:pt>
                <c:pt idx="299">
                  <c:v>2.8911564625850428E-2</c:v>
                </c:pt>
                <c:pt idx="300">
                  <c:v>4.1322314049586861E-2</c:v>
                </c:pt>
                <c:pt idx="301">
                  <c:v>-4.1269841269840901E-3</c:v>
                </c:pt>
                <c:pt idx="302">
                  <c:v>3.5065349059610895E-3</c:v>
                </c:pt>
                <c:pt idx="303">
                  <c:v>3.0813214739517258E-2</c:v>
                </c:pt>
                <c:pt idx="304">
                  <c:v>3.6363636363636376E-2</c:v>
                </c:pt>
                <c:pt idx="305">
                  <c:v>2.1706809396372151E-2</c:v>
                </c:pt>
                <c:pt idx="306">
                  <c:v>2.4447031431897637E-2</c:v>
                </c:pt>
                <c:pt idx="307">
                  <c:v>5.6818181818174551E-4</c:v>
                </c:pt>
                <c:pt idx="308">
                  <c:v>1.1073253833049357E-2</c:v>
                </c:pt>
                <c:pt idx="309">
                  <c:v>-2.7239539455209183E-2</c:v>
                </c:pt>
                <c:pt idx="310">
                  <c:v>2.5404157043879882E-2</c:v>
                </c:pt>
                <c:pt idx="311">
                  <c:v>-2.3367117117117253E-2</c:v>
                </c:pt>
                <c:pt idx="312">
                  <c:v>1.2107235514557502E-2</c:v>
                </c:pt>
                <c:pt idx="313">
                  <c:v>-6.2660210766163349E-3</c:v>
                </c:pt>
                <c:pt idx="314">
                  <c:v>6.8787618228718372E-3</c:v>
                </c:pt>
                <c:pt idx="315">
                  <c:v>1.9925989183033899E-3</c:v>
                </c:pt>
                <c:pt idx="316">
                  <c:v>2.1874999999999867E-2</c:v>
                </c:pt>
                <c:pt idx="317">
                  <c:v>2.7800945232137053E-4</c:v>
                </c:pt>
                <c:pt idx="318">
                  <c:v>1.1951083935519691E-2</c:v>
                </c:pt>
                <c:pt idx="319">
                  <c:v>-2.1971985718209242E-2</c:v>
                </c:pt>
                <c:pt idx="320">
                  <c:v>0</c:v>
                </c:pt>
                <c:pt idx="321">
                  <c:v>4.1842179163156468E-2</c:v>
                </c:pt>
                <c:pt idx="322">
                  <c:v>6.4690026954179469E-3</c:v>
                </c:pt>
                <c:pt idx="323">
                  <c:v>-3.4815211569362736E-2</c:v>
                </c:pt>
                <c:pt idx="324">
                  <c:v>2.8579356270810319E-2</c:v>
                </c:pt>
                <c:pt idx="325">
                  <c:v>-1.1060156460749981E-2</c:v>
                </c:pt>
                <c:pt idx="326">
                  <c:v>5.1827605019094669E-3</c:v>
                </c:pt>
                <c:pt idx="327">
                  <c:v>-9.2265943012213025E-3</c:v>
                </c:pt>
                <c:pt idx="328">
                  <c:v>1.6433853738702098E-3</c:v>
                </c:pt>
                <c:pt idx="329">
                  <c:v>8.4768936286574448E-3</c:v>
                </c:pt>
                <c:pt idx="330">
                  <c:v>3.0368763557483636E-2</c:v>
                </c:pt>
                <c:pt idx="331">
                  <c:v>-3.0789473684210589E-2</c:v>
                </c:pt>
                <c:pt idx="332">
                  <c:v>2.9866956285635737E-3</c:v>
                </c:pt>
                <c:pt idx="333">
                  <c:v>1.4889009204114956E-2</c:v>
                </c:pt>
                <c:pt idx="334">
                  <c:v>5.8682315284075415E-3</c:v>
                </c:pt>
                <c:pt idx="335">
                  <c:v>1.3259082471492878E-2</c:v>
                </c:pt>
                <c:pt idx="336">
                  <c:v>-2.0151792724417805E-2</c:v>
                </c:pt>
                <c:pt idx="337">
                  <c:v>4.8076923076922906E-3</c:v>
                </c:pt>
                <c:pt idx="338">
                  <c:v>-2.2860180754917581E-2</c:v>
                </c:pt>
                <c:pt idx="339">
                  <c:v>-1.3057671381936808E-2</c:v>
                </c:pt>
                <c:pt idx="340">
                  <c:v>7.9106945975744081E-2</c:v>
                </c:pt>
                <c:pt idx="341">
                  <c:v>8.148148148148171E-2</c:v>
                </c:pt>
                <c:pt idx="342">
                  <c:v>1.9839395370807589E-2</c:v>
                </c:pt>
                <c:pt idx="343">
                  <c:v>9.2635479388603059E-4</c:v>
                </c:pt>
                <c:pt idx="344">
                  <c:v>2.7764923646460105E-2</c:v>
                </c:pt>
                <c:pt idx="345">
                  <c:v>1.0355695632597861E-2</c:v>
                </c:pt>
                <c:pt idx="346">
                  <c:v>2.2281639928700692E-4</c:v>
                </c:pt>
                <c:pt idx="347">
                  <c:v>-6.6830028959685706E-4</c:v>
                </c:pt>
                <c:pt idx="348">
                  <c:v>1.1145786892554632E-3</c:v>
                </c:pt>
                <c:pt idx="349">
                  <c:v>-1.4473391226898169E-2</c:v>
                </c:pt>
                <c:pt idx="350">
                  <c:v>-9.7153185720740831E-3</c:v>
                </c:pt>
                <c:pt idx="351">
                  <c:v>-1.3004791238877433E-2</c:v>
                </c:pt>
                <c:pt idx="352">
                  <c:v>-1.687471104946825E-2</c:v>
                </c:pt>
                <c:pt idx="353">
                  <c:v>1.0580766517751972E-2</c:v>
                </c:pt>
                <c:pt idx="354">
                  <c:v>2.0707305723592473E-2</c:v>
                </c:pt>
                <c:pt idx="355">
                  <c:v>-1.0257579211305989E-2</c:v>
                </c:pt>
                <c:pt idx="356">
                  <c:v>4.1455550437585753E-3</c:v>
                </c:pt>
                <c:pt idx="357">
                  <c:v>-8.9449541284404299E-3</c:v>
                </c:pt>
                <c:pt idx="358">
                  <c:v>1.2728535061328428E-2</c:v>
                </c:pt>
                <c:pt idx="359">
                  <c:v>-2.6279707495429627E-2</c:v>
                </c:pt>
                <c:pt idx="360">
                  <c:v>-2.0887115700539804E-2</c:v>
                </c:pt>
                <c:pt idx="361">
                  <c:v>2.157238734419975E-3</c:v>
                </c:pt>
                <c:pt idx="362">
                  <c:v>-1.1719684286055965E-2</c:v>
                </c:pt>
                <c:pt idx="363">
                  <c:v>2.8557599225556674E-2</c:v>
                </c:pt>
                <c:pt idx="364">
                  <c:v>9.4117647058822307E-3</c:v>
                </c:pt>
                <c:pt idx="365">
                  <c:v>4.1958041958041203E-3</c:v>
                </c:pt>
                <c:pt idx="366">
                  <c:v>-1.8337975858867206E-2</c:v>
                </c:pt>
                <c:pt idx="367">
                  <c:v>-5.2021754551903054E-3</c:v>
                </c:pt>
                <c:pt idx="368">
                  <c:v>1.9015925837889247E-2</c:v>
                </c:pt>
                <c:pt idx="369">
                  <c:v>2.1926755306741486E-2</c:v>
                </c:pt>
                <c:pt idx="370">
                  <c:v>9.1303355398308916E-4</c:v>
                </c:pt>
                <c:pt idx="371">
                  <c:v>1.094640820980608E-2</c:v>
                </c:pt>
                <c:pt idx="372">
                  <c:v>-3.1581321903902504E-2</c:v>
                </c:pt>
                <c:pt idx="373">
                  <c:v>3.2611227579781854E-3</c:v>
                </c:pt>
                <c:pt idx="374">
                  <c:v>2.0896215463197532E-3</c:v>
                </c:pt>
                <c:pt idx="375">
                  <c:v>3.2437442075996525E-3</c:v>
                </c:pt>
                <c:pt idx="376">
                  <c:v>1.7782909930716073E-2</c:v>
                </c:pt>
                <c:pt idx="377">
                  <c:v>1.1572498298161982E-2</c:v>
                </c:pt>
                <c:pt idx="378">
                  <c:v>-1.1664423508299548E-2</c:v>
                </c:pt>
                <c:pt idx="379">
                  <c:v>-1.1802088061734106E-2</c:v>
                </c:pt>
                <c:pt idx="380">
                  <c:v>2.0670647680294252E-3</c:v>
                </c:pt>
                <c:pt idx="381">
                  <c:v>1.5127206050882247E-2</c:v>
                </c:pt>
                <c:pt idx="382">
                  <c:v>1.7159629713253466E-2</c:v>
                </c:pt>
                <c:pt idx="383">
                  <c:v>6.8368479467258769E-2</c:v>
                </c:pt>
                <c:pt idx="384">
                  <c:v>-3.5528776231040893E-2</c:v>
                </c:pt>
                <c:pt idx="385">
                  <c:v>2.1542438604049918E-2</c:v>
                </c:pt>
                <c:pt idx="386">
                  <c:v>1.6237874314635192E-2</c:v>
                </c:pt>
                <c:pt idx="387">
                  <c:v>1.1205644324548736E-2</c:v>
                </c:pt>
                <c:pt idx="388">
                  <c:v>1.3544018058690765E-2</c:v>
                </c:pt>
                <c:pt idx="389">
                  <c:v>-1.4172909495849817E-3</c:v>
                </c:pt>
                <c:pt idx="390">
                  <c:v>7.2992700729925808E-3</c:v>
                </c:pt>
                <c:pt idx="391">
                  <c:v>1.4291465378421853E-2</c:v>
                </c:pt>
                <c:pt idx="392">
                  <c:v>-1.805913871799969E-2</c:v>
                </c:pt>
                <c:pt idx="393">
                  <c:v>8.0840743734844622E-3</c:v>
                </c:pt>
                <c:pt idx="394">
                  <c:v>3.4081796311145052E-3</c:v>
                </c:pt>
                <c:pt idx="395">
                  <c:v>3.3966033966033926E-2</c:v>
                </c:pt>
                <c:pt idx="396">
                  <c:v>3.4782608695651529E-3</c:v>
                </c:pt>
                <c:pt idx="397">
                  <c:v>-1.444251877527436E-2</c:v>
                </c:pt>
                <c:pt idx="398">
                  <c:v>-1.3677217663149444E-3</c:v>
                </c:pt>
                <c:pt idx="399">
                  <c:v>6.8479749559773317E-3</c:v>
                </c:pt>
                <c:pt idx="400">
                  <c:v>1.6129032258064502E-2</c:v>
                </c:pt>
                <c:pt idx="401">
                  <c:v>2.4861350162554974E-3</c:v>
                </c:pt>
                <c:pt idx="402">
                  <c:v>1.5261350629529602E-3</c:v>
                </c:pt>
                <c:pt idx="403">
                  <c:v>2.4190476190476318E-2</c:v>
                </c:pt>
                <c:pt idx="404">
                  <c:v>-1.4692207550678904E-2</c:v>
                </c:pt>
                <c:pt idx="405">
                  <c:v>-4.6998867497168639E-2</c:v>
                </c:pt>
                <c:pt idx="406">
                  <c:v>4.3771043771043683E-2</c:v>
                </c:pt>
                <c:pt idx="407">
                  <c:v>3.4155597722960174E-3</c:v>
                </c:pt>
                <c:pt idx="408">
                  <c:v>-1.1535552193645993E-2</c:v>
                </c:pt>
                <c:pt idx="409">
                  <c:v>2.6018748804285341E-2</c:v>
                </c:pt>
                <c:pt idx="410">
                  <c:v>-1.6408726459071432E-2</c:v>
                </c:pt>
                <c:pt idx="411">
                  <c:v>-5.3270142180094848E-2</c:v>
                </c:pt>
                <c:pt idx="412">
                  <c:v>1.8822587104525557E-2</c:v>
                </c:pt>
                <c:pt idx="413">
                  <c:v>-1.3757861635220192E-2</c:v>
                </c:pt>
                <c:pt idx="414">
                  <c:v>2.5109605420486236E-2</c:v>
                </c:pt>
                <c:pt idx="415">
                  <c:v>8.9424572317262641E-3</c:v>
                </c:pt>
                <c:pt idx="416">
                  <c:v>6.8593448940269752E-2</c:v>
                </c:pt>
                <c:pt idx="417">
                  <c:v>-7.933645870897954E-3</c:v>
                </c:pt>
                <c:pt idx="418">
                  <c:v>-2.1810250817885235E-3</c:v>
                </c:pt>
                <c:pt idx="419">
                  <c:v>5.8287795992713054E-3</c:v>
                </c:pt>
                <c:pt idx="420">
                  <c:v>7.243752263672576E-3</c:v>
                </c:pt>
                <c:pt idx="421">
                  <c:v>8.2704063286587193E-3</c:v>
                </c:pt>
                <c:pt idx="422">
                  <c:v>1.5691868758915817E-2</c:v>
                </c:pt>
                <c:pt idx="423">
                  <c:v>-7.7247191011236005E-3</c:v>
                </c:pt>
                <c:pt idx="424">
                  <c:v>-1.4154281670206714E-3</c:v>
                </c:pt>
                <c:pt idx="425">
                  <c:v>-1.7363571934797983E-2</c:v>
                </c:pt>
                <c:pt idx="426">
                  <c:v>2.0555355210962967E-2</c:v>
                </c:pt>
                <c:pt idx="427">
                  <c:v>1.5901060070671269E-2</c:v>
                </c:pt>
                <c:pt idx="428">
                  <c:v>3.2000000000000028E-2</c:v>
                </c:pt>
                <c:pt idx="429">
                  <c:v>-1.3144590495449915E-2</c:v>
                </c:pt>
                <c:pt idx="430">
                  <c:v>3.4153005464476749E-4</c:v>
                </c:pt>
                <c:pt idx="431">
                  <c:v>1.2290884260839796E-2</c:v>
                </c:pt>
                <c:pt idx="432">
                  <c:v>5.7335581787520962E-3</c:v>
                </c:pt>
                <c:pt idx="433">
                  <c:v>1.8779342723004744E-2</c:v>
                </c:pt>
                <c:pt idx="434">
                  <c:v>3.2916392363397939E-3</c:v>
                </c:pt>
                <c:pt idx="435">
                  <c:v>1.1154855643044526E-2</c:v>
                </c:pt>
                <c:pt idx="436">
                  <c:v>8.1116158338740973E-3</c:v>
                </c:pt>
                <c:pt idx="437">
                  <c:v>-2.5748310267138752E-2</c:v>
                </c:pt>
                <c:pt idx="438">
                  <c:v>-2.312520647505778E-2</c:v>
                </c:pt>
                <c:pt idx="439">
                  <c:v>-8.4545147108555652E-3</c:v>
                </c:pt>
                <c:pt idx="440">
                  <c:v>-4.8090040927694422E-2</c:v>
                </c:pt>
                <c:pt idx="441">
                  <c:v>3.3679684700824053E-2</c:v>
                </c:pt>
                <c:pt idx="442">
                  <c:v>-3.1542461005199307E-2</c:v>
                </c:pt>
                <c:pt idx="443">
                  <c:v>8.589835361488829E-3</c:v>
                </c:pt>
                <c:pt idx="444">
                  <c:v>3.9389638041164021E-2</c:v>
                </c:pt>
                <c:pt idx="445">
                  <c:v>-1.4339364970979762E-2</c:v>
                </c:pt>
                <c:pt idx="446">
                  <c:v>-1.4201593349497776E-2</c:v>
                </c:pt>
                <c:pt idx="447">
                  <c:v>1.9676739283204459E-2</c:v>
                </c:pt>
                <c:pt idx="448">
                  <c:v>-4.927636113025502E-2</c:v>
                </c:pt>
                <c:pt idx="449">
                  <c:v>1.0873504893078589E-3</c:v>
                </c:pt>
                <c:pt idx="450">
                  <c:v>-3.9464156408399731E-2</c:v>
                </c:pt>
                <c:pt idx="451">
                  <c:v>2.4500565397662877E-2</c:v>
                </c:pt>
                <c:pt idx="452">
                  <c:v>7.7262693156732176E-3</c:v>
                </c:pt>
                <c:pt idx="453">
                  <c:v>1.4238773274917849E-2</c:v>
                </c:pt>
                <c:pt idx="454">
                  <c:v>3.0957523398128073E-2</c:v>
                </c:pt>
                <c:pt idx="455">
                  <c:v>-1.5363128491620137E-2</c:v>
                </c:pt>
                <c:pt idx="456">
                  <c:v>-1.1702127659574457E-2</c:v>
                </c:pt>
                <c:pt idx="457">
                  <c:v>-1.4352350197345265E-3</c:v>
                </c:pt>
                <c:pt idx="458">
                  <c:v>4.4196909809558038E-2</c:v>
                </c:pt>
                <c:pt idx="459">
                  <c:v>1.5485203028217542E-2</c:v>
                </c:pt>
                <c:pt idx="460">
                  <c:v>1.2199254490003364E-2</c:v>
                </c:pt>
                <c:pt idx="461">
                  <c:v>-3.3478406427854046E-2</c:v>
                </c:pt>
                <c:pt idx="462">
                  <c:v>2.0436439210252955E-2</c:v>
                </c:pt>
                <c:pt idx="463">
                  <c:v>-1.9687712152070658E-2</c:v>
                </c:pt>
                <c:pt idx="464">
                  <c:v>2.1814404432133117E-2</c:v>
                </c:pt>
                <c:pt idx="465">
                  <c:v>1.4232463571670628E-2</c:v>
                </c:pt>
                <c:pt idx="466">
                  <c:v>1.9378549949883084E-2</c:v>
                </c:pt>
                <c:pt idx="467">
                  <c:v>1.9665683382497079E-3</c:v>
                </c:pt>
                <c:pt idx="468">
                  <c:v>3.6310107948969605E-2</c:v>
                </c:pt>
                <c:pt idx="469">
                  <c:v>2.0833333333333481E-2</c:v>
                </c:pt>
                <c:pt idx="470">
                  <c:v>-4.638218923933346E-3</c:v>
                </c:pt>
                <c:pt idx="471">
                  <c:v>-1.5532774153463658E-2</c:v>
                </c:pt>
                <c:pt idx="472">
                  <c:v>5.0489113284948317E-3</c:v>
                </c:pt>
                <c:pt idx="473">
                  <c:v>-8.791208791208871E-3</c:v>
                </c:pt>
                <c:pt idx="474">
                  <c:v>4.1178333861260574E-2</c:v>
                </c:pt>
                <c:pt idx="475">
                  <c:v>-1.5211439002128513E-3</c:v>
                </c:pt>
                <c:pt idx="476">
                  <c:v>2.4375380865324647E-3</c:v>
                </c:pt>
                <c:pt idx="477">
                  <c:v>1.8237082066869359E-2</c:v>
                </c:pt>
                <c:pt idx="478">
                  <c:v>3.761194029850734E-2</c:v>
                </c:pt>
                <c:pt idx="479">
                  <c:v>6.6168009205984646E-3</c:v>
                </c:pt>
                <c:pt idx="480">
                  <c:v>-8.2880823092311706E-3</c:v>
                </c:pt>
                <c:pt idx="481">
                  <c:v>4.8703170028818299E-2</c:v>
                </c:pt>
                <c:pt idx="482">
                  <c:v>-1.483924154987637E-2</c:v>
                </c:pt>
                <c:pt idx="483">
                  <c:v>2.4825662482566235E-2</c:v>
                </c:pt>
                <c:pt idx="484">
                  <c:v>-1.7964071856287567E-2</c:v>
                </c:pt>
                <c:pt idx="485">
                  <c:v>-1.8292682926829174E-2</c:v>
                </c:pt>
                <c:pt idx="486">
                  <c:v>4.1501976284584963E-2</c:v>
                </c:pt>
                <c:pt idx="487">
                  <c:v>-2.1686093792354644E-3</c:v>
                </c:pt>
                <c:pt idx="488">
                  <c:v>-2.2548220592230495E-2</c:v>
                </c:pt>
                <c:pt idx="489">
                  <c:v>6.9483046136742388E-3</c:v>
                </c:pt>
                <c:pt idx="490">
                  <c:v>-1.2144631520839E-2</c:v>
                </c:pt>
                <c:pt idx="491">
                  <c:v>1.7323274657725651E-2</c:v>
                </c:pt>
                <c:pt idx="492">
                  <c:v>-1.0162043394671749E-2</c:v>
                </c:pt>
                <c:pt idx="493">
                  <c:v>7.769145394006749E-3</c:v>
                </c:pt>
                <c:pt idx="494">
                  <c:v>-9.9118942731277748E-3</c:v>
                </c:pt>
                <c:pt idx="495">
                  <c:v>4.6440489432703069E-2</c:v>
                </c:pt>
                <c:pt idx="496">
                  <c:v>3.1889449906987721E-3</c:v>
                </c:pt>
                <c:pt idx="497">
                  <c:v>3.1788079470198571E-3</c:v>
                </c:pt>
                <c:pt idx="498">
                  <c:v>-5.2812252442557828E-4</c:v>
                </c:pt>
                <c:pt idx="499">
                  <c:v>-2.9062087186261243E-3</c:v>
                </c:pt>
                <c:pt idx="500">
                  <c:v>1.669316375198715E-2</c:v>
                </c:pt>
                <c:pt idx="501">
                  <c:v>1.2770393536617242E-2</c:v>
                </c:pt>
                <c:pt idx="502">
                  <c:v>3.5769428718476659E-2</c:v>
                </c:pt>
                <c:pt idx="503">
                  <c:v>-2.3602484472049712E-2</c:v>
                </c:pt>
                <c:pt idx="504">
                  <c:v>8.9058524173029063E-3</c:v>
                </c:pt>
                <c:pt idx="505">
                  <c:v>1.8915510718789497E-2</c:v>
                </c:pt>
                <c:pt idx="506">
                  <c:v>2.4999999999999911E-2</c:v>
                </c:pt>
                <c:pt idx="507">
                  <c:v>1.0142477662400395E-2</c:v>
                </c:pt>
                <c:pt idx="508">
                  <c:v>7.3392302175472102E-2</c:v>
                </c:pt>
                <c:pt idx="509">
                  <c:v>4.120267260579058E-2</c:v>
                </c:pt>
                <c:pt idx="510">
                  <c:v>2.3529411764706021E-2</c:v>
                </c:pt>
                <c:pt idx="511">
                  <c:v>1.0658307210031248E-2</c:v>
                </c:pt>
                <c:pt idx="512">
                  <c:v>-0.11062861869313489</c:v>
                </c:pt>
                <c:pt idx="513">
                  <c:v>4.9988374796558821E-2</c:v>
                </c:pt>
                <c:pt idx="514">
                  <c:v>-0.11780336581045159</c:v>
                </c:pt>
                <c:pt idx="515">
                  <c:v>-0.15612449799196804</c:v>
                </c:pt>
                <c:pt idx="516">
                  <c:v>6.8709101725163757E-2</c:v>
                </c:pt>
                <c:pt idx="517">
                  <c:v>-7.0136376287225244E-2</c:v>
                </c:pt>
                <c:pt idx="518">
                  <c:v>0.16821310984735116</c:v>
                </c:pt>
                <c:pt idx="519">
                  <c:v>-2.3827824750192184E-2</c:v>
                </c:pt>
                <c:pt idx="520">
                  <c:v>-8.7664041994750752E-2</c:v>
                </c:pt>
                <c:pt idx="521">
                  <c:v>8.6306098964328282E-3</c:v>
                </c:pt>
                <c:pt idx="522">
                  <c:v>7.2447233314318238E-2</c:v>
                </c:pt>
                <c:pt idx="523">
                  <c:v>-1.5957446808510634E-2</c:v>
                </c:pt>
                <c:pt idx="524">
                  <c:v>3.837837837837843E-2</c:v>
                </c:pt>
                <c:pt idx="525">
                  <c:v>4.6330036439354627E-2</c:v>
                </c:pt>
                <c:pt idx="526">
                  <c:v>6.2935323383084496E-2</c:v>
                </c:pt>
                <c:pt idx="527">
                  <c:v>-4.8209688743271584E-2</c:v>
                </c:pt>
                <c:pt idx="528">
                  <c:v>1.1310548315711877E-2</c:v>
                </c:pt>
                <c:pt idx="529">
                  <c:v>-2.5528811086798053E-2</c:v>
                </c:pt>
                <c:pt idx="530">
                  <c:v>1.9211576846307477E-2</c:v>
                </c:pt>
                <c:pt idx="531">
                  <c:v>1.3953488372093092E-2</c:v>
                </c:pt>
                <c:pt idx="532">
                  <c:v>5.5045871559633142E-2</c:v>
                </c:pt>
                <c:pt idx="533">
                  <c:v>3.8901601830663601E-2</c:v>
                </c:pt>
                <c:pt idx="534">
                  <c:v>1.5418502202644291E-3</c:v>
                </c:pt>
                <c:pt idx="535">
                  <c:v>1.2975588299978025E-2</c:v>
                </c:pt>
                <c:pt idx="536">
                  <c:v>-5.21059487624842E-3</c:v>
                </c:pt>
                <c:pt idx="537">
                  <c:v>-6.5473592317764062E-3</c:v>
                </c:pt>
                <c:pt idx="538">
                  <c:v>1.5158172231985789E-2</c:v>
                </c:pt>
                <c:pt idx="539">
                  <c:v>-2.0774724085695806E-2</c:v>
                </c:pt>
                <c:pt idx="540">
                  <c:v>-1.3480662983425429E-2</c:v>
                </c:pt>
                <c:pt idx="541">
                  <c:v>3.5842293906809264E-3</c:v>
                </c:pt>
                <c:pt idx="542">
                  <c:v>-1.9196428571428559E-2</c:v>
                </c:pt>
                <c:pt idx="543">
                  <c:v>3.2316795630405126E-2</c:v>
                </c:pt>
                <c:pt idx="544">
                  <c:v>4.1005291005290934E-2</c:v>
                </c:pt>
                <c:pt idx="545">
                  <c:v>4.8708174502329893E-3</c:v>
                </c:pt>
                <c:pt idx="546">
                  <c:v>-1.5384615384615441E-2</c:v>
                </c:pt>
                <c:pt idx="547">
                  <c:v>-6.8707191780821963E-2</c:v>
                </c:pt>
                <c:pt idx="548">
                  <c:v>5.1022753390025155E-2</c:v>
                </c:pt>
                <c:pt idx="549">
                  <c:v>3.1270500765361975E-2</c:v>
                </c:pt>
                <c:pt idx="550">
                  <c:v>4.240882103478949E-4</c:v>
                </c:pt>
                <c:pt idx="551">
                  <c:v>-3.3064857990674046E-2</c:v>
                </c:pt>
                <c:pt idx="552">
                  <c:v>-1.7755370451556285E-2</c:v>
                </c:pt>
                <c:pt idx="553">
                  <c:v>4.4632894443203952E-3</c:v>
                </c:pt>
                <c:pt idx="554">
                  <c:v>2.1328593645856486E-2</c:v>
                </c:pt>
                <c:pt idx="555">
                  <c:v>7.3961279095062782E-3</c:v>
                </c:pt>
                <c:pt idx="556">
                  <c:v>2.375296912114E-2</c:v>
                </c:pt>
                <c:pt idx="557">
                  <c:v>1.2866483864163891E-2</c:v>
                </c:pt>
                <c:pt idx="558">
                  <c:v>-3.5818408996251661E-2</c:v>
                </c:pt>
                <c:pt idx="559">
                  <c:v>2.5701943844492536E-2</c:v>
                </c:pt>
                <c:pt idx="560">
                  <c:v>-9.265108443882919E-2</c:v>
                </c:pt>
                <c:pt idx="561">
                  <c:v>3.8988164307263817E-2</c:v>
                </c:pt>
                <c:pt idx="562">
                  <c:v>6.7009157918240803E-4</c:v>
                </c:pt>
                <c:pt idx="563">
                  <c:v>1.7633928571428648E-2</c:v>
                </c:pt>
                <c:pt idx="564">
                  <c:v>6.799736784382393E-3</c:v>
                </c:pt>
                <c:pt idx="565">
                  <c:v>3.0501089324619368E-3</c:v>
                </c:pt>
                <c:pt idx="566">
                  <c:v>1.6941789748045277E-2</c:v>
                </c:pt>
                <c:pt idx="567">
                  <c:v>-4.3998291328492201E-2</c:v>
                </c:pt>
                <c:pt idx="568">
                  <c:v>3.1948168007149169E-2</c:v>
                </c:pt>
                <c:pt idx="569">
                  <c:v>7.1444035505521253E-3</c:v>
                </c:pt>
                <c:pt idx="570">
                  <c:v>2.8159931212381695E-2</c:v>
                </c:pt>
                <c:pt idx="571">
                  <c:v>3.5960694125026116E-2</c:v>
                </c:pt>
                <c:pt idx="572">
                  <c:v>1.8768920282542956E-2</c:v>
                </c:pt>
                <c:pt idx="573">
                  <c:v>5.3486529318542031E-2</c:v>
                </c:pt>
                <c:pt idx="574">
                  <c:v>9.5900714554344457E-3</c:v>
                </c:pt>
                <c:pt idx="575">
                  <c:v>-2.1978021978022011E-2</c:v>
                </c:pt>
                <c:pt idx="576">
                  <c:v>-7.9984764806702024E-3</c:v>
                </c:pt>
                <c:pt idx="577">
                  <c:v>8.254943367248968E-3</c:v>
                </c:pt>
                <c:pt idx="578">
                  <c:v>-2.8560548362529525E-3</c:v>
                </c:pt>
                <c:pt idx="579">
                  <c:v>-3.8189803322512539E-3</c:v>
                </c:pt>
                <c:pt idx="580">
                  <c:v>-6.9005175388153761E-3</c:v>
                </c:pt>
                <c:pt idx="581">
                  <c:v>3.2426172553561061E-2</c:v>
                </c:pt>
                <c:pt idx="582">
                  <c:v>3.3651149747615516E-3</c:v>
                </c:pt>
                <c:pt idx="583">
                  <c:v>-1.3415315818893214E-2</c:v>
                </c:pt>
                <c:pt idx="584">
                  <c:v>1.491973559962223E-2</c:v>
                </c:pt>
                <c:pt idx="585">
                  <c:v>1.1350949013769984E-2</c:v>
                </c:pt>
                <c:pt idx="586">
                  <c:v>9.1996320147180732E-4</c:v>
                </c:pt>
                <c:pt idx="587">
                  <c:v>1.4705882352941124E-3</c:v>
                </c:pt>
                <c:pt idx="588">
                  <c:v>2.3311306901615314E-2</c:v>
                </c:pt>
                <c:pt idx="589">
                  <c:v>3.6053811659192858E-2</c:v>
                </c:pt>
                <c:pt idx="590">
                  <c:v>6.7520775623268747E-3</c:v>
                </c:pt>
                <c:pt idx="591">
                  <c:v>1.3585554600171967E-2</c:v>
                </c:pt>
                <c:pt idx="592">
                  <c:v>-1.9850695622667058E-2</c:v>
                </c:pt>
                <c:pt idx="593">
                  <c:v>-1.3155617102302286E-2</c:v>
                </c:pt>
                <c:pt idx="594">
                  <c:v>1.9119452727591746E-2</c:v>
                </c:pt>
                <c:pt idx="595">
                  <c:v>-8.6058519793459354E-3</c:v>
                </c:pt>
                <c:pt idx="596">
                  <c:v>4.1493055555555491E-2</c:v>
                </c:pt>
                <c:pt idx="597">
                  <c:v>7.2178696449407997E-2</c:v>
                </c:pt>
                <c:pt idx="598">
                  <c:v>3.3737562189054771E-2</c:v>
                </c:pt>
                <c:pt idx="599">
                  <c:v>-5.0834711986764813E-2</c:v>
                </c:pt>
                <c:pt idx="600">
                  <c:v>-1.8063698304547571E-2</c:v>
                </c:pt>
                <c:pt idx="601">
                  <c:v>4.1148943036953378E-2</c:v>
                </c:pt>
                <c:pt idx="602">
                  <c:v>3.09981401116044E-4</c:v>
                </c:pt>
                <c:pt idx="603">
                  <c:v>3.4087387666563718E-3</c:v>
                </c:pt>
                <c:pt idx="604">
                  <c:v>6.9487337862876863E-3</c:v>
                </c:pt>
                <c:pt idx="605">
                  <c:v>3.0670142616163076E-2</c:v>
                </c:pt>
                <c:pt idx="606">
                  <c:v>-1.9937509299211231E-2</c:v>
                </c:pt>
                <c:pt idx="607">
                  <c:v>3.2791862759981694E-2</c:v>
                </c:pt>
                <c:pt idx="608">
                  <c:v>3.3073643980596756E-2</c:v>
                </c:pt>
                <c:pt idx="609">
                  <c:v>-2.3904382470119612E-2</c:v>
                </c:pt>
                <c:pt idx="610">
                  <c:v>-2.2594752186588907E-2</c:v>
                </c:pt>
                <c:pt idx="611">
                  <c:v>-5.8463832960477191E-2</c:v>
                </c:pt>
                <c:pt idx="612">
                  <c:v>1.9800411848566402E-2</c:v>
                </c:pt>
                <c:pt idx="613">
                  <c:v>4.892823858341111E-2</c:v>
                </c:pt>
                <c:pt idx="614">
                  <c:v>-9.1811046942100738E-3</c:v>
                </c:pt>
                <c:pt idx="615">
                  <c:v>-1.1507995815274175E-2</c:v>
                </c:pt>
                <c:pt idx="616">
                  <c:v>2.192319322648939E-2</c:v>
                </c:pt>
                <c:pt idx="617">
                  <c:v>1.213197218523443E-2</c:v>
                </c:pt>
                <c:pt idx="618">
                  <c:v>-8.3321151878380295E-2</c:v>
                </c:pt>
                <c:pt idx="619">
                  <c:v>0.10971136979748053</c:v>
                </c:pt>
                <c:pt idx="620">
                  <c:v>1.1208506969392129E-2</c:v>
                </c:pt>
                <c:pt idx="621">
                  <c:v>3.1121216427454801E-2</c:v>
                </c:pt>
                <c:pt idx="622">
                  <c:v>5.5126791620725424E-3</c:v>
                </c:pt>
                <c:pt idx="623">
                  <c:v>-2.3300438596491113E-2</c:v>
                </c:pt>
                <c:pt idx="624">
                  <c:v>-4.9536907100757754E-2</c:v>
                </c:pt>
                <c:pt idx="625">
                  <c:v>-8.4895910231802874E-2</c:v>
                </c:pt>
                <c:pt idx="626">
                  <c:v>-6.0342045821232593E-2</c:v>
                </c:pt>
                <c:pt idx="627">
                  <c:v>-5.8379120879121782E-3</c:v>
                </c:pt>
                <c:pt idx="628">
                  <c:v>-5.0086355785837644E-2</c:v>
                </c:pt>
                <c:pt idx="629">
                  <c:v>9.000000000000008E-2</c:v>
                </c:pt>
                <c:pt idx="630">
                  <c:v>-2.0183486238532167E-2</c:v>
                </c:pt>
                <c:pt idx="631">
                  <c:v>-5.0902281239359914E-2</c:v>
                </c:pt>
                <c:pt idx="632">
                  <c:v>-4.035874439461884E-2</c:v>
                </c:pt>
                <c:pt idx="633">
                  <c:v>0.10392523364485995</c:v>
                </c:pt>
                <c:pt idx="634">
                  <c:v>4.5716220792413331E-3</c:v>
                </c:pt>
                <c:pt idx="635">
                  <c:v>1.2641159615708775E-2</c:v>
                </c:pt>
                <c:pt idx="636">
                  <c:v>-1.2816245006657678E-2</c:v>
                </c:pt>
                <c:pt idx="637">
                  <c:v>4.4849097959871909E-2</c:v>
                </c:pt>
                <c:pt idx="638">
                  <c:v>5.0508310472809459E-2</c:v>
                </c:pt>
                <c:pt idx="639">
                  <c:v>-3.072196620583556E-3</c:v>
                </c:pt>
                <c:pt idx="640">
                  <c:v>4.0832049306625429E-2</c:v>
                </c:pt>
                <c:pt idx="641">
                  <c:v>-4.1450777202072242E-3</c:v>
                </c:pt>
                <c:pt idx="642">
                  <c:v>-3.2406719191318434E-2</c:v>
                </c:pt>
                <c:pt idx="643">
                  <c:v>-3.3799354739591392E-2</c:v>
                </c:pt>
                <c:pt idx="644">
                  <c:v>4.0069963428208011E-2</c:v>
                </c:pt>
                <c:pt idx="645">
                  <c:v>-5.9165265249961796E-2</c:v>
                </c:pt>
                <c:pt idx="646">
                  <c:v>-4.2573935651608719E-2</c:v>
                </c:pt>
                <c:pt idx="647">
                  <c:v>2.6476578411405161E-2</c:v>
                </c:pt>
                <c:pt idx="648">
                  <c:v>1.2235449735449766E-2</c:v>
                </c:pt>
                <c:pt idx="649">
                  <c:v>-2.8422084286180982E-2</c:v>
                </c:pt>
                <c:pt idx="650">
                  <c:v>3.4465366509751183E-2</c:v>
                </c:pt>
                <c:pt idx="651">
                  <c:v>-4.6968958231756841E-2</c:v>
                </c:pt>
                <c:pt idx="652">
                  <c:v>-4.8942701227830843E-2</c:v>
                </c:pt>
                <c:pt idx="653">
                  <c:v>1.6137708445400634E-2</c:v>
                </c:pt>
                <c:pt idx="654">
                  <c:v>4.7644256220220615E-3</c:v>
                </c:pt>
                <c:pt idx="655">
                  <c:v>4.0744643484369458E-2</c:v>
                </c:pt>
                <c:pt idx="656">
                  <c:v>4.3874451569356765E-3</c:v>
                </c:pt>
                <c:pt idx="657">
                  <c:v>-3.393817204301075E-2</c:v>
                </c:pt>
                <c:pt idx="658">
                  <c:v>-3.4782608695652195E-2</c:v>
                </c:pt>
                <c:pt idx="659">
                  <c:v>2.5945945945945903E-2</c:v>
                </c:pt>
                <c:pt idx="660">
                  <c:v>5.268703898841931E-4</c:v>
                </c:pt>
                <c:pt idx="661">
                  <c:v>3.2648762506582329E-2</c:v>
                </c:pt>
                <c:pt idx="662">
                  <c:v>4.1475437701852913E-2</c:v>
                </c:pt>
                <c:pt idx="663">
                  <c:v>7.3445405581851197E-3</c:v>
                </c:pt>
                <c:pt idx="664">
                  <c:v>-6.6753078418664846E-2</c:v>
                </c:pt>
                <c:pt idx="665">
                  <c:v>1.3715277777777812E-2</c:v>
                </c:pt>
                <c:pt idx="666">
                  <c:v>-2.397670834046961E-3</c:v>
                </c:pt>
                <c:pt idx="667">
                  <c:v>-9.9570815450643613E-3</c:v>
                </c:pt>
                <c:pt idx="668">
                  <c:v>-2.080804577770079E-2</c:v>
                </c:pt>
                <c:pt idx="669">
                  <c:v>5.1354701611474596E-3</c:v>
                </c:pt>
                <c:pt idx="670">
                  <c:v>-3.2417195207892768E-2</c:v>
                </c:pt>
                <c:pt idx="671">
                  <c:v>-2.0393299344501181E-2</c:v>
                </c:pt>
                <c:pt idx="672">
                  <c:v>2.8996282527881112E-2</c:v>
                </c:pt>
                <c:pt idx="673">
                  <c:v>3.7210982658959502E-2</c:v>
                </c:pt>
                <c:pt idx="674">
                  <c:v>2.9954719609891933E-2</c:v>
                </c:pt>
                <c:pt idx="675">
                  <c:v>-6.2563408860331071E-3</c:v>
                </c:pt>
                <c:pt idx="676">
                  <c:v>4.4750723158073713E-2</c:v>
                </c:pt>
                <c:pt idx="677">
                  <c:v>4.869706840390875E-2</c:v>
                </c:pt>
                <c:pt idx="678">
                  <c:v>1.4287932908836787E-2</c:v>
                </c:pt>
                <c:pt idx="679">
                  <c:v>5.6652886234880295E-3</c:v>
                </c:pt>
                <c:pt idx="680">
                  <c:v>1.0353227771010776E-2</c:v>
                </c:pt>
                <c:pt idx="681">
                  <c:v>-5.2591922845087402E-2</c:v>
                </c:pt>
                <c:pt idx="682">
                  <c:v>1.4633370446954119E-2</c:v>
                </c:pt>
                <c:pt idx="683">
                  <c:v>3.7623451951716014E-3</c:v>
                </c:pt>
                <c:pt idx="684">
                  <c:v>3.4671247852569032E-2</c:v>
                </c:pt>
                <c:pt idx="685">
                  <c:v>2.7169811320755244E-3</c:v>
                </c:pt>
                <c:pt idx="686">
                  <c:v>3.6278789703447112E-2</c:v>
                </c:pt>
                <c:pt idx="687">
                  <c:v>-1.5107495642068702E-2</c:v>
                </c:pt>
                <c:pt idx="688">
                  <c:v>1.3569321533923429E-2</c:v>
                </c:pt>
                <c:pt idx="689">
                  <c:v>3.6088474970896511E-2</c:v>
                </c:pt>
                <c:pt idx="690">
                  <c:v>-8.5674157303370357E-3</c:v>
                </c:pt>
                <c:pt idx="691">
                  <c:v>-8.3581243802238747E-3</c:v>
                </c:pt>
                <c:pt idx="692">
                  <c:v>1.1142857142857121E-2</c:v>
                </c:pt>
                <c:pt idx="693">
                  <c:v>8.6182537439953855E-3</c:v>
                </c:pt>
                <c:pt idx="694">
                  <c:v>2.3532707662137442E-2</c:v>
                </c:pt>
                <c:pt idx="695">
                  <c:v>1.5464622964280972E-2</c:v>
                </c:pt>
                <c:pt idx="696">
                  <c:v>-1.4555256064689992E-2</c:v>
                </c:pt>
                <c:pt idx="697">
                  <c:v>-6.7013129102846403E-3</c:v>
                </c:pt>
                <c:pt idx="698">
                  <c:v>-4.956629491945419E-3</c:v>
                </c:pt>
                <c:pt idx="699">
                  <c:v>-3.3623910336239016E-2</c:v>
                </c:pt>
                <c:pt idx="700">
                  <c:v>1.6895761741122506E-2</c:v>
                </c:pt>
                <c:pt idx="701">
                  <c:v>-1.844550830751901E-2</c:v>
                </c:pt>
                <c:pt idx="702">
                  <c:v>-3.6436666188495059E-2</c:v>
                </c:pt>
                <c:pt idx="703">
                  <c:v>6.8482953699566806E-3</c:v>
                </c:pt>
                <c:pt idx="704">
                  <c:v>4.2880378530238072E-2</c:v>
                </c:pt>
                <c:pt idx="705">
                  <c:v>3.2893804055011966E-2</c:v>
                </c:pt>
                <c:pt idx="706">
                  <c:v>2.1962937542898686E-3</c:v>
                </c:pt>
                <c:pt idx="707">
                  <c:v>2.0819065881386045E-2</c:v>
                </c:pt>
                <c:pt idx="708">
                  <c:v>-5.2327921642292274E-3</c:v>
                </c:pt>
                <c:pt idx="709">
                  <c:v>1.34879956838585E-4</c:v>
                </c:pt>
                <c:pt idx="710">
                  <c:v>-6.3115306810519356E-2</c:v>
                </c:pt>
                <c:pt idx="711">
                  <c:v>1.453864977688224E-2</c:v>
                </c:pt>
                <c:pt idx="712">
                  <c:v>8.9387060158909737E-3</c:v>
                </c:pt>
                <c:pt idx="713">
                  <c:v>-2.1234706792293667E-2</c:v>
                </c:pt>
                <c:pt idx="714">
                  <c:v>7.0114942528735735E-2</c:v>
                </c:pt>
                <c:pt idx="715">
                  <c:v>4.6992481203007586E-3</c:v>
                </c:pt>
                <c:pt idx="716">
                  <c:v>2.7395429640518554E-2</c:v>
                </c:pt>
                <c:pt idx="717">
                  <c:v>1.053590010405836E-2</c:v>
                </c:pt>
                <c:pt idx="718">
                  <c:v>4.2605225897798915E-2</c:v>
                </c:pt>
                <c:pt idx="719">
                  <c:v>2.0864197530864104E-2</c:v>
                </c:pt>
                <c:pt idx="720">
                  <c:v>1.8744709154673966E-2</c:v>
                </c:pt>
                <c:pt idx="721">
                  <c:v>-5.9354226020892353E-3</c:v>
                </c:pt>
                <c:pt idx="722">
                  <c:v>1.731550035825169E-2</c:v>
                </c:pt>
                <c:pt idx="723">
                  <c:v>-2.9346167390539302E-3</c:v>
                </c:pt>
                <c:pt idx="724">
                  <c:v>1.2479397221568211E-2</c:v>
                </c:pt>
                <c:pt idx="725">
                  <c:v>1.7906976744186176E-2</c:v>
                </c:pt>
                <c:pt idx="726">
                  <c:v>-2.7301804889193537E-2</c:v>
                </c:pt>
                <c:pt idx="727">
                  <c:v>-3.8167938931297662E-2</c:v>
                </c:pt>
                <c:pt idx="728">
                  <c:v>3.296703296703285E-3</c:v>
                </c:pt>
                <c:pt idx="729">
                  <c:v>-8.6406230984544807E-3</c:v>
                </c:pt>
                <c:pt idx="730">
                  <c:v>2.5042965872821066E-2</c:v>
                </c:pt>
                <c:pt idx="731">
                  <c:v>4.2754491017964025E-2</c:v>
                </c:pt>
                <c:pt idx="732">
                  <c:v>3.1698633283564925E-2</c:v>
                </c:pt>
                <c:pt idx="733">
                  <c:v>-5.232105087387251E-3</c:v>
                </c:pt>
                <c:pt idx="734">
                  <c:v>1.6786034019695695E-3</c:v>
                </c:pt>
                <c:pt idx="735">
                  <c:v>8.6023907943246769E-3</c:v>
                </c:pt>
                <c:pt idx="736">
                  <c:v>-2.2153300841826207E-3</c:v>
                </c:pt>
                <c:pt idx="737">
                  <c:v>3.2637655417406819E-2</c:v>
                </c:pt>
                <c:pt idx="738">
                  <c:v>-3.8808858310040883E-2</c:v>
                </c:pt>
                <c:pt idx="739">
                  <c:v>1.241471871155353E-2</c:v>
                </c:pt>
                <c:pt idx="740">
                  <c:v>3.5572249226690333E-2</c:v>
                </c:pt>
                <c:pt idx="741">
                  <c:v>-1.3654789844250059E-2</c:v>
                </c:pt>
                <c:pt idx="742">
                  <c:v>7.2571922993727167E-2</c:v>
                </c:pt>
                <c:pt idx="743">
                  <c:v>2.0671574064737186E-2</c:v>
                </c:pt>
                <c:pt idx="744">
                  <c:v>-8.8915234143450705E-3</c:v>
                </c:pt>
                <c:pt idx="745">
                  <c:v>1.5450558213716326E-2</c:v>
                </c:pt>
                <c:pt idx="746">
                  <c:v>1.276136252085891E-3</c:v>
                </c:pt>
                <c:pt idx="747">
                  <c:v>3.0686274509803768E-2</c:v>
                </c:pt>
                <c:pt idx="748">
                  <c:v>-1.1319318938457168E-2</c:v>
                </c:pt>
                <c:pt idx="749">
                  <c:v>-7.7929574754665998E-3</c:v>
                </c:pt>
                <c:pt idx="750">
                  <c:v>-2.0556579074953896E-2</c:v>
                </c:pt>
                <c:pt idx="751">
                  <c:v>1.6236016236016226E-2</c:v>
                </c:pt>
                <c:pt idx="752">
                  <c:v>2.9225523623964911E-2</c:v>
                </c:pt>
                <c:pt idx="753">
                  <c:v>-8.5186938002840273E-3</c:v>
                </c:pt>
                <c:pt idx="754">
                  <c:v>1.5656324582338899E-2</c:v>
                </c:pt>
                <c:pt idx="755">
                  <c:v>-2.26525049346743E-2</c:v>
                </c:pt>
                <c:pt idx="756">
                  <c:v>1.8272744758607296E-3</c:v>
                </c:pt>
                <c:pt idx="757">
                  <c:v>7.9293462609196563E-2</c:v>
                </c:pt>
                <c:pt idx="758">
                  <c:v>-2.1168727208040639E-2</c:v>
                </c:pt>
                <c:pt idx="759">
                  <c:v>1.8173557473875501E-2</c:v>
                </c:pt>
                <c:pt idx="760">
                  <c:v>9.3708165997321569E-3</c:v>
                </c:pt>
                <c:pt idx="761">
                  <c:v>-3.4659593280282786E-2</c:v>
                </c:pt>
                <c:pt idx="762">
                  <c:v>-4.5704341454478881E-2</c:v>
                </c:pt>
                <c:pt idx="763">
                  <c:v>-1.2093291102792891E-2</c:v>
                </c:pt>
                <c:pt idx="764">
                  <c:v>-3.886136209074742E-4</c:v>
                </c:pt>
                <c:pt idx="765">
                  <c:v>-1.2634852755369796E-2</c:v>
                </c:pt>
                <c:pt idx="766">
                  <c:v>3.5436558716408495E-3</c:v>
                </c:pt>
                <c:pt idx="767">
                  <c:v>3.531142717018132E-2</c:v>
                </c:pt>
                <c:pt idx="768">
                  <c:v>4.2633822832780499E-3</c:v>
                </c:pt>
                <c:pt idx="769">
                  <c:v>-1.264150943396225E-2</c:v>
                </c:pt>
                <c:pt idx="770">
                  <c:v>3.7454614943627007E-2</c:v>
                </c:pt>
                <c:pt idx="771">
                  <c:v>1.8603794437281218E-2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6-4C4D-8021-17855C7E5D66}"/>
            </c:ext>
          </c:extLst>
        </c:ser>
        <c:ser>
          <c:idx val="1"/>
          <c:order val="1"/>
          <c:tx>
            <c:strRef>
              <c:f>Backdoor!$DD$5</c:f>
              <c:strCache>
                <c:ptCount val="1"/>
                <c:pt idx="0">
                  <c:v>DJI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Backdoor!$DB$6:$DB$777</c:f>
              <c:numCache>
                <c:formatCode>m/d/yyyy</c:formatCode>
                <c:ptCount val="772"/>
                <c:pt idx="0">
                  <c:v>40225</c:v>
                </c:pt>
                <c:pt idx="1">
                  <c:v>40231</c:v>
                </c:pt>
                <c:pt idx="2">
                  <c:v>40238</c:v>
                </c:pt>
                <c:pt idx="3">
                  <c:v>40245</c:v>
                </c:pt>
                <c:pt idx="4">
                  <c:v>40252</c:v>
                </c:pt>
                <c:pt idx="5">
                  <c:v>40259</c:v>
                </c:pt>
                <c:pt idx="6">
                  <c:v>40266</c:v>
                </c:pt>
                <c:pt idx="7">
                  <c:v>40273</c:v>
                </c:pt>
                <c:pt idx="8">
                  <c:v>40280</c:v>
                </c:pt>
                <c:pt idx="9">
                  <c:v>40287</c:v>
                </c:pt>
                <c:pt idx="10">
                  <c:v>40294</c:v>
                </c:pt>
                <c:pt idx="11">
                  <c:v>40301</c:v>
                </c:pt>
                <c:pt idx="12">
                  <c:v>40308</c:v>
                </c:pt>
                <c:pt idx="13">
                  <c:v>40315</c:v>
                </c:pt>
                <c:pt idx="14">
                  <c:v>40322</c:v>
                </c:pt>
                <c:pt idx="15">
                  <c:v>40330</c:v>
                </c:pt>
                <c:pt idx="16">
                  <c:v>40336</c:v>
                </c:pt>
                <c:pt idx="17">
                  <c:v>40343</c:v>
                </c:pt>
                <c:pt idx="18">
                  <c:v>40350</c:v>
                </c:pt>
                <c:pt idx="19">
                  <c:v>40357</c:v>
                </c:pt>
                <c:pt idx="20">
                  <c:v>40365</c:v>
                </c:pt>
                <c:pt idx="21">
                  <c:v>40371</c:v>
                </c:pt>
                <c:pt idx="22">
                  <c:v>40378</c:v>
                </c:pt>
                <c:pt idx="23">
                  <c:v>40385</c:v>
                </c:pt>
                <c:pt idx="24">
                  <c:v>40392</c:v>
                </c:pt>
                <c:pt idx="25">
                  <c:v>40399</c:v>
                </c:pt>
                <c:pt idx="26">
                  <c:v>40406</c:v>
                </c:pt>
                <c:pt idx="27">
                  <c:v>40413</c:v>
                </c:pt>
                <c:pt idx="28">
                  <c:v>40420</c:v>
                </c:pt>
                <c:pt idx="29">
                  <c:v>40428</c:v>
                </c:pt>
                <c:pt idx="30">
                  <c:v>40434</c:v>
                </c:pt>
                <c:pt idx="31">
                  <c:v>40441</c:v>
                </c:pt>
                <c:pt idx="32">
                  <c:v>40448</c:v>
                </c:pt>
                <c:pt idx="33">
                  <c:v>40455</c:v>
                </c:pt>
                <c:pt idx="34">
                  <c:v>40462</c:v>
                </c:pt>
                <c:pt idx="35">
                  <c:v>40469</c:v>
                </c:pt>
                <c:pt idx="36">
                  <c:v>40476</c:v>
                </c:pt>
                <c:pt idx="37">
                  <c:v>40483</c:v>
                </c:pt>
                <c:pt idx="38">
                  <c:v>40490</c:v>
                </c:pt>
                <c:pt idx="39">
                  <c:v>40497</c:v>
                </c:pt>
                <c:pt idx="40">
                  <c:v>40504</c:v>
                </c:pt>
                <c:pt idx="41">
                  <c:v>40511</c:v>
                </c:pt>
                <c:pt idx="42">
                  <c:v>40518</c:v>
                </c:pt>
                <c:pt idx="43">
                  <c:v>40525</c:v>
                </c:pt>
                <c:pt idx="44">
                  <c:v>40532</c:v>
                </c:pt>
                <c:pt idx="45">
                  <c:v>40539</c:v>
                </c:pt>
                <c:pt idx="46">
                  <c:v>40546</c:v>
                </c:pt>
                <c:pt idx="47">
                  <c:v>40553</c:v>
                </c:pt>
                <c:pt idx="48">
                  <c:v>40561</c:v>
                </c:pt>
                <c:pt idx="49">
                  <c:v>40567</c:v>
                </c:pt>
                <c:pt idx="50">
                  <c:v>40574</c:v>
                </c:pt>
                <c:pt idx="51">
                  <c:v>40581</c:v>
                </c:pt>
                <c:pt idx="52">
                  <c:v>40588</c:v>
                </c:pt>
                <c:pt idx="53">
                  <c:v>40596</c:v>
                </c:pt>
                <c:pt idx="54">
                  <c:v>40602</c:v>
                </c:pt>
                <c:pt idx="55">
                  <c:v>40609</c:v>
                </c:pt>
                <c:pt idx="56">
                  <c:v>40616</c:v>
                </c:pt>
                <c:pt idx="57">
                  <c:v>40623</c:v>
                </c:pt>
                <c:pt idx="58">
                  <c:v>40630</c:v>
                </c:pt>
                <c:pt idx="59">
                  <c:v>40637</c:v>
                </c:pt>
                <c:pt idx="60">
                  <c:v>40644</c:v>
                </c:pt>
                <c:pt idx="61">
                  <c:v>40651</c:v>
                </c:pt>
                <c:pt idx="62">
                  <c:v>40658</c:v>
                </c:pt>
                <c:pt idx="63">
                  <c:v>40665</c:v>
                </c:pt>
                <c:pt idx="64">
                  <c:v>40672</c:v>
                </c:pt>
                <c:pt idx="65">
                  <c:v>40679</c:v>
                </c:pt>
                <c:pt idx="66">
                  <c:v>40686</c:v>
                </c:pt>
                <c:pt idx="67">
                  <c:v>40694</c:v>
                </c:pt>
                <c:pt idx="68">
                  <c:v>40700</c:v>
                </c:pt>
                <c:pt idx="69">
                  <c:v>40707</c:v>
                </c:pt>
                <c:pt idx="70">
                  <c:v>40714</c:v>
                </c:pt>
                <c:pt idx="71">
                  <c:v>40721</c:v>
                </c:pt>
                <c:pt idx="72">
                  <c:v>40729</c:v>
                </c:pt>
                <c:pt idx="73">
                  <c:v>40735</c:v>
                </c:pt>
                <c:pt idx="74">
                  <c:v>40742</c:v>
                </c:pt>
                <c:pt idx="75">
                  <c:v>40749</c:v>
                </c:pt>
                <c:pt idx="76">
                  <c:v>40756</c:v>
                </c:pt>
                <c:pt idx="77">
                  <c:v>40763</c:v>
                </c:pt>
                <c:pt idx="78">
                  <c:v>40770</c:v>
                </c:pt>
                <c:pt idx="79">
                  <c:v>40777</c:v>
                </c:pt>
                <c:pt idx="80">
                  <c:v>40784</c:v>
                </c:pt>
                <c:pt idx="81">
                  <c:v>40792</c:v>
                </c:pt>
                <c:pt idx="82">
                  <c:v>40798</c:v>
                </c:pt>
                <c:pt idx="83">
                  <c:v>40805</c:v>
                </c:pt>
                <c:pt idx="84">
                  <c:v>40812</c:v>
                </c:pt>
                <c:pt idx="85">
                  <c:v>40819</c:v>
                </c:pt>
                <c:pt idx="86">
                  <c:v>40826</c:v>
                </c:pt>
                <c:pt idx="87">
                  <c:v>40833</c:v>
                </c:pt>
                <c:pt idx="88">
                  <c:v>40840</c:v>
                </c:pt>
                <c:pt idx="89">
                  <c:v>40847</c:v>
                </c:pt>
                <c:pt idx="90">
                  <c:v>40854</c:v>
                </c:pt>
                <c:pt idx="91">
                  <c:v>40861</c:v>
                </c:pt>
                <c:pt idx="92">
                  <c:v>40868</c:v>
                </c:pt>
                <c:pt idx="93">
                  <c:v>40875</c:v>
                </c:pt>
                <c:pt idx="94">
                  <c:v>40882</c:v>
                </c:pt>
                <c:pt idx="95">
                  <c:v>40889</c:v>
                </c:pt>
                <c:pt idx="96">
                  <c:v>40896</c:v>
                </c:pt>
                <c:pt idx="97">
                  <c:v>40904</c:v>
                </c:pt>
                <c:pt idx="98">
                  <c:v>40911</c:v>
                </c:pt>
                <c:pt idx="99">
                  <c:v>40917</c:v>
                </c:pt>
                <c:pt idx="100">
                  <c:v>40925</c:v>
                </c:pt>
                <c:pt idx="101">
                  <c:v>40931</c:v>
                </c:pt>
                <c:pt idx="102">
                  <c:v>40938</c:v>
                </c:pt>
                <c:pt idx="103">
                  <c:v>40945</c:v>
                </c:pt>
                <c:pt idx="104">
                  <c:v>40952</c:v>
                </c:pt>
                <c:pt idx="105">
                  <c:v>40960</c:v>
                </c:pt>
                <c:pt idx="106">
                  <c:v>40966</c:v>
                </c:pt>
                <c:pt idx="107">
                  <c:v>40973</c:v>
                </c:pt>
                <c:pt idx="108">
                  <c:v>40980</c:v>
                </c:pt>
                <c:pt idx="109">
                  <c:v>40987</c:v>
                </c:pt>
                <c:pt idx="110">
                  <c:v>40994</c:v>
                </c:pt>
                <c:pt idx="111">
                  <c:v>41001</c:v>
                </c:pt>
                <c:pt idx="112">
                  <c:v>41008</c:v>
                </c:pt>
                <c:pt idx="113">
                  <c:v>41015</c:v>
                </c:pt>
                <c:pt idx="114">
                  <c:v>41022</c:v>
                </c:pt>
                <c:pt idx="115">
                  <c:v>41029</c:v>
                </c:pt>
                <c:pt idx="116">
                  <c:v>41036</c:v>
                </c:pt>
                <c:pt idx="117">
                  <c:v>41043</c:v>
                </c:pt>
                <c:pt idx="118">
                  <c:v>41050</c:v>
                </c:pt>
                <c:pt idx="119">
                  <c:v>41058</c:v>
                </c:pt>
                <c:pt idx="120">
                  <c:v>41064</c:v>
                </c:pt>
                <c:pt idx="121">
                  <c:v>41071</c:v>
                </c:pt>
                <c:pt idx="122">
                  <c:v>41078</c:v>
                </c:pt>
                <c:pt idx="123">
                  <c:v>41085</c:v>
                </c:pt>
                <c:pt idx="124">
                  <c:v>41092</c:v>
                </c:pt>
                <c:pt idx="125">
                  <c:v>41099</c:v>
                </c:pt>
                <c:pt idx="126">
                  <c:v>41106</c:v>
                </c:pt>
                <c:pt idx="127">
                  <c:v>41113</c:v>
                </c:pt>
                <c:pt idx="128">
                  <c:v>41120</c:v>
                </c:pt>
                <c:pt idx="129">
                  <c:v>41127</c:v>
                </c:pt>
                <c:pt idx="130">
                  <c:v>41134</c:v>
                </c:pt>
                <c:pt idx="131">
                  <c:v>41141</c:v>
                </c:pt>
                <c:pt idx="132">
                  <c:v>41148</c:v>
                </c:pt>
                <c:pt idx="133">
                  <c:v>41156</c:v>
                </c:pt>
                <c:pt idx="134">
                  <c:v>41162</c:v>
                </c:pt>
                <c:pt idx="135">
                  <c:v>41169</c:v>
                </c:pt>
                <c:pt idx="136">
                  <c:v>41176</c:v>
                </c:pt>
                <c:pt idx="137">
                  <c:v>41183</c:v>
                </c:pt>
                <c:pt idx="138">
                  <c:v>41190</c:v>
                </c:pt>
                <c:pt idx="139">
                  <c:v>41197</c:v>
                </c:pt>
                <c:pt idx="140">
                  <c:v>41204</c:v>
                </c:pt>
                <c:pt idx="141">
                  <c:v>41213</c:v>
                </c:pt>
                <c:pt idx="142">
                  <c:v>41218</c:v>
                </c:pt>
                <c:pt idx="143">
                  <c:v>41225</c:v>
                </c:pt>
                <c:pt idx="144">
                  <c:v>41232</c:v>
                </c:pt>
                <c:pt idx="145">
                  <c:v>41239</c:v>
                </c:pt>
                <c:pt idx="146">
                  <c:v>41246</c:v>
                </c:pt>
                <c:pt idx="147">
                  <c:v>41253</c:v>
                </c:pt>
                <c:pt idx="148">
                  <c:v>41260</c:v>
                </c:pt>
                <c:pt idx="149">
                  <c:v>41267</c:v>
                </c:pt>
                <c:pt idx="150">
                  <c:v>41274</c:v>
                </c:pt>
                <c:pt idx="151">
                  <c:v>41281</c:v>
                </c:pt>
                <c:pt idx="152">
                  <c:v>41288</c:v>
                </c:pt>
                <c:pt idx="153">
                  <c:v>41296</c:v>
                </c:pt>
                <c:pt idx="154">
                  <c:v>41302</c:v>
                </c:pt>
                <c:pt idx="155">
                  <c:v>41309</c:v>
                </c:pt>
                <c:pt idx="156">
                  <c:v>41316</c:v>
                </c:pt>
                <c:pt idx="157">
                  <c:v>41324</c:v>
                </c:pt>
                <c:pt idx="158">
                  <c:v>41330</c:v>
                </c:pt>
                <c:pt idx="159">
                  <c:v>41337</c:v>
                </c:pt>
                <c:pt idx="160">
                  <c:v>41344</c:v>
                </c:pt>
                <c:pt idx="161">
                  <c:v>41351</c:v>
                </c:pt>
                <c:pt idx="162">
                  <c:v>41358</c:v>
                </c:pt>
                <c:pt idx="163">
                  <c:v>41365</c:v>
                </c:pt>
                <c:pt idx="164">
                  <c:v>41372</c:v>
                </c:pt>
                <c:pt idx="165">
                  <c:v>41379</c:v>
                </c:pt>
                <c:pt idx="166">
                  <c:v>41386</c:v>
                </c:pt>
                <c:pt idx="167">
                  <c:v>41393</c:v>
                </c:pt>
                <c:pt idx="168">
                  <c:v>41400</c:v>
                </c:pt>
                <c:pt idx="169">
                  <c:v>41407</c:v>
                </c:pt>
                <c:pt idx="170">
                  <c:v>41414</c:v>
                </c:pt>
                <c:pt idx="171">
                  <c:v>41422</c:v>
                </c:pt>
                <c:pt idx="172">
                  <c:v>41428</c:v>
                </c:pt>
                <c:pt idx="173">
                  <c:v>41435</c:v>
                </c:pt>
                <c:pt idx="174">
                  <c:v>41442</c:v>
                </c:pt>
                <c:pt idx="175">
                  <c:v>41449</c:v>
                </c:pt>
                <c:pt idx="176">
                  <c:v>41456</c:v>
                </c:pt>
                <c:pt idx="177">
                  <c:v>41463</c:v>
                </c:pt>
                <c:pt idx="178">
                  <c:v>41470</c:v>
                </c:pt>
                <c:pt idx="179">
                  <c:v>41477</c:v>
                </c:pt>
                <c:pt idx="180">
                  <c:v>41484</c:v>
                </c:pt>
                <c:pt idx="181">
                  <c:v>41491</c:v>
                </c:pt>
                <c:pt idx="182">
                  <c:v>41498</c:v>
                </c:pt>
                <c:pt idx="183">
                  <c:v>41505</c:v>
                </c:pt>
                <c:pt idx="184">
                  <c:v>41512</c:v>
                </c:pt>
                <c:pt idx="185">
                  <c:v>41520</c:v>
                </c:pt>
                <c:pt idx="186">
                  <c:v>41526</c:v>
                </c:pt>
                <c:pt idx="187">
                  <c:v>41533</c:v>
                </c:pt>
                <c:pt idx="188">
                  <c:v>41540</c:v>
                </c:pt>
                <c:pt idx="189">
                  <c:v>41547</c:v>
                </c:pt>
                <c:pt idx="190">
                  <c:v>41554</c:v>
                </c:pt>
                <c:pt idx="191">
                  <c:v>41561</c:v>
                </c:pt>
                <c:pt idx="192">
                  <c:v>41568</c:v>
                </c:pt>
                <c:pt idx="193">
                  <c:v>41575</c:v>
                </c:pt>
                <c:pt idx="194">
                  <c:v>41582</c:v>
                </c:pt>
                <c:pt idx="195">
                  <c:v>41589</c:v>
                </c:pt>
                <c:pt idx="196">
                  <c:v>41596</c:v>
                </c:pt>
                <c:pt idx="197">
                  <c:v>41603</c:v>
                </c:pt>
                <c:pt idx="198">
                  <c:v>41610</c:v>
                </c:pt>
                <c:pt idx="199">
                  <c:v>41617</c:v>
                </c:pt>
                <c:pt idx="200">
                  <c:v>41624</c:v>
                </c:pt>
                <c:pt idx="201">
                  <c:v>41631</c:v>
                </c:pt>
                <c:pt idx="202">
                  <c:v>41638</c:v>
                </c:pt>
                <c:pt idx="203">
                  <c:v>41645</c:v>
                </c:pt>
                <c:pt idx="204">
                  <c:v>41652</c:v>
                </c:pt>
                <c:pt idx="205">
                  <c:v>41660</c:v>
                </c:pt>
                <c:pt idx="206">
                  <c:v>41666</c:v>
                </c:pt>
                <c:pt idx="207">
                  <c:v>41673</c:v>
                </c:pt>
                <c:pt idx="208">
                  <c:v>41680</c:v>
                </c:pt>
                <c:pt idx="209">
                  <c:v>41688</c:v>
                </c:pt>
                <c:pt idx="210">
                  <c:v>41694</c:v>
                </c:pt>
                <c:pt idx="211">
                  <c:v>41701</c:v>
                </c:pt>
                <c:pt idx="212">
                  <c:v>41708</c:v>
                </c:pt>
                <c:pt idx="213">
                  <c:v>41715</c:v>
                </c:pt>
                <c:pt idx="214">
                  <c:v>41722</c:v>
                </c:pt>
                <c:pt idx="215">
                  <c:v>41729</c:v>
                </c:pt>
                <c:pt idx="216">
                  <c:v>41736</c:v>
                </c:pt>
                <c:pt idx="217">
                  <c:v>41743</c:v>
                </c:pt>
                <c:pt idx="218">
                  <c:v>41750</c:v>
                </c:pt>
                <c:pt idx="219">
                  <c:v>41757</c:v>
                </c:pt>
                <c:pt idx="220">
                  <c:v>41764</c:v>
                </c:pt>
                <c:pt idx="221">
                  <c:v>41771</c:v>
                </c:pt>
                <c:pt idx="222">
                  <c:v>41778</c:v>
                </c:pt>
                <c:pt idx="223">
                  <c:v>41786</c:v>
                </c:pt>
                <c:pt idx="224">
                  <c:v>41792</c:v>
                </c:pt>
                <c:pt idx="225">
                  <c:v>41799</c:v>
                </c:pt>
                <c:pt idx="226">
                  <c:v>41806</c:v>
                </c:pt>
                <c:pt idx="227">
                  <c:v>41813</c:v>
                </c:pt>
                <c:pt idx="228">
                  <c:v>41820</c:v>
                </c:pt>
                <c:pt idx="229">
                  <c:v>41827</c:v>
                </c:pt>
                <c:pt idx="230">
                  <c:v>41834</c:v>
                </c:pt>
                <c:pt idx="231">
                  <c:v>41841</c:v>
                </c:pt>
                <c:pt idx="232">
                  <c:v>41848</c:v>
                </c:pt>
                <c:pt idx="233">
                  <c:v>41855</c:v>
                </c:pt>
                <c:pt idx="234">
                  <c:v>41862</c:v>
                </c:pt>
                <c:pt idx="235">
                  <c:v>41869</c:v>
                </c:pt>
                <c:pt idx="236">
                  <c:v>41876</c:v>
                </c:pt>
                <c:pt idx="237">
                  <c:v>41884</c:v>
                </c:pt>
                <c:pt idx="238">
                  <c:v>41890</c:v>
                </c:pt>
                <c:pt idx="239">
                  <c:v>41897</c:v>
                </c:pt>
                <c:pt idx="240">
                  <c:v>41904</c:v>
                </c:pt>
                <c:pt idx="241">
                  <c:v>41911</c:v>
                </c:pt>
                <c:pt idx="242">
                  <c:v>41918</c:v>
                </c:pt>
                <c:pt idx="243">
                  <c:v>41925</c:v>
                </c:pt>
                <c:pt idx="244">
                  <c:v>41932</c:v>
                </c:pt>
                <c:pt idx="245">
                  <c:v>41939</c:v>
                </c:pt>
                <c:pt idx="246">
                  <c:v>41946</c:v>
                </c:pt>
                <c:pt idx="247">
                  <c:v>41953</c:v>
                </c:pt>
                <c:pt idx="248">
                  <c:v>41960</c:v>
                </c:pt>
                <c:pt idx="249">
                  <c:v>41967</c:v>
                </c:pt>
                <c:pt idx="250">
                  <c:v>41974</c:v>
                </c:pt>
                <c:pt idx="251">
                  <c:v>41981</c:v>
                </c:pt>
                <c:pt idx="252">
                  <c:v>41988</c:v>
                </c:pt>
                <c:pt idx="253">
                  <c:v>42009</c:v>
                </c:pt>
                <c:pt idx="254">
                  <c:v>42052</c:v>
                </c:pt>
                <c:pt idx="255">
                  <c:v>42058</c:v>
                </c:pt>
                <c:pt idx="256">
                  <c:v>42065</c:v>
                </c:pt>
                <c:pt idx="257">
                  <c:v>42072</c:v>
                </c:pt>
                <c:pt idx="258">
                  <c:v>42079</c:v>
                </c:pt>
                <c:pt idx="259">
                  <c:v>42086</c:v>
                </c:pt>
                <c:pt idx="260">
                  <c:v>42093</c:v>
                </c:pt>
                <c:pt idx="261">
                  <c:v>42100</c:v>
                </c:pt>
                <c:pt idx="262">
                  <c:v>42107</c:v>
                </c:pt>
                <c:pt idx="263">
                  <c:v>42114</c:v>
                </c:pt>
                <c:pt idx="264">
                  <c:v>42121</c:v>
                </c:pt>
                <c:pt idx="265">
                  <c:v>42128</c:v>
                </c:pt>
                <c:pt idx="266">
                  <c:v>42135</c:v>
                </c:pt>
                <c:pt idx="267">
                  <c:v>42142</c:v>
                </c:pt>
                <c:pt idx="268">
                  <c:v>42150</c:v>
                </c:pt>
                <c:pt idx="269">
                  <c:v>42156</c:v>
                </c:pt>
                <c:pt idx="270">
                  <c:v>42163</c:v>
                </c:pt>
                <c:pt idx="271">
                  <c:v>42170</c:v>
                </c:pt>
                <c:pt idx="272">
                  <c:v>42177</c:v>
                </c:pt>
                <c:pt idx="273">
                  <c:v>42184</c:v>
                </c:pt>
                <c:pt idx="274">
                  <c:v>42191</c:v>
                </c:pt>
                <c:pt idx="275">
                  <c:v>42198</c:v>
                </c:pt>
                <c:pt idx="276">
                  <c:v>42205</c:v>
                </c:pt>
                <c:pt idx="277">
                  <c:v>42212</c:v>
                </c:pt>
                <c:pt idx="278">
                  <c:v>42219</c:v>
                </c:pt>
                <c:pt idx="279">
                  <c:v>42226</c:v>
                </c:pt>
                <c:pt idx="280">
                  <c:v>42233</c:v>
                </c:pt>
                <c:pt idx="281">
                  <c:v>42240</c:v>
                </c:pt>
                <c:pt idx="282">
                  <c:v>42247</c:v>
                </c:pt>
                <c:pt idx="283">
                  <c:v>42255</c:v>
                </c:pt>
                <c:pt idx="284">
                  <c:v>42261</c:v>
                </c:pt>
                <c:pt idx="285">
                  <c:v>42268</c:v>
                </c:pt>
                <c:pt idx="286">
                  <c:v>42275</c:v>
                </c:pt>
                <c:pt idx="287">
                  <c:v>42282</c:v>
                </c:pt>
                <c:pt idx="288">
                  <c:v>42310</c:v>
                </c:pt>
                <c:pt idx="289">
                  <c:v>42317</c:v>
                </c:pt>
                <c:pt idx="290">
                  <c:v>42324</c:v>
                </c:pt>
                <c:pt idx="291">
                  <c:v>42331</c:v>
                </c:pt>
                <c:pt idx="292">
                  <c:v>42338</c:v>
                </c:pt>
                <c:pt idx="293">
                  <c:v>42345</c:v>
                </c:pt>
                <c:pt idx="294">
                  <c:v>42352</c:v>
                </c:pt>
                <c:pt idx="295">
                  <c:v>42359</c:v>
                </c:pt>
                <c:pt idx="296">
                  <c:v>42366</c:v>
                </c:pt>
                <c:pt idx="297">
                  <c:v>42373</c:v>
                </c:pt>
                <c:pt idx="298">
                  <c:v>42380</c:v>
                </c:pt>
                <c:pt idx="299">
                  <c:v>42388</c:v>
                </c:pt>
                <c:pt idx="300">
                  <c:v>42394</c:v>
                </c:pt>
                <c:pt idx="301">
                  <c:v>42401</c:v>
                </c:pt>
                <c:pt idx="302">
                  <c:v>42408</c:v>
                </c:pt>
                <c:pt idx="303">
                  <c:v>42416</c:v>
                </c:pt>
                <c:pt idx="304">
                  <c:v>42422</c:v>
                </c:pt>
                <c:pt idx="305">
                  <c:v>42429</c:v>
                </c:pt>
                <c:pt idx="306">
                  <c:v>42436</c:v>
                </c:pt>
                <c:pt idx="307">
                  <c:v>42443</c:v>
                </c:pt>
                <c:pt idx="308">
                  <c:v>42450</c:v>
                </c:pt>
                <c:pt idx="309">
                  <c:v>42457</c:v>
                </c:pt>
                <c:pt idx="310">
                  <c:v>42464</c:v>
                </c:pt>
                <c:pt idx="311">
                  <c:v>42471</c:v>
                </c:pt>
                <c:pt idx="312">
                  <c:v>42478</c:v>
                </c:pt>
                <c:pt idx="313">
                  <c:v>42485</c:v>
                </c:pt>
                <c:pt idx="314">
                  <c:v>42492</c:v>
                </c:pt>
                <c:pt idx="315">
                  <c:v>42499</c:v>
                </c:pt>
                <c:pt idx="316">
                  <c:v>42506</c:v>
                </c:pt>
                <c:pt idx="317">
                  <c:v>42513</c:v>
                </c:pt>
                <c:pt idx="318">
                  <c:v>42521</c:v>
                </c:pt>
                <c:pt idx="319">
                  <c:v>42527</c:v>
                </c:pt>
                <c:pt idx="320">
                  <c:v>42534</c:v>
                </c:pt>
                <c:pt idx="321">
                  <c:v>42541</c:v>
                </c:pt>
                <c:pt idx="322">
                  <c:v>42548</c:v>
                </c:pt>
                <c:pt idx="323">
                  <c:v>42556</c:v>
                </c:pt>
                <c:pt idx="324">
                  <c:v>42562</c:v>
                </c:pt>
                <c:pt idx="325">
                  <c:v>42569</c:v>
                </c:pt>
                <c:pt idx="326">
                  <c:v>42576</c:v>
                </c:pt>
                <c:pt idx="327">
                  <c:v>42583</c:v>
                </c:pt>
                <c:pt idx="328">
                  <c:v>42590</c:v>
                </c:pt>
                <c:pt idx="329">
                  <c:v>42597</c:v>
                </c:pt>
                <c:pt idx="330">
                  <c:v>42604</c:v>
                </c:pt>
                <c:pt idx="331">
                  <c:v>42611</c:v>
                </c:pt>
                <c:pt idx="332">
                  <c:v>42619</c:v>
                </c:pt>
                <c:pt idx="333">
                  <c:v>42625</c:v>
                </c:pt>
                <c:pt idx="334">
                  <c:v>42632</c:v>
                </c:pt>
                <c:pt idx="335">
                  <c:v>42639</c:v>
                </c:pt>
                <c:pt idx="336">
                  <c:v>42646</c:v>
                </c:pt>
                <c:pt idx="337">
                  <c:v>42653</c:v>
                </c:pt>
                <c:pt idx="338">
                  <c:v>42660</c:v>
                </c:pt>
                <c:pt idx="339">
                  <c:v>42667</c:v>
                </c:pt>
                <c:pt idx="340">
                  <c:v>42674</c:v>
                </c:pt>
                <c:pt idx="341">
                  <c:v>42681</c:v>
                </c:pt>
                <c:pt idx="342">
                  <c:v>42688</c:v>
                </c:pt>
                <c:pt idx="343">
                  <c:v>42695</c:v>
                </c:pt>
                <c:pt idx="344">
                  <c:v>42702</c:v>
                </c:pt>
                <c:pt idx="345">
                  <c:v>42709</c:v>
                </c:pt>
                <c:pt idx="346">
                  <c:v>42716</c:v>
                </c:pt>
                <c:pt idx="347">
                  <c:v>42723</c:v>
                </c:pt>
                <c:pt idx="348">
                  <c:v>42731</c:v>
                </c:pt>
                <c:pt idx="349">
                  <c:v>42738</c:v>
                </c:pt>
                <c:pt idx="350">
                  <c:v>42744</c:v>
                </c:pt>
                <c:pt idx="351">
                  <c:v>42752</c:v>
                </c:pt>
                <c:pt idx="352">
                  <c:v>42758</c:v>
                </c:pt>
                <c:pt idx="353">
                  <c:v>42765</c:v>
                </c:pt>
                <c:pt idx="354">
                  <c:v>42772</c:v>
                </c:pt>
                <c:pt idx="355">
                  <c:v>42779</c:v>
                </c:pt>
                <c:pt idx="356">
                  <c:v>42787</c:v>
                </c:pt>
                <c:pt idx="357">
                  <c:v>42793</c:v>
                </c:pt>
                <c:pt idx="358">
                  <c:v>42800</c:v>
                </c:pt>
                <c:pt idx="359">
                  <c:v>42807</c:v>
                </c:pt>
                <c:pt idx="360">
                  <c:v>42814</c:v>
                </c:pt>
                <c:pt idx="361">
                  <c:v>42821</c:v>
                </c:pt>
                <c:pt idx="362">
                  <c:v>42828</c:v>
                </c:pt>
                <c:pt idx="363">
                  <c:v>42835</c:v>
                </c:pt>
                <c:pt idx="364">
                  <c:v>42842</c:v>
                </c:pt>
                <c:pt idx="365">
                  <c:v>42849</c:v>
                </c:pt>
                <c:pt idx="366">
                  <c:v>42856</c:v>
                </c:pt>
                <c:pt idx="367">
                  <c:v>42863</c:v>
                </c:pt>
                <c:pt idx="368">
                  <c:v>42870</c:v>
                </c:pt>
                <c:pt idx="369">
                  <c:v>42877</c:v>
                </c:pt>
                <c:pt idx="370">
                  <c:v>42885</c:v>
                </c:pt>
                <c:pt idx="371">
                  <c:v>42891</c:v>
                </c:pt>
                <c:pt idx="372">
                  <c:v>42898</c:v>
                </c:pt>
                <c:pt idx="373">
                  <c:v>42905</c:v>
                </c:pt>
                <c:pt idx="374">
                  <c:v>42912</c:v>
                </c:pt>
                <c:pt idx="375">
                  <c:v>42919</c:v>
                </c:pt>
                <c:pt idx="376">
                  <c:v>42926</c:v>
                </c:pt>
                <c:pt idx="377">
                  <c:v>42933</c:v>
                </c:pt>
                <c:pt idx="378">
                  <c:v>42940</c:v>
                </c:pt>
                <c:pt idx="379">
                  <c:v>42947</c:v>
                </c:pt>
                <c:pt idx="380">
                  <c:v>42954</c:v>
                </c:pt>
                <c:pt idx="381">
                  <c:v>42961</c:v>
                </c:pt>
                <c:pt idx="382">
                  <c:v>42968</c:v>
                </c:pt>
                <c:pt idx="383">
                  <c:v>42975</c:v>
                </c:pt>
                <c:pt idx="384">
                  <c:v>42983</c:v>
                </c:pt>
                <c:pt idx="385">
                  <c:v>42989</c:v>
                </c:pt>
                <c:pt idx="386">
                  <c:v>42996</c:v>
                </c:pt>
                <c:pt idx="387">
                  <c:v>43003</c:v>
                </c:pt>
                <c:pt idx="388">
                  <c:v>43010</c:v>
                </c:pt>
                <c:pt idx="389">
                  <c:v>43017</c:v>
                </c:pt>
                <c:pt idx="390">
                  <c:v>43024</c:v>
                </c:pt>
                <c:pt idx="391">
                  <c:v>43031</c:v>
                </c:pt>
                <c:pt idx="392">
                  <c:v>43038</c:v>
                </c:pt>
                <c:pt idx="393">
                  <c:v>43045</c:v>
                </c:pt>
                <c:pt idx="394">
                  <c:v>43052</c:v>
                </c:pt>
                <c:pt idx="395">
                  <c:v>43059</c:v>
                </c:pt>
                <c:pt idx="396">
                  <c:v>43066</c:v>
                </c:pt>
                <c:pt idx="397">
                  <c:v>43073</c:v>
                </c:pt>
                <c:pt idx="398">
                  <c:v>43080</c:v>
                </c:pt>
                <c:pt idx="399">
                  <c:v>43087</c:v>
                </c:pt>
                <c:pt idx="400">
                  <c:v>43095</c:v>
                </c:pt>
                <c:pt idx="401">
                  <c:v>43102</c:v>
                </c:pt>
                <c:pt idx="402">
                  <c:v>43108</c:v>
                </c:pt>
                <c:pt idx="403">
                  <c:v>43116</c:v>
                </c:pt>
                <c:pt idx="404">
                  <c:v>43122</c:v>
                </c:pt>
                <c:pt idx="405">
                  <c:v>43129</c:v>
                </c:pt>
                <c:pt idx="406">
                  <c:v>43136</c:v>
                </c:pt>
                <c:pt idx="407">
                  <c:v>43143</c:v>
                </c:pt>
                <c:pt idx="408">
                  <c:v>43151</c:v>
                </c:pt>
                <c:pt idx="409">
                  <c:v>43157</c:v>
                </c:pt>
                <c:pt idx="410">
                  <c:v>43164</c:v>
                </c:pt>
                <c:pt idx="411">
                  <c:v>43171</c:v>
                </c:pt>
                <c:pt idx="412">
                  <c:v>43178</c:v>
                </c:pt>
                <c:pt idx="413">
                  <c:v>43185</c:v>
                </c:pt>
                <c:pt idx="414">
                  <c:v>43192</c:v>
                </c:pt>
                <c:pt idx="415">
                  <c:v>43199</c:v>
                </c:pt>
                <c:pt idx="416">
                  <c:v>43206</c:v>
                </c:pt>
                <c:pt idx="417">
                  <c:v>43213</c:v>
                </c:pt>
                <c:pt idx="418">
                  <c:v>43220</c:v>
                </c:pt>
                <c:pt idx="419">
                  <c:v>43227</c:v>
                </c:pt>
                <c:pt idx="420">
                  <c:v>43234</c:v>
                </c:pt>
                <c:pt idx="421">
                  <c:v>43241</c:v>
                </c:pt>
                <c:pt idx="422">
                  <c:v>43249</c:v>
                </c:pt>
                <c:pt idx="423">
                  <c:v>43255</c:v>
                </c:pt>
                <c:pt idx="424">
                  <c:v>43262</c:v>
                </c:pt>
                <c:pt idx="425">
                  <c:v>43269</c:v>
                </c:pt>
                <c:pt idx="426">
                  <c:v>43276</c:v>
                </c:pt>
                <c:pt idx="427">
                  <c:v>43283</c:v>
                </c:pt>
                <c:pt idx="428">
                  <c:v>43290</c:v>
                </c:pt>
                <c:pt idx="429">
                  <c:v>43297</c:v>
                </c:pt>
                <c:pt idx="430">
                  <c:v>43304</c:v>
                </c:pt>
                <c:pt idx="431">
                  <c:v>43311</c:v>
                </c:pt>
                <c:pt idx="432">
                  <c:v>43318</c:v>
                </c:pt>
                <c:pt idx="433">
                  <c:v>43325</c:v>
                </c:pt>
                <c:pt idx="434">
                  <c:v>43332</c:v>
                </c:pt>
                <c:pt idx="435">
                  <c:v>43339</c:v>
                </c:pt>
                <c:pt idx="436">
                  <c:v>43347</c:v>
                </c:pt>
                <c:pt idx="437">
                  <c:v>43353</c:v>
                </c:pt>
                <c:pt idx="438">
                  <c:v>43360</c:v>
                </c:pt>
                <c:pt idx="439">
                  <c:v>43367</c:v>
                </c:pt>
                <c:pt idx="440">
                  <c:v>43374</c:v>
                </c:pt>
                <c:pt idx="441">
                  <c:v>43381</c:v>
                </c:pt>
                <c:pt idx="442">
                  <c:v>43388</c:v>
                </c:pt>
                <c:pt idx="443">
                  <c:v>43395</c:v>
                </c:pt>
                <c:pt idx="444">
                  <c:v>43402</c:v>
                </c:pt>
                <c:pt idx="445">
                  <c:v>43409</c:v>
                </c:pt>
                <c:pt idx="446">
                  <c:v>43416</c:v>
                </c:pt>
                <c:pt idx="447">
                  <c:v>43423</c:v>
                </c:pt>
                <c:pt idx="448">
                  <c:v>43430</c:v>
                </c:pt>
                <c:pt idx="449">
                  <c:v>43437</c:v>
                </c:pt>
                <c:pt idx="450">
                  <c:v>43444</c:v>
                </c:pt>
                <c:pt idx="451">
                  <c:v>43451</c:v>
                </c:pt>
                <c:pt idx="452">
                  <c:v>43458</c:v>
                </c:pt>
                <c:pt idx="453">
                  <c:v>43465</c:v>
                </c:pt>
                <c:pt idx="454">
                  <c:v>43472</c:v>
                </c:pt>
                <c:pt idx="455">
                  <c:v>43479</c:v>
                </c:pt>
                <c:pt idx="456">
                  <c:v>43487</c:v>
                </c:pt>
                <c:pt idx="457">
                  <c:v>43493</c:v>
                </c:pt>
                <c:pt idx="458">
                  <c:v>43500</c:v>
                </c:pt>
                <c:pt idx="459">
                  <c:v>43507</c:v>
                </c:pt>
                <c:pt idx="460">
                  <c:v>43515</c:v>
                </c:pt>
                <c:pt idx="461">
                  <c:v>43521</c:v>
                </c:pt>
                <c:pt idx="462">
                  <c:v>43528</c:v>
                </c:pt>
                <c:pt idx="463">
                  <c:v>43535</c:v>
                </c:pt>
                <c:pt idx="464">
                  <c:v>43542</c:v>
                </c:pt>
                <c:pt idx="465">
                  <c:v>43549</c:v>
                </c:pt>
                <c:pt idx="466">
                  <c:v>43556</c:v>
                </c:pt>
                <c:pt idx="467">
                  <c:v>43563</c:v>
                </c:pt>
                <c:pt idx="468">
                  <c:v>43570</c:v>
                </c:pt>
                <c:pt idx="469">
                  <c:v>43577</c:v>
                </c:pt>
                <c:pt idx="470">
                  <c:v>43584</c:v>
                </c:pt>
                <c:pt idx="471">
                  <c:v>43591</c:v>
                </c:pt>
                <c:pt idx="472">
                  <c:v>43598</c:v>
                </c:pt>
                <c:pt idx="473">
                  <c:v>43605</c:v>
                </c:pt>
                <c:pt idx="474">
                  <c:v>43613</c:v>
                </c:pt>
                <c:pt idx="475">
                  <c:v>43619</c:v>
                </c:pt>
                <c:pt idx="476">
                  <c:v>43626</c:v>
                </c:pt>
                <c:pt idx="477">
                  <c:v>43633</c:v>
                </c:pt>
                <c:pt idx="478">
                  <c:v>43640</c:v>
                </c:pt>
                <c:pt idx="479">
                  <c:v>43647</c:v>
                </c:pt>
                <c:pt idx="480">
                  <c:v>43654</c:v>
                </c:pt>
                <c:pt idx="481">
                  <c:v>43661</c:v>
                </c:pt>
                <c:pt idx="482">
                  <c:v>43668</c:v>
                </c:pt>
                <c:pt idx="483">
                  <c:v>43675</c:v>
                </c:pt>
                <c:pt idx="484">
                  <c:v>43682</c:v>
                </c:pt>
                <c:pt idx="485">
                  <c:v>43689</c:v>
                </c:pt>
                <c:pt idx="486">
                  <c:v>43696</c:v>
                </c:pt>
                <c:pt idx="487">
                  <c:v>43703</c:v>
                </c:pt>
                <c:pt idx="488">
                  <c:v>43711</c:v>
                </c:pt>
                <c:pt idx="489">
                  <c:v>43717</c:v>
                </c:pt>
                <c:pt idx="490">
                  <c:v>43724</c:v>
                </c:pt>
                <c:pt idx="491">
                  <c:v>43731</c:v>
                </c:pt>
                <c:pt idx="492">
                  <c:v>43738</c:v>
                </c:pt>
                <c:pt idx="493">
                  <c:v>43745</c:v>
                </c:pt>
                <c:pt idx="494">
                  <c:v>43752</c:v>
                </c:pt>
                <c:pt idx="495">
                  <c:v>43759</c:v>
                </c:pt>
                <c:pt idx="496">
                  <c:v>43766</c:v>
                </c:pt>
                <c:pt idx="497">
                  <c:v>43773</c:v>
                </c:pt>
                <c:pt idx="498">
                  <c:v>43780</c:v>
                </c:pt>
                <c:pt idx="499">
                  <c:v>43787</c:v>
                </c:pt>
                <c:pt idx="500">
                  <c:v>43794</c:v>
                </c:pt>
                <c:pt idx="501">
                  <c:v>43801</c:v>
                </c:pt>
                <c:pt idx="502">
                  <c:v>43808</c:v>
                </c:pt>
                <c:pt idx="503">
                  <c:v>43815</c:v>
                </c:pt>
                <c:pt idx="504">
                  <c:v>43822</c:v>
                </c:pt>
                <c:pt idx="505">
                  <c:v>43829</c:v>
                </c:pt>
                <c:pt idx="506">
                  <c:v>43836</c:v>
                </c:pt>
                <c:pt idx="507">
                  <c:v>43843</c:v>
                </c:pt>
                <c:pt idx="508">
                  <c:v>43851</c:v>
                </c:pt>
                <c:pt idx="509">
                  <c:v>43857</c:v>
                </c:pt>
                <c:pt idx="510">
                  <c:v>43864</c:v>
                </c:pt>
                <c:pt idx="511">
                  <c:v>43871</c:v>
                </c:pt>
                <c:pt idx="512">
                  <c:v>43879</c:v>
                </c:pt>
                <c:pt idx="513">
                  <c:v>43885</c:v>
                </c:pt>
                <c:pt idx="514">
                  <c:v>43892</c:v>
                </c:pt>
                <c:pt idx="515">
                  <c:v>43899</c:v>
                </c:pt>
                <c:pt idx="516">
                  <c:v>43906</c:v>
                </c:pt>
                <c:pt idx="517">
                  <c:v>43913</c:v>
                </c:pt>
                <c:pt idx="518">
                  <c:v>43920</c:v>
                </c:pt>
                <c:pt idx="519">
                  <c:v>43927</c:v>
                </c:pt>
                <c:pt idx="520">
                  <c:v>43934</c:v>
                </c:pt>
                <c:pt idx="521">
                  <c:v>43941</c:v>
                </c:pt>
                <c:pt idx="522">
                  <c:v>43948</c:v>
                </c:pt>
                <c:pt idx="523">
                  <c:v>43955</c:v>
                </c:pt>
                <c:pt idx="524">
                  <c:v>43962</c:v>
                </c:pt>
                <c:pt idx="525">
                  <c:v>43969</c:v>
                </c:pt>
                <c:pt idx="526">
                  <c:v>43977</c:v>
                </c:pt>
                <c:pt idx="527">
                  <c:v>43983</c:v>
                </c:pt>
                <c:pt idx="528">
                  <c:v>43990</c:v>
                </c:pt>
                <c:pt idx="529">
                  <c:v>43997</c:v>
                </c:pt>
                <c:pt idx="530">
                  <c:v>44004</c:v>
                </c:pt>
                <c:pt idx="531">
                  <c:v>44011</c:v>
                </c:pt>
                <c:pt idx="532">
                  <c:v>44018</c:v>
                </c:pt>
                <c:pt idx="533">
                  <c:v>44025</c:v>
                </c:pt>
                <c:pt idx="534">
                  <c:v>44032</c:v>
                </c:pt>
                <c:pt idx="535">
                  <c:v>44039</c:v>
                </c:pt>
                <c:pt idx="536">
                  <c:v>44046</c:v>
                </c:pt>
                <c:pt idx="537">
                  <c:v>44053</c:v>
                </c:pt>
                <c:pt idx="538">
                  <c:v>44060</c:v>
                </c:pt>
                <c:pt idx="539">
                  <c:v>44067</c:v>
                </c:pt>
                <c:pt idx="540">
                  <c:v>44074</c:v>
                </c:pt>
                <c:pt idx="541">
                  <c:v>44082</c:v>
                </c:pt>
                <c:pt idx="542">
                  <c:v>44088</c:v>
                </c:pt>
                <c:pt idx="543">
                  <c:v>44095</c:v>
                </c:pt>
                <c:pt idx="544">
                  <c:v>44102</c:v>
                </c:pt>
                <c:pt idx="545">
                  <c:v>44109</c:v>
                </c:pt>
                <c:pt idx="546">
                  <c:v>44116</c:v>
                </c:pt>
                <c:pt idx="547">
                  <c:v>44123</c:v>
                </c:pt>
                <c:pt idx="548">
                  <c:v>44130</c:v>
                </c:pt>
                <c:pt idx="549">
                  <c:v>44137</c:v>
                </c:pt>
                <c:pt idx="550">
                  <c:v>44144</c:v>
                </c:pt>
                <c:pt idx="551">
                  <c:v>44151</c:v>
                </c:pt>
                <c:pt idx="552">
                  <c:v>44158</c:v>
                </c:pt>
                <c:pt idx="553">
                  <c:v>44165</c:v>
                </c:pt>
                <c:pt idx="554">
                  <c:v>44172</c:v>
                </c:pt>
                <c:pt idx="555">
                  <c:v>44179</c:v>
                </c:pt>
                <c:pt idx="556">
                  <c:v>44186</c:v>
                </c:pt>
                <c:pt idx="557">
                  <c:v>44193</c:v>
                </c:pt>
                <c:pt idx="558">
                  <c:v>44200</c:v>
                </c:pt>
                <c:pt idx="559">
                  <c:v>44207</c:v>
                </c:pt>
                <c:pt idx="560">
                  <c:v>44215</c:v>
                </c:pt>
                <c:pt idx="561">
                  <c:v>44221</c:v>
                </c:pt>
                <c:pt idx="562">
                  <c:v>44228</c:v>
                </c:pt>
                <c:pt idx="563">
                  <c:v>44235</c:v>
                </c:pt>
                <c:pt idx="564">
                  <c:v>44243</c:v>
                </c:pt>
                <c:pt idx="565">
                  <c:v>44249</c:v>
                </c:pt>
                <c:pt idx="566">
                  <c:v>44256</c:v>
                </c:pt>
                <c:pt idx="567">
                  <c:v>44263</c:v>
                </c:pt>
                <c:pt idx="568">
                  <c:v>44270</c:v>
                </c:pt>
                <c:pt idx="569">
                  <c:v>44277</c:v>
                </c:pt>
                <c:pt idx="570">
                  <c:v>44284</c:v>
                </c:pt>
                <c:pt idx="571">
                  <c:v>44291</c:v>
                </c:pt>
                <c:pt idx="572">
                  <c:v>44298</c:v>
                </c:pt>
                <c:pt idx="573">
                  <c:v>44305</c:v>
                </c:pt>
                <c:pt idx="574">
                  <c:v>44312</c:v>
                </c:pt>
                <c:pt idx="575">
                  <c:v>44319</c:v>
                </c:pt>
                <c:pt idx="576">
                  <c:v>44326</c:v>
                </c:pt>
                <c:pt idx="577">
                  <c:v>44333</c:v>
                </c:pt>
                <c:pt idx="578">
                  <c:v>44340</c:v>
                </c:pt>
                <c:pt idx="579">
                  <c:v>44348</c:v>
                </c:pt>
                <c:pt idx="580">
                  <c:v>44354</c:v>
                </c:pt>
                <c:pt idx="581">
                  <c:v>44361</c:v>
                </c:pt>
                <c:pt idx="582">
                  <c:v>44368</c:v>
                </c:pt>
                <c:pt idx="583">
                  <c:v>44375</c:v>
                </c:pt>
                <c:pt idx="584">
                  <c:v>44383</c:v>
                </c:pt>
                <c:pt idx="585">
                  <c:v>44389</c:v>
                </c:pt>
                <c:pt idx="586">
                  <c:v>44396</c:v>
                </c:pt>
                <c:pt idx="587">
                  <c:v>44403</c:v>
                </c:pt>
                <c:pt idx="588">
                  <c:v>44410</c:v>
                </c:pt>
                <c:pt idx="589">
                  <c:v>44417</c:v>
                </c:pt>
                <c:pt idx="590">
                  <c:v>44424</c:v>
                </c:pt>
                <c:pt idx="591">
                  <c:v>44431</c:v>
                </c:pt>
                <c:pt idx="592">
                  <c:v>44438</c:v>
                </c:pt>
                <c:pt idx="593">
                  <c:v>44446</c:v>
                </c:pt>
                <c:pt idx="594">
                  <c:v>44452</c:v>
                </c:pt>
                <c:pt idx="595">
                  <c:v>44459</c:v>
                </c:pt>
                <c:pt idx="596">
                  <c:v>44466</c:v>
                </c:pt>
                <c:pt idx="597">
                  <c:v>44473</c:v>
                </c:pt>
                <c:pt idx="598">
                  <c:v>44480</c:v>
                </c:pt>
                <c:pt idx="599">
                  <c:v>44487</c:v>
                </c:pt>
                <c:pt idx="600">
                  <c:v>44494</c:v>
                </c:pt>
                <c:pt idx="601">
                  <c:v>44501</c:v>
                </c:pt>
                <c:pt idx="602">
                  <c:v>44508</c:v>
                </c:pt>
                <c:pt idx="603">
                  <c:v>44515</c:v>
                </c:pt>
                <c:pt idx="604">
                  <c:v>44522</c:v>
                </c:pt>
                <c:pt idx="605">
                  <c:v>44529</c:v>
                </c:pt>
                <c:pt idx="606">
                  <c:v>44536</c:v>
                </c:pt>
                <c:pt idx="607">
                  <c:v>44543</c:v>
                </c:pt>
                <c:pt idx="608">
                  <c:v>44550</c:v>
                </c:pt>
                <c:pt idx="609">
                  <c:v>44557</c:v>
                </c:pt>
                <c:pt idx="610">
                  <c:v>44564</c:v>
                </c:pt>
                <c:pt idx="611">
                  <c:v>44571</c:v>
                </c:pt>
                <c:pt idx="612">
                  <c:v>44579</c:v>
                </c:pt>
                <c:pt idx="613">
                  <c:v>44585</c:v>
                </c:pt>
                <c:pt idx="614">
                  <c:v>44592</c:v>
                </c:pt>
                <c:pt idx="615">
                  <c:v>44599</c:v>
                </c:pt>
                <c:pt idx="616">
                  <c:v>44606</c:v>
                </c:pt>
                <c:pt idx="617">
                  <c:v>44614</c:v>
                </c:pt>
                <c:pt idx="618">
                  <c:v>44620</c:v>
                </c:pt>
                <c:pt idx="619">
                  <c:v>44627</c:v>
                </c:pt>
                <c:pt idx="620">
                  <c:v>44634</c:v>
                </c:pt>
                <c:pt idx="621">
                  <c:v>44641</c:v>
                </c:pt>
                <c:pt idx="622">
                  <c:v>44648</c:v>
                </c:pt>
                <c:pt idx="623">
                  <c:v>44655</c:v>
                </c:pt>
                <c:pt idx="624">
                  <c:v>44662</c:v>
                </c:pt>
                <c:pt idx="625">
                  <c:v>44669</c:v>
                </c:pt>
                <c:pt idx="626">
                  <c:v>44676</c:v>
                </c:pt>
                <c:pt idx="627">
                  <c:v>44683</c:v>
                </c:pt>
                <c:pt idx="628">
                  <c:v>44690</c:v>
                </c:pt>
                <c:pt idx="629">
                  <c:v>44697</c:v>
                </c:pt>
                <c:pt idx="630">
                  <c:v>44704</c:v>
                </c:pt>
                <c:pt idx="631">
                  <c:v>44712</c:v>
                </c:pt>
                <c:pt idx="632">
                  <c:v>44718</c:v>
                </c:pt>
                <c:pt idx="633">
                  <c:v>44725</c:v>
                </c:pt>
                <c:pt idx="634">
                  <c:v>44733</c:v>
                </c:pt>
                <c:pt idx="635">
                  <c:v>44739</c:v>
                </c:pt>
                <c:pt idx="636">
                  <c:v>44747</c:v>
                </c:pt>
                <c:pt idx="637">
                  <c:v>44753</c:v>
                </c:pt>
                <c:pt idx="638">
                  <c:v>44760</c:v>
                </c:pt>
                <c:pt idx="639">
                  <c:v>44767</c:v>
                </c:pt>
                <c:pt idx="640">
                  <c:v>44774</c:v>
                </c:pt>
                <c:pt idx="641">
                  <c:v>44781</c:v>
                </c:pt>
                <c:pt idx="642">
                  <c:v>44788</c:v>
                </c:pt>
                <c:pt idx="643">
                  <c:v>44795</c:v>
                </c:pt>
                <c:pt idx="644">
                  <c:v>44802</c:v>
                </c:pt>
                <c:pt idx="645">
                  <c:v>44810</c:v>
                </c:pt>
                <c:pt idx="646">
                  <c:v>44816</c:v>
                </c:pt>
                <c:pt idx="647">
                  <c:v>44823</c:v>
                </c:pt>
                <c:pt idx="648">
                  <c:v>44830</c:v>
                </c:pt>
                <c:pt idx="649">
                  <c:v>44837</c:v>
                </c:pt>
                <c:pt idx="650">
                  <c:v>44844</c:v>
                </c:pt>
                <c:pt idx="651">
                  <c:v>44851</c:v>
                </c:pt>
                <c:pt idx="652">
                  <c:v>44858</c:v>
                </c:pt>
                <c:pt idx="653">
                  <c:v>44865</c:v>
                </c:pt>
                <c:pt idx="654">
                  <c:v>44872</c:v>
                </c:pt>
                <c:pt idx="655">
                  <c:v>44879</c:v>
                </c:pt>
                <c:pt idx="656">
                  <c:v>44886</c:v>
                </c:pt>
                <c:pt idx="657">
                  <c:v>44893</c:v>
                </c:pt>
                <c:pt idx="658">
                  <c:v>44900</c:v>
                </c:pt>
                <c:pt idx="659">
                  <c:v>44907</c:v>
                </c:pt>
                <c:pt idx="660">
                  <c:v>44914</c:v>
                </c:pt>
                <c:pt idx="661">
                  <c:v>44922</c:v>
                </c:pt>
                <c:pt idx="662">
                  <c:v>44929</c:v>
                </c:pt>
                <c:pt idx="663">
                  <c:v>44935</c:v>
                </c:pt>
                <c:pt idx="664">
                  <c:v>44943</c:v>
                </c:pt>
                <c:pt idx="665">
                  <c:v>44949</c:v>
                </c:pt>
                <c:pt idx="666">
                  <c:v>44956</c:v>
                </c:pt>
                <c:pt idx="667">
                  <c:v>44963</c:v>
                </c:pt>
                <c:pt idx="668">
                  <c:v>44970</c:v>
                </c:pt>
                <c:pt idx="669">
                  <c:v>44978</c:v>
                </c:pt>
                <c:pt idx="670">
                  <c:v>44984</c:v>
                </c:pt>
                <c:pt idx="671">
                  <c:v>44991</c:v>
                </c:pt>
                <c:pt idx="672">
                  <c:v>44998</c:v>
                </c:pt>
                <c:pt idx="673">
                  <c:v>45005</c:v>
                </c:pt>
                <c:pt idx="674">
                  <c:v>45012</c:v>
                </c:pt>
                <c:pt idx="675">
                  <c:v>45019</c:v>
                </c:pt>
                <c:pt idx="676">
                  <c:v>45026</c:v>
                </c:pt>
                <c:pt idx="677">
                  <c:v>45033</c:v>
                </c:pt>
                <c:pt idx="678">
                  <c:v>45040</c:v>
                </c:pt>
                <c:pt idx="679">
                  <c:v>45047</c:v>
                </c:pt>
                <c:pt idx="680">
                  <c:v>45054</c:v>
                </c:pt>
                <c:pt idx="681">
                  <c:v>45061</c:v>
                </c:pt>
                <c:pt idx="682">
                  <c:v>45068</c:v>
                </c:pt>
                <c:pt idx="683">
                  <c:v>45076</c:v>
                </c:pt>
                <c:pt idx="684">
                  <c:v>45082</c:v>
                </c:pt>
                <c:pt idx="685">
                  <c:v>45089</c:v>
                </c:pt>
                <c:pt idx="686">
                  <c:v>45097</c:v>
                </c:pt>
                <c:pt idx="687">
                  <c:v>45103</c:v>
                </c:pt>
                <c:pt idx="688">
                  <c:v>45110</c:v>
                </c:pt>
                <c:pt idx="689">
                  <c:v>45117</c:v>
                </c:pt>
                <c:pt idx="690">
                  <c:v>45124</c:v>
                </c:pt>
                <c:pt idx="691">
                  <c:v>45131</c:v>
                </c:pt>
                <c:pt idx="692">
                  <c:v>45138</c:v>
                </c:pt>
                <c:pt idx="693">
                  <c:v>45145</c:v>
                </c:pt>
                <c:pt idx="694">
                  <c:v>45152</c:v>
                </c:pt>
                <c:pt idx="695">
                  <c:v>45159</c:v>
                </c:pt>
                <c:pt idx="696">
                  <c:v>45166</c:v>
                </c:pt>
                <c:pt idx="697">
                  <c:v>45174</c:v>
                </c:pt>
                <c:pt idx="698">
                  <c:v>45180</c:v>
                </c:pt>
                <c:pt idx="699">
                  <c:v>45187</c:v>
                </c:pt>
                <c:pt idx="700">
                  <c:v>45194</c:v>
                </c:pt>
                <c:pt idx="701">
                  <c:v>45201</c:v>
                </c:pt>
                <c:pt idx="702">
                  <c:v>45208</c:v>
                </c:pt>
                <c:pt idx="703">
                  <c:v>45215</c:v>
                </c:pt>
                <c:pt idx="704">
                  <c:v>45222</c:v>
                </c:pt>
                <c:pt idx="705">
                  <c:v>45229</c:v>
                </c:pt>
                <c:pt idx="706">
                  <c:v>45236</c:v>
                </c:pt>
                <c:pt idx="707">
                  <c:v>45243</c:v>
                </c:pt>
                <c:pt idx="708">
                  <c:v>45250</c:v>
                </c:pt>
                <c:pt idx="709">
                  <c:v>45257</c:v>
                </c:pt>
                <c:pt idx="710">
                  <c:v>45264</c:v>
                </c:pt>
                <c:pt idx="711">
                  <c:v>45271</c:v>
                </c:pt>
                <c:pt idx="712">
                  <c:v>45278</c:v>
                </c:pt>
                <c:pt idx="713">
                  <c:v>45286</c:v>
                </c:pt>
                <c:pt idx="714">
                  <c:v>45293</c:v>
                </c:pt>
                <c:pt idx="715">
                  <c:v>45299</c:v>
                </c:pt>
                <c:pt idx="716">
                  <c:v>45307</c:v>
                </c:pt>
                <c:pt idx="717">
                  <c:v>45313</c:v>
                </c:pt>
                <c:pt idx="718">
                  <c:v>45320</c:v>
                </c:pt>
                <c:pt idx="719">
                  <c:v>45327</c:v>
                </c:pt>
                <c:pt idx="720">
                  <c:v>45334</c:v>
                </c:pt>
                <c:pt idx="721">
                  <c:v>45342</c:v>
                </c:pt>
                <c:pt idx="722">
                  <c:v>45348</c:v>
                </c:pt>
                <c:pt idx="723">
                  <c:v>45355</c:v>
                </c:pt>
                <c:pt idx="724">
                  <c:v>45362</c:v>
                </c:pt>
                <c:pt idx="725">
                  <c:v>45369</c:v>
                </c:pt>
                <c:pt idx="726">
                  <c:v>45376</c:v>
                </c:pt>
                <c:pt idx="727">
                  <c:v>45383</c:v>
                </c:pt>
                <c:pt idx="728">
                  <c:v>45390</c:v>
                </c:pt>
                <c:pt idx="729">
                  <c:v>45397</c:v>
                </c:pt>
                <c:pt idx="730">
                  <c:v>45404</c:v>
                </c:pt>
                <c:pt idx="731">
                  <c:v>45411</c:v>
                </c:pt>
                <c:pt idx="732">
                  <c:v>45418</c:v>
                </c:pt>
                <c:pt idx="733">
                  <c:v>45425</c:v>
                </c:pt>
                <c:pt idx="734">
                  <c:v>45432</c:v>
                </c:pt>
                <c:pt idx="735">
                  <c:v>45440</c:v>
                </c:pt>
                <c:pt idx="736">
                  <c:v>45446</c:v>
                </c:pt>
                <c:pt idx="737">
                  <c:v>45453</c:v>
                </c:pt>
                <c:pt idx="738">
                  <c:v>45460</c:v>
                </c:pt>
                <c:pt idx="739">
                  <c:v>45467</c:v>
                </c:pt>
                <c:pt idx="740">
                  <c:v>45474</c:v>
                </c:pt>
                <c:pt idx="741">
                  <c:v>45481</c:v>
                </c:pt>
                <c:pt idx="742">
                  <c:v>45488</c:v>
                </c:pt>
                <c:pt idx="743">
                  <c:v>45495</c:v>
                </c:pt>
                <c:pt idx="744">
                  <c:v>45502</c:v>
                </c:pt>
                <c:pt idx="745">
                  <c:v>45509</c:v>
                </c:pt>
                <c:pt idx="746">
                  <c:v>45516</c:v>
                </c:pt>
                <c:pt idx="747">
                  <c:v>45523</c:v>
                </c:pt>
                <c:pt idx="748">
                  <c:v>45530</c:v>
                </c:pt>
                <c:pt idx="749">
                  <c:v>45538</c:v>
                </c:pt>
                <c:pt idx="750">
                  <c:v>45544</c:v>
                </c:pt>
                <c:pt idx="751">
                  <c:v>45551</c:v>
                </c:pt>
                <c:pt idx="752">
                  <c:v>45558</c:v>
                </c:pt>
                <c:pt idx="753">
                  <c:v>45565</c:v>
                </c:pt>
                <c:pt idx="754">
                  <c:v>45572</c:v>
                </c:pt>
                <c:pt idx="755">
                  <c:v>45579</c:v>
                </c:pt>
                <c:pt idx="756">
                  <c:v>45586</c:v>
                </c:pt>
                <c:pt idx="757">
                  <c:v>45593</c:v>
                </c:pt>
                <c:pt idx="758">
                  <c:v>45600</c:v>
                </c:pt>
                <c:pt idx="759">
                  <c:v>45607</c:v>
                </c:pt>
                <c:pt idx="760">
                  <c:v>45614</c:v>
                </c:pt>
                <c:pt idx="761">
                  <c:v>45621</c:v>
                </c:pt>
                <c:pt idx="762">
                  <c:v>45628</c:v>
                </c:pt>
                <c:pt idx="763">
                  <c:v>45635</c:v>
                </c:pt>
                <c:pt idx="764">
                  <c:v>45642</c:v>
                </c:pt>
                <c:pt idx="765">
                  <c:v>45649</c:v>
                </c:pt>
                <c:pt idx="766">
                  <c:v>45656</c:v>
                </c:pt>
                <c:pt idx="767">
                  <c:v>45663</c:v>
                </c:pt>
                <c:pt idx="768">
                  <c:v>45670</c:v>
                </c:pt>
                <c:pt idx="769">
                  <c:v>45678</c:v>
                </c:pt>
                <c:pt idx="770">
                  <c:v>45684</c:v>
                </c:pt>
                <c:pt idx="771">
                  <c:v>45691</c:v>
                </c:pt>
              </c:numCache>
            </c:numRef>
          </c:cat>
          <c:val>
            <c:numRef>
              <c:f>Backdoor!$DD$6:$DD$777</c:f>
              <c:numCache>
                <c:formatCode>0.00%</c:formatCode>
                <c:ptCount val="772"/>
                <c:pt idx="0">
                  <c:v>-7.4104689660012824E-3</c:v>
                </c:pt>
                <c:pt idx="1">
                  <c:v>2.3334278071008629E-2</c:v>
                </c:pt>
                <c:pt idx="2">
                  <c:v>5.5360502729204786E-3</c:v>
                </c:pt>
                <c:pt idx="3">
                  <c:v>1.1039585484846626E-2</c:v>
                </c:pt>
                <c:pt idx="4">
                  <c:v>1.0088852668807435E-2</c:v>
                </c:pt>
                <c:pt idx="5">
                  <c:v>7.0696739810145459E-3</c:v>
                </c:pt>
                <c:pt idx="6">
                  <c:v>6.4321649558050087E-3</c:v>
                </c:pt>
                <c:pt idx="7">
                  <c:v>1.9379301313813269E-3</c:v>
                </c:pt>
                <c:pt idx="8">
                  <c:v>1.6845217953007419E-2</c:v>
                </c:pt>
                <c:pt idx="9">
                  <c:v>-1.7463270272885079E-2</c:v>
                </c:pt>
                <c:pt idx="10">
                  <c:v>-5.7062439847665791E-2</c:v>
                </c:pt>
                <c:pt idx="11">
                  <c:v>2.3093783050158301E-2</c:v>
                </c:pt>
                <c:pt idx="12">
                  <c:v>-4.0185023991027524E-2</c:v>
                </c:pt>
                <c:pt idx="13">
                  <c:v>-5.5679924864224795E-3</c:v>
                </c:pt>
                <c:pt idx="14">
                  <c:v>-2.0189816735836419E-2</c:v>
                </c:pt>
                <c:pt idx="15">
                  <c:v>2.8100961851165618E-2</c:v>
                </c:pt>
                <c:pt idx="16">
                  <c:v>2.3462014445653878E-2</c:v>
                </c:pt>
                <c:pt idx="17">
                  <c:v>-2.936029728695666E-2</c:v>
                </c:pt>
                <c:pt idx="18">
                  <c:v>-4.5084364015313905E-2</c:v>
                </c:pt>
                <c:pt idx="19">
                  <c:v>5.2810058817740257E-2</c:v>
                </c:pt>
                <c:pt idx="20">
                  <c:v>-9.8184785957595722E-3</c:v>
                </c:pt>
                <c:pt idx="21">
                  <c:v>3.2355747264561696E-2</c:v>
                </c:pt>
                <c:pt idx="22">
                  <c:v>3.963980698427072E-3</c:v>
                </c:pt>
                <c:pt idx="23">
                  <c:v>1.7926618360087021E-2</c:v>
                </c:pt>
                <c:pt idx="24">
                  <c:v>-3.28916973971497E-2</c:v>
                </c:pt>
                <c:pt idx="25">
                  <c:v>-8.6899054299908185E-3</c:v>
                </c:pt>
                <c:pt idx="26">
                  <c:v>-6.1651520562741036E-3</c:v>
                </c:pt>
                <c:pt idx="27">
                  <c:v>2.9287203550212748E-2</c:v>
                </c:pt>
                <c:pt idx="28">
                  <c:v>1.4198024617750882E-3</c:v>
                </c:pt>
                <c:pt idx="29">
                  <c:v>1.386678205743741E-2</c:v>
                </c:pt>
                <c:pt idx="30">
                  <c:v>2.3794064909206325E-2</c:v>
                </c:pt>
                <c:pt idx="31">
                  <c:v>-2.8154126876817065E-3</c:v>
                </c:pt>
                <c:pt idx="32">
                  <c:v>1.6325165316534385E-2</c:v>
                </c:pt>
                <c:pt idx="33">
                  <c:v>5.1159338902981855E-3</c:v>
                </c:pt>
                <c:pt idx="34">
                  <c:v>6.3076348496264867E-3</c:v>
                </c:pt>
                <c:pt idx="35">
                  <c:v>-1.2644975927692537E-3</c:v>
                </c:pt>
                <c:pt idx="36">
                  <c:v>2.9283634698988648E-2</c:v>
                </c:pt>
                <c:pt idx="37">
                  <c:v>-2.1976059352208366E-2</c:v>
                </c:pt>
                <c:pt idx="38">
                  <c:v>9.8047987253280233E-4</c:v>
                </c:pt>
                <c:pt idx="39">
                  <c:v>-9.9573039974536481E-3</c:v>
                </c:pt>
                <c:pt idx="40">
                  <c:v>2.6153467849231005E-2</c:v>
                </c:pt>
                <c:pt idx="41">
                  <c:v>2.4801943916863411E-3</c:v>
                </c:pt>
                <c:pt idx="42">
                  <c:v>7.1502542675945246E-3</c:v>
                </c:pt>
                <c:pt idx="43">
                  <c:v>7.0994823992764911E-3</c:v>
                </c:pt>
                <c:pt idx="44">
                  <c:v>3.4658502633089228E-4</c:v>
                </c:pt>
                <c:pt idx="45">
                  <c:v>8.4001770329464875E-3</c:v>
                </c:pt>
                <c:pt idx="46">
                  <c:v>9.646177624341723E-3</c:v>
                </c:pt>
                <c:pt idx="47">
                  <c:v>7.1655134031995971E-3</c:v>
                </c:pt>
                <c:pt idx="48">
                  <c:v>-4.0545194411126806E-3</c:v>
                </c:pt>
                <c:pt idx="49">
                  <c:v>2.2704289812264244E-2</c:v>
                </c:pt>
                <c:pt idx="50">
                  <c:v>1.4977498588816029E-2</c:v>
                </c:pt>
                <c:pt idx="51">
                  <c:v>9.6136048711219502E-3</c:v>
                </c:pt>
                <c:pt idx="52">
                  <c:v>-2.104749179041876E-2</c:v>
                </c:pt>
                <c:pt idx="53">
                  <c:v>3.2505805803517696E-3</c:v>
                </c:pt>
                <c:pt idx="54">
                  <c:v>-1.0310940303976945E-2</c:v>
                </c:pt>
                <c:pt idx="55">
                  <c:v>-1.5432761616574142E-2</c:v>
                </c:pt>
                <c:pt idx="56">
                  <c:v>3.0532406654315336E-2</c:v>
                </c:pt>
                <c:pt idx="57">
                  <c:v>1.2776366320790489E-2</c:v>
                </c:pt>
                <c:pt idx="58">
                  <c:v>2.6905346989281043E-4</c:v>
                </c:pt>
                <c:pt idx="59">
                  <c:v>-3.0872245124656805E-3</c:v>
                </c:pt>
                <c:pt idx="60">
                  <c:v>1.3300869757423506E-2</c:v>
                </c:pt>
                <c:pt idx="61">
                  <c:v>2.4352308127311595E-2</c:v>
                </c:pt>
                <c:pt idx="62">
                  <c:v>-1.3410919141043531E-2</c:v>
                </c:pt>
                <c:pt idx="63">
                  <c:v>-3.4013048629056852E-3</c:v>
                </c:pt>
                <c:pt idx="64">
                  <c:v>-6.6455513425381918E-3</c:v>
                </c:pt>
                <c:pt idx="65">
                  <c:v>-5.6314700560751163E-3</c:v>
                </c:pt>
                <c:pt idx="66">
                  <c:v>-2.3334756464181594E-2</c:v>
                </c:pt>
                <c:pt idx="67">
                  <c:v>-1.6405687860568063E-2</c:v>
                </c:pt>
                <c:pt idx="68">
                  <c:v>4.3882938724906229E-3</c:v>
                </c:pt>
                <c:pt idx="69">
                  <c:v>-5.8128879840325665E-3</c:v>
                </c:pt>
                <c:pt idx="70">
                  <c:v>5.4311907080098365E-2</c:v>
                </c:pt>
                <c:pt idx="71">
                  <c:v>5.9155973750708579E-3</c:v>
                </c:pt>
                <c:pt idx="72">
                  <c:v>-1.4021848300087458E-2</c:v>
                </c:pt>
                <c:pt idx="73">
                  <c:v>1.614067359005511E-2</c:v>
                </c:pt>
                <c:pt idx="74">
                  <c:v>-4.2418783167613161E-2</c:v>
                </c:pt>
                <c:pt idx="75">
                  <c:v>-5.7532657123298359E-2</c:v>
                </c:pt>
                <c:pt idx="76">
                  <c:v>-1.5342188142237645E-2</c:v>
                </c:pt>
                <c:pt idx="77">
                  <c:v>-4.0054536060489032E-2</c:v>
                </c:pt>
                <c:pt idx="78">
                  <c:v>4.3160085465548947E-2</c:v>
                </c:pt>
                <c:pt idx="79">
                  <c:v>-3.9234932116261056E-3</c:v>
                </c:pt>
                <c:pt idx="80">
                  <c:v>-2.207491425621777E-2</c:v>
                </c:pt>
                <c:pt idx="81">
                  <c:v>4.7029542481985764E-2</c:v>
                </c:pt>
                <c:pt idx="82">
                  <c:v>-6.408932495547881E-2</c:v>
                </c:pt>
                <c:pt idx="83">
                  <c:v>1.3174254461221224E-2</c:v>
                </c:pt>
                <c:pt idx="84">
                  <c:v>1.738581599358624E-2</c:v>
                </c:pt>
                <c:pt idx="85">
                  <c:v>4.8757714822736942E-2</c:v>
                </c:pt>
                <c:pt idx="86">
                  <c:v>1.4110412672751815E-2</c:v>
                </c:pt>
                <c:pt idx="87">
                  <c:v>3.5762575693269572E-2</c:v>
                </c:pt>
                <c:pt idx="88">
                  <c:v>-2.0264951974257928E-2</c:v>
                </c:pt>
                <c:pt idx="89">
                  <c:v>1.4223093038142398E-2</c:v>
                </c:pt>
                <c:pt idx="90">
                  <c:v>-2.9417255174135182E-2</c:v>
                </c:pt>
                <c:pt idx="91">
                  <c:v>-4.7843605855575566E-2</c:v>
                </c:pt>
                <c:pt idx="92">
                  <c:v>7.0125668186336032E-2</c:v>
                </c:pt>
                <c:pt idx="93">
                  <c:v>1.3714329500564171E-2</c:v>
                </c:pt>
                <c:pt idx="94">
                  <c:v>-2.6088578072201662E-2</c:v>
                </c:pt>
                <c:pt idx="95">
                  <c:v>3.6035460255799734E-2</c:v>
                </c:pt>
                <c:pt idx="96">
                  <c:v>-6.2176833722328295E-3</c:v>
                </c:pt>
                <c:pt idx="97">
                  <c:v>1.1652113938070308E-2</c:v>
                </c:pt>
                <c:pt idx="98">
                  <c:v>5.0272168826202002E-3</c:v>
                </c:pt>
                <c:pt idx="99">
                  <c:v>2.4023349499712188E-2</c:v>
                </c:pt>
                <c:pt idx="100">
                  <c:v>-4.7181333006280912E-3</c:v>
                </c:pt>
                <c:pt idx="101">
                  <c:v>1.5937155452849794E-2</c:v>
                </c:pt>
                <c:pt idx="102">
                  <c:v>-4.7426222069337776E-3</c:v>
                </c:pt>
                <c:pt idx="103">
                  <c:v>1.1611540634947515E-2</c:v>
                </c:pt>
                <c:pt idx="104">
                  <c:v>2.5539789513591149E-3</c:v>
                </c:pt>
                <c:pt idx="105">
                  <c:v>-4.1389683103876251E-4</c:v>
                </c:pt>
                <c:pt idx="106">
                  <c:v>-4.2805773243299594E-3</c:v>
                </c:pt>
                <c:pt idx="107">
                  <c:v>2.4036829410979843E-2</c:v>
                </c:pt>
                <c:pt idx="108">
                  <c:v>-1.147893953737722E-2</c:v>
                </c:pt>
                <c:pt idx="109">
                  <c:v>1.0038477750508701E-2</c:v>
                </c:pt>
                <c:pt idx="110">
                  <c:v>-1.1496817497259948E-2</c:v>
                </c:pt>
                <c:pt idx="111">
                  <c:v>-1.6121654109057415E-2</c:v>
                </c:pt>
                <c:pt idx="112">
                  <c:v>1.3982724773645261E-2</c:v>
                </c:pt>
                <c:pt idx="113">
                  <c:v>1.5276926201132968E-2</c:v>
                </c:pt>
                <c:pt idx="114">
                  <c:v>-1.4366218247608642E-2</c:v>
                </c:pt>
                <c:pt idx="115">
                  <c:v>-1.6694339049582507E-2</c:v>
                </c:pt>
                <c:pt idx="116">
                  <c:v>-3.5195219769938002E-2</c:v>
                </c:pt>
                <c:pt idx="117">
                  <c:v>6.9079044515139021E-3</c:v>
                </c:pt>
                <c:pt idx="118">
                  <c:v>-2.6998455667052501E-2</c:v>
                </c:pt>
                <c:pt idx="119">
                  <c:v>3.5947594493048074E-2</c:v>
                </c:pt>
                <c:pt idx="120">
                  <c:v>1.696427571478587E-2</c:v>
                </c:pt>
                <c:pt idx="121">
                  <c:v>-9.89970190971734E-3</c:v>
                </c:pt>
                <c:pt idx="122">
                  <c:v>1.8931638646918714E-2</c:v>
                </c:pt>
                <c:pt idx="123">
                  <c:v>-8.3556624961321768E-3</c:v>
                </c:pt>
                <c:pt idx="124">
                  <c:v>3.6145709982893237E-4</c:v>
                </c:pt>
                <c:pt idx="125">
                  <c:v>3.5599429441146579E-3</c:v>
                </c:pt>
                <c:pt idx="126">
                  <c:v>1.9737459078511765E-2</c:v>
                </c:pt>
                <c:pt idx="127">
                  <c:v>1.5685788649635324E-3</c:v>
                </c:pt>
                <c:pt idx="128">
                  <c:v>8.5356497076620741E-3</c:v>
                </c:pt>
                <c:pt idx="129">
                  <c:v>5.0915615077946619E-3</c:v>
                </c:pt>
                <c:pt idx="130">
                  <c:v>-8.8308266757630705E-3</c:v>
                </c:pt>
                <c:pt idx="131">
                  <c:v>-5.1020711773771543E-3</c:v>
                </c:pt>
                <c:pt idx="132">
                  <c:v>1.6484881501696469E-2</c:v>
                </c:pt>
                <c:pt idx="133">
                  <c:v>2.1547741649335039E-2</c:v>
                </c:pt>
                <c:pt idx="134">
                  <c:v>-1.0224766917739103E-3</c:v>
                </c:pt>
                <c:pt idx="135">
                  <c:v>-1.048202391917108E-2</c:v>
                </c:pt>
                <c:pt idx="136">
                  <c:v>1.2876271935781336E-2</c:v>
                </c:pt>
                <c:pt idx="137">
                  <c:v>-2.0668527680119841E-2</c:v>
                </c:pt>
                <c:pt idx="138">
                  <c:v>1.100462918569356E-3</c:v>
                </c:pt>
                <c:pt idx="139">
                  <c:v>-1.770894189994876E-2</c:v>
                </c:pt>
                <c:pt idx="140">
                  <c:v>-1.0722034691477145E-3</c:v>
                </c:pt>
                <c:pt idx="141">
                  <c:v>-2.1214817345737491E-2</c:v>
                </c:pt>
                <c:pt idx="142">
                  <c:v>-1.7719638692883954E-2</c:v>
                </c:pt>
                <c:pt idx="143">
                  <c:v>3.3473643437516909E-2</c:v>
                </c:pt>
                <c:pt idx="144">
                  <c:v>1.2219128928079304E-3</c:v>
                </c:pt>
                <c:pt idx="145">
                  <c:v>9.9461058940006897E-3</c:v>
                </c:pt>
                <c:pt idx="146">
                  <c:v>-1.5294713075518773E-3</c:v>
                </c:pt>
                <c:pt idx="147">
                  <c:v>4.2504942667132006E-3</c:v>
                </c:pt>
                <c:pt idx="148">
                  <c:v>-1.9159782491247612E-2</c:v>
                </c:pt>
                <c:pt idx="149">
                  <c:v>3.842112892190408E-2</c:v>
                </c:pt>
                <c:pt idx="150">
                  <c:v>3.9611745468455251E-3</c:v>
                </c:pt>
                <c:pt idx="151">
                  <c:v>1.1956205832226674E-2</c:v>
                </c:pt>
                <c:pt idx="152">
                  <c:v>1.8043111668870404E-2</c:v>
                </c:pt>
                <c:pt idx="153">
                  <c:v>8.1901962492805236E-3</c:v>
                </c:pt>
                <c:pt idx="154">
                  <c:v>-1.2004605008223423E-3</c:v>
                </c:pt>
                <c:pt idx="155">
                  <c:v>-8.0126651005574256E-4</c:v>
                </c:pt>
                <c:pt idx="156">
                  <c:v>1.345667488601876E-3</c:v>
                </c:pt>
                <c:pt idx="157">
                  <c:v>6.3627887166262109E-3</c:v>
                </c:pt>
                <c:pt idx="158">
                  <c:v>2.181828038177458E-2</c:v>
                </c:pt>
                <c:pt idx="159">
                  <c:v>8.1291750640062332E-3</c:v>
                </c:pt>
                <c:pt idx="160">
                  <c:v>-1.4286102085792063E-4</c:v>
                </c:pt>
                <c:pt idx="161">
                  <c:v>4.5827419419024462E-3</c:v>
                </c:pt>
                <c:pt idx="162">
                  <c:v>-9.1131912862529862E-4</c:v>
                </c:pt>
                <c:pt idx="163">
                  <c:v>2.0583880469432714E-2</c:v>
                </c:pt>
                <c:pt idx="164">
                  <c:v>-2.1362111992933586E-2</c:v>
                </c:pt>
                <c:pt idx="165">
                  <c:v>1.1344441578738707E-2</c:v>
                </c:pt>
                <c:pt idx="166">
                  <c:v>1.776793837455215E-2</c:v>
                </c:pt>
                <c:pt idx="167">
                  <c:v>9.6520245116238357E-3</c:v>
                </c:pt>
                <c:pt idx="168">
                  <c:v>1.5604446106574299E-2</c:v>
                </c:pt>
                <c:pt idx="169">
                  <c:v>-3.3410224205676631E-3</c:v>
                </c:pt>
                <c:pt idx="170">
                  <c:v>-1.2254665593228409E-2</c:v>
                </c:pt>
                <c:pt idx="171">
                  <c:v>8.7690321497548851E-3</c:v>
                </c:pt>
                <c:pt idx="172">
                  <c:v>-1.1669309954848495E-2</c:v>
                </c:pt>
                <c:pt idx="173">
                  <c:v>-1.7967978448461541E-2</c:v>
                </c:pt>
                <c:pt idx="174">
                  <c:v>7.4463486731659589E-3</c:v>
                </c:pt>
                <c:pt idx="175">
                  <c:v>1.5174066511833617E-2</c:v>
                </c:pt>
                <c:pt idx="176">
                  <c:v>2.1700411800022801E-2</c:v>
                </c:pt>
                <c:pt idx="177">
                  <c:v>5.1373111991301901E-3</c:v>
                </c:pt>
                <c:pt idx="178">
                  <c:v>9.7082808387294328E-4</c:v>
                </c:pt>
                <c:pt idx="179">
                  <c:v>6.3968109172212184E-3</c:v>
                </c:pt>
                <c:pt idx="180">
                  <c:v>-1.4870250219533032E-2</c:v>
                </c:pt>
                <c:pt idx="181">
                  <c:v>-2.2303541751625966E-2</c:v>
                </c:pt>
                <c:pt idx="182">
                  <c:v>-4.7050451432767426E-3</c:v>
                </c:pt>
                <c:pt idx="183">
                  <c:v>-1.3337693300206954E-2</c:v>
                </c:pt>
                <c:pt idx="184">
                  <c:v>7.5756773695290214E-3</c:v>
                </c:pt>
                <c:pt idx="185">
                  <c:v>3.0393947085596729E-2</c:v>
                </c:pt>
                <c:pt idx="186">
                  <c:v>4.8796057148041694E-3</c:v>
                </c:pt>
                <c:pt idx="187">
                  <c:v>-1.2481400175922808E-2</c:v>
                </c:pt>
                <c:pt idx="188">
                  <c:v>-1.2167763195794934E-2</c:v>
                </c:pt>
                <c:pt idx="189">
                  <c:v>1.0915877080397429E-2</c:v>
                </c:pt>
                <c:pt idx="190">
                  <c:v>1.066735264112717E-2</c:v>
                </c:pt>
                <c:pt idx="191">
                  <c:v>1.1080208382955758E-2</c:v>
                </c:pt>
                <c:pt idx="192">
                  <c:v>2.9077643023533994E-3</c:v>
                </c:pt>
                <c:pt idx="193">
                  <c:v>9.3642407750242906E-3</c:v>
                </c:pt>
                <c:pt idx="194">
                  <c:v>1.2683553971470696E-2</c:v>
                </c:pt>
                <c:pt idx="195">
                  <c:v>6.4574777903931846E-3</c:v>
                </c:pt>
                <c:pt idx="196">
                  <c:v>1.3471715904629367E-3</c:v>
                </c:pt>
                <c:pt idx="197">
                  <c:v>-4.1159150561784763E-3</c:v>
                </c:pt>
                <c:pt idx="198">
                  <c:v>-1.6531709553396112E-2</c:v>
                </c:pt>
                <c:pt idx="199">
                  <c:v>2.9563534353209464E-2</c:v>
                </c:pt>
                <c:pt idx="200">
                  <c:v>1.585975765259251E-2</c:v>
                </c:pt>
                <c:pt idx="201">
                  <c:v>-5.1052873036872004E-4</c:v>
                </c:pt>
                <c:pt idx="202">
                  <c:v>-2.0002800365337414E-3</c:v>
                </c:pt>
                <c:pt idx="203">
                  <c:v>1.3088419708031651E-3</c:v>
                </c:pt>
                <c:pt idx="204">
                  <c:v>-3.5206761795750441E-2</c:v>
                </c:pt>
                <c:pt idx="205">
                  <c:v>-1.1352286045299254E-2</c:v>
                </c:pt>
                <c:pt idx="206">
                  <c:v>6.0665351202664475E-3</c:v>
                </c:pt>
                <c:pt idx="207">
                  <c:v>2.2812567756780533E-2</c:v>
                </c:pt>
                <c:pt idx="208">
                  <c:v>-3.1624041001221403E-3</c:v>
                </c:pt>
                <c:pt idx="209">
                  <c:v>1.356309542607792E-2</c:v>
                </c:pt>
                <c:pt idx="210">
                  <c:v>8.0265972115300954E-3</c:v>
                </c:pt>
                <c:pt idx="211">
                  <c:v>-2.3525048030359597E-2</c:v>
                </c:pt>
                <c:pt idx="212">
                  <c:v>1.4758079337355623E-2</c:v>
                </c:pt>
                <c:pt idx="213">
                  <c:v>1.2447826185473243E-3</c:v>
                </c:pt>
                <c:pt idx="214">
                  <c:v>5.4922607768950193E-3</c:v>
                </c:pt>
                <c:pt idx="215">
                  <c:v>-2.3515878709147509E-2</c:v>
                </c:pt>
                <c:pt idx="216">
                  <c:v>2.3821734346802348E-2</c:v>
                </c:pt>
                <c:pt idx="217">
                  <c:v>-2.8688056371246606E-3</c:v>
                </c:pt>
                <c:pt idx="218">
                  <c:v>9.2552604205093925E-3</c:v>
                </c:pt>
                <c:pt idx="219">
                  <c:v>4.2662907179948917E-3</c:v>
                </c:pt>
                <c:pt idx="220">
                  <c:v>-5.549340047653839E-3</c:v>
                </c:pt>
                <c:pt idx="221">
                  <c:v>6.970517638596796E-3</c:v>
                </c:pt>
                <c:pt idx="222">
                  <c:v>6.6786289371933982E-3</c:v>
                </c:pt>
                <c:pt idx="223">
                  <c:v>1.2388929497823886E-2</c:v>
                </c:pt>
                <c:pt idx="224">
                  <c:v>-8.7767205637614421E-3</c:v>
                </c:pt>
                <c:pt idx="225">
                  <c:v>1.0213419459275119E-2</c:v>
                </c:pt>
                <c:pt idx="226">
                  <c:v>-5.619705345475845E-3</c:v>
                </c:pt>
                <c:pt idx="227">
                  <c:v>1.2842500296006421E-2</c:v>
                </c:pt>
                <c:pt idx="228">
                  <c:v>-7.2917437895805293E-3</c:v>
                </c:pt>
                <c:pt idx="229">
                  <c:v>9.2290070256060286E-3</c:v>
                </c:pt>
                <c:pt idx="230">
                  <c:v>-8.1644345264202389E-3</c:v>
                </c:pt>
                <c:pt idx="231">
                  <c:v>-2.7546066606371045E-2</c:v>
                </c:pt>
                <c:pt idx="232">
                  <c:v>3.6717178317313692E-3</c:v>
                </c:pt>
                <c:pt idx="233">
                  <c:v>6.583361648867081E-3</c:v>
                </c:pt>
                <c:pt idx="234">
                  <c:v>2.0303081167224679E-2</c:v>
                </c:pt>
                <c:pt idx="235">
                  <c:v>5.7189021231107695E-3</c:v>
                </c:pt>
                <c:pt idx="236">
                  <c:v>2.2760606431717623E-3</c:v>
                </c:pt>
                <c:pt idx="237">
                  <c:v>-8.7444199627186858E-3</c:v>
                </c:pt>
                <c:pt idx="238">
                  <c:v>1.7202695100613674E-2</c:v>
                </c:pt>
                <c:pt idx="239">
                  <c:v>-9.6405051333620095E-3</c:v>
                </c:pt>
                <c:pt idx="240">
                  <c:v>-6.0455022070948772E-3</c:v>
                </c:pt>
                <c:pt idx="241">
                  <c:v>-2.737212561492941E-2</c:v>
                </c:pt>
                <c:pt idx="242">
                  <c:v>-9.8944982403156301E-3</c:v>
                </c:pt>
                <c:pt idx="243">
                  <c:v>2.5945923348085653E-2</c:v>
                </c:pt>
                <c:pt idx="244">
                  <c:v>3.4816402363324395E-2</c:v>
                </c:pt>
                <c:pt idx="245">
                  <c:v>1.0546604585013775E-2</c:v>
                </c:pt>
                <c:pt idx="246">
                  <c:v>3.4605753717895649E-3</c:v>
                </c:pt>
                <c:pt idx="247">
                  <c:v>9.941698498904028E-3</c:v>
                </c:pt>
                <c:pt idx="248">
                  <c:v>1.0204399900337613E-3</c:v>
                </c:pt>
                <c:pt idx="249">
                  <c:v>7.3231191019755837E-3</c:v>
                </c:pt>
                <c:pt idx="250">
                  <c:v>-3.7751163358962447E-2</c:v>
                </c:pt>
                <c:pt idx="251">
                  <c:v>3.0320708852546785E-2</c:v>
                </c:pt>
                <c:pt idx="252">
                  <c:v>1.3980210332648291E-2</c:v>
                </c:pt>
                <c:pt idx="253">
                  <c:v>-1.2729950997233952E-2</c:v>
                </c:pt>
                <c:pt idx="254">
                  <c:v>9.1956573945608522E-3</c:v>
                </c:pt>
                <c:pt idx="255">
                  <c:v>-2.8725551575018438E-2</c:v>
                </c:pt>
                <c:pt idx="256">
                  <c:v>3.8412105872472013E-2</c:v>
                </c:pt>
                <c:pt idx="257">
                  <c:v>1.0943876683853215E-2</c:v>
                </c:pt>
                <c:pt idx="258">
                  <c:v>6.7197692365652539E-3</c:v>
                </c:pt>
                <c:pt idx="259">
                  <c:v>-4.26588334423883E-4</c:v>
                </c:pt>
                <c:pt idx="260">
                  <c:v>-1.5216657211465701E-2</c:v>
                </c:pt>
                <c:pt idx="261">
                  <c:v>-6.0185199548439261E-3</c:v>
                </c:pt>
                <c:pt idx="262">
                  <c:v>2.1315898079828699E-2</c:v>
                </c:pt>
                <c:pt idx="263">
                  <c:v>-2.2892670834564255E-2</c:v>
                </c:pt>
                <c:pt idx="264">
                  <c:v>2.8556349932002956E-3</c:v>
                </c:pt>
                <c:pt idx="265">
                  <c:v>1.657412932653668E-2</c:v>
                </c:pt>
                <c:pt idx="266">
                  <c:v>-1.2811797076121789E-2</c:v>
                </c:pt>
                <c:pt idx="267">
                  <c:v>1.423956490451439E-2</c:v>
                </c:pt>
                <c:pt idx="268">
                  <c:v>-3.1020829543378925E-3</c:v>
                </c:pt>
                <c:pt idx="269">
                  <c:v>9.2685687313509568E-3</c:v>
                </c:pt>
                <c:pt idx="270">
                  <c:v>4.4770872458435029E-3</c:v>
                </c:pt>
                <c:pt idx="271">
                  <c:v>-2.2185237553132842E-3</c:v>
                </c:pt>
                <c:pt idx="272">
                  <c:v>-1.2140268772550145E-2</c:v>
                </c:pt>
                <c:pt idx="273">
                  <c:v>-8.9512628801033944E-3</c:v>
                </c:pt>
                <c:pt idx="274">
                  <c:v>2.7664593203169385E-3</c:v>
                </c:pt>
                <c:pt idx="275">
                  <c:v>6.5428940135665581E-3</c:v>
                </c:pt>
                <c:pt idx="276">
                  <c:v>-3.8446602549622177E-3</c:v>
                </c:pt>
                <c:pt idx="277">
                  <c:v>-1.2067399864365003E-2</c:v>
                </c:pt>
                <c:pt idx="278">
                  <c:v>1.7088723381641913E-3</c:v>
                </c:pt>
                <c:pt idx="279">
                  <c:v>1.8357389767039933E-2</c:v>
                </c:pt>
                <c:pt idx="280">
                  <c:v>-2.863549232846796E-2</c:v>
                </c:pt>
                <c:pt idx="281">
                  <c:v>6.9059667944255665E-3</c:v>
                </c:pt>
                <c:pt idx="282">
                  <c:v>-1.7890526086077108E-2</c:v>
                </c:pt>
                <c:pt idx="283">
                  <c:v>5.9875399022837339E-3</c:v>
                </c:pt>
                <c:pt idx="284">
                  <c:v>-5.8226963791210506E-2</c:v>
                </c:pt>
                <c:pt idx="285">
                  <c:v>1.1133883366504227E-2</c:v>
                </c:pt>
                <c:pt idx="286">
                  <c:v>-3.2483900325804171E-2</c:v>
                </c:pt>
                <c:pt idx="287">
                  <c:v>2.0538053702851222E-2</c:v>
                </c:pt>
                <c:pt idx="288">
                  <c:v>-2.9516300383031213E-3</c:v>
                </c:pt>
                <c:pt idx="289">
                  <c:v>-4.2672426812595532E-3</c:v>
                </c:pt>
                <c:pt idx="290">
                  <c:v>9.6665099753578954E-3</c:v>
                </c:pt>
                <c:pt idx="291">
                  <c:v>3.7160217915890081E-2</c:v>
                </c:pt>
                <c:pt idx="292">
                  <c:v>7.6960385614770477E-3</c:v>
                </c:pt>
                <c:pt idx="293">
                  <c:v>2.5019014753722812E-2</c:v>
                </c:pt>
                <c:pt idx="294">
                  <c:v>9.540707111455049E-4</c:v>
                </c:pt>
                <c:pt idx="295">
                  <c:v>1.3972156629154187E-2</c:v>
                </c:pt>
                <c:pt idx="296">
                  <c:v>-3.7134856829556639E-2</c:v>
                </c:pt>
                <c:pt idx="297">
                  <c:v>3.3550029693416805E-2</c:v>
                </c:pt>
                <c:pt idx="298">
                  <c:v>-1.4206330285703173E-3</c:v>
                </c:pt>
                <c:pt idx="299">
                  <c:v>2.7608516107180403E-3</c:v>
                </c:pt>
                <c:pt idx="300">
                  <c:v>-3.2632882455049583E-2</c:v>
                </c:pt>
                <c:pt idx="301">
                  <c:v>-7.9153787445309653E-3</c:v>
                </c:pt>
                <c:pt idx="302">
                  <c:v>2.4731535542557248E-2</c:v>
                </c:pt>
                <c:pt idx="303">
                  <c:v>-7.2434927795272941E-3</c:v>
                </c:pt>
                <c:pt idx="304">
                  <c:v>-6.1898073086100514E-2</c:v>
                </c:pt>
                <c:pt idx="305">
                  <c:v>-2.1923557361343216E-2</c:v>
                </c:pt>
                <c:pt idx="306">
                  <c:v>6.5942749875804729E-3</c:v>
                </c:pt>
                <c:pt idx="307">
                  <c:v>2.3163883499276672E-2</c:v>
                </c:pt>
                <c:pt idx="308">
                  <c:v>-1.5870706972361037E-2</c:v>
                </c:pt>
                <c:pt idx="309">
                  <c:v>-1.426295424437396E-2</c:v>
                </c:pt>
                <c:pt idx="310">
                  <c:v>2.6177694411175123E-2</c:v>
                </c:pt>
                <c:pt idx="311">
                  <c:v>1.5127970121366019E-2</c:v>
                </c:pt>
                <c:pt idx="312">
                  <c:v>2.2043054051070765E-2</c:v>
                </c:pt>
                <c:pt idx="313">
                  <c:v>1.2144888649240348E-2</c:v>
                </c:pt>
                <c:pt idx="314">
                  <c:v>2.2597881070308912E-2</c:v>
                </c:pt>
                <c:pt idx="315">
                  <c:v>-4.9176989817248939E-3</c:v>
                </c:pt>
                <c:pt idx="316">
                  <c:v>1.5815174545976474E-2</c:v>
                </c:pt>
                <c:pt idx="317">
                  <c:v>-1.2127996635033611E-2</c:v>
                </c:pt>
                <c:pt idx="318">
                  <c:v>1.8234167087359365E-2</c:v>
                </c:pt>
                <c:pt idx="319">
                  <c:v>5.938602527270298E-3</c:v>
                </c:pt>
                <c:pt idx="320">
                  <c:v>-1.2780868150120583E-2</c:v>
                </c:pt>
                <c:pt idx="321">
                  <c:v>-1.857177028127599E-3</c:v>
                </c:pt>
                <c:pt idx="322">
                  <c:v>-1.1573014072879584E-2</c:v>
                </c:pt>
                <c:pt idx="323">
                  <c:v>-1.960528717558585E-3</c:v>
                </c:pt>
                <c:pt idx="324">
                  <c:v>2.1271683182453538E-2</c:v>
                </c:pt>
                <c:pt idx="325">
                  <c:v>-3.7013370754835906E-3</c:v>
                </c:pt>
                <c:pt idx="326">
                  <c:v>3.2728138982160981E-3</c:v>
                </c:pt>
                <c:pt idx="327">
                  <c:v>-1.0645069571914911E-2</c:v>
                </c:pt>
                <c:pt idx="328">
                  <c:v>-1.5525287873717764E-2</c:v>
                </c:pt>
                <c:pt idx="329">
                  <c:v>3.1528448823192612E-2</c:v>
                </c:pt>
                <c:pt idx="330">
                  <c:v>1.0995839904153426E-2</c:v>
                </c:pt>
                <c:pt idx="331">
                  <c:v>2.0378824547452323E-2</c:v>
                </c:pt>
                <c:pt idx="332">
                  <c:v>2.9328955310605753E-3</c:v>
                </c:pt>
                <c:pt idx="333">
                  <c:v>-7.4638405982259126E-3</c:v>
                </c:pt>
                <c:pt idx="334">
                  <c:v>6.0375228629909738E-3</c:v>
                </c:pt>
                <c:pt idx="335">
                  <c:v>1.7763823824266112E-3</c:v>
                </c:pt>
                <c:pt idx="336">
                  <c:v>-1.2866060928343748E-3</c:v>
                </c:pt>
                <c:pt idx="337">
                  <c:v>-8.4715433869436696E-3</c:v>
                </c:pt>
                <c:pt idx="338">
                  <c:v>5.2492087845719126E-3</c:v>
                </c:pt>
                <c:pt idx="339">
                  <c:v>-2.1983394493419461E-2</c:v>
                </c:pt>
                <c:pt idx="340">
                  <c:v>2.120522755587384E-3</c:v>
                </c:pt>
                <c:pt idx="341">
                  <c:v>7.5950531932418297E-3</c:v>
                </c:pt>
                <c:pt idx="342">
                  <c:v>2.557601141802035E-3</c:v>
                </c:pt>
                <c:pt idx="343">
                  <c:v>-3.6956976775167627E-3</c:v>
                </c:pt>
                <c:pt idx="344">
                  <c:v>-5.597897249701278E-3</c:v>
                </c:pt>
                <c:pt idx="345">
                  <c:v>4.0398858914847402E-4</c:v>
                </c:pt>
                <c:pt idx="346">
                  <c:v>8.5293983487999547E-4</c:v>
                </c:pt>
                <c:pt idx="347">
                  <c:v>-1.5026846948920758E-2</c:v>
                </c:pt>
                <c:pt idx="348">
                  <c:v>5.3631793204345968E-2</c:v>
                </c:pt>
                <c:pt idx="349">
                  <c:v>1.0755179111376911E-3</c:v>
                </c:pt>
                <c:pt idx="350">
                  <c:v>1.5062862099777918E-2</c:v>
                </c:pt>
                <c:pt idx="351">
                  <c:v>9.5472882380098767E-4</c:v>
                </c:pt>
                <c:pt idx="352">
                  <c:v>3.0589895633508446E-2</c:v>
                </c:pt>
                <c:pt idx="353">
                  <c:v>4.3814027140556266E-3</c:v>
                </c:pt>
                <c:pt idx="354">
                  <c:v>4.5555579688953962E-3</c:v>
                </c:pt>
                <c:pt idx="355">
                  <c:v>-8.5888210775674212E-3</c:v>
                </c:pt>
                <c:pt idx="356">
                  <c:v>1.0181029378681705E-2</c:v>
                </c:pt>
                <c:pt idx="357">
                  <c:v>-3.9106227383286507E-3</c:v>
                </c:pt>
                <c:pt idx="358">
                  <c:v>-2.9410333588129056E-3</c:v>
                </c:pt>
                <c:pt idx="359">
                  <c:v>1.3442940414269522E-2</c:v>
                </c:pt>
                <c:pt idx="360">
                  <c:v>-1.1110650216771267E-3</c:v>
                </c:pt>
                <c:pt idx="361">
                  <c:v>9.8605891012004676E-3</c:v>
                </c:pt>
                <c:pt idx="362">
                  <c:v>1.7498038814656169E-2</c:v>
                </c:pt>
                <c:pt idx="363">
                  <c:v>9.5864251910926512E-3</c:v>
                </c:pt>
                <c:pt idx="364">
                  <c:v>8.8343062034006437E-3</c:v>
                </c:pt>
                <c:pt idx="365">
                  <c:v>-4.8903285104626715E-3</c:v>
                </c:pt>
                <c:pt idx="366">
                  <c:v>5.5696363225843371E-4</c:v>
                </c:pt>
                <c:pt idx="367">
                  <c:v>-1.5199839033195439E-2</c:v>
                </c:pt>
                <c:pt idx="368">
                  <c:v>3.2285328639083399E-3</c:v>
                </c:pt>
                <c:pt idx="369">
                  <c:v>-3.4468488555250421E-4</c:v>
                </c:pt>
                <c:pt idx="370">
                  <c:v>-9.8202038034402861E-3</c:v>
                </c:pt>
                <c:pt idx="371">
                  <c:v>4.6206198107852092E-3</c:v>
                </c:pt>
                <c:pt idx="372">
                  <c:v>1.9114055769703819E-2</c:v>
                </c:pt>
                <c:pt idx="373">
                  <c:v>3.1722580731488037E-3</c:v>
                </c:pt>
                <c:pt idx="374">
                  <c:v>-5.2519029415333263E-3</c:v>
                </c:pt>
                <c:pt idx="375">
                  <c:v>-4.3915014222138948E-3</c:v>
                </c:pt>
                <c:pt idx="376">
                  <c:v>1.3239195513898627E-2</c:v>
                </c:pt>
                <c:pt idx="377">
                  <c:v>5.9775761271068095E-3</c:v>
                </c:pt>
                <c:pt idx="378">
                  <c:v>3.0969722637892438E-3</c:v>
                </c:pt>
                <c:pt idx="379">
                  <c:v>5.2798312092225963E-3</c:v>
                </c:pt>
                <c:pt idx="380">
                  <c:v>4.8998609506645252E-4</c:v>
                </c:pt>
                <c:pt idx="381">
                  <c:v>-2.1094138745190172E-3</c:v>
                </c:pt>
                <c:pt idx="382">
                  <c:v>3.0312753132339942E-3</c:v>
                </c:pt>
                <c:pt idx="383">
                  <c:v>1.0431890642274899E-2</c:v>
                </c:pt>
                <c:pt idx="384">
                  <c:v>-2.6649229106522343E-3</c:v>
                </c:pt>
                <c:pt idx="385">
                  <c:v>1.1595766700277732E-2</c:v>
                </c:pt>
                <c:pt idx="386">
                  <c:v>1.2024381952008056E-2</c:v>
                </c:pt>
                <c:pt idx="387">
                  <c:v>-1.0613698742638622E-2</c:v>
                </c:pt>
                <c:pt idx="388">
                  <c:v>-8.409099751157556E-3</c:v>
                </c:pt>
                <c:pt idx="389">
                  <c:v>6.4203429355180752E-3</c:v>
                </c:pt>
                <c:pt idx="390">
                  <c:v>7.9714280813034666E-3</c:v>
                </c:pt>
                <c:pt idx="391">
                  <c:v>-8.6304635614365965E-3</c:v>
                </c:pt>
                <c:pt idx="392">
                  <c:v>2.1587098191146792E-2</c:v>
                </c:pt>
                <c:pt idx="393">
                  <c:v>3.6485963783514652E-3</c:v>
                </c:pt>
                <c:pt idx="394">
                  <c:v>2.4831146361308232E-3</c:v>
                </c:pt>
                <c:pt idx="395">
                  <c:v>1.6450624230950561E-2</c:v>
                </c:pt>
                <c:pt idx="396">
                  <c:v>4.3053541307864762E-3</c:v>
                </c:pt>
                <c:pt idx="397">
                  <c:v>1.9977421544865814E-2</c:v>
                </c:pt>
                <c:pt idx="398">
                  <c:v>4.524645685094475E-3</c:v>
                </c:pt>
                <c:pt idx="399">
                  <c:v>4.4807613574102678E-3</c:v>
                </c:pt>
                <c:pt idx="400">
                  <c:v>-4.9697376801421944E-3</c:v>
                </c:pt>
                <c:pt idx="401">
                  <c:v>-2.7309894992174621E-3</c:v>
                </c:pt>
                <c:pt idx="402">
                  <c:v>8.5514445443659604E-3</c:v>
                </c:pt>
                <c:pt idx="403">
                  <c:v>2.8593389094010657E-2</c:v>
                </c:pt>
                <c:pt idx="404">
                  <c:v>4.026425818419499E-3</c:v>
                </c:pt>
                <c:pt idx="405">
                  <c:v>1.3259107278226656E-2</c:v>
                </c:pt>
                <c:pt idx="406">
                  <c:v>4.1505265447858708E-3</c:v>
                </c:pt>
                <c:pt idx="407">
                  <c:v>-1.4074581567383726E-3</c:v>
                </c:pt>
                <c:pt idx="408">
                  <c:v>2.3328234776496926E-2</c:v>
                </c:pt>
                <c:pt idx="409">
                  <c:v>2.0055417894100147E-2</c:v>
                </c:pt>
                <c:pt idx="410">
                  <c:v>1.0406941085401522E-2</c:v>
                </c:pt>
                <c:pt idx="411">
                  <c:v>2.0903208841836385E-2</c:v>
                </c:pt>
                <c:pt idx="412">
                  <c:v>-4.116772205830066E-2</c:v>
                </c:pt>
                <c:pt idx="413">
                  <c:v>-5.2116413702481101E-2</c:v>
                </c:pt>
                <c:pt idx="414">
                  <c:v>4.2515099615714647E-2</c:v>
                </c:pt>
                <c:pt idx="415">
                  <c:v>3.5929716023301861E-3</c:v>
                </c:pt>
                <c:pt idx="416">
                  <c:v>-3.0498904227058588E-2</c:v>
                </c:pt>
                <c:pt idx="417">
                  <c:v>3.2507800708019285E-2</c:v>
                </c:pt>
                <c:pt idx="418">
                  <c:v>-1.5363040814340589E-2</c:v>
                </c:pt>
                <c:pt idx="419">
                  <c:v>-5.6653453927645314E-2</c:v>
                </c:pt>
                <c:pt idx="420">
                  <c:v>2.4217191238056879E-2</c:v>
                </c:pt>
                <c:pt idx="421">
                  <c:v>-7.0673832359493538E-3</c:v>
                </c:pt>
                <c:pt idx="422">
                  <c:v>1.7857504360998977E-2</c:v>
                </c:pt>
                <c:pt idx="423">
                  <c:v>4.2199919423293597E-3</c:v>
                </c:pt>
                <c:pt idx="424">
                  <c:v>-6.2034691830532562E-3</c:v>
                </c:pt>
                <c:pt idx="425">
                  <c:v>-2.0023745612605115E-3</c:v>
                </c:pt>
                <c:pt idx="426">
                  <c:v>2.3438168630703249E-2</c:v>
                </c:pt>
                <c:pt idx="427">
                  <c:v>-4.6751151649113698E-3</c:v>
                </c:pt>
                <c:pt idx="428">
                  <c:v>1.5378299839849952E-3</c:v>
                </c:pt>
                <c:pt idx="429">
                  <c:v>-4.762180552350781E-3</c:v>
                </c:pt>
                <c:pt idx="430">
                  <c:v>2.7656117809275571E-2</c:v>
                </c:pt>
                <c:pt idx="431">
                  <c:v>-8.9289096110729549E-3</c:v>
                </c:pt>
                <c:pt idx="432">
                  <c:v>-2.0310153411532417E-2</c:v>
                </c:pt>
                <c:pt idx="433">
                  <c:v>-1.2590216124245379E-2</c:v>
                </c:pt>
                <c:pt idx="434">
                  <c:v>7.6252265839735767E-3</c:v>
                </c:pt>
                <c:pt idx="435">
                  <c:v>2.3017248893359987E-2</c:v>
                </c:pt>
                <c:pt idx="436">
                  <c:v>1.5474787912528321E-3</c:v>
                </c:pt>
                <c:pt idx="437">
                  <c:v>1.5680851337831037E-2</c:v>
                </c:pt>
                <c:pt idx="438">
                  <c:v>4.529045938668208E-4</c:v>
                </c:pt>
                <c:pt idx="439">
                  <c:v>-5.8691297318330671E-3</c:v>
                </c:pt>
                <c:pt idx="440">
                  <c:v>1.4071036222678357E-2</c:v>
                </c:pt>
                <c:pt idx="441">
                  <c:v>4.7150759505469875E-3</c:v>
                </c:pt>
                <c:pt idx="442">
                  <c:v>6.7646802617389312E-3</c:v>
                </c:pt>
                <c:pt idx="443">
                  <c:v>-1.8593429215565394E-3</c:v>
                </c:pt>
                <c:pt idx="444">
                  <c:v>9.1884486957869438E-3</c:v>
                </c:pt>
                <c:pt idx="445">
                  <c:v>2.2513097372695245E-2</c:v>
                </c:pt>
                <c:pt idx="446">
                  <c:v>-1.0663893875324626E-2</c:v>
                </c:pt>
                <c:pt idx="447">
                  <c:v>-4.2541272455387524E-4</c:v>
                </c:pt>
                <c:pt idx="448">
                  <c:v>-4.1859488737991724E-2</c:v>
                </c:pt>
                <c:pt idx="449">
                  <c:v>4.1180994616170086E-3</c:v>
                </c:pt>
                <c:pt idx="450">
                  <c:v>-2.9713127430432196E-2</c:v>
                </c:pt>
                <c:pt idx="451">
                  <c:v>2.3594841345125905E-2</c:v>
                </c:pt>
                <c:pt idx="452">
                  <c:v>2.8430678367230122E-2</c:v>
                </c:pt>
                <c:pt idx="453">
                  <c:v>-2.2165868336699868E-2</c:v>
                </c:pt>
                <c:pt idx="454">
                  <c:v>-4.4357464168816585E-2</c:v>
                </c:pt>
                <c:pt idx="455">
                  <c:v>5.1573131318732202E-2</c:v>
                </c:pt>
                <c:pt idx="456">
                  <c:v>-4.5010789375495852E-2</c:v>
                </c:pt>
                <c:pt idx="457">
                  <c:v>-1.1826851575045483E-2</c:v>
                </c:pt>
                <c:pt idx="458">
                  <c:v>-6.8676217265511208E-2</c:v>
                </c:pt>
                <c:pt idx="459">
                  <c:v>2.7490287464393637E-2</c:v>
                </c:pt>
                <c:pt idx="460">
                  <c:v>1.6076394012065842E-2</c:v>
                </c:pt>
                <c:pt idx="461">
                  <c:v>2.4016619488019808E-2</c:v>
                </c:pt>
                <c:pt idx="462">
                  <c:v>2.9604912372275693E-2</c:v>
                </c:pt>
                <c:pt idx="463">
                  <c:v>1.2487276498787114E-3</c:v>
                </c:pt>
                <c:pt idx="464">
                  <c:v>1.3206292760802096E-2</c:v>
                </c:pt>
                <c:pt idx="465">
                  <c:v>1.6935242799918093E-3</c:v>
                </c:pt>
                <c:pt idx="466">
                  <c:v>3.094498556909886E-2</c:v>
                </c:pt>
                <c:pt idx="467">
                  <c:v>5.7396893049088682E-3</c:v>
                </c:pt>
                <c:pt idx="468">
                  <c:v>-2.1098418071929803E-4</c:v>
                </c:pt>
                <c:pt idx="469">
                  <c:v>-2.2134337930838743E-2</c:v>
                </c:pt>
                <c:pt idx="470">
                  <c:v>1.5663049552389507E-2</c:v>
                </c:pt>
                <c:pt idx="471">
                  <c:v>-1.3406922468097049E-2</c:v>
                </c:pt>
                <c:pt idx="472">
                  <c:v>1.6718512610413239E-2</c:v>
                </c:pt>
                <c:pt idx="473">
                  <c:v>1.9141273357588418E-2</c:v>
                </c:pt>
                <c:pt idx="474">
                  <c:v>-4.7995107297160722E-4</c:v>
                </c:pt>
                <c:pt idx="475">
                  <c:v>5.5747014104505777E-3</c:v>
                </c:pt>
                <c:pt idx="476">
                  <c:v>-6.1030417119523062E-4</c:v>
                </c:pt>
                <c:pt idx="477">
                  <c:v>-1.4462011550334664E-3</c:v>
                </c:pt>
                <c:pt idx="478">
                  <c:v>-2.122547176740619E-2</c:v>
                </c:pt>
                <c:pt idx="479">
                  <c:v>-6.8756563876816168E-3</c:v>
                </c:pt>
                <c:pt idx="480">
                  <c:v>-6.9206228723214247E-3</c:v>
                </c:pt>
                <c:pt idx="481">
                  <c:v>-3.0120610647049406E-2</c:v>
                </c:pt>
                <c:pt idx="482">
                  <c:v>4.710470624173646E-2</c:v>
                </c:pt>
                <c:pt idx="483">
                  <c:v>4.0665886046065136E-3</c:v>
                </c:pt>
                <c:pt idx="484">
                  <c:v>2.4129148068360751E-2</c:v>
                </c:pt>
                <c:pt idx="485">
                  <c:v>-4.4598200463688009E-3</c:v>
                </c:pt>
                <c:pt idx="486">
                  <c:v>1.21110122216741E-2</c:v>
                </c:pt>
                <c:pt idx="487">
                  <c:v>1.5225908642683583E-2</c:v>
                </c:pt>
                <c:pt idx="488">
                  <c:v>-6.5062197298612068E-3</c:v>
                </c:pt>
                <c:pt idx="489">
                  <c:v>1.4086695949377948E-3</c:v>
                </c:pt>
                <c:pt idx="490">
                  <c:v>-2.6016294623381175E-2</c:v>
                </c:pt>
                <c:pt idx="491">
                  <c:v>-7.4594768943108125E-3</c:v>
                </c:pt>
                <c:pt idx="492">
                  <c:v>-1.5271017420750987E-2</c:v>
                </c:pt>
                <c:pt idx="493">
                  <c:v>-9.9324550132432465E-3</c:v>
                </c:pt>
                <c:pt idx="494">
                  <c:v>3.0215383375437943E-2</c:v>
                </c:pt>
                <c:pt idx="495">
                  <c:v>1.4929166590776477E-2</c:v>
                </c:pt>
                <c:pt idx="496">
                  <c:v>1.5749764325622806E-2</c:v>
                </c:pt>
                <c:pt idx="497">
                  <c:v>-1.0449991485887988E-2</c:v>
                </c:pt>
                <c:pt idx="498">
                  <c:v>-4.262914277119445E-3</c:v>
                </c:pt>
                <c:pt idx="499">
                  <c:v>-9.191991331743532E-3</c:v>
                </c:pt>
                <c:pt idx="500">
                  <c:v>9.1394475140416098E-3</c:v>
                </c:pt>
                <c:pt idx="501">
                  <c:v>-1.729899483480124E-3</c:v>
                </c:pt>
                <c:pt idx="502">
                  <c:v>7.0177219838911675E-3</c:v>
                </c:pt>
                <c:pt idx="503">
                  <c:v>1.444079653972774E-2</c:v>
                </c:pt>
                <c:pt idx="504">
                  <c:v>1.2209065733284064E-2</c:v>
                </c:pt>
                <c:pt idx="505">
                  <c:v>1.1691837090965551E-2</c:v>
                </c:pt>
                <c:pt idx="506">
                  <c:v>-4.6159047443465884E-3</c:v>
                </c:pt>
                <c:pt idx="507">
                  <c:v>6.306352757822431E-3</c:v>
                </c:pt>
                <c:pt idx="508">
                  <c:v>-1.2959203847067169E-3</c:v>
                </c:pt>
                <c:pt idx="509">
                  <c:v>4.294671885468837E-3</c:v>
                </c:pt>
                <c:pt idx="510">
                  <c:v>1.1363309332790728E-2</c:v>
                </c:pt>
                <c:pt idx="511">
                  <c:v>6.6832228851916309E-3</c:v>
                </c:pt>
                <c:pt idx="512">
                  <c:v>-3.622484088153799E-4</c:v>
                </c:pt>
                <c:pt idx="513">
                  <c:v>6.5962586745202945E-3</c:v>
                </c:pt>
                <c:pt idx="514">
                  <c:v>1.819084589596387E-2</c:v>
                </c:pt>
                <c:pt idx="515">
                  <c:v>-1.221098997718606E-2</c:v>
                </c:pt>
                <c:pt idx="516">
                  <c:v>-2.530875576189473E-2</c:v>
                </c:pt>
                <c:pt idx="517">
                  <c:v>2.9957539367620356E-2</c:v>
                </c:pt>
                <c:pt idx="518">
                  <c:v>1.0156047174413319E-2</c:v>
                </c:pt>
                <c:pt idx="519">
                  <c:v>-1.3799363767973971E-2</c:v>
                </c:pt>
                <c:pt idx="520">
                  <c:v>-0.12358575548606099</c:v>
                </c:pt>
                <c:pt idx="521">
                  <c:v>1.7923397345015246E-2</c:v>
                </c:pt>
                <c:pt idx="522">
                  <c:v>-0.10358318199271366</c:v>
                </c:pt>
                <c:pt idx="523">
                  <c:v>-0.17302303391220542</c:v>
                </c:pt>
                <c:pt idx="524">
                  <c:v>0.12844520093276435</c:v>
                </c:pt>
                <c:pt idx="525">
                  <c:v>-2.7002463749090322E-2</c:v>
                </c:pt>
                <c:pt idx="526">
                  <c:v>0.12667539682679907</c:v>
                </c:pt>
                <c:pt idx="527">
                  <c:v>2.2054571172686721E-2</c:v>
                </c:pt>
                <c:pt idx="528">
                  <c:v>-1.9272827610440246E-2</c:v>
                </c:pt>
                <c:pt idx="529">
                  <c:v>-2.1694052360838878E-3</c:v>
                </c:pt>
                <c:pt idx="530">
                  <c:v>2.561241095084088E-2</c:v>
                </c:pt>
                <c:pt idx="531">
                  <c:v>-2.6545753897806112E-2</c:v>
                </c:pt>
                <c:pt idx="532">
                  <c:v>3.2920781537777888E-2</c:v>
                </c:pt>
                <c:pt idx="533">
                  <c:v>3.7520589734845178E-2</c:v>
                </c:pt>
                <c:pt idx="534">
                  <c:v>6.8071582665165664E-2</c:v>
                </c:pt>
                <c:pt idx="535">
                  <c:v>-5.5528710959015237E-2</c:v>
                </c:pt>
                <c:pt idx="536">
                  <c:v>1.0385079633558947E-2</c:v>
                </c:pt>
                <c:pt idx="537">
                  <c:v>-3.3083156352264775E-2</c:v>
                </c:pt>
                <c:pt idx="538">
                  <c:v>3.2452116341337156E-2</c:v>
                </c:pt>
                <c:pt idx="539">
                  <c:v>9.6001114910859719E-3</c:v>
                </c:pt>
                <c:pt idx="540">
                  <c:v>2.2881691056783726E-2</c:v>
                </c:pt>
                <c:pt idx="541">
                  <c:v>-7.5757568940744147E-3</c:v>
                </c:pt>
                <c:pt idx="542">
                  <c:v>-1.570252169478259E-3</c:v>
                </c:pt>
                <c:pt idx="543">
                  <c:v>3.8033323353888537E-2</c:v>
                </c:pt>
                <c:pt idx="544">
                  <c:v>1.813613432333927E-2</c:v>
                </c:pt>
                <c:pt idx="545">
                  <c:v>-2.4556927632146675E-5</c:v>
                </c:pt>
                <c:pt idx="546">
                  <c:v>2.5904979735185796E-2</c:v>
                </c:pt>
                <c:pt idx="547">
                  <c:v>-1.8166975317848277E-2</c:v>
                </c:pt>
                <c:pt idx="548">
                  <c:v>-1.6623402891629557E-2</c:v>
                </c:pt>
                <c:pt idx="549">
                  <c:v>-2.972748674856529E-4</c:v>
                </c:pt>
                <c:pt idx="550">
                  <c:v>-1.7480381167185866E-2</c:v>
                </c:pt>
                <c:pt idx="551">
                  <c:v>1.8725985760343011E-2</c:v>
                </c:pt>
                <c:pt idx="552">
                  <c:v>3.2658890347507352E-2</c:v>
                </c:pt>
                <c:pt idx="553">
                  <c:v>6.7896473603501484E-4</c:v>
                </c:pt>
                <c:pt idx="554">
                  <c:v>-9.4645783775727521E-3</c:v>
                </c:pt>
                <c:pt idx="555">
                  <c:v>-6.47233100031257E-2</c:v>
                </c:pt>
                <c:pt idx="556">
                  <c:v>6.8743015868610646E-2</c:v>
                </c:pt>
                <c:pt idx="557">
                  <c:v>4.0828940030568583E-2</c:v>
                </c:pt>
                <c:pt idx="558">
                  <c:v>-7.3383853266649757E-3</c:v>
                </c:pt>
                <c:pt idx="559">
                  <c:v>2.2105956240310087E-2</c:v>
                </c:pt>
                <c:pt idx="560">
                  <c:v>1.029368668304298E-2</c:v>
                </c:pt>
                <c:pt idx="561">
                  <c:v>-5.6882692405965107E-3</c:v>
                </c:pt>
                <c:pt idx="562">
                  <c:v>4.4156980477370045E-3</c:v>
                </c:pt>
                <c:pt idx="563">
                  <c:v>6.9002180496346988E-4</c:v>
                </c:pt>
                <c:pt idx="564">
                  <c:v>1.3464080913856868E-2</c:v>
                </c:pt>
                <c:pt idx="565">
                  <c:v>1.6058335874189256E-2</c:v>
                </c:pt>
                <c:pt idx="566">
                  <c:v>-9.1230511446964702E-3</c:v>
                </c:pt>
                <c:pt idx="567">
                  <c:v>5.9294908116711564E-3</c:v>
                </c:pt>
                <c:pt idx="568">
                  <c:v>-3.2724561401352381E-2</c:v>
                </c:pt>
                <c:pt idx="569">
                  <c:v>3.8876708793567749E-2</c:v>
                </c:pt>
                <c:pt idx="570">
                  <c:v>9.9574805518871656E-3</c:v>
                </c:pt>
                <c:pt idx="571">
                  <c:v>1.1419557764773547E-3</c:v>
                </c:pt>
                <c:pt idx="572">
                  <c:v>-1.784307938141505E-2</c:v>
                </c:pt>
                <c:pt idx="573">
                  <c:v>1.8231049049689751E-2</c:v>
                </c:pt>
                <c:pt idx="574">
                  <c:v>4.0714180475155182E-2</c:v>
                </c:pt>
                <c:pt idx="575">
                  <c:v>-4.5966119695060037E-3</c:v>
                </c:pt>
                <c:pt idx="576">
                  <c:v>1.3635729615396164E-2</c:v>
                </c:pt>
                <c:pt idx="577">
                  <c:v>2.4290538078635127E-3</c:v>
                </c:pt>
                <c:pt idx="578">
                  <c:v>1.952723515307353E-2</c:v>
                </c:pt>
                <c:pt idx="579">
                  <c:v>1.1836087202736767E-2</c:v>
                </c:pt>
                <c:pt idx="580">
                  <c:v>-4.5959448889412169E-3</c:v>
                </c:pt>
                <c:pt idx="581">
                  <c:v>-4.9534526527993394E-3</c:v>
                </c:pt>
                <c:pt idx="582">
                  <c:v>2.6654157682864277E-2</c:v>
                </c:pt>
                <c:pt idx="583">
                  <c:v>-1.1375824763088627E-2</c:v>
                </c:pt>
                <c:pt idx="584">
                  <c:v>-5.0692345041757347E-3</c:v>
                </c:pt>
                <c:pt idx="585">
                  <c:v>9.4015369791118353E-3</c:v>
                </c:pt>
                <c:pt idx="586">
                  <c:v>6.5723492629590208E-3</c:v>
                </c:pt>
                <c:pt idx="587">
                  <c:v>-7.9636581807371876E-3</c:v>
                </c:pt>
                <c:pt idx="588">
                  <c:v>-3.4499155222237898E-2</c:v>
                </c:pt>
                <c:pt idx="589">
                  <c:v>3.4357342273669156E-2</c:v>
                </c:pt>
                <c:pt idx="590">
                  <c:v>1.0237114838403505E-2</c:v>
                </c:pt>
                <c:pt idx="591">
                  <c:v>2.4093735146202278E-3</c:v>
                </c:pt>
                <c:pt idx="592">
                  <c:v>-5.2282182022742596E-3</c:v>
                </c:pt>
                <c:pt idx="593">
                  <c:v>1.0773322585439393E-2</c:v>
                </c:pt>
                <c:pt idx="594">
                  <c:v>-3.5960214837713611E-3</c:v>
                </c:pt>
                <c:pt idx="595">
                  <c:v>7.8154147712017341E-3</c:v>
                </c:pt>
                <c:pt idx="596">
                  <c:v>8.7159788574617814E-3</c:v>
                </c:pt>
                <c:pt idx="597">
                  <c:v>-1.1130351506019043E-2</c:v>
                </c:pt>
                <c:pt idx="598">
                  <c:v>9.559037337854015E-3</c:v>
                </c:pt>
                <c:pt idx="599">
                  <c:v>-2.4455858543509512E-3</c:v>
                </c:pt>
                <c:pt idx="600">
                  <c:v>-2.1526274216746577E-2</c:v>
                </c:pt>
                <c:pt idx="601">
                  <c:v>-6.6014743026776568E-4</c:v>
                </c:pt>
                <c:pt idx="602">
                  <c:v>6.1622742126974384E-3</c:v>
                </c:pt>
                <c:pt idx="603">
                  <c:v>-1.3550790586833505E-2</c:v>
                </c:pt>
                <c:pt idx="604">
                  <c:v>1.222936517995854E-2</c:v>
                </c:pt>
                <c:pt idx="605">
                  <c:v>1.5786063425964558E-2</c:v>
                </c:pt>
                <c:pt idx="606">
                  <c:v>1.0830572080366307E-2</c:v>
                </c:pt>
                <c:pt idx="607">
                  <c:v>3.9953422677403427E-3</c:v>
                </c:pt>
                <c:pt idx="608">
                  <c:v>1.41930775900867E-2</c:v>
                </c:pt>
                <c:pt idx="609">
                  <c:v>-6.2663871412155236E-3</c:v>
                </c:pt>
                <c:pt idx="610">
                  <c:v>-1.380396916976756E-2</c:v>
                </c:pt>
                <c:pt idx="611">
                  <c:v>-1.9736013148505482E-2</c:v>
                </c:pt>
                <c:pt idx="612">
                  <c:v>-9.1479246055353736E-3</c:v>
                </c:pt>
                <c:pt idx="613">
                  <c:v>4.0222995319204147E-2</c:v>
                </c:pt>
                <c:pt idx="614">
                  <c:v>-1.6834652708865305E-2</c:v>
                </c:pt>
                <c:pt idx="615">
                  <c:v>1.6545188685971102E-2</c:v>
                </c:pt>
                <c:pt idx="616">
                  <c:v>1.0785216323913493E-2</c:v>
                </c:pt>
                <c:pt idx="617">
                  <c:v>-2.9346063726041205E-3</c:v>
                </c:pt>
                <c:pt idx="618">
                  <c:v>-8.8279037710419228E-3</c:v>
                </c:pt>
                <c:pt idx="619">
                  <c:v>-4.5846709562212484E-2</c:v>
                </c:pt>
                <c:pt idx="620">
                  <c:v>1.3427582538489968E-2</c:v>
                </c:pt>
                <c:pt idx="621">
                  <c:v>1.049003442927976E-2</c:v>
                </c:pt>
                <c:pt idx="622">
                  <c:v>-1.002238725385729E-2</c:v>
                </c:pt>
                <c:pt idx="623">
                  <c:v>-1.8967049015490955E-2</c:v>
                </c:pt>
                <c:pt idx="624">
                  <c:v>-5.9952729734225052E-4</c:v>
                </c:pt>
                <c:pt idx="625">
                  <c:v>-1.3034937852153927E-2</c:v>
                </c:pt>
                <c:pt idx="626">
                  <c:v>-1.9949845242409614E-2</c:v>
                </c:pt>
                <c:pt idx="627">
                  <c:v>5.4964048574141167E-2</c:v>
                </c:pt>
                <c:pt idx="628">
                  <c:v>3.0588175785002392E-3</c:v>
                </c:pt>
                <c:pt idx="629">
                  <c:v>-1.2326525830606005E-3</c:v>
                </c:pt>
                <c:pt idx="630">
                  <c:v>-2.7901386094705272E-3</c:v>
                </c:pt>
                <c:pt idx="631">
                  <c:v>-7.7731271728703755E-3</c:v>
                </c:pt>
                <c:pt idx="632">
                  <c:v>-1.8572085437865038E-2</c:v>
                </c:pt>
                <c:pt idx="633">
                  <c:v>-2.4671936457406951E-2</c:v>
                </c:pt>
                <c:pt idx="634">
                  <c:v>-2.360324222486998E-3</c:v>
                </c:pt>
                <c:pt idx="635">
                  <c:v>-2.1359284452435623E-2</c:v>
                </c:pt>
                <c:pt idx="636">
                  <c:v>-2.9033064790077945E-2</c:v>
                </c:pt>
                <c:pt idx="637">
                  <c:v>6.2410269555283726E-2</c:v>
                </c:pt>
                <c:pt idx="638">
                  <c:v>-9.4318306796784546E-3</c:v>
                </c:pt>
                <c:pt idx="639">
                  <c:v>-4.5803208767311698E-2</c:v>
                </c:pt>
                <c:pt idx="640">
                  <c:v>-4.7909469498656487E-2</c:v>
                </c:pt>
                <c:pt idx="641">
                  <c:v>5.3930030817789465E-2</c:v>
                </c:pt>
                <c:pt idx="642">
                  <c:v>-1.2806724187882867E-2</c:v>
                </c:pt>
                <c:pt idx="643">
                  <c:v>7.7464161237186246E-3</c:v>
                </c:pt>
                <c:pt idx="644">
                  <c:v>-1.5920531263520221E-3</c:v>
                </c:pt>
                <c:pt idx="645">
                  <c:v>1.9529035336329548E-2</c:v>
                </c:pt>
                <c:pt idx="646">
                  <c:v>2.9650825087232269E-2</c:v>
                </c:pt>
                <c:pt idx="647">
                  <c:v>-1.2681820002898858E-3</c:v>
                </c:pt>
                <c:pt idx="648">
                  <c:v>2.9191170156022128E-2</c:v>
                </c:pt>
                <c:pt idx="649">
                  <c:v>-1.6085964824413823E-3</c:v>
                </c:pt>
                <c:pt idx="650">
                  <c:v>-4.222719183192869E-2</c:v>
                </c:pt>
                <c:pt idx="651">
                  <c:v>-2.98900853287829E-2</c:v>
                </c:pt>
                <c:pt idx="652">
                  <c:v>2.6606369886105208E-2</c:v>
                </c:pt>
                <c:pt idx="653">
                  <c:v>-4.1344321616397561E-2</c:v>
                </c:pt>
                <c:pt idx="654">
                  <c:v>-3.9971260403598774E-2</c:v>
                </c:pt>
                <c:pt idx="655">
                  <c:v>-2.922925507086549E-2</c:v>
                </c:pt>
                <c:pt idx="656">
                  <c:v>1.9887802639008578E-2</c:v>
                </c:pt>
                <c:pt idx="657">
                  <c:v>1.1538470925154254E-2</c:v>
                </c:pt>
                <c:pt idx="658">
                  <c:v>4.8852199227964688E-2</c:v>
                </c:pt>
                <c:pt idx="659">
                  <c:v>5.7242455942456916E-2</c:v>
                </c:pt>
                <c:pt idx="660">
                  <c:v>-1.3954964844198892E-2</c:v>
                </c:pt>
                <c:pt idx="661">
                  <c:v>4.1497339216374662E-2</c:v>
                </c:pt>
                <c:pt idx="662">
                  <c:v>-6.4448522174131995E-5</c:v>
                </c:pt>
                <c:pt idx="663">
                  <c:v>1.7819792901787368E-2</c:v>
                </c:pt>
                <c:pt idx="664">
                  <c:v>2.4120221768924033E-3</c:v>
                </c:pt>
                <c:pt idx="665">
                  <c:v>-2.7691635699908401E-2</c:v>
                </c:pt>
                <c:pt idx="666">
                  <c:v>-1.6608588537311508E-2</c:v>
                </c:pt>
                <c:pt idx="667">
                  <c:v>8.6107149601428734E-3</c:v>
                </c:pt>
                <c:pt idx="668">
                  <c:v>-1.707041958799338E-3</c:v>
                </c:pt>
                <c:pt idx="669">
                  <c:v>1.4582398898056237E-2</c:v>
                </c:pt>
                <c:pt idx="670">
                  <c:v>1.9981617998902523E-2</c:v>
                </c:pt>
                <c:pt idx="671">
                  <c:v>-2.7027754652714564E-2</c:v>
                </c:pt>
                <c:pt idx="672">
                  <c:v>1.8054969775496588E-2</c:v>
                </c:pt>
                <c:pt idx="673">
                  <c:v>-1.5323702855850607E-3</c:v>
                </c:pt>
                <c:pt idx="674">
                  <c:v>-1.6726545547001148E-3</c:v>
                </c:pt>
                <c:pt idx="675">
                  <c:v>-1.2570777145619605E-3</c:v>
                </c:pt>
                <c:pt idx="676">
                  <c:v>-2.9851297806994026E-2</c:v>
                </c:pt>
                <c:pt idx="677">
                  <c:v>1.7492662588272534E-2</c:v>
                </c:pt>
                <c:pt idx="678">
                  <c:v>-4.4363472730960862E-2</c:v>
                </c:pt>
                <c:pt idx="679">
                  <c:v>-1.4933169778136302E-3</c:v>
                </c:pt>
                <c:pt idx="680">
                  <c:v>1.1786510218572799E-2</c:v>
                </c:pt>
                <c:pt idx="681">
                  <c:v>3.2155941894001838E-2</c:v>
                </c:pt>
                <c:pt idx="682">
                  <c:v>6.3453154222381514E-3</c:v>
                </c:pt>
                <c:pt idx="683">
                  <c:v>1.1980774745360856E-2</c:v>
                </c:pt>
                <c:pt idx="684">
                  <c:v>-2.2872640286328849E-3</c:v>
                </c:pt>
                <c:pt idx="685">
                  <c:v>8.5540221126580995E-3</c:v>
                </c:pt>
                <c:pt idx="686">
                  <c:v>-1.2428411247343507E-2</c:v>
                </c:pt>
                <c:pt idx="687">
                  <c:v>-1.1099302396609056E-2</c:v>
                </c:pt>
                <c:pt idx="688">
                  <c:v>3.7841763014860863E-3</c:v>
                </c:pt>
                <c:pt idx="689">
                  <c:v>-9.9709390694230349E-3</c:v>
                </c:pt>
                <c:pt idx="690">
                  <c:v>2.0228353527127041E-2</c:v>
                </c:pt>
                <c:pt idx="691">
                  <c:v>3.3770995325361763E-3</c:v>
                </c:pt>
                <c:pt idx="692">
                  <c:v>1.2466828348109749E-2</c:v>
                </c:pt>
                <c:pt idx="693">
                  <c:v>-1.666756372574596E-2</c:v>
                </c:pt>
                <c:pt idx="694">
                  <c:v>2.0166571703416736E-2</c:v>
                </c:pt>
                <c:pt idx="695">
                  <c:v>-1.9551468337086875E-2</c:v>
                </c:pt>
                <c:pt idx="696">
                  <c:v>2.2948084642409716E-2</c:v>
                </c:pt>
                <c:pt idx="697">
                  <c:v>2.0825177195568756E-2</c:v>
                </c:pt>
                <c:pt idx="698">
                  <c:v>6.5743541662530713E-3</c:v>
                </c:pt>
                <c:pt idx="699">
                  <c:v>-1.1101920696506284E-2</c:v>
                </c:pt>
                <c:pt idx="700">
                  <c:v>6.1536510909980802E-3</c:v>
                </c:pt>
                <c:pt idx="701">
                  <c:v>-2.2128986701212217E-2</c:v>
                </c:pt>
                <c:pt idx="702">
                  <c:v>-4.4567986166200724E-3</c:v>
                </c:pt>
                <c:pt idx="703">
                  <c:v>1.4289910172938569E-2</c:v>
                </c:pt>
                <c:pt idx="704">
                  <c:v>-7.4954977670320666E-3</c:v>
                </c:pt>
                <c:pt idx="705">
                  <c:v>1.204676447678299E-3</c:v>
                </c:pt>
                <c:pt idx="706">
                  <c:v>-1.8903233921136908E-2</c:v>
                </c:pt>
                <c:pt idx="707">
                  <c:v>-1.3436182351550641E-2</c:v>
                </c:pt>
                <c:pt idx="708">
                  <c:v>-2.9818966348115206E-3</c:v>
                </c:pt>
                <c:pt idx="709">
                  <c:v>7.8637145130124875E-3</c:v>
                </c:pt>
                <c:pt idx="710">
                  <c:v>-1.6127359729732893E-2</c:v>
                </c:pt>
                <c:pt idx="711">
                  <c:v>-2.1423226847394838E-2</c:v>
                </c:pt>
                <c:pt idx="712">
                  <c:v>5.0705072258127259E-2</c:v>
                </c:pt>
                <c:pt idx="713">
                  <c:v>6.5111743228563057E-3</c:v>
                </c:pt>
                <c:pt idx="714">
                  <c:v>1.9373510337472144E-2</c:v>
                </c:pt>
                <c:pt idx="715">
                  <c:v>1.2672406672033176E-2</c:v>
                </c:pt>
                <c:pt idx="716">
                  <c:v>2.4169128571043696E-2</c:v>
                </c:pt>
                <c:pt idx="717">
                  <c:v>6.5461919952491954E-5</c:v>
                </c:pt>
                <c:pt idx="718">
                  <c:v>2.9168332649504691E-2</c:v>
                </c:pt>
                <c:pt idx="719">
                  <c:v>2.1659951277948064E-3</c:v>
                </c:pt>
                <c:pt idx="720">
                  <c:v>8.1199053809637434E-3</c:v>
                </c:pt>
                <c:pt idx="721">
                  <c:v>-5.9280884163293024E-3</c:v>
                </c:pt>
                <c:pt idx="722">
                  <c:v>3.3863191044809504E-3</c:v>
                </c:pt>
                <c:pt idx="723">
                  <c:v>7.2038554218407658E-3</c:v>
                </c:pt>
                <c:pt idx="724">
                  <c:v>6.4874030034505203E-3</c:v>
                </c:pt>
                <c:pt idx="725">
                  <c:v>1.4300661428626515E-2</c:v>
                </c:pt>
                <c:pt idx="726">
                  <c:v>4.4672248530663872E-4</c:v>
                </c:pt>
                <c:pt idx="727">
                  <c:v>-1.1299402449197471E-3</c:v>
                </c:pt>
                <c:pt idx="728">
                  <c:v>1.3035473602107217E-2</c:v>
                </c:pt>
                <c:pt idx="729">
                  <c:v>-1.1283075742875015E-3</c:v>
                </c:pt>
                <c:pt idx="730">
                  <c:v>-9.3299432294203788E-3</c:v>
                </c:pt>
                <c:pt idx="731">
                  <c:v>-2.046990889689182E-4</c:v>
                </c:pt>
                <c:pt idx="732">
                  <c:v>1.9660131439356299E-2</c:v>
                </c:pt>
                <c:pt idx="733">
                  <c:v>8.3967804765154863E-3</c:v>
                </c:pt>
                <c:pt idx="734">
                  <c:v>-2.2692682231529759E-2</c:v>
                </c:pt>
                <c:pt idx="735">
                  <c:v>-2.3668360352019246E-2</c:v>
                </c:pt>
                <c:pt idx="736">
                  <c:v>8.3020819211965247E-5</c:v>
                </c:pt>
                <c:pt idx="737">
                  <c:v>6.6670708464402484E-3</c:v>
                </c:pt>
                <c:pt idx="738">
                  <c:v>1.1402409357511134E-2</c:v>
                </c:pt>
                <c:pt idx="739">
                  <c:v>2.1645742681617897E-2</c:v>
                </c:pt>
                <c:pt idx="740">
                  <c:v>1.2419984560462893E-2</c:v>
                </c:pt>
                <c:pt idx="741">
                  <c:v>-2.3347893417540955E-2</c:v>
                </c:pt>
                <c:pt idx="742">
                  <c:v>-9.8099411188377061E-3</c:v>
                </c:pt>
                <c:pt idx="743">
                  <c:v>2.9123626766904831E-3</c:v>
                </c:pt>
                <c:pt idx="744">
                  <c:v>-5.4082051438941736E-3</c:v>
                </c:pt>
                <c:pt idx="745">
                  <c:v>1.4542297238434809E-2</c:v>
                </c:pt>
                <c:pt idx="746">
                  <c:v>-8.0378372060108116E-4</c:v>
                </c:pt>
                <c:pt idx="747">
                  <c:v>6.5697894163296855E-3</c:v>
                </c:pt>
                <c:pt idx="748">
                  <c:v>1.5873466394716873E-2</c:v>
                </c:pt>
                <c:pt idx="749">
                  <c:v>7.1656265600275049E-3</c:v>
                </c:pt>
                <c:pt idx="750">
                  <c:v>7.4913329446886223E-3</c:v>
                </c:pt>
                <c:pt idx="751">
                  <c:v>-2.0992626605393361E-2</c:v>
                </c:pt>
                <c:pt idx="752">
                  <c:v>-6.0326353046723513E-3</c:v>
                </c:pt>
                <c:pt idx="753">
                  <c:v>2.9425123691247723E-2</c:v>
                </c:pt>
                <c:pt idx="754">
                  <c:v>1.2673955773472301E-2</c:v>
                </c:pt>
                <c:pt idx="755">
                  <c:v>9.4231753769513649E-3</c:v>
                </c:pt>
                <c:pt idx="756">
                  <c:v>-2.9296914473133318E-2</c:v>
                </c:pt>
                <c:pt idx="757">
                  <c:v>2.5984864201404667E-2</c:v>
                </c:pt>
                <c:pt idx="758">
                  <c:v>1.6175860237939155E-2</c:v>
                </c:pt>
                <c:pt idx="759">
                  <c:v>5.9348563690584388E-3</c:v>
                </c:pt>
                <c:pt idx="760">
                  <c:v>9.3942759908305362E-4</c:v>
                </c:pt>
                <c:pt idx="761">
                  <c:v>1.2067929473292827E-2</c:v>
                </c:pt>
                <c:pt idx="762">
                  <c:v>9.6129933235131748E-3</c:v>
                </c:pt>
                <c:pt idx="763">
                  <c:v>-2.6839643579996353E-2</c:v>
                </c:pt>
                <c:pt idx="764">
                  <c:v>-1.4771669547708477E-3</c:v>
                </c:pt>
                <c:pt idx="765">
                  <c:v>4.6057054341283932E-2</c:v>
                </c:pt>
                <c:pt idx="766">
                  <c:v>-1.2366730856971264E-2</c:v>
                </c:pt>
                <c:pt idx="767">
                  <c:v>1.9599958476224755E-2</c:v>
                </c:pt>
                <c:pt idx="768">
                  <c:v>1.3864297661373204E-2</c:v>
                </c:pt>
                <c:pt idx="769">
                  <c:v>-5.9702988044039174E-3</c:v>
                </c:pt>
                <c:pt idx="770">
                  <c:v>-1.8244041779003517E-2</c:v>
                </c:pt>
                <c:pt idx="771">
                  <c:v>-2.2538072641134388E-2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46-4C4D-8021-17855C7E5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5764944"/>
        <c:axId val="1625769744"/>
      </c:lineChart>
      <c:dateAx>
        <c:axId val="1625764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625769744"/>
        <c:crosses val="autoZero"/>
        <c:auto val="1"/>
        <c:lblOffset val="100"/>
        <c:baseTimeUnit val="days"/>
      </c:dateAx>
      <c:valAx>
        <c:axId val="16257697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2576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v>Y</c:v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Returns!YAXIS</c:f>
              <c:numCache>
                <c:formatCode>_([$$-409]* #,##0.00_);_([$$-409]* \(#,##0.00\);_([$$-409]* "-"??_);_(@_)</c:formatCode>
                <c:ptCount val="782"/>
                <c:pt idx="0">
                  <c:v>8.39</c:v>
                </c:pt>
                <c:pt idx="1">
                  <c:v>8.68</c:v>
                </c:pt>
                <c:pt idx="2">
                  <c:v>8.8350000000000009</c:v>
                </c:pt>
                <c:pt idx="3">
                  <c:v>8.99</c:v>
                </c:pt>
                <c:pt idx="4">
                  <c:v>8.9049999999999994</c:v>
                </c:pt>
                <c:pt idx="5">
                  <c:v>8.8650000000000002</c:v>
                </c:pt>
                <c:pt idx="6">
                  <c:v>9.15</c:v>
                </c:pt>
                <c:pt idx="7">
                  <c:v>9.2949999999999999</c:v>
                </c:pt>
                <c:pt idx="8">
                  <c:v>10.015000000000001</c:v>
                </c:pt>
                <c:pt idx="9">
                  <c:v>10.07</c:v>
                </c:pt>
                <c:pt idx="10">
                  <c:v>9.5050000000000008</c:v>
                </c:pt>
                <c:pt idx="11">
                  <c:v>9.76</c:v>
                </c:pt>
                <c:pt idx="12">
                  <c:v>9.5500000000000007</c:v>
                </c:pt>
                <c:pt idx="13">
                  <c:v>9.8000000000000007</c:v>
                </c:pt>
                <c:pt idx="14">
                  <c:v>9.65</c:v>
                </c:pt>
                <c:pt idx="15">
                  <c:v>9.8550000000000004</c:v>
                </c:pt>
                <c:pt idx="16">
                  <c:v>10.105</c:v>
                </c:pt>
                <c:pt idx="17">
                  <c:v>9.8949999999999996</c:v>
                </c:pt>
                <c:pt idx="18">
                  <c:v>9.4499999999999993</c:v>
                </c:pt>
                <c:pt idx="19">
                  <c:v>9.7349999999999994</c:v>
                </c:pt>
                <c:pt idx="20">
                  <c:v>9.4749999999999996</c:v>
                </c:pt>
                <c:pt idx="21">
                  <c:v>10.095000000000001</c:v>
                </c:pt>
                <c:pt idx="22">
                  <c:v>10.01</c:v>
                </c:pt>
                <c:pt idx="23">
                  <c:v>10.035</c:v>
                </c:pt>
                <c:pt idx="24">
                  <c:v>9.6999999999999993</c:v>
                </c:pt>
                <c:pt idx="25">
                  <c:v>9.74</c:v>
                </c:pt>
                <c:pt idx="26">
                  <c:v>9.7650000000000006</c:v>
                </c:pt>
                <c:pt idx="27">
                  <c:v>9.92</c:v>
                </c:pt>
                <c:pt idx="28">
                  <c:v>9.9749999999999996</c:v>
                </c:pt>
                <c:pt idx="29">
                  <c:v>10.14</c:v>
                </c:pt>
                <c:pt idx="30">
                  <c:v>10.08</c:v>
                </c:pt>
                <c:pt idx="31">
                  <c:v>10.085000000000001</c:v>
                </c:pt>
                <c:pt idx="32">
                  <c:v>10.154999999999999</c:v>
                </c:pt>
                <c:pt idx="33">
                  <c:v>10.37</c:v>
                </c:pt>
                <c:pt idx="34">
                  <c:v>11.045</c:v>
                </c:pt>
                <c:pt idx="35">
                  <c:v>11.145</c:v>
                </c:pt>
                <c:pt idx="36">
                  <c:v>11.515000000000001</c:v>
                </c:pt>
                <c:pt idx="37">
                  <c:v>11.28</c:v>
                </c:pt>
                <c:pt idx="38">
                  <c:v>11.265000000000001</c:v>
                </c:pt>
                <c:pt idx="39">
                  <c:v>11.36</c:v>
                </c:pt>
                <c:pt idx="40">
                  <c:v>11.72</c:v>
                </c:pt>
                <c:pt idx="41">
                  <c:v>11.865</c:v>
                </c:pt>
                <c:pt idx="42">
                  <c:v>11.975</c:v>
                </c:pt>
                <c:pt idx="43">
                  <c:v>12.035</c:v>
                </c:pt>
                <c:pt idx="44">
                  <c:v>11.97</c:v>
                </c:pt>
                <c:pt idx="45">
                  <c:v>12.07</c:v>
                </c:pt>
                <c:pt idx="46">
                  <c:v>12.324999999999999</c:v>
                </c:pt>
                <c:pt idx="47">
                  <c:v>12.18</c:v>
                </c:pt>
                <c:pt idx="48">
                  <c:v>12.35</c:v>
                </c:pt>
                <c:pt idx="49">
                  <c:v>12.33</c:v>
                </c:pt>
                <c:pt idx="50">
                  <c:v>12.62</c:v>
                </c:pt>
                <c:pt idx="51">
                  <c:v>13.255000000000001</c:v>
                </c:pt>
                <c:pt idx="52">
                  <c:v>13.11</c:v>
                </c:pt>
                <c:pt idx="53">
                  <c:v>12.67</c:v>
                </c:pt>
                <c:pt idx="54">
                  <c:v>12.71</c:v>
                </c:pt>
                <c:pt idx="55">
                  <c:v>12.44</c:v>
                </c:pt>
                <c:pt idx="56">
                  <c:v>12.545</c:v>
                </c:pt>
                <c:pt idx="57">
                  <c:v>13.15</c:v>
                </c:pt>
                <c:pt idx="58">
                  <c:v>13.265000000000001</c:v>
                </c:pt>
                <c:pt idx="59">
                  <c:v>13.07</c:v>
                </c:pt>
                <c:pt idx="60">
                  <c:v>12.574999999999999</c:v>
                </c:pt>
                <c:pt idx="61">
                  <c:v>12.925000000000001</c:v>
                </c:pt>
                <c:pt idx="62">
                  <c:v>12.7</c:v>
                </c:pt>
                <c:pt idx="63">
                  <c:v>12.805</c:v>
                </c:pt>
                <c:pt idx="64">
                  <c:v>12.955</c:v>
                </c:pt>
                <c:pt idx="65">
                  <c:v>13.04</c:v>
                </c:pt>
                <c:pt idx="66">
                  <c:v>12.98</c:v>
                </c:pt>
                <c:pt idx="67">
                  <c:v>12.545</c:v>
                </c:pt>
                <c:pt idx="68">
                  <c:v>12.51</c:v>
                </c:pt>
                <c:pt idx="69">
                  <c:v>12.59</c:v>
                </c:pt>
                <c:pt idx="70">
                  <c:v>12.94</c:v>
                </c:pt>
                <c:pt idx="71">
                  <c:v>12.94</c:v>
                </c:pt>
                <c:pt idx="72">
                  <c:v>12.21</c:v>
                </c:pt>
                <c:pt idx="73">
                  <c:v>10.9</c:v>
                </c:pt>
                <c:pt idx="74">
                  <c:v>10.904999999999999</c:v>
                </c:pt>
                <c:pt idx="75">
                  <c:v>10.095000000000001</c:v>
                </c:pt>
                <c:pt idx="76">
                  <c:v>9.7249999999999996</c:v>
                </c:pt>
                <c:pt idx="77">
                  <c:v>9.58</c:v>
                </c:pt>
                <c:pt idx="78">
                  <c:v>10.215</c:v>
                </c:pt>
                <c:pt idx="79">
                  <c:v>9.9849999999999994</c:v>
                </c:pt>
                <c:pt idx="80">
                  <c:v>9.7949999999999999</c:v>
                </c:pt>
                <c:pt idx="81">
                  <c:v>9.5050000000000008</c:v>
                </c:pt>
                <c:pt idx="82">
                  <c:v>8.7750000000000004</c:v>
                </c:pt>
                <c:pt idx="83">
                  <c:v>8.9</c:v>
                </c:pt>
                <c:pt idx="84">
                  <c:v>8.8249999999999993</c:v>
                </c:pt>
                <c:pt idx="85">
                  <c:v>9.2200000000000006</c:v>
                </c:pt>
                <c:pt idx="86">
                  <c:v>10.75</c:v>
                </c:pt>
                <c:pt idx="87">
                  <c:v>11.32</c:v>
                </c:pt>
                <c:pt idx="88">
                  <c:v>10.955</c:v>
                </c:pt>
                <c:pt idx="89">
                  <c:v>11.085000000000001</c:v>
                </c:pt>
                <c:pt idx="90">
                  <c:v>10.535</c:v>
                </c:pt>
                <c:pt idx="91">
                  <c:v>9.875</c:v>
                </c:pt>
                <c:pt idx="92">
                  <c:v>10.61</c:v>
                </c:pt>
                <c:pt idx="93">
                  <c:v>10.895</c:v>
                </c:pt>
                <c:pt idx="94">
                  <c:v>10.935</c:v>
                </c:pt>
                <c:pt idx="95">
                  <c:v>11.255000000000001</c:v>
                </c:pt>
                <c:pt idx="96">
                  <c:v>11.315</c:v>
                </c:pt>
                <c:pt idx="97">
                  <c:v>11.2</c:v>
                </c:pt>
                <c:pt idx="98">
                  <c:v>11.4</c:v>
                </c:pt>
                <c:pt idx="99">
                  <c:v>11.57</c:v>
                </c:pt>
                <c:pt idx="100">
                  <c:v>11.57</c:v>
                </c:pt>
                <c:pt idx="101">
                  <c:v>11.675000000000001</c:v>
                </c:pt>
                <c:pt idx="102">
                  <c:v>12.38</c:v>
                </c:pt>
                <c:pt idx="103">
                  <c:v>12.13</c:v>
                </c:pt>
                <c:pt idx="104">
                  <c:v>11.994999999999999</c:v>
                </c:pt>
                <c:pt idx="105">
                  <c:v>11.935</c:v>
                </c:pt>
                <c:pt idx="106">
                  <c:v>11.93</c:v>
                </c:pt>
                <c:pt idx="107">
                  <c:v>12.135</c:v>
                </c:pt>
                <c:pt idx="108">
                  <c:v>11.805</c:v>
                </c:pt>
                <c:pt idx="109">
                  <c:v>11.89</c:v>
                </c:pt>
                <c:pt idx="110">
                  <c:v>12.265000000000001</c:v>
                </c:pt>
                <c:pt idx="111">
                  <c:v>11.744999999999999</c:v>
                </c:pt>
                <c:pt idx="112">
                  <c:v>13.03</c:v>
                </c:pt>
                <c:pt idx="113">
                  <c:v>13.61</c:v>
                </c:pt>
                <c:pt idx="114">
                  <c:v>13.265000000000001</c:v>
                </c:pt>
                <c:pt idx="115">
                  <c:v>13.24</c:v>
                </c:pt>
                <c:pt idx="116">
                  <c:v>12.615</c:v>
                </c:pt>
                <c:pt idx="117">
                  <c:v>12.845000000000001</c:v>
                </c:pt>
                <c:pt idx="118">
                  <c:v>12.685</c:v>
                </c:pt>
                <c:pt idx="119">
                  <c:v>12.99</c:v>
                </c:pt>
                <c:pt idx="120">
                  <c:v>13.225</c:v>
                </c:pt>
                <c:pt idx="121">
                  <c:v>13.345000000000001</c:v>
                </c:pt>
                <c:pt idx="122">
                  <c:v>13.635</c:v>
                </c:pt>
                <c:pt idx="123">
                  <c:v>13.64</c:v>
                </c:pt>
                <c:pt idx="124">
                  <c:v>13.645</c:v>
                </c:pt>
                <c:pt idx="125">
                  <c:v>12.935</c:v>
                </c:pt>
                <c:pt idx="126">
                  <c:v>12.904999999999999</c:v>
                </c:pt>
                <c:pt idx="127">
                  <c:v>12.76</c:v>
                </c:pt>
                <c:pt idx="128">
                  <c:v>12.515000000000001</c:v>
                </c:pt>
                <c:pt idx="129">
                  <c:v>12.83</c:v>
                </c:pt>
                <c:pt idx="130">
                  <c:v>12.91</c:v>
                </c:pt>
                <c:pt idx="131">
                  <c:v>13.12</c:v>
                </c:pt>
                <c:pt idx="132">
                  <c:v>13.13</c:v>
                </c:pt>
                <c:pt idx="133">
                  <c:v>13.335000000000001</c:v>
                </c:pt>
                <c:pt idx="134">
                  <c:v>13.19</c:v>
                </c:pt>
                <c:pt idx="135">
                  <c:v>13.035</c:v>
                </c:pt>
                <c:pt idx="136">
                  <c:v>13.484999999999999</c:v>
                </c:pt>
                <c:pt idx="137">
                  <c:v>13.125</c:v>
                </c:pt>
                <c:pt idx="138">
                  <c:v>12.62</c:v>
                </c:pt>
                <c:pt idx="139">
                  <c:v>12.65</c:v>
                </c:pt>
                <c:pt idx="140">
                  <c:v>12.824999999999999</c:v>
                </c:pt>
                <c:pt idx="141">
                  <c:v>13.04</c:v>
                </c:pt>
                <c:pt idx="142">
                  <c:v>12.96</c:v>
                </c:pt>
                <c:pt idx="143">
                  <c:v>13.46</c:v>
                </c:pt>
                <c:pt idx="144">
                  <c:v>13.42</c:v>
                </c:pt>
                <c:pt idx="145">
                  <c:v>13.145</c:v>
                </c:pt>
                <c:pt idx="146">
                  <c:v>12.885</c:v>
                </c:pt>
                <c:pt idx="147">
                  <c:v>12.82</c:v>
                </c:pt>
                <c:pt idx="148">
                  <c:v>12.66</c:v>
                </c:pt>
                <c:pt idx="149">
                  <c:v>13.35</c:v>
                </c:pt>
                <c:pt idx="150">
                  <c:v>13.14</c:v>
                </c:pt>
                <c:pt idx="151">
                  <c:v>13.39</c:v>
                </c:pt>
                <c:pt idx="152">
                  <c:v>13.565</c:v>
                </c:pt>
                <c:pt idx="153">
                  <c:v>13.744999999999999</c:v>
                </c:pt>
                <c:pt idx="154">
                  <c:v>14.535</c:v>
                </c:pt>
                <c:pt idx="155">
                  <c:v>14.685</c:v>
                </c:pt>
                <c:pt idx="156">
                  <c:v>14.835000000000001</c:v>
                </c:pt>
                <c:pt idx="157">
                  <c:v>14.904999999999999</c:v>
                </c:pt>
                <c:pt idx="158">
                  <c:v>15.34</c:v>
                </c:pt>
                <c:pt idx="159">
                  <c:v>15.295</c:v>
                </c:pt>
                <c:pt idx="160">
                  <c:v>15.78</c:v>
                </c:pt>
                <c:pt idx="161">
                  <c:v>16.02</c:v>
                </c:pt>
                <c:pt idx="162">
                  <c:v>15.335000000000001</c:v>
                </c:pt>
                <c:pt idx="163">
                  <c:v>15.66</c:v>
                </c:pt>
                <c:pt idx="164">
                  <c:v>15.25</c:v>
                </c:pt>
                <c:pt idx="165">
                  <c:v>15.225</c:v>
                </c:pt>
                <c:pt idx="166">
                  <c:v>15.725</c:v>
                </c:pt>
                <c:pt idx="167">
                  <c:v>15.93</c:v>
                </c:pt>
                <c:pt idx="168">
                  <c:v>16.16</c:v>
                </c:pt>
                <c:pt idx="169">
                  <c:v>16.27</c:v>
                </c:pt>
                <c:pt idx="170">
                  <c:v>16.135000000000002</c:v>
                </c:pt>
                <c:pt idx="171">
                  <c:v>16.14</c:v>
                </c:pt>
                <c:pt idx="172">
                  <c:v>16.195</c:v>
                </c:pt>
                <c:pt idx="173">
                  <c:v>15.76</c:v>
                </c:pt>
                <c:pt idx="174">
                  <c:v>16.12</c:v>
                </c:pt>
                <c:pt idx="175">
                  <c:v>16.395</c:v>
                </c:pt>
                <c:pt idx="176">
                  <c:v>16.88</c:v>
                </c:pt>
                <c:pt idx="177">
                  <c:v>17.059999999999999</c:v>
                </c:pt>
                <c:pt idx="178">
                  <c:v>16.5</c:v>
                </c:pt>
                <c:pt idx="179">
                  <c:v>16.86</c:v>
                </c:pt>
                <c:pt idx="180">
                  <c:v>16.645</c:v>
                </c:pt>
                <c:pt idx="181">
                  <c:v>16.164999999999999</c:v>
                </c:pt>
                <c:pt idx="182">
                  <c:v>16.190000000000001</c:v>
                </c:pt>
                <c:pt idx="183">
                  <c:v>15.57</c:v>
                </c:pt>
                <c:pt idx="184">
                  <c:v>15.73</c:v>
                </c:pt>
                <c:pt idx="185">
                  <c:v>16.105</c:v>
                </c:pt>
                <c:pt idx="186">
                  <c:v>16.375</c:v>
                </c:pt>
                <c:pt idx="187">
                  <c:v>16.094999999999999</c:v>
                </c:pt>
                <c:pt idx="188">
                  <c:v>16.445</c:v>
                </c:pt>
                <c:pt idx="189">
                  <c:v>16.495000000000001</c:v>
                </c:pt>
                <c:pt idx="190">
                  <c:v>16.62</c:v>
                </c:pt>
                <c:pt idx="191">
                  <c:v>16.34</c:v>
                </c:pt>
                <c:pt idx="192">
                  <c:v>15.935</c:v>
                </c:pt>
                <c:pt idx="193">
                  <c:v>15.685</c:v>
                </c:pt>
                <c:pt idx="194">
                  <c:v>16.02</c:v>
                </c:pt>
                <c:pt idx="195">
                  <c:v>15.824999999999999</c:v>
                </c:pt>
                <c:pt idx="196">
                  <c:v>15.81</c:v>
                </c:pt>
                <c:pt idx="197">
                  <c:v>15.49</c:v>
                </c:pt>
                <c:pt idx="198">
                  <c:v>14.94</c:v>
                </c:pt>
                <c:pt idx="199">
                  <c:v>15.215</c:v>
                </c:pt>
                <c:pt idx="200">
                  <c:v>15.45</c:v>
                </c:pt>
                <c:pt idx="201">
                  <c:v>15.55</c:v>
                </c:pt>
                <c:pt idx="202">
                  <c:v>15.845000000000001</c:v>
                </c:pt>
                <c:pt idx="203">
                  <c:v>16.204999999999998</c:v>
                </c:pt>
                <c:pt idx="204">
                  <c:v>15.7</c:v>
                </c:pt>
                <c:pt idx="205">
                  <c:v>15.744999999999999</c:v>
                </c:pt>
                <c:pt idx="206">
                  <c:v>14.59</c:v>
                </c:pt>
                <c:pt idx="207">
                  <c:v>14.8</c:v>
                </c:pt>
                <c:pt idx="208">
                  <c:v>14.98</c:v>
                </c:pt>
                <c:pt idx="209">
                  <c:v>15.05</c:v>
                </c:pt>
                <c:pt idx="210">
                  <c:v>15.445</c:v>
                </c:pt>
                <c:pt idx="211">
                  <c:v>15.54</c:v>
                </c:pt>
                <c:pt idx="212">
                  <c:v>15.494999999999999</c:v>
                </c:pt>
                <c:pt idx="213">
                  <c:v>15.225</c:v>
                </c:pt>
                <c:pt idx="214">
                  <c:v>15.265000000000001</c:v>
                </c:pt>
                <c:pt idx="215">
                  <c:v>14.505000000000001</c:v>
                </c:pt>
                <c:pt idx="216">
                  <c:v>15.055</c:v>
                </c:pt>
                <c:pt idx="217">
                  <c:v>14.795</c:v>
                </c:pt>
                <c:pt idx="218">
                  <c:v>14.83</c:v>
                </c:pt>
                <c:pt idx="219">
                  <c:v>14.81</c:v>
                </c:pt>
                <c:pt idx="220">
                  <c:v>14.79</c:v>
                </c:pt>
                <c:pt idx="221">
                  <c:v>15.035</c:v>
                </c:pt>
                <c:pt idx="222">
                  <c:v>15.095000000000001</c:v>
                </c:pt>
                <c:pt idx="223">
                  <c:v>15.385</c:v>
                </c:pt>
                <c:pt idx="224">
                  <c:v>15.285</c:v>
                </c:pt>
                <c:pt idx="225">
                  <c:v>15.27</c:v>
                </c:pt>
                <c:pt idx="226">
                  <c:v>15.24</c:v>
                </c:pt>
                <c:pt idx="227">
                  <c:v>15.385</c:v>
                </c:pt>
                <c:pt idx="228">
                  <c:v>15.14</c:v>
                </c:pt>
                <c:pt idx="229">
                  <c:v>15.185</c:v>
                </c:pt>
                <c:pt idx="230">
                  <c:v>15.81</c:v>
                </c:pt>
                <c:pt idx="231">
                  <c:v>15.27</c:v>
                </c:pt>
                <c:pt idx="232">
                  <c:v>15.305</c:v>
                </c:pt>
                <c:pt idx="233">
                  <c:v>15.725</c:v>
                </c:pt>
                <c:pt idx="234">
                  <c:v>16.114999999999998</c:v>
                </c:pt>
                <c:pt idx="235">
                  <c:v>16.309999999999999</c:v>
                </c:pt>
                <c:pt idx="236">
                  <c:v>16.434999999999999</c:v>
                </c:pt>
                <c:pt idx="237">
                  <c:v>16.445</c:v>
                </c:pt>
                <c:pt idx="238">
                  <c:v>16.420000000000002</c:v>
                </c:pt>
                <c:pt idx="239">
                  <c:v>16.265000000000001</c:v>
                </c:pt>
                <c:pt idx="240">
                  <c:v>16.145</c:v>
                </c:pt>
                <c:pt idx="241">
                  <c:v>15.734999999999999</c:v>
                </c:pt>
                <c:pt idx="242">
                  <c:v>16.03</c:v>
                </c:pt>
                <c:pt idx="243">
                  <c:v>15.74</c:v>
                </c:pt>
                <c:pt idx="244">
                  <c:v>15.93</c:v>
                </c:pt>
                <c:pt idx="245">
                  <c:v>16.149999999999999</c:v>
                </c:pt>
                <c:pt idx="246">
                  <c:v>15.994999999999999</c:v>
                </c:pt>
                <c:pt idx="247">
                  <c:v>16.004999999999999</c:v>
                </c:pt>
                <c:pt idx="248">
                  <c:v>16.100000000000001</c:v>
                </c:pt>
                <c:pt idx="249">
                  <c:v>16.399999999999999</c:v>
                </c:pt>
                <c:pt idx="250">
                  <c:v>15.96</c:v>
                </c:pt>
                <c:pt idx="251">
                  <c:v>16.215</c:v>
                </c:pt>
                <c:pt idx="252">
                  <c:v>16.309999999999999</c:v>
                </c:pt>
                <c:pt idx="253">
                  <c:v>16.28</c:v>
                </c:pt>
                <c:pt idx="254">
                  <c:v>16.234999999999999</c:v>
                </c:pt>
                <c:pt idx="255">
                  <c:v>15.914999999999999</c:v>
                </c:pt>
                <c:pt idx="256">
                  <c:v>15.875</c:v>
                </c:pt>
                <c:pt idx="257">
                  <c:v>15.425000000000001</c:v>
                </c:pt>
                <c:pt idx="258">
                  <c:v>16.055</c:v>
                </c:pt>
                <c:pt idx="259">
                  <c:v>16.504999999999999</c:v>
                </c:pt>
                <c:pt idx="260">
                  <c:v>16.545000000000002</c:v>
                </c:pt>
                <c:pt idx="261">
                  <c:v>16.07</c:v>
                </c:pt>
                <c:pt idx="262">
                  <c:v>15.92</c:v>
                </c:pt>
                <c:pt idx="263">
                  <c:v>16.190000000000001</c:v>
                </c:pt>
                <c:pt idx="264">
                  <c:v>16.565000000000001</c:v>
                </c:pt>
                <c:pt idx="265">
                  <c:v>16.38</c:v>
                </c:pt>
                <c:pt idx="266">
                  <c:v>16.565000000000001</c:v>
                </c:pt>
                <c:pt idx="267">
                  <c:v>16.605</c:v>
                </c:pt>
                <c:pt idx="268">
                  <c:v>16.285</c:v>
                </c:pt>
                <c:pt idx="269">
                  <c:v>16.215</c:v>
                </c:pt>
                <c:pt idx="270">
                  <c:v>15.925000000000001</c:v>
                </c:pt>
                <c:pt idx="271">
                  <c:v>15.955</c:v>
                </c:pt>
                <c:pt idx="272">
                  <c:v>16.024999999999999</c:v>
                </c:pt>
                <c:pt idx="273">
                  <c:v>16.149999999999999</c:v>
                </c:pt>
                <c:pt idx="274">
                  <c:v>16.195</c:v>
                </c:pt>
                <c:pt idx="275">
                  <c:v>16.465</c:v>
                </c:pt>
                <c:pt idx="276">
                  <c:v>16.690000000000001</c:v>
                </c:pt>
                <c:pt idx="277">
                  <c:v>16.77</c:v>
                </c:pt>
                <c:pt idx="278">
                  <c:v>16.565000000000001</c:v>
                </c:pt>
                <c:pt idx="279">
                  <c:v>16.565000000000001</c:v>
                </c:pt>
                <c:pt idx="280">
                  <c:v>16.824999999999999</c:v>
                </c:pt>
                <c:pt idx="281">
                  <c:v>17.145</c:v>
                </c:pt>
                <c:pt idx="282">
                  <c:v>16.690000000000001</c:v>
                </c:pt>
                <c:pt idx="283">
                  <c:v>16.725000000000001</c:v>
                </c:pt>
                <c:pt idx="284">
                  <c:v>16.79</c:v>
                </c:pt>
                <c:pt idx="285">
                  <c:v>17.195</c:v>
                </c:pt>
                <c:pt idx="286">
                  <c:v>16.335000000000001</c:v>
                </c:pt>
                <c:pt idx="287">
                  <c:v>16.195</c:v>
                </c:pt>
                <c:pt idx="288">
                  <c:v>15.57</c:v>
                </c:pt>
                <c:pt idx="289">
                  <c:v>15.895</c:v>
                </c:pt>
                <c:pt idx="290">
                  <c:v>15.695</c:v>
                </c:pt>
                <c:pt idx="291">
                  <c:v>15.64</c:v>
                </c:pt>
                <c:pt idx="292">
                  <c:v>15.545</c:v>
                </c:pt>
                <c:pt idx="293">
                  <c:v>15.984999999999999</c:v>
                </c:pt>
                <c:pt idx="294">
                  <c:v>15.66</c:v>
                </c:pt>
                <c:pt idx="295">
                  <c:v>16.024999999999999</c:v>
                </c:pt>
                <c:pt idx="296">
                  <c:v>16.135000000000002</c:v>
                </c:pt>
                <c:pt idx="297">
                  <c:v>16.055</c:v>
                </c:pt>
                <c:pt idx="298">
                  <c:v>15.67</c:v>
                </c:pt>
                <c:pt idx="299">
                  <c:v>16.29</c:v>
                </c:pt>
                <c:pt idx="300">
                  <c:v>16.2</c:v>
                </c:pt>
                <c:pt idx="301">
                  <c:v>16.510000000000002</c:v>
                </c:pt>
                <c:pt idx="302">
                  <c:v>16.010000000000002</c:v>
                </c:pt>
                <c:pt idx="303">
                  <c:v>15.625</c:v>
                </c:pt>
                <c:pt idx="304">
                  <c:v>16.04</c:v>
                </c:pt>
                <c:pt idx="305">
                  <c:v>16.05</c:v>
                </c:pt>
                <c:pt idx="306">
                  <c:v>15.1</c:v>
                </c:pt>
                <c:pt idx="307">
                  <c:v>14.935</c:v>
                </c:pt>
                <c:pt idx="308">
                  <c:v>14.7</c:v>
                </c:pt>
                <c:pt idx="309">
                  <c:v>15.125</c:v>
                </c:pt>
                <c:pt idx="310">
                  <c:v>15.75</c:v>
                </c:pt>
                <c:pt idx="311">
                  <c:v>15.685</c:v>
                </c:pt>
                <c:pt idx="312">
                  <c:v>15.74</c:v>
                </c:pt>
                <c:pt idx="313">
                  <c:v>16.225000000000001</c:v>
                </c:pt>
                <c:pt idx="314">
                  <c:v>16.815000000000001</c:v>
                </c:pt>
                <c:pt idx="315">
                  <c:v>17.18</c:v>
                </c:pt>
                <c:pt idx="316">
                  <c:v>17.600000000000001</c:v>
                </c:pt>
                <c:pt idx="317">
                  <c:v>17.61</c:v>
                </c:pt>
                <c:pt idx="318">
                  <c:v>17.805</c:v>
                </c:pt>
                <c:pt idx="319">
                  <c:v>17.32</c:v>
                </c:pt>
                <c:pt idx="320">
                  <c:v>17.760000000000002</c:v>
                </c:pt>
                <c:pt idx="321">
                  <c:v>17.344999999999999</c:v>
                </c:pt>
                <c:pt idx="322">
                  <c:v>17.555</c:v>
                </c:pt>
                <c:pt idx="323">
                  <c:v>17.445</c:v>
                </c:pt>
                <c:pt idx="324">
                  <c:v>17.565000000000001</c:v>
                </c:pt>
                <c:pt idx="325">
                  <c:v>17.600000000000001</c:v>
                </c:pt>
                <c:pt idx="326">
                  <c:v>17.984999999999999</c:v>
                </c:pt>
                <c:pt idx="327">
                  <c:v>17.989999999999998</c:v>
                </c:pt>
                <c:pt idx="328">
                  <c:v>18.204999999999998</c:v>
                </c:pt>
                <c:pt idx="329">
                  <c:v>17.805</c:v>
                </c:pt>
                <c:pt idx="330">
                  <c:v>17.805</c:v>
                </c:pt>
                <c:pt idx="331">
                  <c:v>18.55</c:v>
                </c:pt>
                <c:pt idx="332">
                  <c:v>18.670000000000002</c:v>
                </c:pt>
                <c:pt idx="333">
                  <c:v>18.02</c:v>
                </c:pt>
                <c:pt idx="334">
                  <c:v>18.535</c:v>
                </c:pt>
                <c:pt idx="335">
                  <c:v>18.329999999999998</c:v>
                </c:pt>
                <c:pt idx="336">
                  <c:v>18.425000000000001</c:v>
                </c:pt>
                <c:pt idx="337">
                  <c:v>18.254999999999999</c:v>
                </c:pt>
                <c:pt idx="338">
                  <c:v>18.285</c:v>
                </c:pt>
                <c:pt idx="339">
                  <c:v>18.440000000000001</c:v>
                </c:pt>
                <c:pt idx="340">
                  <c:v>19</c:v>
                </c:pt>
                <c:pt idx="341">
                  <c:v>18.414999999999999</c:v>
                </c:pt>
                <c:pt idx="342">
                  <c:v>18.47</c:v>
                </c:pt>
                <c:pt idx="343">
                  <c:v>18.745000000000001</c:v>
                </c:pt>
                <c:pt idx="344">
                  <c:v>18.855</c:v>
                </c:pt>
                <c:pt idx="345">
                  <c:v>19.105</c:v>
                </c:pt>
                <c:pt idx="346">
                  <c:v>18.72</c:v>
                </c:pt>
                <c:pt idx="347">
                  <c:v>18.809999999999999</c:v>
                </c:pt>
                <c:pt idx="348">
                  <c:v>18.38</c:v>
                </c:pt>
                <c:pt idx="349">
                  <c:v>18.14</c:v>
                </c:pt>
                <c:pt idx="350">
                  <c:v>19.574999999999999</c:v>
                </c:pt>
                <c:pt idx="351">
                  <c:v>21.17</c:v>
                </c:pt>
                <c:pt idx="352">
                  <c:v>21.59</c:v>
                </c:pt>
                <c:pt idx="353">
                  <c:v>21.61</c:v>
                </c:pt>
                <c:pt idx="354">
                  <c:v>22.21</c:v>
                </c:pt>
                <c:pt idx="355">
                  <c:v>22.44</c:v>
                </c:pt>
                <c:pt idx="356">
                  <c:v>22.445</c:v>
                </c:pt>
                <c:pt idx="357">
                  <c:v>22.43</c:v>
                </c:pt>
                <c:pt idx="358">
                  <c:v>22.454999999999998</c:v>
                </c:pt>
                <c:pt idx="359">
                  <c:v>22.13</c:v>
                </c:pt>
                <c:pt idx="360">
                  <c:v>21.914999999999999</c:v>
                </c:pt>
                <c:pt idx="361">
                  <c:v>21.63</c:v>
                </c:pt>
                <c:pt idx="362">
                  <c:v>21.265000000000001</c:v>
                </c:pt>
                <c:pt idx="363">
                  <c:v>21.49</c:v>
                </c:pt>
                <c:pt idx="364">
                  <c:v>21.934999999999999</c:v>
                </c:pt>
                <c:pt idx="365">
                  <c:v>21.71</c:v>
                </c:pt>
                <c:pt idx="366">
                  <c:v>21.8</c:v>
                </c:pt>
                <c:pt idx="367">
                  <c:v>21.605</c:v>
                </c:pt>
                <c:pt idx="368">
                  <c:v>21.88</c:v>
                </c:pt>
                <c:pt idx="369">
                  <c:v>21.305</c:v>
                </c:pt>
                <c:pt idx="370">
                  <c:v>20.86</c:v>
                </c:pt>
                <c:pt idx="371">
                  <c:v>20.905000000000001</c:v>
                </c:pt>
                <c:pt idx="372">
                  <c:v>20.66</c:v>
                </c:pt>
                <c:pt idx="373">
                  <c:v>21.25</c:v>
                </c:pt>
                <c:pt idx="374">
                  <c:v>21.45</c:v>
                </c:pt>
                <c:pt idx="375">
                  <c:v>21.54</c:v>
                </c:pt>
                <c:pt idx="376">
                  <c:v>21.145</c:v>
                </c:pt>
                <c:pt idx="377">
                  <c:v>21.035</c:v>
                </c:pt>
                <c:pt idx="378">
                  <c:v>21.434999999999999</c:v>
                </c:pt>
                <c:pt idx="379">
                  <c:v>21.905000000000001</c:v>
                </c:pt>
                <c:pt idx="380">
                  <c:v>21.925000000000001</c:v>
                </c:pt>
                <c:pt idx="381">
                  <c:v>22.164999999999999</c:v>
                </c:pt>
                <c:pt idx="382">
                  <c:v>21.465</c:v>
                </c:pt>
                <c:pt idx="383">
                  <c:v>21.535</c:v>
                </c:pt>
                <c:pt idx="384">
                  <c:v>21.58</c:v>
                </c:pt>
                <c:pt idx="385">
                  <c:v>21.65</c:v>
                </c:pt>
                <c:pt idx="386">
                  <c:v>22.035</c:v>
                </c:pt>
                <c:pt idx="387">
                  <c:v>22.29</c:v>
                </c:pt>
                <c:pt idx="388">
                  <c:v>22.03</c:v>
                </c:pt>
                <c:pt idx="389">
                  <c:v>21.77</c:v>
                </c:pt>
                <c:pt idx="390">
                  <c:v>21.815000000000001</c:v>
                </c:pt>
                <c:pt idx="391">
                  <c:v>22.145</c:v>
                </c:pt>
                <c:pt idx="392">
                  <c:v>22.524999999999999</c:v>
                </c:pt>
                <c:pt idx="393">
                  <c:v>24.065000000000001</c:v>
                </c:pt>
                <c:pt idx="394">
                  <c:v>23.21</c:v>
                </c:pt>
                <c:pt idx="395">
                  <c:v>23.71</c:v>
                </c:pt>
                <c:pt idx="396">
                  <c:v>24.094999999999999</c:v>
                </c:pt>
                <c:pt idx="397">
                  <c:v>24.364999999999998</c:v>
                </c:pt>
                <c:pt idx="398">
                  <c:v>24.695</c:v>
                </c:pt>
                <c:pt idx="399">
                  <c:v>24.66</c:v>
                </c:pt>
                <c:pt idx="400">
                  <c:v>24.84</c:v>
                </c:pt>
                <c:pt idx="401">
                  <c:v>25.195</c:v>
                </c:pt>
                <c:pt idx="402">
                  <c:v>24.74</c:v>
                </c:pt>
                <c:pt idx="403">
                  <c:v>24.94</c:v>
                </c:pt>
                <c:pt idx="404">
                  <c:v>25.024999999999999</c:v>
                </c:pt>
                <c:pt idx="405">
                  <c:v>25.875</c:v>
                </c:pt>
                <c:pt idx="406">
                  <c:v>25.965</c:v>
                </c:pt>
                <c:pt idx="407">
                  <c:v>25.59</c:v>
                </c:pt>
                <c:pt idx="408">
                  <c:v>25.555</c:v>
                </c:pt>
                <c:pt idx="409">
                  <c:v>25.73</c:v>
                </c:pt>
                <c:pt idx="410">
                  <c:v>26.145</c:v>
                </c:pt>
                <c:pt idx="411">
                  <c:v>26.21</c:v>
                </c:pt>
                <c:pt idx="412">
                  <c:v>26.25</c:v>
                </c:pt>
                <c:pt idx="413">
                  <c:v>26.885000000000002</c:v>
                </c:pt>
                <c:pt idx="414">
                  <c:v>26.49</c:v>
                </c:pt>
                <c:pt idx="415">
                  <c:v>25.245000000000001</c:v>
                </c:pt>
                <c:pt idx="416">
                  <c:v>26.35</c:v>
                </c:pt>
                <c:pt idx="417">
                  <c:v>26.44</c:v>
                </c:pt>
                <c:pt idx="418">
                  <c:v>26.135000000000002</c:v>
                </c:pt>
                <c:pt idx="419">
                  <c:v>26.815000000000001</c:v>
                </c:pt>
                <c:pt idx="420">
                  <c:v>26.375</c:v>
                </c:pt>
                <c:pt idx="421">
                  <c:v>24.97</c:v>
                </c:pt>
                <c:pt idx="422">
                  <c:v>25.44</c:v>
                </c:pt>
                <c:pt idx="423">
                  <c:v>25.09</c:v>
                </c:pt>
                <c:pt idx="424">
                  <c:v>25.72</c:v>
                </c:pt>
                <c:pt idx="425">
                  <c:v>25.95</c:v>
                </c:pt>
                <c:pt idx="426">
                  <c:v>27.73</c:v>
                </c:pt>
                <c:pt idx="427">
                  <c:v>27.51</c:v>
                </c:pt>
                <c:pt idx="428">
                  <c:v>27.45</c:v>
                </c:pt>
                <c:pt idx="429">
                  <c:v>27.61</c:v>
                </c:pt>
                <c:pt idx="430">
                  <c:v>27.81</c:v>
                </c:pt>
                <c:pt idx="431">
                  <c:v>28.04</c:v>
                </c:pt>
                <c:pt idx="432">
                  <c:v>28.48</c:v>
                </c:pt>
                <c:pt idx="433">
                  <c:v>28.26</c:v>
                </c:pt>
                <c:pt idx="434">
                  <c:v>28.22</c:v>
                </c:pt>
                <c:pt idx="435">
                  <c:v>27.73</c:v>
                </c:pt>
                <c:pt idx="436">
                  <c:v>28.3</c:v>
                </c:pt>
                <c:pt idx="437">
                  <c:v>28.75</c:v>
                </c:pt>
                <c:pt idx="438">
                  <c:v>29.67</c:v>
                </c:pt>
                <c:pt idx="439">
                  <c:v>29.28</c:v>
                </c:pt>
                <c:pt idx="440">
                  <c:v>29.29</c:v>
                </c:pt>
                <c:pt idx="441">
                  <c:v>29.65</c:v>
                </c:pt>
                <c:pt idx="442">
                  <c:v>29.82</c:v>
                </c:pt>
                <c:pt idx="443">
                  <c:v>30.38</c:v>
                </c:pt>
                <c:pt idx="444">
                  <c:v>30.48</c:v>
                </c:pt>
                <c:pt idx="445">
                  <c:v>30.82</c:v>
                </c:pt>
                <c:pt idx="446">
                  <c:v>31.07</c:v>
                </c:pt>
                <c:pt idx="447">
                  <c:v>30.27</c:v>
                </c:pt>
                <c:pt idx="448">
                  <c:v>29.57</c:v>
                </c:pt>
                <c:pt idx="449">
                  <c:v>29.32</c:v>
                </c:pt>
                <c:pt idx="450">
                  <c:v>27.91</c:v>
                </c:pt>
                <c:pt idx="451">
                  <c:v>28.85</c:v>
                </c:pt>
                <c:pt idx="452">
                  <c:v>27.94</c:v>
                </c:pt>
                <c:pt idx="453">
                  <c:v>28.18</c:v>
                </c:pt>
                <c:pt idx="454">
                  <c:v>29.29</c:v>
                </c:pt>
                <c:pt idx="455">
                  <c:v>28.87</c:v>
                </c:pt>
                <c:pt idx="456">
                  <c:v>28.46</c:v>
                </c:pt>
                <c:pt idx="457">
                  <c:v>29.02</c:v>
                </c:pt>
                <c:pt idx="458">
                  <c:v>27.59</c:v>
                </c:pt>
                <c:pt idx="459">
                  <c:v>27.62</c:v>
                </c:pt>
                <c:pt idx="460">
                  <c:v>26.53</c:v>
                </c:pt>
                <c:pt idx="461">
                  <c:v>27.18</c:v>
                </c:pt>
                <c:pt idx="462">
                  <c:v>27.39</c:v>
                </c:pt>
                <c:pt idx="463">
                  <c:v>27.78</c:v>
                </c:pt>
                <c:pt idx="464">
                  <c:v>28.64</c:v>
                </c:pt>
                <c:pt idx="465">
                  <c:v>28.2</c:v>
                </c:pt>
                <c:pt idx="466">
                  <c:v>27.87</c:v>
                </c:pt>
                <c:pt idx="467">
                  <c:v>27.83</c:v>
                </c:pt>
                <c:pt idx="468">
                  <c:v>29.06</c:v>
                </c:pt>
                <c:pt idx="469">
                  <c:v>29.51</c:v>
                </c:pt>
                <c:pt idx="470">
                  <c:v>29.87</c:v>
                </c:pt>
                <c:pt idx="471">
                  <c:v>28.87</c:v>
                </c:pt>
                <c:pt idx="472">
                  <c:v>29.46</c:v>
                </c:pt>
                <c:pt idx="473">
                  <c:v>28.88</c:v>
                </c:pt>
                <c:pt idx="474">
                  <c:v>29.51</c:v>
                </c:pt>
                <c:pt idx="475">
                  <c:v>29.93</c:v>
                </c:pt>
                <c:pt idx="476">
                  <c:v>30.51</c:v>
                </c:pt>
                <c:pt idx="477">
                  <c:v>30.57</c:v>
                </c:pt>
                <c:pt idx="478">
                  <c:v>31.68</c:v>
                </c:pt>
                <c:pt idx="479">
                  <c:v>32.340000000000003</c:v>
                </c:pt>
                <c:pt idx="480">
                  <c:v>32.19</c:v>
                </c:pt>
                <c:pt idx="481">
                  <c:v>31.69</c:v>
                </c:pt>
                <c:pt idx="482">
                  <c:v>31.85</c:v>
                </c:pt>
                <c:pt idx="483">
                  <c:v>31.57</c:v>
                </c:pt>
                <c:pt idx="484">
                  <c:v>32.869999999999997</c:v>
                </c:pt>
                <c:pt idx="485">
                  <c:v>32.82</c:v>
                </c:pt>
                <c:pt idx="486">
                  <c:v>32.9</c:v>
                </c:pt>
                <c:pt idx="487">
                  <c:v>33.5</c:v>
                </c:pt>
                <c:pt idx="488">
                  <c:v>34.76</c:v>
                </c:pt>
                <c:pt idx="489">
                  <c:v>34.99</c:v>
                </c:pt>
                <c:pt idx="490">
                  <c:v>34.700000000000003</c:v>
                </c:pt>
                <c:pt idx="491">
                  <c:v>36.39</c:v>
                </c:pt>
                <c:pt idx="492">
                  <c:v>35.85</c:v>
                </c:pt>
                <c:pt idx="493">
                  <c:v>36.74</c:v>
                </c:pt>
                <c:pt idx="494">
                  <c:v>36.08</c:v>
                </c:pt>
                <c:pt idx="495">
                  <c:v>35.42</c:v>
                </c:pt>
                <c:pt idx="496">
                  <c:v>36.89</c:v>
                </c:pt>
                <c:pt idx="497">
                  <c:v>36.81</c:v>
                </c:pt>
                <c:pt idx="498">
                  <c:v>35.979999999999997</c:v>
                </c:pt>
                <c:pt idx="499">
                  <c:v>36.229999999999997</c:v>
                </c:pt>
                <c:pt idx="500">
                  <c:v>35.79</c:v>
                </c:pt>
                <c:pt idx="501">
                  <c:v>36.409999999999997</c:v>
                </c:pt>
                <c:pt idx="502">
                  <c:v>36.04</c:v>
                </c:pt>
                <c:pt idx="503">
                  <c:v>36.32</c:v>
                </c:pt>
                <c:pt idx="504">
                  <c:v>35.96</c:v>
                </c:pt>
                <c:pt idx="505">
                  <c:v>37.630000000000003</c:v>
                </c:pt>
                <c:pt idx="506">
                  <c:v>37.75</c:v>
                </c:pt>
                <c:pt idx="507">
                  <c:v>37.869999999999997</c:v>
                </c:pt>
                <c:pt idx="508">
                  <c:v>37.85</c:v>
                </c:pt>
                <c:pt idx="509">
                  <c:v>37.74</c:v>
                </c:pt>
                <c:pt idx="510">
                  <c:v>38.369999999999997</c:v>
                </c:pt>
                <c:pt idx="511">
                  <c:v>38.86</c:v>
                </c:pt>
                <c:pt idx="512">
                  <c:v>40.25</c:v>
                </c:pt>
                <c:pt idx="513">
                  <c:v>39.299999999999997</c:v>
                </c:pt>
                <c:pt idx="514">
                  <c:v>39.65</c:v>
                </c:pt>
                <c:pt idx="515">
                  <c:v>40.4</c:v>
                </c:pt>
                <c:pt idx="516">
                  <c:v>41.41</c:v>
                </c:pt>
                <c:pt idx="517">
                  <c:v>41.83</c:v>
                </c:pt>
                <c:pt idx="518">
                  <c:v>44.9</c:v>
                </c:pt>
                <c:pt idx="519">
                  <c:v>46.75</c:v>
                </c:pt>
                <c:pt idx="520">
                  <c:v>47.85</c:v>
                </c:pt>
                <c:pt idx="521">
                  <c:v>48.36</c:v>
                </c:pt>
                <c:pt idx="522">
                  <c:v>43.01</c:v>
                </c:pt>
                <c:pt idx="523">
                  <c:v>45.16</c:v>
                </c:pt>
                <c:pt idx="524">
                  <c:v>39.840000000000003</c:v>
                </c:pt>
                <c:pt idx="525">
                  <c:v>33.619999999999997</c:v>
                </c:pt>
                <c:pt idx="526">
                  <c:v>35.93</c:v>
                </c:pt>
                <c:pt idx="527">
                  <c:v>33.409999999999997</c:v>
                </c:pt>
                <c:pt idx="528">
                  <c:v>39.03</c:v>
                </c:pt>
                <c:pt idx="529">
                  <c:v>38.1</c:v>
                </c:pt>
                <c:pt idx="530">
                  <c:v>34.76</c:v>
                </c:pt>
                <c:pt idx="531">
                  <c:v>35.06</c:v>
                </c:pt>
                <c:pt idx="532">
                  <c:v>37.6</c:v>
                </c:pt>
                <c:pt idx="533">
                  <c:v>37</c:v>
                </c:pt>
                <c:pt idx="534">
                  <c:v>38.42</c:v>
                </c:pt>
                <c:pt idx="535">
                  <c:v>40.200000000000003</c:v>
                </c:pt>
                <c:pt idx="536">
                  <c:v>42.73</c:v>
                </c:pt>
                <c:pt idx="537">
                  <c:v>40.67</c:v>
                </c:pt>
                <c:pt idx="538">
                  <c:v>41.13</c:v>
                </c:pt>
                <c:pt idx="539">
                  <c:v>40.08</c:v>
                </c:pt>
                <c:pt idx="540">
                  <c:v>40.85</c:v>
                </c:pt>
                <c:pt idx="541">
                  <c:v>41.42</c:v>
                </c:pt>
                <c:pt idx="542">
                  <c:v>43.7</c:v>
                </c:pt>
                <c:pt idx="543">
                  <c:v>45.4</c:v>
                </c:pt>
                <c:pt idx="544">
                  <c:v>45.47</c:v>
                </c:pt>
                <c:pt idx="545">
                  <c:v>46.06</c:v>
                </c:pt>
                <c:pt idx="546">
                  <c:v>45.82</c:v>
                </c:pt>
                <c:pt idx="547">
                  <c:v>45.52</c:v>
                </c:pt>
                <c:pt idx="548">
                  <c:v>46.21</c:v>
                </c:pt>
                <c:pt idx="549">
                  <c:v>45.25</c:v>
                </c:pt>
                <c:pt idx="550">
                  <c:v>44.64</c:v>
                </c:pt>
                <c:pt idx="551">
                  <c:v>44.8</c:v>
                </c:pt>
                <c:pt idx="552">
                  <c:v>43.94</c:v>
                </c:pt>
                <c:pt idx="553">
                  <c:v>45.36</c:v>
                </c:pt>
                <c:pt idx="554">
                  <c:v>47.22</c:v>
                </c:pt>
                <c:pt idx="555">
                  <c:v>47.45</c:v>
                </c:pt>
                <c:pt idx="556">
                  <c:v>46.72</c:v>
                </c:pt>
                <c:pt idx="557">
                  <c:v>43.51</c:v>
                </c:pt>
                <c:pt idx="558">
                  <c:v>45.73</c:v>
                </c:pt>
                <c:pt idx="559">
                  <c:v>47.16</c:v>
                </c:pt>
                <c:pt idx="560">
                  <c:v>47.18</c:v>
                </c:pt>
                <c:pt idx="561">
                  <c:v>45.62</c:v>
                </c:pt>
                <c:pt idx="562">
                  <c:v>44.81</c:v>
                </c:pt>
                <c:pt idx="563">
                  <c:v>45.01</c:v>
                </c:pt>
                <c:pt idx="564">
                  <c:v>45.97</c:v>
                </c:pt>
                <c:pt idx="565">
                  <c:v>46.31</c:v>
                </c:pt>
                <c:pt idx="566">
                  <c:v>47.41</c:v>
                </c:pt>
                <c:pt idx="567">
                  <c:v>48.02</c:v>
                </c:pt>
                <c:pt idx="568">
                  <c:v>46.3</c:v>
                </c:pt>
                <c:pt idx="569">
                  <c:v>47.49</c:v>
                </c:pt>
                <c:pt idx="570">
                  <c:v>43.09</c:v>
                </c:pt>
                <c:pt idx="571">
                  <c:v>44.77</c:v>
                </c:pt>
                <c:pt idx="572">
                  <c:v>44.8</c:v>
                </c:pt>
                <c:pt idx="573">
                  <c:v>45.59</c:v>
                </c:pt>
                <c:pt idx="574">
                  <c:v>45.9</c:v>
                </c:pt>
                <c:pt idx="575">
                  <c:v>46.04</c:v>
                </c:pt>
                <c:pt idx="576">
                  <c:v>46.82</c:v>
                </c:pt>
                <c:pt idx="577">
                  <c:v>44.76</c:v>
                </c:pt>
                <c:pt idx="578">
                  <c:v>46.19</c:v>
                </c:pt>
                <c:pt idx="579">
                  <c:v>46.52</c:v>
                </c:pt>
                <c:pt idx="580">
                  <c:v>47.83</c:v>
                </c:pt>
                <c:pt idx="581">
                  <c:v>49.55</c:v>
                </c:pt>
                <c:pt idx="582">
                  <c:v>50.48</c:v>
                </c:pt>
                <c:pt idx="583">
                  <c:v>53.18</c:v>
                </c:pt>
                <c:pt idx="584">
                  <c:v>53.69</c:v>
                </c:pt>
                <c:pt idx="585">
                  <c:v>52.51</c:v>
                </c:pt>
                <c:pt idx="586">
                  <c:v>52.09</c:v>
                </c:pt>
                <c:pt idx="587">
                  <c:v>52.52</c:v>
                </c:pt>
                <c:pt idx="588">
                  <c:v>52.37</c:v>
                </c:pt>
                <c:pt idx="589">
                  <c:v>52.17</c:v>
                </c:pt>
                <c:pt idx="590">
                  <c:v>51.81</c:v>
                </c:pt>
                <c:pt idx="591">
                  <c:v>53.49</c:v>
                </c:pt>
                <c:pt idx="592">
                  <c:v>53.67</c:v>
                </c:pt>
                <c:pt idx="593">
                  <c:v>52.95</c:v>
                </c:pt>
                <c:pt idx="594">
                  <c:v>53.74</c:v>
                </c:pt>
                <c:pt idx="595">
                  <c:v>54.35</c:v>
                </c:pt>
                <c:pt idx="596">
                  <c:v>54.4</c:v>
                </c:pt>
                <c:pt idx="597">
                  <c:v>54.48</c:v>
                </c:pt>
                <c:pt idx="598">
                  <c:v>55.75</c:v>
                </c:pt>
                <c:pt idx="599">
                  <c:v>57.76</c:v>
                </c:pt>
                <c:pt idx="600">
                  <c:v>58.15</c:v>
                </c:pt>
                <c:pt idx="601">
                  <c:v>58.94</c:v>
                </c:pt>
                <c:pt idx="602">
                  <c:v>57.77</c:v>
                </c:pt>
                <c:pt idx="603">
                  <c:v>57.01</c:v>
                </c:pt>
                <c:pt idx="604">
                  <c:v>58.1</c:v>
                </c:pt>
                <c:pt idx="605">
                  <c:v>57.6</c:v>
                </c:pt>
                <c:pt idx="606">
                  <c:v>59.99</c:v>
                </c:pt>
                <c:pt idx="607">
                  <c:v>64.319999999999993</c:v>
                </c:pt>
                <c:pt idx="608">
                  <c:v>66.489999999999995</c:v>
                </c:pt>
                <c:pt idx="609">
                  <c:v>63.11</c:v>
                </c:pt>
                <c:pt idx="610">
                  <c:v>61.97</c:v>
                </c:pt>
                <c:pt idx="611">
                  <c:v>64.52</c:v>
                </c:pt>
                <c:pt idx="612">
                  <c:v>64.540000000000006</c:v>
                </c:pt>
                <c:pt idx="613">
                  <c:v>64.760000000000005</c:v>
                </c:pt>
                <c:pt idx="614">
                  <c:v>65.209999999999994</c:v>
                </c:pt>
                <c:pt idx="615">
                  <c:v>67.209999999999994</c:v>
                </c:pt>
                <c:pt idx="616">
                  <c:v>65.87</c:v>
                </c:pt>
                <c:pt idx="617">
                  <c:v>68.03</c:v>
                </c:pt>
                <c:pt idx="618">
                  <c:v>70.28</c:v>
                </c:pt>
                <c:pt idx="619">
                  <c:v>68.599999999999994</c:v>
                </c:pt>
                <c:pt idx="620">
                  <c:v>67.05</c:v>
                </c:pt>
                <c:pt idx="621">
                  <c:v>63.13</c:v>
                </c:pt>
                <c:pt idx="622">
                  <c:v>64.38</c:v>
                </c:pt>
                <c:pt idx="623">
                  <c:v>67.53</c:v>
                </c:pt>
                <c:pt idx="624">
                  <c:v>66.91</c:v>
                </c:pt>
                <c:pt idx="625">
                  <c:v>66.14</c:v>
                </c:pt>
                <c:pt idx="626">
                  <c:v>67.59</c:v>
                </c:pt>
                <c:pt idx="627">
                  <c:v>68.41</c:v>
                </c:pt>
                <c:pt idx="628">
                  <c:v>62.71</c:v>
                </c:pt>
                <c:pt idx="629">
                  <c:v>69.59</c:v>
                </c:pt>
                <c:pt idx="630">
                  <c:v>70.37</c:v>
                </c:pt>
                <c:pt idx="631">
                  <c:v>72.56</c:v>
                </c:pt>
                <c:pt idx="632">
                  <c:v>72.959999999999994</c:v>
                </c:pt>
                <c:pt idx="633">
                  <c:v>71.260000000000005</c:v>
                </c:pt>
                <c:pt idx="634">
                  <c:v>67.73</c:v>
                </c:pt>
                <c:pt idx="635">
                  <c:v>61.98</c:v>
                </c:pt>
                <c:pt idx="636">
                  <c:v>58.24</c:v>
                </c:pt>
                <c:pt idx="637">
                  <c:v>57.9</c:v>
                </c:pt>
                <c:pt idx="638">
                  <c:v>55</c:v>
                </c:pt>
                <c:pt idx="639">
                  <c:v>59.95</c:v>
                </c:pt>
                <c:pt idx="640">
                  <c:v>58.74</c:v>
                </c:pt>
                <c:pt idx="641">
                  <c:v>55.75</c:v>
                </c:pt>
                <c:pt idx="642">
                  <c:v>53.5</c:v>
                </c:pt>
                <c:pt idx="643">
                  <c:v>59.06</c:v>
                </c:pt>
                <c:pt idx="644">
                  <c:v>59.33</c:v>
                </c:pt>
                <c:pt idx="645">
                  <c:v>60.08</c:v>
                </c:pt>
                <c:pt idx="646">
                  <c:v>59.31</c:v>
                </c:pt>
                <c:pt idx="647">
                  <c:v>61.97</c:v>
                </c:pt>
                <c:pt idx="648">
                  <c:v>65.099999999999994</c:v>
                </c:pt>
                <c:pt idx="649">
                  <c:v>64.900000000000006</c:v>
                </c:pt>
                <c:pt idx="650">
                  <c:v>67.55</c:v>
                </c:pt>
                <c:pt idx="651">
                  <c:v>67.27</c:v>
                </c:pt>
                <c:pt idx="652">
                  <c:v>65.09</c:v>
                </c:pt>
                <c:pt idx="653">
                  <c:v>62.89</c:v>
                </c:pt>
                <c:pt idx="654">
                  <c:v>65.41</c:v>
                </c:pt>
                <c:pt idx="655">
                  <c:v>61.54</c:v>
                </c:pt>
                <c:pt idx="656">
                  <c:v>58.92</c:v>
                </c:pt>
                <c:pt idx="657">
                  <c:v>60.48</c:v>
                </c:pt>
                <c:pt idx="658">
                  <c:v>61.22</c:v>
                </c:pt>
                <c:pt idx="659">
                  <c:v>59.48</c:v>
                </c:pt>
                <c:pt idx="660">
                  <c:v>61.53</c:v>
                </c:pt>
                <c:pt idx="661">
                  <c:v>58.64</c:v>
                </c:pt>
                <c:pt idx="662">
                  <c:v>55.77</c:v>
                </c:pt>
                <c:pt idx="663">
                  <c:v>56.67</c:v>
                </c:pt>
                <c:pt idx="664">
                  <c:v>56.94</c:v>
                </c:pt>
                <c:pt idx="665">
                  <c:v>59.26</c:v>
                </c:pt>
                <c:pt idx="666">
                  <c:v>59.52</c:v>
                </c:pt>
                <c:pt idx="667">
                  <c:v>57.5</c:v>
                </c:pt>
                <c:pt idx="668">
                  <c:v>55.5</c:v>
                </c:pt>
                <c:pt idx="669">
                  <c:v>56.94</c:v>
                </c:pt>
                <c:pt idx="670">
                  <c:v>56.97</c:v>
                </c:pt>
                <c:pt idx="671">
                  <c:v>58.83</c:v>
                </c:pt>
                <c:pt idx="672">
                  <c:v>61.27</c:v>
                </c:pt>
                <c:pt idx="673">
                  <c:v>61.72</c:v>
                </c:pt>
                <c:pt idx="674">
                  <c:v>57.6</c:v>
                </c:pt>
                <c:pt idx="675">
                  <c:v>58.39</c:v>
                </c:pt>
                <c:pt idx="676">
                  <c:v>58.25</c:v>
                </c:pt>
                <c:pt idx="677">
                  <c:v>57.67</c:v>
                </c:pt>
                <c:pt idx="678">
                  <c:v>56.47</c:v>
                </c:pt>
                <c:pt idx="679">
                  <c:v>56.76</c:v>
                </c:pt>
                <c:pt idx="680">
                  <c:v>54.92</c:v>
                </c:pt>
                <c:pt idx="681">
                  <c:v>53.8</c:v>
                </c:pt>
                <c:pt idx="682">
                  <c:v>55.36</c:v>
                </c:pt>
                <c:pt idx="683">
                  <c:v>57.42</c:v>
                </c:pt>
                <c:pt idx="684">
                  <c:v>59.14</c:v>
                </c:pt>
                <c:pt idx="685">
                  <c:v>58.77</c:v>
                </c:pt>
                <c:pt idx="686">
                  <c:v>61.4</c:v>
                </c:pt>
                <c:pt idx="687">
                  <c:v>64.39</c:v>
                </c:pt>
                <c:pt idx="688">
                  <c:v>65.31</c:v>
                </c:pt>
                <c:pt idx="689">
                  <c:v>65.680000000000007</c:v>
                </c:pt>
                <c:pt idx="690">
                  <c:v>66.36</c:v>
                </c:pt>
                <c:pt idx="691">
                  <c:v>62.87</c:v>
                </c:pt>
                <c:pt idx="692">
                  <c:v>63.79</c:v>
                </c:pt>
                <c:pt idx="693">
                  <c:v>64.03</c:v>
                </c:pt>
                <c:pt idx="694">
                  <c:v>66.25</c:v>
                </c:pt>
                <c:pt idx="695">
                  <c:v>66.430000000000007</c:v>
                </c:pt>
                <c:pt idx="696">
                  <c:v>68.84</c:v>
                </c:pt>
                <c:pt idx="697">
                  <c:v>67.8</c:v>
                </c:pt>
                <c:pt idx="698">
                  <c:v>68.72</c:v>
                </c:pt>
                <c:pt idx="699">
                  <c:v>71.2</c:v>
                </c:pt>
                <c:pt idx="700">
                  <c:v>70.59</c:v>
                </c:pt>
                <c:pt idx="701">
                  <c:v>70</c:v>
                </c:pt>
                <c:pt idx="702">
                  <c:v>70.78</c:v>
                </c:pt>
                <c:pt idx="703">
                  <c:v>71.39</c:v>
                </c:pt>
                <c:pt idx="704">
                  <c:v>73.069999999999993</c:v>
                </c:pt>
                <c:pt idx="705">
                  <c:v>74.2</c:v>
                </c:pt>
                <c:pt idx="706">
                  <c:v>73.12</c:v>
                </c:pt>
                <c:pt idx="707">
                  <c:v>72.63</c:v>
                </c:pt>
                <c:pt idx="708">
                  <c:v>72.27</c:v>
                </c:pt>
                <c:pt idx="709">
                  <c:v>69.84</c:v>
                </c:pt>
                <c:pt idx="710">
                  <c:v>71.02</c:v>
                </c:pt>
                <c:pt idx="711">
                  <c:v>69.709999999999994</c:v>
                </c:pt>
                <c:pt idx="712">
                  <c:v>67.17</c:v>
                </c:pt>
                <c:pt idx="713">
                  <c:v>67.63</c:v>
                </c:pt>
                <c:pt idx="714">
                  <c:v>70.53</c:v>
                </c:pt>
                <c:pt idx="715">
                  <c:v>72.849999999999994</c:v>
                </c:pt>
                <c:pt idx="716">
                  <c:v>73.010000000000005</c:v>
                </c:pt>
                <c:pt idx="717">
                  <c:v>74.53</c:v>
                </c:pt>
                <c:pt idx="718">
                  <c:v>74.14</c:v>
                </c:pt>
                <c:pt idx="719">
                  <c:v>74.150000000000006</c:v>
                </c:pt>
                <c:pt idx="720">
                  <c:v>69.47</c:v>
                </c:pt>
                <c:pt idx="721">
                  <c:v>70.48</c:v>
                </c:pt>
                <c:pt idx="722">
                  <c:v>71.11</c:v>
                </c:pt>
                <c:pt idx="723">
                  <c:v>69.599999999999994</c:v>
                </c:pt>
                <c:pt idx="724">
                  <c:v>74.48</c:v>
                </c:pt>
                <c:pt idx="725">
                  <c:v>74.83</c:v>
                </c:pt>
                <c:pt idx="726">
                  <c:v>76.88</c:v>
                </c:pt>
                <c:pt idx="727">
                  <c:v>77.69</c:v>
                </c:pt>
                <c:pt idx="728">
                  <c:v>81</c:v>
                </c:pt>
                <c:pt idx="729">
                  <c:v>82.69</c:v>
                </c:pt>
                <c:pt idx="730">
                  <c:v>84.24</c:v>
                </c:pt>
                <c:pt idx="731">
                  <c:v>83.74</c:v>
                </c:pt>
                <c:pt idx="732">
                  <c:v>85.19</c:v>
                </c:pt>
                <c:pt idx="733">
                  <c:v>84.94</c:v>
                </c:pt>
                <c:pt idx="734">
                  <c:v>86</c:v>
                </c:pt>
                <c:pt idx="735">
                  <c:v>87.54</c:v>
                </c:pt>
                <c:pt idx="736">
                  <c:v>85.15</c:v>
                </c:pt>
                <c:pt idx="737">
                  <c:v>81.900000000000006</c:v>
                </c:pt>
                <c:pt idx="738">
                  <c:v>82.17</c:v>
                </c:pt>
                <c:pt idx="739">
                  <c:v>81.459999999999994</c:v>
                </c:pt>
                <c:pt idx="740">
                  <c:v>83.5</c:v>
                </c:pt>
                <c:pt idx="741">
                  <c:v>87.07</c:v>
                </c:pt>
                <c:pt idx="742">
                  <c:v>89.83</c:v>
                </c:pt>
                <c:pt idx="743">
                  <c:v>89.36</c:v>
                </c:pt>
                <c:pt idx="744">
                  <c:v>89.51</c:v>
                </c:pt>
                <c:pt idx="745">
                  <c:v>90.28</c:v>
                </c:pt>
                <c:pt idx="746">
                  <c:v>90.08</c:v>
                </c:pt>
                <c:pt idx="747">
                  <c:v>93.02</c:v>
                </c:pt>
                <c:pt idx="748">
                  <c:v>89.41</c:v>
                </c:pt>
                <c:pt idx="749">
                  <c:v>90.52</c:v>
                </c:pt>
                <c:pt idx="750">
                  <c:v>93.74</c:v>
                </c:pt>
                <c:pt idx="751">
                  <c:v>92.46</c:v>
                </c:pt>
                <c:pt idx="752">
                  <c:v>99.17</c:v>
                </c:pt>
                <c:pt idx="753">
                  <c:v>101.22</c:v>
                </c:pt>
                <c:pt idx="754">
                  <c:v>100.32</c:v>
                </c:pt>
                <c:pt idx="755">
                  <c:v>101.87</c:v>
                </c:pt>
                <c:pt idx="756">
                  <c:v>102</c:v>
                </c:pt>
                <c:pt idx="757">
                  <c:v>105.13</c:v>
                </c:pt>
                <c:pt idx="758">
                  <c:v>103.94</c:v>
                </c:pt>
                <c:pt idx="759">
                  <c:v>103.13</c:v>
                </c:pt>
                <c:pt idx="760">
                  <c:v>101.01</c:v>
                </c:pt>
                <c:pt idx="761">
                  <c:v>102.65</c:v>
                </c:pt>
                <c:pt idx="762">
                  <c:v>105.65</c:v>
                </c:pt>
                <c:pt idx="763">
                  <c:v>104.75</c:v>
                </c:pt>
                <c:pt idx="764">
                  <c:v>106.39</c:v>
                </c:pt>
                <c:pt idx="765">
                  <c:v>103.98</c:v>
                </c:pt>
                <c:pt idx="766">
                  <c:v>104.17</c:v>
                </c:pt>
                <c:pt idx="767">
                  <c:v>112.43</c:v>
                </c:pt>
                <c:pt idx="768">
                  <c:v>110.05</c:v>
                </c:pt>
                <c:pt idx="769">
                  <c:v>112.05</c:v>
                </c:pt>
                <c:pt idx="770">
                  <c:v>113.1</c:v>
                </c:pt>
                <c:pt idx="771">
                  <c:v>109.18</c:v>
                </c:pt>
                <c:pt idx="772">
                  <c:v>104.19</c:v>
                </c:pt>
                <c:pt idx="773">
                  <c:v>102.93</c:v>
                </c:pt>
                <c:pt idx="774">
                  <c:v>102.89</c:v>
                </c:pt>
                <c:pt idx="775">
                  <c:v>101.59</c:v>
                </c:pt>
                <c:pt idx="776">
                  <c:v>101.95</c:v>
                </c:pt>
                <c:pt idx="777">
                  <c:v>105.55</c:v>
                </c:pt>
                <c:pt idx="778">
                  <c:v>106</c:v>
                </c:pt>
                <c:pt idx="779">
                  <c:v>104.66</c:v>
                </c:pt>
                <c:pt idx="780">
                  <c:v>108.58</c:v>
                </c:pt>
                <c:pt idx="781">
                  <c:v>110.6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0-4862-A43B-821497173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4332512"/>
        <c:axId val="1104332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XAXIS</c:v>
                </c:tx>
                <c:spPr>
                  <a:ln w="28575" cap="rnd">
                    <a:solidFill>
                      <a:schemeClr val="accent1">
                        <a:shade val="7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Returns!XAXIS</c15:sqref>
                        </c15:formulaRef>
                      </c:ext>
                    </c:extLst>
                    <c:numCache>
                      <c:formatCode>m/d/yyyy</c:formatCode>
                      <c:ptCount val="782"/>
                      <c:pt idx="0">
                        <c:v>40231</c:v>
                      </c:pt>
                      <c:pt idx="1">
                        <c:v>40238</c:v>
                      </c:pt>
                      <c:pt idx="2">
                        <c:v>40245</c:v>
                      </c:pt>
                      <c:pt idx="3">
                        <c:v>40252</c:v>
                      </c:pt>
                      <c:pt idx="4">
                        <c:v>40259</c:v>
                      </c:pt>
                      <c:pt idx="5">
                        <c:v>40266</c:v>
                      </c:pt>
                      <c:pt idx="6">
                        <c:v>40273</c:v>
                      </c:pt>
                      <c:pt idx="7">
                        <c:v>40280</c:v>
                      </c:pt>
                      <c:pt idx="8">
                        <c:v>40287</c:v>
                      </c:pt>
                      <c:pt idx="9">
                        <c:v>40294</c:v>
                      </c:pt>
                      <c:pt idx="10">
                        <c:v>40301</c:v>
                      </c:pt>
                      <c:pt idx="11">
                        <c:v>40308</c:v>
                      </c:pt>
                      <c:pt idx="12">
                        <c:v>40315</c:v>
                      </c:pt>
                      <c:pt idx="13">
                        <c:v>40322</c:v>
                      </c:pt>
                      <c:pt idx="14">
                        <c:v>40330</c:v>
                      </c:pt>
                      <c:pt idx="15">
                        <c:v>40336</c:v>
                      </c:pt>
                      <c:pt idx="16">
                        <c:v>40343</c:v>
                      </c:pt>
                      <c:pt idx="17">
                        <c:v>40350</c:v>
                      </c:pt>
                      <c:pt idx="18">
                        <c:v>40357</c:v>
                      </c:pt>
                      <c:pt idx="19">
                        <c:v>40365</c:v>
                      </c:pt>
                      <c:pt idx="20">
                        <c:v>40371</c:v>
                      </c:pt>
                      <c:pt idx="21">
                        <c:v>40378</c:v>
                      </c:pt>
                      <c:pt idx="22">
                        <c:v>40385</c:v>
                      </c:pt>
                      <c:pt idx="23">
                        <c:v>40392</c:v>
                      </c:pt>
                      <c:pt idx="24">
                        <c:v>40399</c:v>
                      </c:pt>
                      <c:pt idx="25">
                        <c:v>40406</c:v>
                      </c:pt>
                      <c:pt idx="26">
                        <c:v>40413</c:v>
                      </c:pt>
                      <c:pt idx="27">
                        <c:v>40420</c:v>
                      </c:pt>
                      <c:pt idx="28">
                        <c:v>40428</c:v>
                      </c:pt>
                      <c:pt idx="29">
                        <c:v>40434</c:v>
                      </c:pt>
                      <c:pt idx="30">
                        <c:v>40441</c:v>
                      </c:pt>
                      <c:pt idx="31">
                        <c:v>40448</c:v>
                      </c:pt>
                      <c:pt idx="32">
                        <c:v>40455</c:v>
                      </c:pt>
                      <c:pt idx="33">
                        <c:v>40462</c:v>
                      </c:pt>
                      <c:pt idx="34">
                        <c:v>40469</c:v>
                      </c:pt>
                      <c:pt idx="35">
                        <c:v>40476</c:v>
                      </c:pt>
                      <c:pt idx="36">
                        <c:v>40483</c:v>
                      </c:pt>
                      <c:pt idx="37">
                        <c:v>40490</c:v>
                      </c:pt>
                      <c:pt idx="38">
                        <c:v>40497</c:v>
                      </c:pt>
                      <c:pt idx="39">
                        <c:v>40504</c:v>
                      </c:pt>
                      <c:pt idx="40">
                        <c:v>40511</c:v>
                      </c:pt>
                      <c:pt idx="41">
                        <c:v>40518</c:v>
                      </c:pt>
                      <c:pt idx="42">
                        <c:v>40525</c:v>
                      </c:pt>
                      <c:pt idx="43">
                        <c:v>40532</c:v>
                      </c:pt>
                      <c:pt idx="44">
                        <c:v>40539</c:v>
                      </c:pt>
                      <c:pt idx="45">
                        <c:v>40546</c:v>
                      </c:pt>
                      <c:pt idx="46">
                        <c:v>40553</c:v>
                      </c:pt>
                      <c:pt idx="47">
                        <c:v>40561</c:v>
                      </c:pt>
                      <c:pt idx="48">
                        <c:v>40567</c:v>
                      </c:pt>
                      <c:pt idx="49">
                        <c:v>40574</c:v>
                      </c:pt>
                      <c:pt idx="50">
                        <c:v>40581</c:v>
                      </c:pt>
                      <c:pt idx="51">
                        <c:v>40588</c:v>
                      </c:pt>
                      <c:pt idx="52">
                        <c:v>40596</c:v>
                      </c:pt>
                      <c:pt idx="53">
                        <c:v>40602</c:v>
                      </c:pt>
                      <c:pt idx="54">
                        <c:v>40609</c:v>
                      </c:pt>
                      <c:pt idx="55">
                        <c:v>40616</c:v>
                      </c:pt>
                      <c:pt idx="56">
                        <c:v>40623</c:v>
                      </c:pt>
                      <c:pt idx="57">
                        <c:v>40630</c:v>
                      </c:pt>
                      <c:pt idx="58">
                        <c:v>40637</c:v>
                      </c:pt>
                      <c:pt idx="59">
                        <c:v>40644</c:v>
                      </c:pt>
                      <c:pt idx="60">
                        <c:v>40651</c:v>
                      </c:pt>
                      <c:pt idx="61">
                        <c:v>40658</c:v>
                      </c:pt>
                      <c:pt idx="62">
                        <c:v>40665</c:v>
                      </c:pt>
                      <c:pt idx="63">
                        <c:v>40672</c:v>
                      </c:pt>
                      <c:pt idx="64">
                        <c:v>40679</c:v>
                      </c:pt>
                      <c:pt idx="65">
                        <c:v>40686</c:v>
                      </c:pt>
                      <c:pt idx="66">
                        <c:v>40694</c:v>
                      </c:pt>
                      <c:pt idx="67">
                        <c:v>40700</c:v>
                      </c:pt>
                      <c:pt idx="68">
                        <c:v>40707</c:v>
                      </c:pt>
                      <c:pt idx="69">
                        <c:v>40714</c:v>
                      </c:pt>
                      <c:pt idx="70">
                        <c:v>40721</c:v>
                      </c:pt>
                      <c:pt idx="71">
                        <c:v>40729</c:v>
                      </c:pt>
                      <c:pt idx="72">
                        <c:v>40735</c:v>
                      </c:pt>
                      <c:pt idx="73">
                        <c:v>40742</c:v>
                      </c:pt>
                      <c:pt idx="74">
                        <c:v>40749</c:v>
                      </c:pt>
                      <c:pt idx="75">
                        <c:v>40756</c:v>
                      </c:pt>
                      <c:pt idx="76">
                        <c:v>40763</c:v>
                      </c:pt>
                      <c:pt idx="77">
                        <c:v>40770</c:v>
                      </c:pt>
                      <c:pt idx="78">
                        <c:v>40777</c:v>
                      </c:pt>
                      <c:pt idx="79">
                        <c:v>40784</c:v>
                      </c:pt>
                      <c:pt idx="80">
                        <c:v>40792</c:v>
                      </c:pt>
                      <c:pt idx="81">
                        <c:v>40798</c:v>
                      </c:pt>
                      <c:pt idx="82">
                        <c:v>40805</c:v>
                      </c:pt>
                      <c:pt idx="83">
                        <c:v>40812</c:v>
                      </c:pt>
                      <c:pt idx="84">
                        <c:v>40819</c:v>
                      </c:pt>
                      <c:pt idx="85">
                        <c:v>40826</c:v>
                      </c:pt>
                      <c:pt idx="86">
                        <c:v>40833</c:v>
                      </c:pt>
                      <c:pt idx="87">
                        <c:v>40840</c:v>
                      </c:pt>
                      <c:pt idx="88">
                        <c:v>40847</c:v>
                      </c:pt>
                      <c:pt idx="89">
                        <c:v>40854</c:v>
                      </c:pt>
                      <c:pt idx="90">
                        <c:v>40861</c:v>
                      </c:pt>
                      <c:pt idx="91">
                        <c:v>40868</c:v>
                      </c:pt>
                      <c:pt idx="92">
                        <c:v>40875</c:v>
                      </c:pt>
                      <c:pt idx="93">
                        <c:v>40882</c:v>
                      </c:pt>
                      <c:pt idx="94">
                        <c:v>40889</c:v>
                      </c:pt>
                      <c:pt idx="95">
                        <c:v>40896</c:v>
                      </c:pt>
                      <c:pt idx="96">
                        <c:v>40904</c:v>
                      </c:pt>
                      <c:pt idx="97">
                        <c:v>40911</c:v>
                      </c:pt>
                      <c:pt idx="98">
                        <c:v>40917</c:v>
                      </c:pt>
                      <c:pt idx="99">
                        <c:v>40925</c:v>
                      </c:pt>
                      <c:pt idx="100">
                        <c:v>40931</c:v>
                      </c:pt>
                      <c:pt idx="101">
                        <c:v>40938</c:v>
                      </c:pt>
                      <c:pt idx="102">
                        <c:v>40945</c:v>
                      </c:pt>
                      <c:pt idx="103">
                        <c:v>40952</c:v>
                      </c:pt>
                      <c:pt idx="104">
                        <c:v>40960</c:v>
                      </c:pt>
                      <c:pt idx="105">
                        <c:v>40966</c:v>
                      </c:pt>
                      <c:pt idx="106">
                        <c:v>40973</c:v>
                      </c:pt>
                      <c:pt idx="107">
                        <c:v>40980</c:v>
                      </c:pt>
                      <c:pt idx="108">
                        <c:v>40987</c:v>
                      </c:pt>
                      <c:pt idx="109">
                        <c:v>40994</c:v>
                      </c:pt>
                      <c:pt idx="110">
                        <c:v>41001</c:v>
                      </c:pt>
                      <c:pt idx="111">
                        <c:v>41008</c:v>
                      </c:pt>
                      <c:pt idx="112">
                        <c:v>41015</c:v>
                      </c:pt>
                      <c:pt idx="113">
                        <c:v>41022</c:v>
                      </c:pt>
                      <c:pt idx="114">
                        <c:v>41029</c:v>
                      </c:pt>
                      <c:pt idx="115">
                        <c:v>41036</c:v>
                      </c:pt>
                      <c:pt idx="116">
                        <c:v>41043</c:v>
                      </c:pt>
                      <c:pt idx="117">
                        <c:v>41050</c:v>
                      </c:pt>
                      <c:pt idx="118">
                        <c:v>41058</c:v>
                      </c:pt>
                      <c:pt idx="119">
                        <c:v>41064</c:v>
                      </c:pt>
                      <c:pt idx="120">
                        <c:v>41071</c:v>
                      </c:pt>
                      <c:pt idx="121">
                        <c:v>41078</c:v>
                      </c:pt>
                      <c:pt idx="122">
                        <c:v>41085</c:v>
                      </c:pt>
                      <c:pt idx="123">
                        <c:v>41092</c:v>
                      </c:pt>
                      <c:pt idx="124">
                        <c:v>41099</c:v>
                      </c:pt>
                      <c:pt idx="125">
                        <c:v>41106</c:v>
                      </c:pt>
                      <c:pt idx="126">
                        <c:v>41113</c:v>
                      </c:pt>
                      <c:pt idx="127">
                        <c:v>41120</c:v>
                      </c:pt>
                      <c:pt idx="128">
                        <c:v>41127</c:v>
                      </c:pt>
                      <c:pt idx="129">
                        <c:v>41134</c:v>
                      </c:pt>
                      <c:pt idx="130">
                        <c:v>41141</c:v>
                      </c:pt>
                      <c:pt idx="131">
                        <c:v>41148</c:v>
                      </c:pt>
                      <c:pt idx="132">
                        <c:v>41156</c:v>
                      </c:pt>
                      <c:pt idx="133">
                        <c:v>41162</c:v>
                      </c:pt>
                      <c:pt idx="134">
                        <c:v>41169</c:v>
                      </c:pt>
                      <c:pt idx="135">
                        <c:v>41176</c:v>
                      </c:pt>
                      <c:pt idx="136">
                        <c:v>41183</c:v>
                      </c:pt>
                      <c:pt idx="137">
                        <c:v>41190</c:v>
                      </c:pt>
                      <c:pt idx="138">
                        <c:v>41197</c:v>
                      </c:pt>
                      <c:pt idx="139">
                        <c:v>41204</c:v>
                      </c:pt>
                      <c:pt idx="140">
                        <c:v>41213</c:v>
                      </c:pt>
                      <c:pt idx="141">
                        <c:v>41218</c:v>
                      </c:pt>
                      <c:pt idx="142">
                        <c:v>41225</c:v>
                      </c:pt>
                      <c:pt idx="143">
                        <c:v>41232</c:v>
                      </c:pt>
                      <c:pt idx="144">
                        <c:v>41239</c:v>
                      </c:pt>
                      <c:pt idx="145">
                        <c:v>41246</c:v>
                      </c:pt>
                      <c:pt idx="146">
                        <c:v>41253</c:v>
                      </c:pt>
                      <c:pt idx="147">
                        <c:v>41260</c:v>
                      </c:pt>
                      <c:pt idx="148">
                        <c:v>41267</c:v>
                      </c:pt>
                      <c:pt idx="149">
                        <c:v>41274</c:v>
                      </c:pt>
                      <c:pt idx="150">
                        <c:v>41281</c:v>
                      </c:pt>
                      <c:pt idx="151">
                        <c:v>41288</c:v>
                      </c:pt>
                      <c:pt idx="152">
                        <c:v>41296</c:v>
                      </c:pt>
                      <c:pt idx="153">
                        <c:v>41302</c:v>
                      </c:pt>
                      <c:pt idx="154">
                        <c:v>41309</c:v>
                      </c:pt>
                      <c:pt idx="155">
                        <c:v>41316</c:v>
                      </c:pt>
                      <c:pt idx="156">
                        <c:v>41324</c:v>
                      </c:pt>
                      <c:pt idx="157">
                        <c:v>41330</c:v>
                      </c:pt>
                      <c:pt idx="158">
                        <c:v>41337</c:v>
                      </c:pt>
                      <c:pt idx="159">
                        <c:v>41344</c:v>
                      </c:pt>
                      <c:pt idx="160">
                        <c:v>41351</c:v>
                      </c:pt>
                      <c:pt idx="161">
                        <c:v>41358</c:v>
                      </c:pt>
                      <c:pt idx="162">
                        <c:v>41365</c:v>
                      </c:pt>
                      <c:pt idx="163">
                        <c:v>41372</c:v>
                      </c:pt>
                      <c:pt idx="164">
                        <c:v>41379</c:v>
                      </c:pt>
                      <c:pt idx="165">
                        <c:v>41386</c:v>
                      </c:pt>
                      <c:pt idx="166">
                        <c:v>41393</c:v>
                      </c:pt>
                      <c:pt idx="167">
                        <c:v>41400</c:v>
                      </c:pt>
                      <c:pt idx="168">
                        <c:v>41407</c:v>
                      </c:pt>
                      <c:pt idx="169">
                        <c:v>41414</c:v>
                      </c:pt>
                      <c:pt idx="170">
                        <c:v>41422</c:v>
                      </c:pt>
                      <c:pt idx="171">
                        <c:v>41428</c:v>
                      </c:pt>
                      <c:pt idx="172">
                        <c:v>41435</c:v>
                      </c:pt>
                      <c:pt idx="173">
                        <c:v>41442</c:v>
                      </c:pt>
                      <c:pt idx="174">
                        <c:v>41449</c:v>
                      </c:pt>
                      <c:pt idx="175">
                        <c:v>41456</c:v>
                      </c:pt>
                      <c:pt idx="176">
                        <c:v>41463</c:v>
                      </c:pt>
                      <c:pt idx="177">
                        <c:v>41470</c:v>
                      </c:pt>
                      <c:pt idx="178">
                        <c:v>41477</c:v>
                      </c:pt>
                      <c:pt idx="179">
                        <c:v>41484</c:v>
                      </c:pt>
                      <c:pt idx="180">
                        <c:v>41491</c:v>
                      </c:pt>
                      <c:pt idx="181">
                        <c:v>41498</c:v>
                      </c:pt>
                      <c:pt idx="182">
                        <c:v>41505</c:v>
                      </c:pt>
                      <c:pt idx="183">
                        <c:v>41512</c:v>
                      </c:pt>
                      <c:pt idx="184">
                        <c:v>41520</c:v>
                      </c:pt>
                      <c:pt idx="185">
                        <c:v>41526</c:v>
                      </c:pt>
                      <c:pt idx="186">
                        <c:v>41533</c:v>
                      </c:pt>
                      <c:pt idx="187">
                        <c:v>41540</c:v>
                      </c:pt>
                      <c:pt idx="188">
                        <c:v>41547</c:v>
                      </c:pt>
                      <c:pt idx="189">
                        <c:v>41554</c:v>
                      </c:pt>
                      <c:pt idx="190">
                        <c:v>41561</c:v>
                      </c:pt>
                      <c:pt idx="191">
                        <c:v>41568</c:v>
                      </c:pt>
                      <c:pt idx="192">
                        <c:v>41575</c:v>
                      </c:pt>
                      <c:pt idx="193">
                        <c:v>41582</c:v>
                      </c:pt>
                      <c:pt idx="194">
                        <c:v>41589</c:v>
                      </c:pt>
                      <c:pt idx="195">
                        <c:v>41596</c:v>
                      </c:pt>
                      <c:pt idx="196">
                        <c:v>41603</c:v>
                      </c:pt>
                      <c:pt idx="197">
                        <c:v>41610</c:v>
                      </c:pt>
                      <c:pt idx="198">
                        <c:v>41617</c:v>
                      </c:pt>
                      <c:pt idx="199">
                        <c:v>41624</c:v>
                      </c:pt>
                      <c:pt idx="200">
                        <c:v>41631</c:v>
                      </c:pt>
                      <c:pt idx="201">
                        <c:v>41638</c:v>
                      </c:pt>
                      <c:pt idx="202">
                        <c:v>41645</c:v>
                      </c:pt>
                      <c:pt idx="203">
                        <c:v>41652</c:v>
                      </c:pt>
                      <c:pt idx="204">
                        <c:v>41660</c:v>
                      </c:pt>
                      <c:pt idx="205">
                        <c:v>41666</c:v>
                      </c:pt>
                      <c:pt idx="206">
                        <c:v>41673</c:v>
                      </c:pt>
                      <c:pt idx="207">
                        <c:v>41680</c:v>
                      </c:pt>
                      <c:pt idx="208">
                        <c:v>41688</c:v>
                      </c:pt>
                      <c:pt idx="209">
                        <c:v>41694</c:v>
                      </c:pt>
                      <c:pt idx="210">
                        <c:v>41701</c:v>
                      </c:pt>
                      <c:pt idx="211">
                        <c:v>41708</c:v>
                      </c:pt>
                      <c:pt idx="212">
                        <c:v>41715</c:v>
                      </c:pt>
                      <c:pt idx="213">
                        <c:v>41722</c:v>
                      </c:pt>
                      <c:pt idx="214">
                        <c:v>41729</c:v>
                      </c:pt>
                      <c:pt idx="215">
                        <c:v>41736</c:v>
                      </c:pt>
                      <c:pt idx="216">
                        <c:v>41743</c:v>
                      </c:pt>
                      <c:pt idx="217">
                        <c:v>41750</c:v>
                      </c:pt>
                      <c:pt idx="218">
                        <c:v>41757</c:v>
                      </c:pt>
                      <c:pt idx="219">
                        <c:v>41764</c:v>
                      </c:pt>
                      <c:pt idx="220">
                        <c:v>41771</c:v>
                      </c:pt>
                      <c:pt idx="221">
                        <c:v>41778</c:v>
                      </c:pt>
                      <c:pt idx="222">
                        <c:v>41786</c:v>
                      </c:pt>
                      <c:pt idx="223">
                        <c:v>41792</c:v>
                      </c:pt>
                      <c:pt idx="224">
                        <c:v>41799</c:v>
                      </c:pt>
                      <c:pt idx="225">
                        <c:v>41806</c:v>
                      </c:pt>
                      <c:pt idx="226">
                        <c:v>41813</c:v>
                      </c:pt>
                      <c:pt idx="227">
                        <c:v>41820</c:v>
                      </c:pt>
                      <c:pt idx="228">
                        <c:v>41827</c:v>
                      </c:pt>
                      <c:pt idx="229">
                        <c:v>41834</c:v>
                      </c:pt>
                      <c:pt idx="230">
                        <c:v>41841</c:v>
                      </c:pt>
                      <c:pt idx="231">
                        <c:v>41848</c:v>
                      </c:pt>
                      <c:pt idx="232">
                        <c:v>41855</c:v>
                      </c:pt>
                      <c:pt idx="233">
                        <c:v>41862</c:v>
                      </c:pt>
                      <c:pt idx="234">
                        <c:v>41869</c:v>
                      </c:pt>
                      <c:pt idx="235">
                        <c:v>41876</c:v>
                      </c:pt>
                      <c:pt idx="236">
                        <c:v>41884</c:v>
                      </c:pt>
                      <c:pt idx="237">
                        <c:v>41890</c:v>
                      </c:pt>
                      <c:pt idx="238">
                        <c:v>41897</c:v>
                      </c:pt>
                      <c:pt idx="239">
                        <c:v>41904</c:v>
                      </c:pt>
                      <c:pt idx="240">
                        <c:v>41911</c:v>
                      </c:pt>
                      <c:pt idx="241">
                        <c:v>41918</c:v>
                      </c:pt>
                      <c:pt idx="242">
                        <c:v>41925</c:v>
                      </c:pt>
                      <c:pt idx="243">
                        <c:v>41932</c:v>
                      </c:pt>
                      <c:pt idx="244">
                        <c:v>41939</c:v>
                      </c:pt>
                      <c:pt idx="245">
                        <c:v>41946</c:v>
                      </c:pt>
                      <c:pt idx="246">
                        <c:v>41953</c:v>
                      </c:pt>
                      <c:pt idx="247">
                        <c:v>41960</c:v>
                      </c:pt>
                      <c:pt idx="248">
                        <c:v>41967</c:v>
                      </c:pt>
                      <c:pt idx="249">
                        <c:v>41974</c:v>
                      </c:pt>
                      <c:pt idx="250">
                        <c:v>41981</c:v>
                      </c:pt>
                      <c:pt idx="251">
                        <c:v>41988</c:v>
                      </c:pt>
                      <c:pt idx="252">
                        <c:v>41995</c:v>
                      </c:pt>
                      <c:pt idx="253">
                        <c:v>42002</c:v>
                      </c:pt>
                      <c:pt idx="254">
                        <c:v>42009</c:v>
                      </c:pt>
                      <c:pt idx="255">
                        <c:v>42016</c:v>
                      </c:pt>
                      <c:pt idx="256">
                        <c:v>42024</c:v>
                      </c:pt>
                      <c:pt idx="257">
                        <c:v>42030</c:v>
                      </c:pt>
                      <c:pt idx="258">
                        <c:v>42037</c:v>
                      </c:pt>
                      <c:pt idx="259">
                        <c:v>42044</c:v>
                      </c:pt>
                      <c:pt idx="260">
                        <c:v>42052</c:v>
                      </c:pt>
                      <c:pt idx="261">
                        <c:v>42058</c:v>
                      </c:pt>
                      <c:pt idx="262">
                        <c:v>42065</c:v>
                      </c:pt>
                      <c:pt idx="263">
                        <c:v>42072</c:v>
                      </c:pt>
                      <c:pt idx="264">
                        <c:v>42079</c:v>
                      </c:pt>
                      <c:pt idx="265">
                        <c:v>42086</c:v>
                      </c:pt>
                      <c:pt idx="266">
                        <c:v>42093</c:v>
                      </c:pt>
                      <c:pt idx="267">
                        <c:v>42100</c:v>
                      </c:pt>
                      <c:pt idx="268">
                        <c:v>42107</c:v>
                      </c:pt>
                      <c:pt idx="269">
                        <c:v>42114</c:v>
                      </c:pt>
                      <c:pt idx="270">
                        <c:v>42121</c:v>
                      </c:pt>
                      <c:pt idx="271">
                        <c:v>42128</c:v>
                      </c:pt>
                      <c:pt idx="272">
                        <c:v>42135</c:v>
                      </c:pt>
                      <c:pt idx="273">
                        <c:v>42142</c:v>
                      </c:pt>
                      <c:pt idx="274">
                        <c:v>42150</c:v>
                      </c:pt>
                      <c:pt idx="275">
                        <c:v>42156</c:v>
                      </c:pt>
                      <c:pt idx="276">
                        <c:v>42163</c:v>
                      </c:pt>
                      <c:pt idx="277">
                        <c:v>42170</c:v>
                      </c:pt>
                      <c:pt idx="278">
                        <c:v>42177</c:v>
                      </c:pt>
                      <c:pt idx="279">
                        <c:v>42184</c:v>
                      </c:pt>
                      <c:pt idx="280">
                        <c:v>42191</c:v>
                      </c:pt>
                      <c:pt idx="281">
                        <c:v>42198</c:v>
                      </c:pt>
                      <c:pt idx="282">
                        <c:v>42205</c:v>
                      </c:pt>
                      <c:pt idx="283">
                        <c:v>42212</c:v>
                      </c:pt>
                      <c:pt idx="284">
                        <c:v>42219</c:v>
                      </c:pt>
                      <c:pt idx="285">
                        <c:v>42226</c:v>
                      </c:pt>
                      <c:pt idx="286">
                        <c:v>42233</c:v>
                      </c:pt>
                      <c:pt idx="287">
                        <c:v>42240</c:v>
                      </c:pt>
                      <c:pt idx="288">
                        <c:v>42247</c:v>
                      </c:pt>
                      <c:pt idx="289">
                        <c:v>42255</c:v>
                      </c:pt>
                      <c:pt idx="290">
                        <c:v>42261</c:v>
                      </c:pt>
                      <c:pt idx="291">
                        <c:v>42268</c:v>
                      </c:pt>
                      <c:pt idx="292">
                        <c:v>42275</c:v>
                      </c:pt>
                      <c:pt idx="293">
                        <c:v>42282</c:v>
                      </c:pt>
                      <c:pt idx="294">
                        <c:v>42289</c:v>
                      </c:pt>
                      <c:pt idx="295">
                        <c:v>42296</c:v>
                      </c:pt>
                      <c:pt idx="296">
                        <c:v>42303</c:v>
                      </c:pt>
                      <c:pt idx="297">
                        <c:v>42310</c:v>
                      </c:pt>
                      <c:pt idx="298">
                        <c:v>42317</c:v>
                      </c:pt>
                      <c:pt idx="299">
                        <c:v>42324</c:v>
                      </c:pt>
                      <c:pt idx="300">
                        <c:v>42331</c:v>
                      </c:pt>
                      <c:pt idx="301">
                        <c:v>42338</c:v>
                      </c:pt>
                      <c:pt idx="302">
                        <c:v>42345</c:v>
                      </c:pt>
                      <c:pt idx="303">
                        <c:v>42352</c:v>
                      </c:pt>
                      <c:pt idx="304">
                        <c:v>42359</c:v>
                      </c:pt>
                      <c:pt idx="305">
                        <c:v>42366</c:v>
                      </c:pt>
                      <c:pt idx="306">
                        <c:v>42373</c:v>
                      </c:pt>
                      <c:pt idx="307">
                        <c:v>42380</c:v>
                      </c:pt>
                      <c:pt idx="308">
                        <c:v>42388</c:v>
                      </c:pt>
                      <c:pt idx="309">
                        <c:v>42394</c:v>
                      </c:pt>
                      <c:pt idx="310">
                        <c:v>42401</c:v>
                      </c:pt>
                      <c:pt idx="311">
                        <c:v>42408</c:v>
                      </c:pt>
                      <c:pt idx="312">
                        <c:v>42416</c:v>
                      </c:pt>
                      <c:pt idx="313">
                        <c:v>42422</c:v>
                      </c:pt>
                      <c:pt idx="314">
                        <c:v>42429</c:v>
                      </c:pt>
                      <c:pt idx="315">
                        <c:v>42436</c:v>
                      </c:pt>
                      <c:pt idx="316">
                        <c:v>42443</c:v>
                      </c:pt>
                      <c:pt idx="317">
                        <c:v>42450</c:v>
                      </c:pt>
                      <c:pt idx="318">
                        <c:v>42457</c:v>
                      </c:pt>
                      <c:pt idx="319">
                        <c:v>42464</c:v>
                      </c:pt>
                      <c:pt idx="320">
                        <c:v>42471</c:v>
                      </c:pt>
                      <c:pt idx="321">
                        <c:v>42478</c:v>
                      </c:pt>
                      <c:pt idx="322">
                        <c:v>42485</c:v>
                      </c:pt>
                      <c:pt idx="323">
                        <c:v>42492</c:v>
                      </c:pt>
                      <c:pt idx="324">
                        <c:v>42499</c:v>
                      </c:pt>
                      <c:pt idx="325">
                        <c:v>42506</c:v>
                      </c:pt>
                      <c:pt idx="326">
                        <c:v>42513</c:v>
                      </c:pt>
                      <c:pt idx="327">
                        <c:v>42521</c:v>
                      </c:pt>
                      <c:pt idx="328">
                        <c:v>42527</c:v>
                      </c:pt>
                      <c:pt idx="329">
                        <c:v>42534</c:v>
                      </c:pt>
                      <c:pt idx="330">
                        <c:v>42541</c:v>
                      </c:pt>
                      <c:pt idx="331">
                        <c:v>42548</c:v>
                      </c:pt>
                      <c:pt idx="332">
                        <c:v>42556</c:v>
                      </c:pt>
                      <c:pt idx="333">
                        <c:v>42562</c:v>
                      </c:pt>
                      <c:pt idx="334">
                        <c:v>42569</c:v>
                      </c:pt>
                      <c:pt idx="335">
                        <c:v>42576</c:v>
                      </c:pt>
                      <c:pt idx="336">
                        <c:v>42583</c:v>
                      </c:pt>
                      <c:pt idx="337">
                        <c:v>42590</c:v>
                      </c:pt>
                      <c:pt idx="338">
                        <c:v>42597</c:v>
                      </c:pt>
                      <c:pt idx="339">
                        <c:v>42604</c:v>
                      </c:pt>
                      <c:pt idx="340">
                        <c:v>42611</c:v>
                      </c:pt>
                      <c:pt idx="341">
                        <c:v>42619</c:v>
                      </c:pt>
                      <c:pt idx="342">
                        <c:v>42625</c:v>
                      </c:pt>
                      <c:pt idx="343">
                        <c:v>42632</c:v>
                      </c:pt>
                      <c:pt idx="344">
                        <c:v>42639</c:v>
                      </c:pt>
                      <c:pt idx="345">
                        <c:v>42646</c:v>
                      </c:pt>
                      <c:pt idx="346">
                        <c:v>42653</c:v>
                      </c:pt>
                      <c:pt idx="347">
                        <c:v>42660</c:v>
                      </c:pt>
                      <c:pt idx="348">
                        <c:v>42667</c:v>
                      </c:pt>
                      <c:pt idx="349">
                        <c:v>42674</c:v>
                      </c:pt>
                      <c:pt idx="350">
                        <c:v>42681</c:v>
                      </c:pt>
                      <c:pt idx="351">
                        <c:v>42688</c:v>
                      </c:pt>
                      <c:pt idx="352">
                        <c:v>42695</c:v>
                      </c:pt>
                      <c:pt idx="353">
                        <c:v>42702</c:v>
                      </c:pt>
                      <c:pt idx="354">
                        <c:v>42709</c:v>
                      </c:pt>
                      <c:pt idx="355">
                        <c:v>42716</c:v>
                      </c:pt>
                      <c:pt idx="356">
                        <c:v>42723</c:v>
                      </c:pt>
                      <c:pt idx="357">
                        <c:v>42731</c:v>
                      </c:pt>
                      <c:pt idx="358">
                        <c:v>42738</c:v>
                      </c:pt>
                      <c:pt idx="359">
                        <c:v>42744</c:v>
                      </c:pt>
                      <c:pt idx="360">
                        <c:v>42752</c:v>
                      </c:pt>
                      <c:pt idx="361">
                        <c:v>42758</c:v>
                      </c:pt>
                      <c:pt idx="362">
                        <c:v>42765</c:v>
                      </c:pt>
                      <c:pt idx="363">
                        <c:v>42772</c:v>
                      </c:pt>
                      <c:pt idx="364">
                        <c:v>42779</c:v>
                      </c:pt>
                      <c:pt idx="365">
                        <c:v>42787</c:v>
                      </c:pt>
                      <c:pt idx="366">
                        <c:v>42793</c:v>
                      </c:pt>
                      <c:pt idx="367">
                        <c:v>42800</c:v>
                      </c:pt>
                      <c:pt idx="368">
                        <c:v>42807</c:v>
                      </c:pt>
                      <c:pt idx="369">
                        <c:v>42814</c:v>
                      </c:pt>
                      <c:pt idx="370">
                        <c:v>42821</c:v>
                      </c:pt>
                      <c:pt idx="371">
                        <c:v>42828</c:v>
                      </c:pt>
                      <c:pt idx="372">
                        <c:v>42835</c:v>
                      </c:pt>
                      <c:pt idx="373">
                        <c:v>42842</c:v>
                      </c:pt>
                      <c:pt idx="374">
                        <c:v>42849</c:v>
                      </c:pt>
                      <c:pt idx="375">
                        <c:v>42856</c:v>
                      </c:pt>
                      <c:pt idx="376">
                        <c:v>42863</c:v>
                      </c:pt>
                      <c:pt idx="377">
                        <c:v>42870</c:v>
                      </c:pt>
                      <c:pt idx="378">
                        <c:v>42877</c:v>
                      </c:pt>
                      <c:pt idx="379">
                        <c:v>42885</c:v>
                      </c:pt>
                      <c:pt idx="380">
                        <c:v>42891</c:v>
                      </c:pt>
                      <c:pt idx="381">
                        <c:v>42898</c:v>
                      </c:pt>
                      <c:pt idx="382">
                        <c:v>42905</c:v>
                      </c:pt>
                      <c:pt idx="383">
                        <c:v>42912</c:v>
                      </c:pt>
                      <c:pt idx="384">
                        <c:v>42919</c:v>
                      </c:pt>
                      <c:pt idx="385">
                        <c:v>42926</c:v>
                      </c:pt>
                      <c:pt idx="386">
                        <c:v>42933</c:v>
                      </c:pt>
                      <c:pt idx="387">
                        <c:v>42940</c:v>
                      </c:pt>
                      <c:pt idx="388">
                        <c:v>42947</c:v>
                      </c:pt>
                      <c:pt idx="389">
                        <c:v>42954</c:v>
                      </c:pt>
                      <c:pt idx="390">
                        <c:v>42961</c:v>
                      </c:pt>
                      <c:pt idx="391">
                        <c:v>42968</c:v>
                      </c:pt>
                      <c:pt idx="392">
                        <c:v>42975</c:v>
                      </c:pt>
                      <c:pt idx="393">
                        <c:v>42983</c:v>
                      </c:pt>
                      <c:pt idx="394">
                        <c:v>42989</c:v>
                      </c:pt>
                      <c:pt idx="395">
                        <c:v>42996</c:v>
                      </c:pt>
                      <c:pt idx="396">
                        <c:v>43003</c:v>
                      </c:pt>
                      <c:pt idx="397">
                        <c:v>43010</c:v>
                      </c:pt>
                      <c:pt idx="398">
                        <c:v>43017</c:v>
                      </c:pt>
                      <c:pt idx="399">
                        <c:v>43024</c:v>
                      </c:pt>
                      <c:pt idx="400">
                        <c:v>43031</c:v>
                      </c:pt>
                      <c:pt idx="401">
                        <c:v>43038</c:v>
                      </c:pt>
                      <c:pt idx="402">
                        <c:v>43045</c:v>
                      </c:pt>
                      <c:pt idx="403">
                        <c:v>43052</c:v>
                      </c:pt>
                      <c:pt idx="404">
                        <c:v>43059</c:v>
                      </c:pt>
                      <c:pt idx="405">
                        <c:v>43066</c:v>
                      </c:pt>
                      <c:pt idx="406">
                        <c:v>43073</c:v>
                      </c:pt>
                      <c:pt idx="407">
                        <c:v>43080</c:v>
                      </c:pt>
                      <c:pt idx="408">
                        <c:v>43087</c:v>
                      </c:pt>
                      <c:pt idx="409">
                        <c:v>43095</c:v>
                      </c:pt>
                      <c:pt idx="410">
                        <c:v>43102</c:v>
                      </c:pt>
                      <c:pt idx="411">
                        <c:v>43108</c:v>
                      </c:pt>
                      <c:pt idx="412">
                        <c:v>43116</c:v>
                      </c:pt>
                      <c:pt idx="413">
                        <c:v>43122</c:v>
                      </c:pt>
                      <c:pt idx="414">
                        <c:v>43129</c:v>
                      </c:pt>
                      <c:pt idx="415">
                        <c:v>43136</c:v>
                      </c:pt>
                      <c:pt idx="416">
                        <c:v>43143</c:v>
                      </c:pt>
                      <c:pt idx="417">
                        <c:v>43151</c:v>
                      </c:pt>
                      <c:pt idx="418">
                        <c:v>43157</c:v>
                      </c:pt>
                      <c:pt idx="419">
                        <c:v>43164</c:v>
                      </c:pt>
                      <c:pt idx="420">
                        <c:v>43171</c:v>
                      </c:pt>
                      <c:pt idx="421">
                        <c:v>43178</c:v>
                      </c:pt>
                      <c:pt idx="422">
                        <c:v>43185</c:v>
                      </c:pt>
                      <c:pt idx="423">
                        <c:v>43192</c:v>
                      </c:pt>
                      <c:pt idx="424">
                        <c:v>43199</c:v>
                      </c:pt>
                      <c:pt idx="425">
                        <c:v>43206</c:v>
                      </c:pt>
                      <c:pt idx="426">
                        <c:v>43213</c:v>
                      </c:pt>
                      <c:pt idx="427">
                        <c:v>43220</c:v>
                      </c:pt>
                      <c:pt idx="428">
                        <c:v>43227</c:v>
                      </c:pt>
                      <c:pt idx="429">
                        <c:v>43234</c:v>
                      </c:pt>
                      <c:pt idx="430">
                        <c:v>43241</c:v>
                      </c:pt>
                      <c:pt idx="431">
                        <c:v>43249</c:v>
                      </c:pt>
                      <c:pt idx="432">
                        <c:v>43255</c:v>
                      </c:pt>
                      <c:pt idx="433">
                        <c:v>43262</c:v>
                      </c:pt>
                      <c:pt idx="434">
                        <c:v>43269</c:v>
                      </c:pt>
                      <c:pt idx="435">
                        <c:v>43276</c:v>
                      </c:pt>
                      <c:pt idx="436">
                        <c:v>43283</c:v>
                      </c:pt>
                      <c:pt idx="437">
                        <c:v>43290</c:v>
                      </c:pt>
                      <c:pt idx="438">
                        <c:v>43297</c:v>
                      </c:pt>
                      <c:pt idx="439">
                        <c:v>43304</c:v>
                      </c:pt>
                      <c:pt idx="440">
                        <c:v>43311</c:v>
                      </c:pt>
                      <c:pt idx="441">
                        <c:v>43318</c:v>
                      </c:pt>
                      <c:pt idx="442">
                        <c:v>43325</c:v>
                      </c:pt>
                      <c:pt idx="443">
                        <c:v>43332</c:v>
                      </c:pt>
                      <c:pt idx="444">
                        <c:v>43339</c:v>
                      </c:pt>
                      <c:pt idx="445">
                        <c:v>43347</c:v>
                      </c:pt>
                      <c:pt idx="446">
                        <c:v>43353</c:v>
                      </c:pt>
                      <c:pt idx="447">
                        <c:v>43360</c:v>
                      </c:pt>
                      <c:pt idx="448">
                        <c:v>43367</c:v>
                      </c:pt>
                      <c:pt idx="449">
                        <c:v>43374</c:v>
                      </c:pt>
                      <c:pt idx="450">
                        <c:v>43381</c:v>
                      </c:pt>
                      <c:pt idx="451">
                        <c:v>43388</c:v>
                      </c:pt>
                      <c:pt idx="452">
                        <c:v>43395</c:v>
                      </c:pt>
                      <c:pt idx="453">
                        <c:v>43402</c:v>
                      </c:pt>
                      <c:pt idx="454">
                        <c:v>43409</c:v>
                      </c:pt>
                      <c:pt idx="455">
                        <c:v>43416</c:v>
                      </c:pt>
                      <c:pt idx="456">
                        <c:v>43423</c:v>
                      </c:pt>
                      <c:pt idx="457">
                        <c:v>43430</c:v>
                      </c:pt>
                      <c:pt idx="458">
                        <c:v>43437</c:v>
                      </c:pt>
                      <c:pt idx="459">
                        <c:v>43444</c:v>
                      </c:pt>
                      <c:pt idx="460">
                        <c:v>43451</c:v>
                      </c:pt>
                      <c:pt idx="461">
                        <c:v>43458</c:v>
                      </c:pt>
                      <c:pt idx="462">
                        <c:v>43465</c:v>
                      </c:pt>
                      <c:pt idx="463">
                        <c:v>43472</c:v>
                      </c:pt>
                      <c:pt idx="464">
                        <c:v>43479</c:v>
                      </c:pt>
                      <c:pt idx="465">
                        <c:v>43487</c:v>
                      </c:pt>
                      <c:pt idx="466">
                        <c:v>43493</c:v>
                      </c:pt>
                      <c:pt idx="467">
                        <c:v>43500</c:v>
                      </c:pt>
                      <c:pt idx="468">
                        <c:v>43507</c:v>
                      </c:pt>
                      <c:pt idx="469">
                        <c:v>43515</c:v>
                      </c:pt>
                      <c:pt idx="470">
                        <c:v>43521</c:v>
                      </c:pt>
                      <c:pt idx="471">
                        <c:v>43528</c:v>
                      </c:pt>
                      <c:pt idx="472">
                        <c:v>43535</c:v>
                      </c:pt>
                      <c:pt idx="473">
                        <c:v>43542</c:v>
                      </c:pt>
                      <c:pt idx="474">
                        <c:v>43549</c:v>
                      </c:pt>
                      <c:pt idx="475">
                        <c:v>43556</c:v>
                      </c:pt>
                      <c:pt idx="476">
                        <c:v>43563</c:v>
                      </c:pt>
                      <c:pt idx="477">
                        <c:v>43570</c:v>
                      </c:pt>
                      <c:pt idx="478">
                        <c:v>43577</c:v>
                      </c:pt>
                      <c:pt idx="479">
                        <c:v>43584</c:v>
                      </c:pt>
                      <c:pt idx="480">
                        <c:v>43591</c:v>
                      </c:pt>
                      <c:pt idx="481">
                        <c:v>43598</c:v>
                      </c:pt>
                      <c:pt idx="482">
                        <c:v>43605</c:v>
                      </c:pt>
                      <c:pt idx="483">
                        <c:v>43613</c:v>
                      </c:pt>
                      <c:pt idx="484">
                        <c:v>43619</c:v>
                      </c:pt>
                      <c:pt idx="485">
                        <c:v>43626</c:v>
                      </c:pt>
                      <c:pt idx="486">
                        <c:v>43633</c:v>
                      </c:pt>
                      <c:pt idx="487">
                        <c:v>43640</c:v>
                      </c:pt>
                      <c:pt idx="488">
                        <c:v>43647</c:v>
                      </c:pt>
                      <c:pt idx="489">
                        <c:v>43654</c:v>
                      </c:pt>
                      <c:pt idx="490">
                        <c:v>43661</c:v>
                      </c:pt>
                      <c:pt idx="491">
                        <c:v>43668</c:v>
                      </c:pt>
                      <c:pt idx="492">
                        <c:v>43675</c:v>
                      </c:pt>
                      <c:pt idx="493">
                        <c:v>43682</c:v>
                      </c:pt>
                      <c:pt idx="494">
                        <c:v>43689</c:v>
                      </c:pt>
                      <c:pt idx="495">
                        <c:v>43696</c:v>
                      </c:pt>
                      <c:pt idx="496">
                        <c:v>43703</c:v>
                      </c:pt>
                      <c:pt idx="497">
                        <c:v>43711</c:v>
                      </c:pt>
                      <c:pt idx="498">
                        <c:v>43717</c:v>
                      </c:pt>
                      <c:pt idx="499">
                        <c:v>43724</c:v>
                      </c:pt>
                      <c:pt idx="500">
                        <c:v>43731</c:v>
                      </c:pt>
                      <c:pt idx="501">
                        <c:v>43738</c:v>
                      </c:pt>
                      <c:pt idx="502">
                        <c:v>43745</c:v>
                      </c:pt>
                      <c:pt idx="503">
                        <c:v>43752</c:v>
                      </c:pt>
                      <c:pt idx="504">
                        <c:v>43759</c:v>
                      </c:pt>
                      <c:pt idx="505">
                        <c:v>43766</c:v>
                      </c:pt>
                      <c:pt idx="506">
                        <c:v>43773</c:v>
                      </c:pt>
                      <c:pt idx="507">
                        <c:v>43780</c:v>
                      </c:pt>
                      <c:pt idx="508">
                        <c:v>43787</c:v>
                      </c:pt>
                      <c:pt idx="509">
                        <c:v>43794</c:v>
                      </c:pt>
                      <c:pt idx="510">
                        <c:v>43801</c:v>
                      </c:pt>
                      <c:pt idx="511">
                        <c:v>43808</c:v>
                      </c:pt>
                      <c:pt idx="512">
                        <c:v>43815</c:v>
                      </c:pt>
                      <c:pt idx="513">
                        <c:v>43822</c:v>
                      </c:pt>
                      <c:pt idx="514">
                        <c:v>43829</c:v>
                      </c:pt>
                      <c:pt idx="515">
                        <c:v>43836</c:v>
                      </c:pt>
                      <c:pt idx="516">
                        <c:v>43843</c:v>
                      </c:pt>
                      <c:pt idx="517">
                        <c:v>43851</c:v>
                      </c:pt>
                      <c:pt idx="518">
                        <c:v>43857</c:v>
                      </c:pt>
                      <c:pt idx="519">
                        <c:v>43864</c:v>
                      </c:pt>
                      <c:pt idx="520">
                        <c:v>43871</c:v>
                      </c:pt>
                      <c:pt idx="521">
                        <c:v>43879</c:v>
                      </c:pt>
                      <c:pt idx="522">
                        <c:v>43885</c:v>
                      </c:pt>
                      <c:pt idx="523">
                        <c:v>43892</c:v>
                      </c:pt>
                      <c:pt idx="524">
                        <c:v>43899</c:v>
                      </c:pt>
                      <c:pt idx="525">
                        <c:v>43906</c:v>
                      </c:pt>
                      <c:pt idx="526">
                        <c:v>43913</c:v>
                      </c:pt>
                      <c:pt idx="527">
                        <c:v>43920</c:v>
                      </c:pt>
                      <c:pt idx="528">
                        <c:v>43927</c:v>
                      </c:pt>
                      <c:pt idx="529">
                        <c:v>43934</c:v>
                      </c:pt>
                      <c:pt idx="530">
                        <c:v>43941</c:v>
                      </c:pt>
                      <c:pt idx="531">
                        <c:v>43948</c:v>
                      </c:pt>
                      <c:pt idx="532">
                        <c:v>43955</c:v>
                      </c:pt>
                      <c:pt idx="533">
                        <c:v>43962</c:v>
                      </c:pt>
                      <c:pt idx="534">
                        <c:v>43969</c:v>
                      </c:pt>
                      <c:pt idx="535">
                        <c:v>43977</c:v>
                      </c:pt>
                      <c:pt idx="536">
                        <c:v>43983</c:v>
                      </c:pt>
                      <c:pt idx="537">
                        <c:v>43990</c:v>
                      </c:pt>
                      <c:pt idx="538">
                        <c:v>43997</c:v>
                      </c:pt>
                      <c:pt idx="539">
                        <c:v>44004</c:v>
                      </c:pt>
                      <c:pt idx="540">
                        <c:v>44011</c:v>
                      </c:pt>
                      <c:pt idx="541">
                        <c:v>44018</c:v>
                      </c:pt>
                      <c:pt idx="542">
                        <c:v>44025</c:v>
                      </c:pt>
                      <c:pt idx="543">
                        <c:v>44032</c:v>
                      </c:pt>
                      <c:pt idx="544">
                        <c:v>44039</c:v>
                      </c:pt>
                      <c:pt idx="545">
                        <c:v>44046</c:v>
                      </c:pt>
                      <c:pt idx="546">
                        <c:v>44053</c:v>
                      </c:pt>
                      <c:pt idx="547">
                        <c:v>44060</c:v>
                      </c:pt>
                      <c:pt idx="548">
                        <c:v>44067</c:v>
                      </c:pt>
                      <c:pt idx="549">
                        <c:v>44074</c:v>
                      </c:pt>
                      <c:pt idx="550">
                        <c:v>44082</c:v>
                      </c:pt>
                      <c:pt idx="551">
                        <c:v>44088</c:v>
                      </c:pt>
                      <c:pt idx="552">
                        <c:v>44095</c:v>
                      </c:pt>
                      <c:pt idx="553">
                        <c:v>44102</c:v>
                      </c:pt>
                      <c:pt idx="554">
                        <c:v>44109</c:v>
                      </c:pt>
                      <c:pt idx="555">
                        <c:v>44116</c:v>
                      </c:pt>
                      <c:pt idx="556">
                        <c:v>44123</c:v>
                      </c:pt>
                      <c:pt idx="557">
                        <c:v>44130</c:v>
                      </c:pt>
                      <c:pt idx="558">
                        <c:v>44137</c:v>
                      </c:pt>
                      <c:pt idx="559">
                        <c:v>44144</c:v>
                      </c:pt>
                      <c:pt idx="560">
                        <c:v>44151</c:v>
                      </c:pt>
                      <c:pt idx="561">
                        <c:v>44158</c:v>
                      </c:pt>
                      <c:pt idx="562">
                        <c:v>44165</c:v>
                      </c:pt>
                      <c:pt idx="563">
                        <c:v>44172</c:v>
                      </c:pt>
                      <c:pt idx="564">
                        <c:v>44179</c:v>
                      </c:pt>
                      <c:pt idx="565">
                        <c:v>44186</c:v>
                      </c:pt>
                      <c:pt idx="566">
                        <c:v>44193</c:v>
                      </c:pt>
                      <c:pt idx="567">
                        <c:v>44200</c:v>
                      </c:pt>
                      <c:pt idx="568">
                        <c:v>44207</c:v>
                      </c:pt>
                      <c:pt idx="569">
                        <c:v>44215</c:v>
                      </c:pt>
                      <c:pt idx="570">
                        <c:v>44221</c:v>
                      </c:pt>
                      <c:pt idx="571">
                        <c:v>44228</c:v>
                      </c:pt>
                      <c:pt idx="572">
                        <c:v>44235</c:v>
                      </c:pt>
                      <c:pt idx="573">
                        <c:v>44243</c:v>
                      </c:pt>
                      <c:pt idx="574">
                        <c:v>44249</c:v>
                      </c:pt>
                      <c:pt idx="575">
                        <c:v>44256</c:v>
                      </c:pt>
                      <c:pt idx="576">
                        <c:v>44263</c:v>
                      </c:pt>
                      <c:pt idx="577">
                        <c:v>44270</c:v>
                      </c:pt>
                      <c:pt idx="578">
                        <c:v>44277</c:v>
                      </c:pt>
                      <c:pt idx="579">
                        <c:v>44284</c:v>
                      </c:pt>
                      <c:pt idx="580">
                        <c:v>44291</c:v>
                      </c:pt>
                      <c:pt idx="581">
                        <c:v>44298</c:v>
                      </c:pt>
                      <c:pt idx="582">
                        <c:v>44305</c:v>
                      </c:pt>
                      <c:pt idx="583">
                        <c:v>44312</c:v>
                      </c:pt>
                      <c:pt idx="584">
                        <c:v>44319</c:v>
                      </c:pt>
                      <c:pt idx="585">
                        <c:v>44326</c:v>
                      </c:pt>
                      <c:pt idx="586">
                        <c:v>44333</c:v>
                      </c:pt>
                      <c:pt idx="587">
                        <c:v>44340</c:v>
                      </c:pt>
                      <c:pt idx="588">
                        <c:v>44348</c:v>
                      </c:pt>
                      <c:pt idx="589">
                        <c:v>44354</c:v>
                      </c:pt>
                      <c:pt idx="590">
                        <c:v>44361</c:v>
                      </c:pt>
                      <c:pt idx="591">
                        <c:v>44368</c:v>
                      </c:pt>
                      <c:pt idx="592">
                        <c:v>44375</c:v>
                      </c:pt>
                      <c:pt idx="593">
                        <c:v>44383</c:v>
                      </c:pt>
                      <c:pt idx="594">
                        <c:v>44389</c:v>
                      </c:pt>
                      <c:pt idx="595">
                        <c:v>44396</c:v>
                      </c:pt>
                      <c:pt idx="596">
                        <c:v>44403</c:v>
                      </c:pt>
                      <c:pt idx="597">
                        <c:v>44410</c:v>
                      </c:pt>
                      <c:pt idx="598">
                        <c:v>44417</c:v>
                      </c:pt>
                      <c:pt idx="599">
                        <c:v>44424</c:v>
                      </c:pt>
                      <c:pt idx="600">
                        <c:v>44431</c:v>
                      </c:pt>
                      <c:pt idx="601">
                        <c:v>44438</c:v>
                      </c:pt>
                      <c:pt idx="602">
                        <c:v>44446</c:v>
                      </c:pt>
                      <c:pt idx="603">
                        <c:v>44452</c:v>
                      </c:pt>
                      <c:pt idx="604">
                        <c:v>44459</c:v>
                      </c:pt>
                      <c:pt idx="605">
                        <c:v>44466</c:v>
                      </c:pt>
                      <c:pt idx="606">
                        <c:v>44473</c:v>
                      </c:pt>
                      <c:pt idx="607">
                        <c:v>44480</c:v>
                      </c:pt>
                      <c:pt idx="608">
                        <c:v>44487</c:v>
                      </c:pt>
                      <c:pt idx="609">
                        <c:v>44494</c:v>
                      </c:pt>
                      <c:pt idx="610">
                        <c:v>44501</c:v>
                      </c:pt>
                      <c:pt idx="611">
                        <c:v>44508</c:v>
                      </c:pt>
                      <c:pt idx="612">
                        <c:v>44515</c:v>
                      </c:pt>
                      <c:pt idx="613">
                        <c:v>44522</c:v>
                      </c:pt>
                      <c:pt idx="614">
                        <c:v>44529</c:v>
                      </c:pt>
                      <c:pt idx="615">
                        <c:v>44536</c:v>
                      </c:pt>
                      <c:pt idx="616">
                        <c:v>44543</c:v>
                      </c:pt>
                      <c:pt idx="617">
                        <c:v>44550</c:v>
                      </c:pt>
                      <c:pt idx="618">
                        <c:v>44557</c:v>
                      </c:pt>
                      <c:pt idx="619">
                        <c:v>44564</c:v>
                      </c:pt>
                      <c:pt idx="620">
                        <c:v>44571</c:v>
                      </c:pt>
                      <c:pt idx="621">
                        <c:v>44579</c:v>
                      </c:pt>
                      <c:pt idx="622">
                        <c:v>44585</c:v>
                      </c:pt>
                      <c:pt idx="623">
                        <c:v>44592</c:v>
                      </c:pt>
                      <c:pt idx="624">
                        <c:v>44599</c:v>
                      </c:pt>
                      <c:pt idx="625">
                        <c:v>44606</c:v>
                      </c:pt>
                      <c:pt idx="626">
                        <c:v>44614</c:v>
                      </c:pt>
                      <c:pt idx="627">
                        <c:v>44620</c:v>
                      </c:pt>
                      <c:pt idx="628">
                        <c:v>44627</c:v>
                      </c:pt>
                      <c:pt idx="629">
                        <c:v>44634</c:v>
                      </c:pt>
                      <c:pt idx="630">
                        <c:v>44641</c:v>
                      </c:pt>
                      <c:pt idx="631">
                        <c:v>44648</c:v>
                      </c:pt>
                      <c:pt idx="632">
                        <c:v>44655</c:v>
                      </c:pt>
                      <c:pt idx="633">
                        <c:v>44662</c:v>
                      </c:pt>
                      <c:pt idx="634">
                        <c:v>44669</c:v>
                      </c:pt>
                      <c:pt idx="635">
                        <c:v>44676</c:v>
                      </c:pt>
                      <c:pt idx="636">
                        <c:v>44683</c:v>
                      </c:pt>
                      <c:pt idx="637">
                        <c:v>44690</c:v>
                      </c:pt>
                      <c:pt idx="638">
                        <c:v>44697</c:v>
                      </c:pt>
                      <c:pt idx="639">
                        <c:v>44704</c:v>
                      </c:pt>
                      <c:pt idx="640">
                        <c:v>44712</c:v>
                      </c:pt>
                      <c:pt idx="641">
                        <c:v>44718</c:v>
                      </c:pt>
                      <c:pt idx="642">
                        <c:v>44725</c:v>
                      </c:pt>
                      <c:pt idx="643">
                        <c:v>44733</c:v>
                      </c:pt>
                      <c:pt idx="644">
                        <c:v>44739</c:v>
                      </c:pt>
                      <c:pt idx="645">
                        <c:v>44747</c:v>
                      </c:pt>
                      <c:pt idx="646">
                        <c:v>44753</c:v>
                      </c:pt>
                      <c:pt idx="647">
                        <c:v>44760</c:v>
                      </c:pt>
                      <c:pt idx="648">
                        <c:v>44767</c:v>
                      </c:pt>
                      <c:pt idx="649">
                        <c:v>44774</c:v>
                      </c:pt>
                      <c:pt idx="650">
                        <c:v>44781</c:v>
                      </c:pt>
                      <c:pt idx="651">
                        <c:v>44788</c:v>
                      </c:pt>
                      <c:pt idx="652">
                        <c:v>44795</c:v>
                      </c:pt>
                      <c:pt idx="653">
                        <c:v>44802</c:v>
                      </c:pt>
                      <c:pt idx="654">
                        <c:v>44810</c:v>
                      </c:pt>
                      <c:pt idx="655">
                        <c:v>44816</c:v>
                      </c:pt>
                      <c:pt idx="656">
                        <c:v>44823</c:v>
                      </c:pt>
                      <c:pt idx="657">
                        <c:v>44830</c:v>
                      </c:pt>
                      <c:pt idx="658">
                        <c:v>44837</c:v>
                      </c:pt>
                      <c:pt idx="659">
                        <c:v>44844</c:v>
                      </c:pt>
                      <c:pt idx="660">
                        <c:v>44851</c:v>
                      </c:pt>
                      <c:pt idx="661">
                        <c:v>44858</c:v>
                      </c:pt>
                      <c:pt idx="662">
                        <c:v>44865</c:v>
                      </c:pt>
                      <c:pt idx="663">
                        <c:v>44872</c:v>
                      </c:pt>
                      <c:pt idx="664">
                        <c:v>44879</c:v>
                      </c:pt>
                      <c:pt idx="665">
                        <c:v>44886</c:v>
                      </c:pt>
                      <c:pt idx="666">
                        <c:v>44893</c:v>
                      </c:pt>
                      <c:pt idx="667">
                        <c:v>44900</c:v>
                      </c:pt>
                      <c:pt idx="668">
                        <c:v>44907</c:v>
                      </c:pt>
                      <c:pt idx="669">
                        <c:v>44914</c:v>
                      </c:pt>
                      <c:pt idx="670">
                        <c:v>44922</c:v>
                      </c:pt>
                      <c:pt idx="671">
                        <c:v>44929</c:v>
                      </c:pt>
                      <c:pt idx="672">
                        <c:v>44935</c:v>
                      </c:pt>
                      <c:pt idx="673">
                        <c:v>44943</c:v>
                      </c:pt>
                      <c:pt idx="674">
                        <c:v>44949</c:v>
                      </c:pt>
                      <c:pt idx="675">
                        <c:v>44956</c:v>
                      </c:pt>
                      <c:pt idx="676">
                        <c:v>44963</c:v>
                      </c:pt>
                      <c:pt idx="677">
                        <c:v>44970</c:v>
                      </c:pt>
                      <c:pt idx="678">
                        <c:v>44978</c:v>
                      </c:pt>
                      <c:pt idx="679">
                        <c:v>44984</c:v>
                      </c:pt>
                      <c:pt idx="680">
                        <c:v>44991</c:v>
                      </c:pt>
                      <c:pt idx="681">
                        <c:v>44998</c:v>
                      </c:pt>
                      <c:pt idx="682">
                        <c:v>45005</c:v>
                      </c:pt>
                      <c:pt idx="683">
                        <c:v>45012</c:v>
                      </c:pt>
                      <c:pt idx="684">
                        <c:v>45019</c:v>
                      </c:pt>
                      <c:pt idx="685">
                        <c:v>45026</c:v>
                      </c:pt>
                      <c:pt idx="686">
                        <c:v>45033</c:v>
                      </c:pt>
                      <c:pt idx="687">
                        <c:v>45040</c:v>
                      </c:pt>
                      <c:pt idx="688">
                        <c:v>45047</c:v>
                      </c:pt>
                      <c:pt idx="689">
                        <c:v>45054</c:v>
                      </c:pt>
                      <c:pt idx="690">
                        <c:v>45061</c:v>
                      </c:pt>
                      <c:pt idx="691">
                        <c:v>45068</c:v>
                      </c:pt>
                      <c:pt idx="692">
                        <c:v>45076</c:v>
                      </c:pt>
                      <c:pt idx="693">
                        <c:v>45082</c:v>
                      </c:pt>
                      <c:pt idx="694">
                        <c:v>45089</c:v>
                      </c:pt>
                      <c:pt idx="695">
                        <c:v>45097</c:v>
                      </c:pt>
                      <c:pt idx="696">
                        <c:v>45103</c:v>
                      </c:pt>
                      <c:pt idx="697">
                        <c:v>45110</c:v>
                      </c:pt>
                      <c:pt idx="698">
                        <c:v>45117</c:v>
                      </c:pt>
                      <c:pt idx="699">
                        <c:v>45124</c:v>
                      </c:pt>
                      <c:pt idx="700">
                        <c:v>45131</c:v>
                      </c:pt>
                      <c:pt idx="701">
                        <c:v>45138</c:v>
                      </c:pt>
                      <c:pt idx="702">
                        <c:v>45145</c:v>
                      </c:pt>
                      <c:pt idx="703">
                        <c:v>45152</c:v>
                      </c:pt>
                      <c:pt idx="704">
                        <c:v>45159</c:v>
                      </c:pt>
                      <c:pt idx="705">
                        <c:v>45166</c:v>
                      </c:pt>
                      <c:pt idx="706">
                        <c:v>45174</c:v>
                      </c:pt>
                      <c:pt idx="707">
                        <c:v>45180</c:v>
                      </c:pt>
                      <c:pt idx="708">
                        <c:v>45187</c:v>
                      </c:pt>
                      <c:pt idx="709">
                        <c:v>45194</c:v>
                      </c:pt>
                      <c:pt idx="710">
                        <c:v>45201</c:v>
                      </c:pt>
                      <c:pt idx="711">
                        <c:v>45208</c:v>
                      </c:pt>
                      <c:pt idx="712">
                        <c:v>45215</c:v>
                      </c:pt>
                      <c:pt idx="713">
                        <c:v>45222</c:v>
                      </c:pt>
                      <c:pt idx="714">
                        <c:v>45229</c:v>
                      </c:pt>
                      <c:pt idx="715">
                        <c:v>45236</c:v>
                      </c:pt>
                      <c:pt idx="716">
                        <c:v>45243</c:v>
                      </c:pt>
                      <c:pt idx="717">
                        <c:v>45250</c:v>
                      </c:pt>
                      <c:pt idx="718">
                        <c:v>45257</c:v>
                      </c:pt>
                      <c:pt idx="719">
                        <c:v>45264</c:v>
                      </c:pt>
                      <c:pt idx="720">
                        <c:v>45271</c:v>
                      </c:pt>
                      <c:pt idx="721">
                        <c:v>45278</c:v>
                      </c:pt>
                      <c:pt idx="722">
                        <c:v>45286</c:v>
                      </c:pt>
                      <c:pt idx="723">
                        <c:v>45293</c:v>
                      </c:pt>
                      <c:pt idx="724">
                        <c:v>45299</c:v>
                      </c:pt>
                      <c:pt idx="725">
                        <c:v>45307</c:v>
                      </c:pt>
                      <c:pt idx="726">
                        <c:v>45313</c:v>
                      </c:pt>
                      <c:pt idx="727">
                        <c:v>45320</c:v>
                      </c:pt>
                      <c:pt idx="728">
                        <c:v>45327</c:v>
                      </c:pt>
                      <c:pt idx="729">
                        <c:v>45334</c:v>
                      </c:pt>
                      <c:pt idx="730">
                        <c:v>45342</c:v>
                      </c:pt>
                      <c:pt idx="731">
                        <c:v>45348</c:v>
                      </c:pt>
                      <c:pt idx="732">
                        <c:v>45355</c:v>
                      </c:pt>
                      <c:pt idx="733">
                        <c:v>45362</c:v>
                      </c:pt>
                      <c:pt idx="734">
                        <c:v>45369</c:v>
                      </c:pt>
                      <c:pt idx="735">
                        <c:v>45376</c:v>
                      </c:pt>
                      <c:pt idx="736">
                        <c:v>45383</c:v>
                      </c:pt>
                      <c:pt idx="737">
                        <c:v>45390</c:v>
                      </c:pt>
                      <c:pt idx="738">
                        <c:v>45397</c:v>
                      </c:pt>
                      <c:pt idx="739">
                        <c:v>45404</c:v>
                      </c:pt>
                      <c:pt idx="740">
                        <c:v>45411</c:v>
                      </c:pt>
                      <c:pt idx="741">
                        <c:v>45418</c:v>
                      </c:pt>
                      <c:pt idx="742">
                        <c:v>45425</c:v>
                      </c:pt>
                      <c:pt idx="743">
                        <c:v>45432</c:v>
                      </c:pt>
                      <c:pt idx="744">
                        <c:v>45440</c:v>
                      </c:pt>
                      <c:pt idx="745">
                        <c:v>45446</c:v>
                      </c:pt>
                      <c:pt idx="746">
                        <c:v>45453</c:v>
                      </c:pt>
                      <c:pt idx="747">
                        <c:v>45460</c:v>
                      </c:pt>
                      <c:pt idx="748">
                        <c:v>45467</c:v>
                      </c:pt>
                      <c:pt idx="749">
                        <c:v>45474</c:v>
                      </c:pt>
                      <c:pt idx="750">
                        <c:v>45481</c:v>
                      </c:pt>
                      <c:pt idx="751">
                        <c:v>45488</c:v>
                      </c:pt>
                      <c:pt idx="752">
                        <c:v>45495</c:v>
                      </c:pt>
                      <c:pt idx="753">
                        <c:v>45502</c:v>
                      </c:pt>
                      <c:pt idx="754">
                        <c:v>45509</c:v>
                      </c:pt>
                      <c:pt idx="755">
                        <c:v>45516</c:v>
                      </c:pt>
                      <c:pt idx="756">
                        <c:v>45523</c:v>
                      </c:pt>
                      <c:pt idx="757">
                        <c:v>45530</c:v>
                      </c:pt>
                      <c:pt idx="758">
                        <c:v>45538</c:v>
                      </c:pt>
                      <c:pt idx="759">
                        <c:v>45544</c:v>
                      </c:pt>
                      <c:pt idx="760">
                        <c:v>45551</c:v>
                      </c:pt>
                      <c:pt idx="761">
                        <c:v>45558</c:v>
                      </c:pt>
                      <c:pt idx="762">
                        <c:v>45565</c:v>
                      </c:pt>
                      <c:pt idx="763">
                        <c:v>45572</c:v>
                      </c:pt>
                      <c:pt idx="764">
                        <c:v>45579</c:v>
                      </c:pt>
                      <c:pt idx="765">
                        <c:v>45586</c:v>
                      </c:pt>
                      <c:pt idx="766">
                        <c:v>45593</c:v>
                      </c:pt>
                      <c:pt idx="767">
                        <c:v>45600</c:v>
                      </c:pt>
                      <c:pt idx="768">
                        <c:v>45607</c:v>
                      </c:pt>
                      <c:pt idx="769">
                        <c:v>45614</c:v>
                      </c:pt>
                      <c:pt idx="770">
                        <c:v>45621</c:v>
                      </c:pt>
                      <c:pt idx="771">
                        <c:v>45628</c:v>
                      </c:pt>
                      <c:pt idx="772">
                        <c:v>45635</c:v>
                      </c:pt>
                      <c:pt idx="773">
                        <c:v>45642</c:v>
                      </c:pt>
                      <c:pt idx="774">
                        <c:v>45649</c:v>
                      </c:pt>
                      <c:pt idx="775">
                        <c:v>45656</c:v>
                      </c:pt>
                      <c:pt idx="776">
                        <c:v>45663</c:v>
                      </c:pt>
                      <c:pt idx="777">
                        <c:v>45670</c:v>
                      </c:pt>
                      <c:pt idx="778">
                        <c:v>45678</c:v>
                      </c:pt>
                      <c:pt idx="779">
                        <c:v>45684</c:v>
                      </c:pt>
                      <c:pt idx="780">
                        <c:v>45691</c:v>
                      </c:pt>
                      <c:pt idx="781">
                        <c:v>45698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30-4862-A43B-821497173CE2}"/>
                  </c:ext>
                </c:extLst>
              </c15:ser>
            </c15:filteredLineSeries>
          </c:ext>
        </c:extLst>
      </c:lineChart>
      <c:catAx>
        <c:axId val="1104332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4332032"/>
        <c:crosses val="autoZero"/>
        <c:auto val="1"/>
        <c:lblAlgn val="ctr"/>
        <c:lblOffset val="100"/>
        <c:noMultiLvlLbl val="0"/>
      </c:catAx>
      <c:valAx>
        <c:axId val="1104332032"/>
        <c:scaling>
          <c:orientation val="minMax"/>
        </c:scaling>
        <c:delete val="1"/>
        <c:axPos val="l"/>
        <c:numFmt formatCode="_([$$-409]* #,##0.00_);_([$$-409]* \(#,##0.00\);_([$$-409]* &quot;-&quot;??_);_(@_)" sourceLinked="1"/>
        <c:majorTickMark val="none"/>
        <c:minorTickMark val="none"/>
        <c:tickLblPos val="nextTo"/>
        <c:crossAx val="110433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109</xdr:col>
      <xdr:colOff>32425</xdr:colOff>
      <xdr:row>22</xdr:row>
      <xdr:rowOff>97276</xdr:rowOff>
    </xdr:from>
    <xdr:to>
      <xdr:col>113</xdr:col>
      <xdr:colOff>379149</xdr:colOff>
      <xdr:row>28</xdr:row>
      <xdr:rowOff>14915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48A7D0-812B-4A7B-80DE-577C886FD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23191" y="4207212"/>
          <a:ext cx="2981299" cy="1036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24</xdr:row>
      <xdr:rowOff>76200</xdr:rowOff>
    </xdr:from>
    <xdr:to>
      <xdr:col>11</xdr:col>
      <xdr:colOff>480060</xdr:colOff>
      <xdr:row>37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99264-F82E-4D57-821D-AF730D6D2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720133</xdr:colOff>
      <xdr:row>8</xdr:row>
      <xdr:rowOff>83736</xdr:rowOff>
    </xdr:from>
    <xdr:to>
      <xdr:col>11</xdr:col>
      <xdr:colOff>477296</xdr:colOff>
      <xdr:row>21</xdr:row>
      <xdr:rowOff>150725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8971F1-2D76-15F3-C6F5-175453F72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167640</xdr:rowOff>
        </xdr:from>
        <xdr:to>
          <xdr:col>2</xdr:col>
          <xdr:colOff>45720</xdr:colOff>
          <xdr:row>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754380</xdr:colOff>
          <xdr:row>1</xdr:row>
          <xdr:rowOff>152400</xdr:rowOff>
        </xdr:from>
        <xdr:to>
          <xdr:col>7</xdr:col>
          <xdr:colOff>373380</xdr:colOff>
          <xdr:row>2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All…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3">
  <a r="1" c="5">
    <v t="i">1</v>
    <v t="i">2</v>
    <v t="i">3</v>
    <v t="i">4</v>
    <v t="i">5</v>
  </a>
  <a r="1" c="5">
    <v>44470.41</v>
    <v>44593.65</v>
    <v>44368.56</v>
    <v>44711.43</v>
    <v>44546.080000000002</v>
  </a>
  <a r="1" c="4045">
    <v t="i">0</v>
    <v t="i">1</v>
    <v t="i">2</v>
    <v t="i">3</v>
    <v t="i">4</v>
    <v t="i">5</v>
    <v t="i">6</v>
    <v t="i">7</v>
    <v t="i">8</v>
    <v t="i">9</v>
    <v t="i">10</v>
    <v t="i">11</v>
    <v t="i">12</v>
    <v t="i">13</v>
    <v t="i">14</v>
    <v t="i">15</v>
    <v t="i">16</v>
    <v t="i">17</v>
    <v t="i">18</v>
    <v t="i">19</v>
    <v t="i">20</v>
    <v t="i">21</v>
    <v t="i">22</v>
    <v t="i">23</v>
    <v t="i">24</v>
    <v t="i">25</v>
    <v t="i">26</v>
    <v t="i">27</v>
    <v t="i">28</v>
    <v t="i">29</v>
    <v t="i">30</v>
    <v t="i">31</v>
    <v t="i">32</v>
    <v t="i">33</v>
    <v t="i">34</v>
    <v t="i">35</v>
    <v t="i">36</v>
    <v t="i">37</v>
    <v t="i">38</v>
    <v t="i">39</v>
    <v t="i">40</v>
    <v t="i">41</v>
    <v t="i">42</v>
    <v t="i">43</v>
    <v t="i">44</v>
    <v t="i">45</v>
    <v t="i">46</v>
    <v t="i">47</v>
    <v t="i">48</v>
    <v t="i">49</v>
    <v t="i">50</v>
    <v t="i">51</v>
    <v t="i">52</v>
    <v t="i">53</v>
    <v t="i">54</v>
    <v t="i">55</v>
    <v t="i">56</v>
    <v t="i">57</v>
    <v t="i">58</v>
    <v t="i">59</v>
    <v t="i">60</v>
    <v t="i">61</v>
    <v t="i">62</v>
    <v t="i">63</v>
    <v t="i">64</v>
    <v t="i">65</v>
    <v t="i">66</v>
    <v t="i">67</v>
    <v t="i">68</v>
    <v t="i">69</v>
    <v t="i">70</v>
    <v t="i">71</v>
    <v t="i">72</v>
    <v t="i">73</v>
    <v t="i">74</v>
    <v t="i">75</v>
    <v t="i">76</v>
    <v t="i">77</v>
    <v t="i">78</v>
    <v t="i">79</v>
    <v t="i">80</v>
    <v t="i">81</v>
    <v t="i">82</v>
    <v t="i">83</v>
    <v t="i">84</v>
    <v t="i">85</v>
    <v t="i">86</v>
    <v t="i">87</v>
    <v t="i">88</v>
    <v t="i">89</v>
    <v t="i">90</v>
    <v t="i">91</v>
    <v t="i">92</v>
    <v t="i">93</v>
    <v t="i">94</v>
    <v t="i">95</v>
    <v t="i">96</v>
    <v t="i">97</v>
    <v t="i">98</v>
    <v t="i">99</v>
    <v t="i">100</v>
    <v t="i">101</v>
    <v t="i">102</v>
    <v t="i">103</v>
    <v t="i">104</v>
    <v t="i">105</v>
    <v t="i">106</v>
    <v t="i">107</v>
    <v t="i">108</v>
    <v t="i">109</v>
    <v t="i">110</v>
    <v t="i">111</v>
    <v t="i">112</v>
    <v t="i">113</v>
    <v t="i">114</v>
    <v t="i">115</v>
    <v t="i">116</v>
    <v t="i">117</v>
    <v t="i">118</v>
    <v t="i">119</v>
    <v t="i">120</v>
    <v t="i">121</v>
    <v t="i">122</v>
    <v t="i">123</v>
    <v t="i">124</v>
    <v t="i">125</v>
    <v t="i">126</v>
    <v t="i">127</v>
    <v t="i">128</v>
    <v t="i">129</v>
    <v t="i">130</v>
    <v t="i">131</v>
    <v t="i">132</v>
    <v t="i">133</v>
    <v t="i">134</v>
    <v t="i">135</v>
    <v t="i">136</v>
    <v t="i">137</v>
    <v t="i">138</v>
    <v t="i">139</v>
    <v t="i">140</v>
    <v t="i">141</v>
    <v t="i">142</v>
    <v t="i">143</v>
    <v t="i">144</v>
    <v t="i">145</v>
    <v t="i">146</v>
    <v t="i">147</v>
    <v t="i">148</v>
    <v t="i">149</v>
    <v t="i">150</v>
    <v t="i">151</v>
    <v t="i">152</v>
    <v t="i">153</v>
    <v t="i">154</v>
    <v t="i">155</v>
    <v t="i">156</v>
    <v t="i">157</v>
    <v t="i">158</v>
    <v t="i">159</v>
    <v t="i">160</v>
    <v t="i">161</v>
    <v t="i">162</v>
    <v t="i">163</v>
    <v t="i">164</v>
    <v t="i">165</v>
    <v t="i">166</v>
    <v t="i">167</v>
    <v t="i">168</v>
    <v t="i">169</v>
    <v t="i">170</v>
    <v t="i">171</v>
    <v t="i">172</v>
    <v t="i">173</v>
    <v t="i">174</v>
    <v t="i">175</v>
    <v t="i">176</v>
    <v t="i">177</v>
    <v t="i">178</v>
    <v t="i">179</v>
    <v t="i">180</v>
    <v t="i">181</v>
    <v t="i">182</v>
    <v t="i">183</v>
    <v t="i">184</v>
    <v t="i">185</v>
    <v t="i">186</v>
    <v t="i">187</v>
    <v t="i">188</v>
    <v t="i">189</v>
    <v t="i">190</v>
    <v t="i">191</v>
    <v t="i">192</v>
    <v t="i">193</v>
    <v t="i">194</v>
    <v t="i">195</v>
    <v t="i">196</v>
    <v t="i">197</v>
    <v t="i">198</v>
    <v t="i">199</v>
    <v t="i">200</v>
    <v t="i">201</v>
    <v t="i">202</v>
    <v t="i">203</v>
    <v t="i">204</v>
    <v t="i">205</v>
    <v t="i">206</v>
    <v t="i">207</v>
    <v t="i">208</v>
    <v t="i">209</v>
    <v t="i">210</v>
    <v t="i">211</v>
    <v t="i">212</v>
    <v t="i">213</v>
    <v t="i">214</v>
    <v t="i">215</v>
    <v t="i">216</v>
    <v t="i">217</v>
    <v t="i">218</v>
    <v t="i">219</v>
    <v t="i">220</v>
    <v t="i">221</v>
    <v t="i">222</v>
    <v t="i">223</v>
    <v t="i">224</v>
    <v t="i">225</v>
    <v t="i">226</v>
    <v t="i">227</v>
    <v t="i">228</v>
    <v t="i">229</v>
    <v t="i">230</v>
    <v t="i">231</v>
    <v t="i">232</v>
    <v t="i">233</v>
    <v t="i">234</v>
    <v t="i">235</v>
    <v t="i">236</v>
    <v t="i">237</v>
    <v t="i">238</v>
    <v t="i">239</v>
    <v t="i">240</v>
    <v t="i">241</v>
    <v t="i">242</v>
    <v t="i">243</v>
    <v t="i">244</v>
    <v t="i">245</v>
    <v t="i">246</v>
    <v t="i">247</v>
    <v t="i">248</v>
    <v t="i">249</v>
    <v t="i">250</v>
    <v t="i">251</v>
    <v t="i">252</v>
    <v t="i">253</v>
    <v t="i">254</v>
    <v t="i">255</v>
    <v t="i">256</v>
    <v t="i">257</v>
    <v t="i">258</v>
    <v t="i">259</v>
    <v t="i">260</v>
    <v t="i">261</v>
    <v t="i">262</v>
    <v t="i">263</v>
    <v t="i">264</v>
    <v t="i">265</v>
    <v t="i">266</v>
    <v t="i">267</v>
    <v t="i">268</v>
    <v t="i">269</v>
    <v t="i">270</v>
    <v t="i">271</v>
    <v t="i">272</v>
    <v t="i">273</v>
    <v t="i">274</v>
    <v t="i">275</v>
    <v t="i">276</v>
    <v t="i">277</v>
    <v t="i">278</v>
    <v t="i">279</v>
    <v t="i">280</v>
    <v t="i">281</v>
    <v t="i">282</v>
    <v t="i">283</v>
    <v t="i">284</v>
    <v t="i">285</v>
    <v t="i">286</v>
    <v t="i">287</v>
    <v t="i">288</v>
    <v t="i">289</v>
    <v t="i">290</v>
    <v t="i">291</v>
    <v t="i">292</v>
    <v t="i">293</v>
    <v t="i">294</v>
    <v t="i">295</v>
    <v t="i">296</v>
    <v t="i">297</v>
    <v t="i">298</v>
    <v t="i">299</v>
    <v t="i">300</v>
    <v t="i">301</v>
    <v t="i">302</v>
    <v t="i">303</v>
    <v t="i">304</v>
    <v t="i">305</v>
    <v t="i">306</v>
    <v t="i">307</v>
    <v t="i">308</v>
    <v t="i">309</v>
    <v t="i">310</v>
    <v t="i">311</v>
    <v t="i">312</v>
    <v t="i">313</v>
    <v t="i">314</v>
    <v t="i">315</v>
    <v t="i">316</v>
    <v t="i">317</v>
    <v t="i">318</v>
    <v t="i">319</v>
    <v t="i">320</v>
    <v t="i">321</v>
    <v t="i">322</v>
    <v t="i">323</v>
    <v t="i">324</v>
    <v t="i">325</v>
    <v t="i">326</v>
    <v t="i">327</v>
    <v t="i">328</v>
    <v t="i">329</v>
    <v t="i">330</v>
    <v t="i">331</v>
    <v t="i">332</v>
    <v t="i">333</v>
    <v t="i">334</v>
    <v t="i">335</v>
    <v t="i">336</v>
    <v t="i">337</v>
    <v t="i">338</v>
    <v t="i">339</v>
    <v t="i">340</v>
    <v t="i">341</v>
    <v t="i">342</v>
    <v t="i">343</v>
    <v t="i">344</v>
    <v t="i">345</v>
    <v t="i">346</v>
    <v t="i">347</v>
    <v t="i">348</v>
    <v t="i">349</v>
    <v t="i">350</v>
    <v t="i">351</v>
    <v t="i">352</v>
    <v t="i">353</v>
    <v t="i">354</v>
    <v t="i">355</v>
    <v t="i">356</v>
    <v t="i">357</v>
    <v t="i">358</v>
    <v t="i">359</v>
    <v t="i">360</v>
    <v t="i">361</v>
    <v t="i">362</v>
    <v t="i">363</v>
    <v t="i">364</v>
    <v t="i">365</v>
    <v t="i">366</v>
    <v t="i">367</v>
    <v t="i">368</v>
    <v t="i">369</v>
    <v t="i">370</v>
    <v t="i">371</v>
    <v t="i">372</v>
    <v t="i">373</v>
    <v t="i">374</v>
    <v t="i">375</v>
    <v t="i">376</v>
    <v t="i">377</v>
    <v t="i">378</v>
    <v t="i">379</v>
    <v t="i">380</v>
    <v t="i">381</v>
    <v t="i">382</v>
    <v t="i">383</v>
    <v t="i">384</v>
    <v t="i">385</v>
    <v t="i">386</v>
    <v t="i">387</v>
    <v t="i">388</v>
    <v t="i">389</v>
    <v t="i">390</v>
    <v t="i">391</v>
    <v t="i">392</v>
    <v t="i">393</v>
    <v t="i">394</v>
    <v t="i">395</v>
    <v t="i">396</v>
    <v t="i">397</v>
    <v t="i">398</v>
    <v t="i">399</v>
    <v t="i">400</v>
    <v t="i">401</v>
    <v t="i">402</v>
    <v t="i">403</v>
    <v t="i">404</v>
    <v t="i">405</v>
    <v t="i">406</v>
    <v t="i">407</v>
    <v t="i">408</v>
    <v t="i">409</v>
    <v t="i">410</v>
    <v t="i">411</v>
    <v t="i">412</v>
    <v t="i">413</v>
    <v t="i">414</v>
    <v t="i">415</v>
    <v t="i">416</v>
    <v t="i">417</v>
    <v t="i">418</v>
    <v t="i">419</v>
    <v t="i">420</v>
    <v t="i">421</v>
    <v t="i">422</v>
    <v t="i">423</v>
    <v t="i">424</v>
    <v t="i">425</v>
    <v t="i">426</v>
    <v t="i">427</v>
    <v t="i">428</v>
    <v t="i">429</v>
    <v t="i">430</v>
    <v t="i">431</v>
    <v t="i">432</v>
    <v t="i">433</v>
    <v t="i">434</v>
    <v t="i">435</v>
    <v t="i">436</v>
    <v t="i">437</v>
    <v t="i">438</v>
    <v t="i">439</v>
    <v t="i">440</v>
    <v t="i">441</v>
    <v t="i">442</v>
    <v t="i">443</v>
    <v t="i">444</v>
    <v t="i">445</v>
    <v t="i">446</v>
    <v t="i">447</v>
    <v t="i">448</v>
    <v t="i">449</v>
    <v t="i">450</v>
    <v t="i">451</v>
    <v t="i">452</v>
    <v t="i">453</v>
    <v t="i">454</v>
    <v t="i">455</v>
    <v t="i">456</v>
    <v t="i">457</v>
    <v t="i">458</v>
    <v t="i">459</v>
    <v t="i">460</v>
    <v t="i">461</v>
    <v t="i">462</v>
    <v t="i">463</v>
    <v t="i">464</v>
    <v t="i">465</v>
    <v t="i">466</v>
    <v t="i">467</v>
    <v t="i">468</v>
    <v t="i">469</v>
    <v t="i">470</v>
    <v t="i">471</v>
    <v t="i">472</v>
    <v t="i">473</v>
    <v t="i">474</v>
    <v t="i">475</v>
    <v t="i">476</v>
    <v t="i">477</v>
    <v t="i">478</v>
    <v t="i">479</v>
    <v t="i">480</v>
    <v t="i">481</v>
    <v t="i">482</v>
    <v t="i">483</v>
    <v t="i">484</v>
    <v t="i">485</v>
    <v t="i">486</v>
    <v t="i">487</v>
    <v t="i">488</v>
    <v t="i">489</v>
    <v t="i">490</v>
    <v t="i">491</v>
    <v t="i">492</v>
    <v t="i">493</v>
    <v t="i">494</v>
    <v t="i">495</v>
    <v t="i">496</v>
    <v t="i">497</v>
    <v t="i">498</v>
    <v t="i">499</v>
    <v t="i">500</v>
    <v t="i">501</v>
    <v t="i">502</v>
    <v t="i">503</v>
    <v t="i">504</v>
    <v t="i">505</v>
    <v t="i">506</v>
    <v t="i">507</v>
    <v t="i">508</v>
    <v t="i">509</v>
    <v t="i">510</v>
    <v t="i">511</v>
    <v t="i">512</v>
    <v t="i">513</v>
    <v t="i">514</v>
    <v t="i">515</v>
    <v t="i">516</v>
    <v t="i">517</v>
    <v t="i">518</v>
    <v t="i">519</v>
    <v t="i">520</v>
    <v t="i">521</v>
    <v t="i">522</v>
    <v t="i">523</v>
    <v t="i">524</v>
    <v t="i">525</v>
    <v t="i">526</v>
    <v t="i">527</v>
    <v t="i">528</v>
    <v t="i">529</v>
    <v t="i">530</v>
    <v t="i">531</v>
    <v t="i">532</v>
    <v t="i">533</v>
    <v t="i">534</v>
    <v t="i">535</v>
    <v t="i">536</v>
    <v t="i">537</v>
    <v t="i">538</v>
    <v t="i">539</v>
    <v t="i">540</v>
    <v t="i">541</v>
    <v t="i">542</v>
    <v t="i">543</v>
    <v t="i">544</v>
    <v t="i">545</v>
    <v t="i">546</v>
    <v t="i">547</v>
    <v t="i">548</v>
    <v t="i">549</v>
    <v t="i">550</v>
    <v t="i">551</v>
    <v t="i">552</v>
    <v t="i">553</v>
    <v t="i">554</v>
    <v t="i">555</v>
    <v t="i">556</v>
    <v t="i">557</v>
    <v t="i">558</v>
    <v t="i">559</v>
    <v t="i">560</v>
    <v t="i">561</v>
    <v t="i">562</v>
    <v t="i">563</v>
    <v t="i">564</v>
    <v t="i">565</v>
    <v t="i">566</v>
    <v t="i">567</v>
    <v t="i">568</v>
    <v t="i">569</v>
    <v t="i">570</v>
    <v t="i">571</v>
    <v t="i">572</v>
    <v t="i">573</v>
    <v t="i">574</v>
    <v t="i">575</v>
    <v t="i">576</v>
    <v t="i">577</v>
    <v t="i">578</v>
    <v t="i">579</v>
    <v t="i">580</v>
    <v t="i">581</v>
    <v t="i">582</v>
    <v t="i">583</v>
    <v t="i">584</v>
    <v t="i">585</v>
    <v t="i">586</v>
    <v t="i">587</v>
    <v t="i">588</v>
    <v t="i">589</v>
    <v t="i">590</v>
    <v t="i">591</v>
    <v t="i">592</v>
    <v t="i">593</v>
    <v t="i">594</v>
    <v t="i">595</v>
    <v t="i">596</v>
    <v t="i">597</v>
    <v t="i">598</v>
    <v t="i">599</v>
    <v t="i">600</v>
    <v t="i">601</v>
    <v t="i">602</v>
    <v t="i">603</v>
    <v t="i">604</v>
    <v t="i">605</v>
    <v t="i">606</v>
    <v t="i">607</v>
    <v t="i">608</v>
    <v t="i">609</v>
    <v t="i">610</v>
    <v t="i">611</v>
    <v t="i">612</v>
    <v t="i">613</v>
    <v t="i">614</v>
    <v t="i">615</v>
    <v t="i">616</v>
    <v t="i">617</v>
    <v t="i">618</v>
    <v t="i">619</v>
    <v t="i">620</v>
    <v t="i">621</v>
    <v t="i">622</v>
    <v t="i">623</v>
    <v t="i">624</v>
    <v t="i">625</v>
    <v t="i">626</v>
    <v t="i">627</v>
    <v t="i">628</v>
    <v t="i">629</v>
    <v t="i">630</v>
    <v t="i">631</v>
    <v t="i">632</v>
    <v t="i">633</v>
    <v t="i">634</v>
    <v t="i">635</v>
    <v t="i">636</v>
    <v t="i">637</v>
    <v t="i">638</v>
    <v t="i">639</v>
    <v t="i">640</v>
    <v t="i">641</v>
    <v t="i">642</v>
    <v t="i">643</v>
    <v t="i">644</v>
    <v t="i">645</v>
    <v t="i">646</v>
    <v t="i">647</v>
    <v t="i">648</v>
    <v t="i">649</v>
    <v t="i">650</v>
    <v t="i">651</v>
    <v t="i">652</v>
    <v t="i">653</v>
    <v t="i">654</v>
    <v t="i">655</v>
    <v t="i">656</v>
    <v t="i">657</v>
    <v t="i">658</v>
    <v t="i">659</v>
    <v t="i">660</v>
    <v t="i">661</v>
    <v t="i">662</v>
    <v t="i">663</v>
    <v t="i">664</v>
    <v t="i">665</v>
    <v t="i">666</v>
    <v t="i">667</v>
    <v t="i">668</v>
    <v t="i">669</v>
    <v t="i">670</v>
    <v t="i">671</v>
    <v t="i">672</v>
    <v t="i">673</v>
    <v t="i">674</v>
    <v t="i">675</v>
    <v t="i">676</v>
    <v t="i">677</v>
    <v t="i">678</v>
    <v t="i">679</v>
    <v t="i">680</v>
    <v t="i">681</v>
    <v t="i">682</v>
    <v t="i">683</v>
    <v t="i">684</v>
    <v t="i">685</v>
    <v t="i">686</v>
    <v t="i">687</v>
    <v t="i">688</v>
    <v t="i">689</v>
    <v t="i">690</v>
    <v t="i">691</v>
    <v t="i">692</v>
    <v t="i">693</v>
    <v t="i">694</v>
    <v t="i">695</v>
    <v t="i">696</v>
    <v t="i">697</v>
    <v t="i">698</v>
    <v t="i">699</v>
    <v t="i">700</v>
    <v t="i">701</v>
    <v t="i">702</v>
    <v t="i">703</v>
    <v t="i">704</v>
    <v t="i">705</v>
    <v t="i">706</v>
    <v t="i">707</v>
    <v t="i">708</v>
    <v t="i">709</v>
    <v t="i">710</v>
    <v t="i">711</v>
    <v t="i">712</v>
    <v t="i">713</v>
    <v t="i">714</v>
    <v t="i">715</v>
    <v t="i">716</v>
    <v t="i">717</v>
    <v t="i">718</v>
    <v t="i">719</v>
    <v t="i">720</v>
    <v t="i">721</v>
    <v t="i">722</v>
    <v t="i">723</v>
    <v t="i">724</v>
    <v t="i">725</v>
    <v t="i">726</v>
    <v t="i">727</v>
    <v t="i">728</v>
    <v t="i">729</v>
    <v t="i">730</v>
    <v t="i">731</v>
    <v t="i">732</v>
    <v t="i">733</v>
    <v t="i">734</v>
    <v t="i">735</v>
    <v t="i">736</v>
    <v t="i">737</v>
    <v t="i">738</v>
    <v t="i">739</v>
    <v t="i">740</v>
    <v t="i">741</v>
    <v t="i">742</v>
    <v t="i">743</v>
    <v t="i">744</v>
    <v t="i">745</v>
    <v t="i">746</v>
    <v t="i">747</v>
    <v t="i">748</v>
    <v t="i">749</v>
    <v t="i">750</v>
    <v t="i">751</v>
    <v t="i">752</v>
    <v t="i">753</v>
    <v t="i">754</v>
    <v t="i">755</v>
    <v t="i">756</v>
    <v t="i">757</v>
    <v t="i">758</v>
    <v t="i">759</v>
    <v t="i">760</v>
    <v t="i">761</v>
    <v t="i">762</v>
    <v t="i">763</v>
    <v t="i">764</v>
    <v t="i">765</v>
    <v t="i">766</v>
    <v t="i">767</v>
    <v t="i">768</v>
    <v t="i">769</v>
    <v t="i">770</v>
    <v t="i">771</v>
    <v t="i">772</v>
    <v t="i">773</v>
    <v t="i">774</v>
    <v t="i">775</v>
    <v t="i">776</v>
    <v t="i">777</v>
    <v t="i">778</v>
    <v t="i">779</v>
    <v t="i">780</v>
    <v t="i">781</v>
    <v t="i">782</v>
    <v t="i">783</v>
    <v t="i">784</v>
    <v t="i">785</v>
    <v t="i">786</v>
    <v t="i">787</v>
    <v t="i">788</v>
    <v t="i">789</v>
    <v t="i">790</v>
    <v t="i">791</v>
    <v t="i">792</v>
    <v t="i">793</v>
    <v t="i">794</v>
    <v t="i">795</v>
    <v t="i">796</v>
    <v t="i">797</v>
    <v t="i">798</v>
    <v t="i">799</v>
    <v t="i">800</v>
    <v t="i">801</v>
    <v t="i">802</v>
    <v t="i">803</v>
    <v t="i">804</v>
    <v t="i">805</v>
    <v t="i">806</v>
    <v t="i">807</v>
    <v t="i">808</v>
    <v t="i">809</v>
    <v t="i">810</v>
    <v t="i">811</v>
    <v t="i">812</v>
    <v t="i">813</v>
    <v t="i">814</v>
    <v t="i">815</v>
    <v t="i">816</v>
    <v t="i">817</v>
    <v t="i">818</v>
    <v t="i">819</v>
    <v t="i">820</v>
    <v t="i">821</v>
    <v t="i">822</v>
    <v t="i">823</v>
    <v t="i">824</v>
    <v t="i">825</v>
    <v t="i">826</v>
    <v t="i">827</v>
    <v t="i">828</v>
    <v t="i">829</v>
    <v t="i">830</v>
    <v t="i">831</v>
    <v t="i">832</v>
    <v t="i">833</v>
    <v t="i">834</v>
    <v t="i">835</v>
    <v t="i">836</v>
    <v t="i">837</v>
    <v t="i">838</v>
    <v t="i">839</v>
    <v t="i">840</v>
    <v t="i">841</v>
    <v t="i">842</v>
    <v t="i">843</v>
    <v t="i">844</v>
    <v t="i">845</v>
    <v t="i">846</v>
    <v t="i">847</v>
    <v t="i">848</v>
    <v t="i">849</v>
    <v t="i">850</v>
    <v t="i">851</v>
    <v t="i">852</v>
    <v t="i">853</v>
    <v t="i">854</v>
    <v t="i">855</v>
    <v t="i">856</v>
    <v t="i">857</v>
    <v t="i">858</v>
    <v t="i">859</v>
    <v t="i">860</v>
    <v t="i">861</v>
    <v t="i">862</v>
    <v t="i">863</v>
    <v t="i">864</v>
    <v t="i">865</v>
    <v t="i">866</v>
    <v t="i">867</v>
    <v t="i">868</v>
    <v t="i">869</v>
    <v t="i">870</v>
    <v t="i">871</v>
    <v t="i">874</v>
    <v t="i">875</v>
    <v t="i">876</v>
    <v t="i">877</v>
    <v t="i">878</v>
    <v t="i">881</v>
    <v t="i">882</v>
    <v t="i">883</v>
    <v t="i">884</v>
    <v t="i">885</v>
    <v t="i">888</v>
    <v t="i">889</v>
    <v t="i">890</v>
    <v t="i">891</v>
    <v t="i">892</v>
    <v t="i">895</v>
    <v t="i">896</v>
    <v t="i">897</v>
    <v t="i">898</v>
    <v t="i">899</v>
    <v t="i">902</v>
    <v t="i">903</v>
    <v t="i">904</v>
    <v t="i">905</v>
    <v t="i">906</v>
    <v t="i">909</v>
    <v t="i">910</v>
    <v t="i">911</v>
    <v t="i">912</v>
    <v t="i">913</v>
    <v t="i">916</v>
    <v t="i">917</v>
    <v t="i">918</v>
    <v t="i">919</v>
    <v t="i">920</v>
    <v t="i">923</v>
    <v t="i">924</v>
    <v t="i">925</v>
    <v t="i">926</v>
    <v t="i">927</v>
    <v t="i">931</v>
    <v t="i">932</v>
    <v t="i">933</v>
    <v t="i">934</v>
    <v t="i">937</v>
    <v t="i">938</v>
    <v t="i">939</v>
    <v t="i">940</v>
    <v t="i">941</v>
    <v t="i">944</v>
    <v t="i">945</v>
    <v t="i">946</v>
    <v t="i">947</v>
    <v t="i">948</v>
    <v t="i">951</v>
    <v t="i">952</v>
    <v t="i">953</v>
    <v t="i">954</v>
    <v t="i">955</v>
    <v t="i">958</v>
    <v t="i">959</v>
    <v t="i">960</v>
    <v t="i">961</v>
    <v t="i">962</v>
    <v t="i">965</v>
    <v t="i">966</v>
    <v t="i">967</v>
    <v t="i">968</v>
    <v t="i">969</v>
    <v t="i">972</v>
    <v t="i">973</v>
    <v t="i">974</v>
    <v t="i">975</v>
    <v t="i">976</v>
    <v t="i">979</v>
    <v t="i">980</v>
    <v t="i">981</v>
    <v t="i">982</v>
    <v t="i">983</v>
    <v t="i">987</v>
    <v t="i">988</v>
    <v t="i">989</v>
    <v t="i">990</v>
    <v t="i">993</v>
    <v t="i">994</v>
    <v t="i">995</v>
    <v t="i">996</v>
    <v t="i">997</v>
    <v t="i">1000</v>
    <v t="i">1001</v>
    <v t="i">1002</v>
    <v t="i">1003</v>
    <v t="i">1004</v>
    <v t="i">1007</v>
    <v t="i">1008</v>
    <v t="i">1009</v>
    <v t="i">1011</v>
    <v t="i">1014</v>
    <v t="i">1015</v>
    <v t="i">1016</v>
    <v t="i">1017</v>
    <v t="i">1018</v>
    <v t="i">1021</v>
    <v t="i">1022</v>
    <v t="i">1023</v>
    <v t="i">1024</v>
    <v t="i">1025</v>
    <v t="i">1028</v>
    <v t="i">1029</v>
    <v t="i">1030</v>
    <v t="i">1031</v>
    <v t="i">1032</v>
    <v t="i">1035</v>
    <v t="i">1036</v>
    <v t="i">1037</v>
    <v t="i">1038</v>
    <v t="i">1039</v>
    <v t="i">1042</v>
    <v t="i">1044</v>
    <v t="i">1045</v>
    <v t="i">1046</v>
    <v t="i">1049</v>
    <v t="i">1051</v>
    <v t="i">1052</v>
    <v t="i">1053</v>
    <v t="i">1056</v>
    <v t="i">1057</v>
    <v t="i">1058</v>
    <v t="i">1059</v>
    <v t="i">1060</v>
    <v t="i">1063</v>
    <v t="i">1064</v>
    <v t="i">1065</v>
    <v t="i">1066</v>
    <v t="i">1067</v>
    <v t="i">1071</v>
    <v t="i">1072</v>
    <v t="i">1073</v>
    <v t="i">1074</v>
    <v t="i">1077</v>
    <v t="i">1078</v>
    <v t="i">1079</v>
    <v t="i">1080</v>
    <v t="i">1081</v>
    <v t="i">1084</v>
    <v t="i">1085</v>
    <v t="i">1086</v>
    <v t="i">1087</v>
    <v t="i">1088</v>
    <v t="i">1091</v>
    <v t="i">1092</v>
    <v t="i">1093</v>
    <v t="i">1094</v>
    <v t="i">1095</v>
    <v t="i">1099</v>
    <v t="i">1100</v>
    <v t="i">1101</v>
    <v t="i">1102</v>
    <v t="i">1105</v>
    <v t="i">1106</v>
    <v t="i">1107</v>
    <v t="i">1108</v>
    <v t="i">1109</v>
    <v t="i">1112</v>
    <v t="i">1113</v>
    <v t="i">1114</v>
    <v t="i">1115</v>
    <v t="i">1116</v>
    <v t="i">1119</v>
    <v t="i">1120</v>
    <v t="i">1121</v>
    <v t="i">1122</v>
    <v t="i">1123</v>
    <v t="i">1126</v>
    <v t="i">1127</v>
    <v t="i">1128</v>
    <v t="i">1129</v>
    <v t="i">1130</v>
    <v t="i">1133</v>
    <v t="i">1134</v>
    <v t="i">1135</v>
    <v t="i">1136</v>
    <v t="i">1140</v>
    <v t="i">1141</v>
    <v t="i">1142</v>
    <v t="i">1143</v>
    <v t="i">1144</v>
    <v t="i">1147</v>
    <v t="i">1148</v>
    <v t="i">1149</v>
    <v t="i">1150</v>
    <v t="i">1151</v>
    <v t="i">1154</v>
    <v t="i">1155</v>
    <v t="i">1156</v>
    <v t="i">1157</v>
    <v t="i">1158</v>
    <v t="i">1161</v>
    <v t="i">1162</v>
    <v t="i">1163</v>
    <v t="i">1164</v>
    <v t="i">1165</v>
    <v t="i">1168</v>
    <v t="i">1169</v>
    <v t="i">1170</v>
    <v t="i">1171</v>
    <v t="i">1172</v>
    <v t="i">1175</v>
    <v t="i">1176</v>
    <v t="i">1177</v>
    <v t="i">1178</v>
    <v t="i">1179</v>
    <v t="i">1182</v>
    <v t="i">1183</v>
    <v t="i">1184</v>
    <v t="i">1185</v>
    <v t="i">1186</v>
    <v t="i">1189</v>
    <v t="i">1190</v>
    <v t="i">1191</v>
    <v t="i">1192</v>
    <v t="i">1193</v>
    <v t="i">1197</v>
    <v t="i">1198</v>
    <v t="i">1199</v>
    <v t="i">1200</v>
    <v t="i">1203</v>
    <v t="i">1204</v>
    <v t="i">1205</v>
    <v t="i">1206</v>
    <v t="i">1207</v>
    <v t="i">1210</v>
    <v t="i">1211</v>
    <v t="i">1212</v>
    <v t="i">1213</v>
    <v t="i">1214</v>
    <v t="i">1217</v>
    <v t="i">1218</v>
    <v t="i">1219</v>
    <v t="i">1220</v>
    <v t="i">1221</v>
    <v t="i">1224</v>
    <v t="i">1225</v>
    <v t="i">1226</v>
    <v t="i">1227</v>
    <v t="i">1228</v>
    <v t="i">1231</v>
    <v t="i">1232</v>
    <v t="i">1233</v>
    <v t="i">1235</v>
    <v t="i">1238</v>
    <v t="i">1239</v>
    <v t="i">1240</v>
    <v t="i">1241</v>
    <v t="i">1242</v>
    <v t="i">1245</v>
    <v t="i">1246</v>
    <v t="i">1247</v>
    <v t="i">1248</v>
    <v t="i">1249</v>
    <v t="i">1252</v>
    <v t="i">1253</v>
    <v t="i">1254</v>
    <v t="i">1255</v>
    <v t="i">1256</v>
    <v t="i">1259</v>
    <v t="i">1260</v>
    <v t="i">1261</v>
    <v t="i">1262</v>
    <v t="i">1263</v>
    <v t="i">1266</v>
    <v t="i">1267</v>
    <v t="i">1268</v>
    <v t="i">1269</v>
    <v t="i">1270</v>
    <v t="i">1273</v>
    <v t="i">1274</v>
    <v t="i">1275</v>
    <v t="i">1276</v>
    <v t="i">1277</v>
    <v t="i">1280</v>
    <v t="i">1281</v>
    <v t="i">1282</v>
    <v t="i">1283</v>
    <v t="i">1284</v>
    <v t="i">1287</v>
    <v t="i">1288</v>
    <v t="i">1289</v>
    <v t="i">1290</v>
    <v t="i">1291</v>
    <v t="i">1295</v>
    <v t="i">1296</v>
    <v t="i">1297</v>
    <v t="i">1298</v>
    <v t="i">1301</v>
    <v t="i">1302</v>
    <v t="i">1303</v>
    <v t="i">1304</v>
    <v t="i">1305</v>
    <v t="i">1308</v>
    <v t="i">1309</v>
    <v t="i">1310</v>
    <v t="i">1311</v>
    <v t="i">1312</v>
    <v t="i">1315</v>
    <v t="i">1316</v>
    <v t="i">1317</v>
    <v t="i">1318</v>
    <v t="i">1319</v>
    <v t="i">1322</v>
    <v t="i">1323</v>
    <v t="i">1324</v>
    <v t="i">1325</v>
    <v t="i">1326</v>
    <v t="i">1329</v>
    <v t="i">1330</v>
    <v t="i">1331</v>
    <v t="i">1332</v>
    <v t="i">1333</v>
    <v t="i">1336</v>
    <v t="i">1337</v>
    <v t="i">1338</v>
    <v t="i">1339</v>
    <v t="i">1340</v>
    <v t="i">1343</v>
    <v t="i">1344</v>
    <v t="i">1345</v>
    <v t="i">1346</v>
    <v t="i">1347</v>
    <v t="i">1350</v>
    <v t="i">1351</v>
    <v t="i">1352</v>
    <v t="i">1353</v>
    <v t="i">1354</v>
    <v t="i">1357</v>
    <v t="i">1358</v>
    <v t="i">1359</v>
    <v t="i">1360</v>
    <v t="i">1361</v>
    <v t="i">1364</v>
    <v t="i">1365</v>
    <v t="i">1366</v>
    <v t="i">1367</v>
    <v t="i">1368</v>
    <v t="i">1371</v>
    <v t="i">1372</v>
    <v t="i">1373</v>
    <v t="i">1374</v>
    <v t="i">1375</v>
    <v t="i">1378</v>
    <v t="i">1379</v>
    <v t="i">1380</v>
    <v t="i">1382</v>
    <v t="i">1385</v>
    <v t="i">1386</v>
    <v t="i">1387</v>
    <v t="i">1388</v>
    <v t="i">1389</v>
    <v t="i">1392</v>
    <v t="i">1393</v>
    <v t="i">1394</v>
    <v t="i">1395</v>
    <v t="i">1396</v>
    <v t="i">1399</v>
    <v t="i">1400</v>
    <v t="i">1401</v>
    <v t="i">1402</v>
    <v t="i">1403</v>
    <v t="i">1406</v>
    <v t="i">1407</v>
    <v t="i">1409</v>
    <v t="i">1410</v>
    <v t="i">1413</v>
    <v t="i">1414</v>
    <v t="i">1416</v>
    <v t="i">1417</v>
    <v t="i">1420</v>
    <v t="i">1421</v>
    <v t="i">1422</v>
    <v t="i">1423</v>
    <v t="i">1424</v>
    <v t="i">1427</v>
    <v t="i">1428</v>
    <v t="i">1429</v>
    <v t="i">1430</v>
    <v t="i">1431</v>
    <v t="i">1435</v>
    <v t="i">1436</v>
    <v t="i">1437</v>
    <v t="i">1438</v>
    <v t="i">1441</v>
    <v t="i">1442</v>
    <v t="i">1443</v>
    <v t="i">1444</v>
    <v t="i">1445</v>
    <v t="i">1448</v>
    <v t="i">1449</v>
    <v t="i">1450</v>
    <v t="i">1451</v>
    <v t="i">1452</v>
    <v t="i">1455</v>
    <v t="i">1456</v>
    <v t="i">1457</v>
    <v t="i">1458</v>
    <v t="i">1459</v>
    <v t="i">1463</v>
    <v t="i">1464</v>
    <v t="i">1465</v>
    <v t="i">1466</v>
    <v t="i">1469</v>
    <v t="i">1470</v>
    <v t="i">1471</v>
    <v t="i">1472</v>
    <v t="i">1473</v>
    <v t="i">1476</v>
    <v t="i">1477</v>
    <v t="i">1478</v>
    <v t="i">1479</v>
    <v t="i">1480</v>
    <v t="i">1483</v>
    <v t="i">1484</v>
    <v t="i">1485</v>
    <v t="i">1486</v>
    <v t="i">1487</v>
    <v t="i">1490</v>
    <v t="i">1491</v>
    <v t="i">1492</v>
    <v t="i">1493</v>
    <v t="i">1494</v>
    <v t="i">1497</v>
    <v t="i">1498</v>
    <v t="i">1499</v>
    <v t="i">1500</v>
    <v t="i">1501</v>
    <v t="i">1504</v>
    <v t="i">1505</v>
    <v t="i">1506</v>
    <v t="i">1507</v>
    <v t="i">1508</v>
    <v t="i">1511</v>
    <v t="i">1512</v>
    <v t="i">1513</v>
    <v t="i">1514</v>
    <v t="i">1515</v>
    <v t="i">1518</v>
    <v t="i">1519</v>
    <v t="i">1520</v>
    <v t="i">1521</v>
    <v t="i">1525</v>
    <v t="i">1526</v>
    <v t="i">1527</v>
    <v t="i">1528</v>
    <v t="i">1529</v>
    <v t="i">1532</v>
    <v t="i">1533</v>
    <v t="i">1534</v>
    <v t="i">1535</v>
    <v t="i">1536</v>
    <v t="i">1539</v>
    <v t="i">1540</v>
    <v t="i">1541</v>
    <v t="i">1542</v>
    <v t="i">1543</v>
    <v t="i">1546</v>
    <v t="i">1547</v>
    <v t="i">1548</v>
    <v t="i">1549</v>
    <v t="i">1550</v>
    <v t="i">1553</v>
    <v t="i">1554</v>
    <v t="i">1555</v>
    <v t="i">1556</v>
    <v t="i">1557</v>
    <v t="i">1561</v>
    <v t="i">1562</v>
    <v t="i">1563</v>
    <v t="i">1564</v>
    <v t="i">1567</v>
    <v t="i">1568</v>
    <v t="i">1569</v>
    <v t="i">1570</v>
    <v t="i">1571</v>
    <v t="i">1574</v>
    <v t="i">1575</v>
    <v t="i">1576</v>
    <v t="i">1577</v>
    <v t="i">1578</v>
    <v t="i">1581</v>
    <v t="i">1582</v>
    <v t="i">1583</v>
    <v t="i">1584</v>
    <v t="i">1585</v>
    <v t="i">1588</v>
    <v t="i">1589</v>
    <v t="i">1590</v>
    <v t="i">1591</v>
    <v t="i">1592</v>
    <v t="i">1595</v>
    <v t="i">1596</v>
    <v t="i">1597</v>
    <v t="i">1598</v>
    <v t="i">1602</v>
    <v t="i">1603</v>
    <v t="i">1604</v>
    <v t="i">1605</v>
    <v t="i">1606</v>
    <v t="i">1609</v>
    <v t="i">1610</v>
    <v t="i">1611</v>
    <v t="i">1612</v>
    <v t="i">1613</v>
    <v t="i">1616</v>
    <v t="i">1617</v>
    <v t="i">1618</v>
    <v t="i">1619</v>
    <v t="i">1620</v>
    <v t="i">1623</v>
    <v t="i">1624</v>
    <v t="i">1625</v>
    <v t="i">1626</v>
    <v t="i">1627</v>
    <v t="i">1630</v>
    <v t="i">1631</v>
    <v t="i">1632</v>
    <v t="i">1633</v>
    <v t="i">1634</v>
    <v t="i">1637</v>
    <v t="i">1638</v>
    <v t="i">1639</v>
    <v t="i">1640</v>
    <v t="i">1641</v>
    <v t="i">1644</v>
    <v t="i">1645</v>
    <v t="i">1646</v>
    <v t="i">1647</v>
    <v t="i">1648</v>
    <v t="i">1651</v>
    <v t="i">1652</v>
    <v t="i">1653</v>
    <v t="i">1654</v>
    <v t="i">1655</v>
    <v t="i">1659</v>
    <v t="i">1660</v>
    <v t="i">1661</v>
    <v t="i">1662</v>
    <v t="i">1665</v>
    <v t="i">1666</v>
    <v t="i">1667</v>
    <v t="i">1668</v>
    <v t="i">1669</v>
    <v t="i">1672</v>
    <v t="i">1673</v>
    <v t="i">1674</v>
    <v t="i">1675</v>
    <v t="i">1676</v>
    <v t="i">1679</v>
    <v t="i">1680</v>
    <v t="i">1681</v>
    <v t="i">1682</v>
    <v t="i">1683</v>
    <v t="i">1686</v>
    <v t="i">1687</v>
    <v t="i">1688</v>
    <v t="i">1689</v>
    <v t="i">1690</v>
    <v t="i">1693</v>
    <v t="i">1694</v>
    <v t="i">1695</v>
    <v t="i">1696</v>
    <v t="i">1697</v>
    <v t="i">1700</v>
    <v t="i">1701</v>
    <v t="i">1702</v>
    <v t="i">1703</v>
    <v t="i">1704</v>
    <v t="i">1707</v>
    <v t="i">1708</v>
    <v t="i">1709</v>
    <v t="i">1710</v>
    <v t="i">1711</v>
    <v t="i">1714</v>
    <v t="i">1715</v>
    <v t="i">1716</v>
    <v t="i">1717</v>
    <v t="i">1718</v>
    <v t="i">1721</v>
    <v t="i">1722</v>
    <v t="i">1723</v>
    <v t="i">1724</v>
    <v t="i">1725</v>
    <v t="i">1728</v>
    <v t="i">1729</v>
    <v t="i">1730</v>
    <v t="i">1731</v>
    <v t="i">1732</v>
    <v t="i">1735</v>
    <v t="i">1736</v>
    <v t="i">1737</v>
    <v t="i">1738</v>
    <v t="i">1739</v>
    <v t="i">1742</v>
    <v t="i">1743</v>
    <v t="i">1744</v>
    <v t="i">1746</v>
    <v t="i">1749</v>
    <v t="i">1750</v>
    <v t="i">1751</v>
    <v t="i">1752</v>
    <v t="i">1753</v>
    <v t="i">1756</v>
    <v t="i">1757</v>
    <v t="i">1758</v>
    <v t="i">1759</v>
    <v t="i">1760</v>
    <v t="i">1763</v>
    <v t="i">1764</v>
    <v t="i">1765</v>
    <v t="i">1766</v>
    <v t="i">1767</v>
    <v t="i">1770</v>
    <v t="i">1771</v>
    <v t="i">1772</v>
    <v t="i">1774</v>
    <v t="i">1777</v>
    <v t="i">1778</v>
    <v t="i">1779</v>
    <v t="i">1781</v>
    <v t="i">1784</v>
    <v t="i">1785</v>
    <v t="i">1786</v>
    <v t="i">1787</v>
    <v t="i">1788</v>
    <v t="i">1791</v>
    <v t="i">1792</v>
    <v t="i">1793</v>
    <v t="i">1794</v>
    <v t="i">1795</v>
    <v t="i">1799</v>
    <v t="i">1800</v>
    <v t="i">1801</v>
    <v t="i">1802</v>
    <v t="i">1805</v>
    <v t="i">1806</v>
    <v t="i">1807</v>
    <v t="i">1808</v>
    <v t="i">1809</v>
    <v t="i">1812</v>
    <v t="i">1813</v>
    <v t="i">1814</v>
    <v t="i">1815</v>
    <v t="i">1816</v>
    <v t="i">1819</v>
    <v t="i">1820</v>
    <v t="i">1821</v>
    <v t="i">1822</v>
    <v t="i">1823</v>
    <v t="i">1827</v>
    <v t="i">1828</v>
    <v t="i">1829</v>
    <v t="i">1830</v>
    <v t="i">1833</v>
    <v t="i">1834</v>
    <v t="i">1835</v>
    <v t="i">1836</v>
    <v t="i">1837</v>
    <v t="i">1840</v>
    <v t="i">1841</v>
    <v t="i">1842</v>
    <v t="i">1843</v>
    <v t="i">1844</v>
    <v t="i">1847</v>
    <v t="i">1848</v>
    <v t="i">1849</v>
    <v t="i">1850</v>
    <v t="i">1851</v>
    <v t="i">1854</v>
    <v t="i">1855</v>
    <v t="i">1856</v>
    <v t="i">1857</v>
    <v t="i">1858</v>
    <v t="i">1861</v>
    <v t="i">1862</v>
    <v t="i">1863</v>
    <v t="i">1864</v>
    <v t="i">1865</v>
    <v t="i">1868</v>
    <v t="i">1869</v>
    <v t="i">1870</v>
    <v t="i">1871</v>
    <v t="i">1875</v>
    <v t="i">1876</v>
    <v t="i">1877</v>
    <v t="i">1878</v>
    <v t="i">1879</v>
    <v t="i">1882</v>
    <v t="i">1883</v>
    <v t="i">1884</v>
    <v t="i">1885</v>
    <v t="i">1886</v>
    <v t="i">1889</v>
    <v t="i">1890</v>
    <v t="i">1891</v>
    <v t="i">1892</v>
    <v t="i">1893</v>
    <v t="i">1896</v>
    <v t="i">1897</v>
    <v t="i">1898</v>
    <v t="i">1899</v>
    <v t="i">1900</v>
    <v t="i">1903</v>
    <v t="i">1904</v>
    <v t="i">1905</v>
    <v t="i">1906</v>
    <v t="i">1907</v>
    <v t="i">1910</v>
    <v t="i">1911</v>
    <v t="i">1912</v>
    <v t="i">1913</v>
    <v t="i">1914</v>
    <v t="i">1917</v>
    <v t="i">1918</v>
    <v t="i">1919</v>
    <v t="i">1920</v>
    <v t="i">1921</v>
    <v t="i">1925</v>
    <v t="i">1926</v>
    <v t="i">1927</v>
    <v t="i">1928</v>
    <v t="i">1931</v>
    <v t="i">1932</v>
    <v t="i">1933</v>
    <v t="i">1934</v>
    <v t="i">1935</v>
    <v t="i">1938</v>
    <v t="i">1939</v>
    <v t="i">1940</v>
    <v t="i">1941</v>
    <v t="i">1942</v>
    <v t="i">1945</v>
    <v t="i">1946</v>
    <v t="i">1947</v>
    <v t="i">1948</v>
    <v t="i">1949</v>
    <v t="i">1952</v>
    <v t="i">1953</v>
    <v t="i">1954</v>
    <v t="i">1955</v>
    <v t="i">1956</v>
    <v t="i">1959</v>
    <v t="i">1960</v>
    <v t="i">1961</v>
    <v t="i">1962</v>
    <v t="i">1966</v>
    <v t="i">1967</v>
    <v t="i">1968</v>
    <v t="i">1969</v>
    <v t="i">1970</v>
    <v t="i">1973</v>
    <v t="i">1974</v>
    <v t="i">1975</v>
    <v t="i">1976</v>
    <v t="i">1977</v>
    <v t="i">1980</v>
    <v t="i">1981</v>
    <v t="i">1982</v>
    <v t="i">1983</v>
    <v t="i">1984</v>
    <v t="i">1987</v>
    <v t="i">1988</v>
    <v t="i">1989</v>
    <v t="i">1990</v>
    <v t="i">1991</v>
    <v t="i">1994</v>
    <v t="i">1995</v>
    <v t="i">1996</v>
    <v t="i">1997</v>
    <v t="i">1998</v>
    <v t="i">2001</v>
    <v t="i">2002</v>
    <v t="i">2003</v>
    <v t="i">2004</v>
    <v t="i">2005</v>
    <v t="i">2008</v>
    <v t="i">2009</v>
    <v t="i">2010</v>
    <v t="i">2011</v>
    <v t="i">2012</v>
    <v t="i">2015</v>
    <v t="i">2016</v>
    <v t="i">2017</v>
    <v t="i">2018</v>
    <v t="i">2019</v>
    <v t="i">2022</v>
    <v t="i">2023</v>
    <v t="i">2024</v>
    <v t="i">2025</v>
    <v t="i">2026</v>
    <v t="i">2030</v>
    <v t="i">2031</v>
    <v t="i">2032</v>
    <v t="i">2033</v>
    <v t="i">2036</v>
    <v t="i">2037</v>
    <v t="i">2038</v>
    <v t="i">2039</v>
    <v t="i">2040</v>
    <v t="i">2043</v>
    <v t="i">2044</v>
    <v t="i">2045</v>
    <v t="i">2046</v>
    <v t="i">2047</v>
    <v t="i">2050</v>
    <v t="i">2051</v>
    <v t="i">2052</v>
    <v t="i">2053</v>
    <v t="i">2054</v>
    <v t="i">2057</v>
    <v t="i">2058</v>
    <v t="i">2059</v>
    <v t="i">2060</v>
    <v t="i">2061</v>
    <v t="i">2064</v>
    <v t="i">2065</v>
    <v t="i">2066</v>
    <v t="i">2067</v>
    <v t="i">2068</v>
    <v t="i">2071</v>
    <v t="i">2072</v>
    <v t="i">2073</v>
    <v t="i">2074</v>
    <v t="i">2075</v>
    <v t="i">2078</v>
    <v t="i">2079</v>
    <v t="i">2080</v>
    <v t="i">2081</v>
    <v t="i">2082</v>
    <v t="i">2085</v>
    <v t="i">2086</v>
    <v t="i">2087</v>
    <v t="i">2088</v>
    <v t="i">2089</v>
    <v t="i">2092</v>
    <v t="i">2093</v>
    <v t="i">2094</v>
    <v t="i">2095</v>
    <v t="i">2096</v>
    <v t="i">2099</v>
    <v t="i">2100</v>
    <v t="i">2101</v>
    <v t="i">2102</v>
    <v t="i">2103</v>
    <v t="i">2106</v>
    <v t="i">2107</v>
    <v t="i">2108</v>
    <v t="i">2110</v>
    <v t="i">2113</v>
    <v t="i">2114</v>
    <v t="i">2115</v>
    <v t="i">2116</v>
    <v t="i">2117</v>
    <v t="i">2120</v>
    <v t="i">2121</v>
    <v t="i">2122</v>
    <v t="i">2123</v>
    <v t="i">2124</v>
    <v t="i">2127</v>
    <v t="i">2128</v>
    <v t="i">2129</v>
    <v t="i">2130</v>
    <v t="i">2131</v>
    <v t="i">2134</v>
    <v t="i">2135</v>
    <v t="i">2136</v>
    <v t="i">2137</v>
    <v t="i">2141</v>
    <v t="i">2142</v>
    <v t="i">2143</v>
    <v t="i">2144</v>
    <v t="i">2148</v>
    <v t="i">2149</v>
    <v t="i">2150</v>
    <v t="i">2151</v>
    <v t="i">2152</v>
    <v t="i">2155</v>
    <v t="i">2156</v>
    <v t="i">2157</v>
    <v t="i">2158</v>
    <v t="i">2159</v>
    <v t="i">2163</v>
    <v t="i">2164</v>
    <v t="i">2165</v>
    <v t="i">2166</v>
    <v t="i">2169</v>
    <v t="i">2170</v>
    <v t="i">2171</v>
    <v t="i">2172</v>
    <v t="i">2173</v>
    <v t="i">2176</v>
    <v t="i">2177</v>
    <v t="i">2178</v>
    <v t="i">2179</v>
    <v t="i">2180</v>
    <v t="i">2183</v>
    <v t="i">2184</v>
    <v t="i">2185</v>
    <v t="i">2186</v>
    <v t="i">2187</v>
    <v t="i">2191</v>
    <v t="i">2192</v>
    <v t="i">2193</v>
    <v t="i">2194</v>
    <v t="i">2197</v>
    <v t="i">2198</v>
    <v t="i">2199</v>
    <v t="i">2200</v>
    <v t="i">2201</v>
    <v t="i">2204</v>
    <v t="i">2205</v>
    <v t="i">2206</v>
    <v t="i">2207</v>
    <v t="i">2208</v>
    <v t="i">2211</v>
    <v t="i">2212</v>
    <v t="i">2213</v>
    <v t="i">2214</v>
    <v t="i">2215</v>
    <v t="i">2218</v>
    <v t="i">2219</v>
    <v t="i">2220</v>
    <v t="i">2221</v>
    <v t="i">2222</v>
    <v t="i">2225</v>
    <v t="i">2226</v>
    <v t="i">2227</v>
    <v t="i">2228</v>
    <v t="i">2232</v>
    <v t="i">2233</v>
    <v t="i">2234</v>
    <v t="i">2235</v>
    <v t="i">2236</v>
    <v t="i">2239</v>
    <v t="i">2240</v>
    <v t="i">2241</v>
    <v t="i">2242</v>
    <v t="i">2243</v>
    <v t="i">2246</v>
    <v t="i">2247</v>
    <v t="i">2248</v>
    <v t="i">2249</v>
    <v t="i">2250</v>
    <v t="i">2253</v>
    <v t="i">2254</v>
    <v t="i">2255</v>
    <v t="i">2256</v>
    <v t="i">2257</v>
    <v t="i">2260</v>
    <v t="i">2261</v>
    <v t="i">2262</v>
    <v t="i">2263</v>
    <v t="i">2264</v>
    <v t="i">2267</v>
    <v t="i">2268</v>
    <v t="i">2269</v>
    <v t="i">2270</v>
    <v t="i">2271</v>
    <v t="i">2274</v>
    <v t="i">2275</v>
    <v t="i">2276</v>
    <v t="i">2277</v>
    <v t="i">2278</v>
    <v t="i">2281</v>
    <v t="i">2282</v>
    <v t="i">2283</v>
    <v t="i">2284</v>
    <v t="i">2285</v>
    <v t="i">2288</v>
    <v t="i">2289</v>
    <v t="i">2290</v>
    <v t="i">2291</v>
    <v t="i">2292</v>
    <v t="i">2296</v>
    <v t="i">2297</v>
    <v t="i">2298</v>
    <v t="i">2299</v>
    <v t="i">2302</v>
    <v t="i">2303</v>
    <v t="i">2304</v>
    <v t="i">2305</v>
    <v t="i">2306</v>
    <v t="i">2309</v>
    <v t="i">2310</v>
    <v t="i">2311</v>
    <v t="i">2312</v>
    <v t="i">2313</v>
    <v t="i">2316</v>
    <v t="i">2317</v>
    <v t="i">2318</v>
    <v t="i">2319</v>
    <v t="i">2320</v>
    <v t="i">2323</v>
    <v t="i">2324</v>
    <v t="i">2325</v>
    <v t="i">2326</v>
    <v t="i">2327</v>
    <v t="i">2331</v>
    <v t="i">2332</v>
    <v t="i">2333</v>
    <v t="i">2334</v>
    <v t="i">2337</v>
    <v t="i">2338</v>
    <v t="i">2339</v>
    <v t="i">2340</v>
    <v t="i">2341</v>
    <v t="i">2344</v>
    <v t="i">2345</v>
    <v t="i">2346</v>
    <v t="i">2347</v>
    <v t="i">2348</v>
    <v t="i">2351</v>
    <v t="i">2352</v>
    <v t="i">2353</v>
    <v t="i">2354</v>
    <v t="i">2355</v>
    <v t="i">2358</v>
    <v t="i">2359</v>
    <v t="i">2360</v>
    <v t="i">2361</v>
    <v t="i">2362</v>
    <v t="i">2365</v>
    <v t="i">2366</v>
    <v t="i">2367</v>
    <v t="i">2368</v>
    <v t="i">2369</v>
    <v t="i">2372</v>
    <v t="i">2373</v>
    <v t="i">2374</v>
    <v t="i">2375</v>
    <v t="i">2376</v>
    <v t="i">2379</v>
    <v t="i">2380</v>
    <v t="i">2381</v>
    <v t="i">2382</v>
    <v t="i">2383</v>
    <v t="i">2386</v>
    <v t="i">2387</v>
    <v t="i">2388</v>
    <v t="i">2389</v>
    <v t="i">2390</v>
    <v t="i">2394</v>
    <v t="i">2395</v>
    <v t="i">2396</v>
    <v t="i">2397</v>
    <v t="i">2400</v>
    <v t="i">2401</v>
    <v t="i">2402</v>
    <v t="i">2403</v>
    <v t="i">2404</v>
    <v t="i">2407</v>
    <v t="i">2408</v>
    <v t="i">2409</v>
    <v t="i">2410</v>
    <v t="i">2411</v>
    <v t="i">2414</v>
    <v t="i">2415</v>
    <v t="i">2416</v>
    <v t="i">2417</v>
    <v t="i">2418</v>
    <v t="i">2421</v>
    <v t="i">2422</v>
    <v t="i">2423</v>
    <v t="i">2424</v>
    <v t="i">2425</v>
    <v t="i">2428</v>
    <v t="i">2429</v>
    <v t="i">2430</v>
    <v t="i">2431</v>
    <v t="i">2432</v>
    <v t="i">2435</v>
    <v t="i">2436</v>
    <v t="i">2437</v>
    <v t="i">2438</v>
    <v t="i">2439</v>
    <v t="i">2442</v>
    <v t="i">2443</v>
    <v t="i">2444</v>
    <v t="i">2445</v>
    <v t="i">2446</v>
    <v t="i">2449</v>
    <v t="i">2450</v>
    <v t="i">2451</v>
    <v t="i">2452</v>
    <v t="i">2453</v>
    <v t="i">2456</v>
    <v t="i">2457</v>
    <v t="i">2458</v>
    <v t="i">2459</v>
    <v t="i">2460</v>
    <v t="i">2463</v>
    <v t="i">2464</v>
    <v t="i">2465</v>
    <v t="i">2466</v>
    <v t="i">2467</v>
    <v t="i">2470</v>
    <v t="i">2471</v>
    <v t="i">2472</v>
    <v t="i">2474</v>
    <v t="i">2477</v>
    <v t="i">2478</v>
    <v t="i">2479</v>
    <v t="i">2480</v>
    <v t="i">2481</v>
    <v t="i">2484</v>
    <v t="i">2485</v>
    <v t="i">2486</v>
    <v t="i">2487</v>
    <v t="i">2488</v>
    <v t="i">2491</v>
    <v t="i">2492</v>
    <v t="i">2493</v>
    <v t="i">2494</v>
    <v t="i">2495</v>
    <v t="i">2498</v>
    <v t="i">2499</v>
    <v t="i">2500</v>
    <v t="i">2501</v>
    <v t="i">2502</v>
    <v t="i">2506</v>
    <v t="i">2507</v>
    <v t="i">2508</v>
    <v t="i">2509</v>
    <v t="i">2513</v>
    <v t="i">2514</v>
    <v t="i">2515</v>
    <v t="i">2516</v>
    <v t="i">2519</v>
    <v t="i">2520</v>
    <v t="i">2521</v>
    <v t="i">2522</v>
    <v t="i">2523</v>
    <v t="i">2527</v>
    <v t="i">2528</v>
    <v t="i">2529</v>
    <v t="i">2530</v>
    <v t="i">2533</v>
    <v t="i">2534</v>
    <v t="i">2535</v>
    <v t="i">2536</v>
    <v t="i">2537</v>
    <v t="i">2540</v>
    <v t="i">2541</v>
    <v t="i">2542</v>
    <v t="i">2543</v>
    <v t="i">2544</v>
    <v t="i">2547</v>
    <v t="i">2548</v>
    <v t="i">2549</v>
    <v t="i">2550</v>
    <v t="i">2551</v>
    <v t="i">2554</v>
    <v t="i">2555</v>
    <v t="i">2556</v>
    <v t="i">2557</v>
    <v t="i">2558</v>
    <v t="i">2562</v>
    <v t="i">2563</v>
    <v t="i">2564</v>
    <v t="i">2565</v>
    <v t="i">2568</v>
    <v t="i">2569</v>
    <v t="i">2570</v>
    <v t="i">2571</v>
    <v t="i">2572</v>
    <v t="i">2575</v>
    <v t="i">2576</v>
    <v t="i">2577</v>
    <v t="i">2578</v>
    <v t="i">2579</v>
    <v t="i">2582</v>
    <v t="i">2583</v>
    <v t="i">2584</v>
    <v t="i">2585</v>
    <v t="i">2586</v>
    <v t="i">2589</v>
    <v t="i">2590</v>
    <v t="i">2591</v>
    <v t="i">2592</v>
    <v t="i">2593</v>
    <v t="i">2596</v>
    <v t="i">2597</v>
    <v t="i">2598</v>
    <v t="i">2599</v>
    <v t="i">2600</v>
    <v t="i">2603</v>
    <v t="i">2604</v>
    <v t="i">2605</v>
    <v t="i">2606</v>
    <v t="i">2607</v>
    <v t="i">2610</v>
    <v t="i">2611</v>
    <v t="i">2612</v>
    <v t="i">2613</v>
    <v t="i">2617</v>
    <v t="i">2618</v>
    <v t="i">2619</v>
    <v t="i">2620</v>
    <v t="i">2621</v>
    <v t="i">2624</v>
    <v t="i">2625</v>
    <v t="i">2626</v>
    <v t="i">2627</v>
    <v t="i">2628</v>
    <v t="i">2631</v>
    <v t="i">2632</v>
    <v t="i">2633</v>
    <v t="i">2634</v>
    <v t="i">2635</v>
    <v t="i">2638</v>
    <v t="i">2639</v>
    <v t="i">2640</v>
    <v t="i">2641</v>
    <v t="i">2642</v>
    <v t="i">2645</v>
    <v t="i">2646</v>
    <v t="i">2647</v>
    <v t="i">2648</v>
    <v t="i">2649</v>
    <v t="i">2652</v>
    <v t="i">2653</v>
    <v t="i">2654</v>
    <v t="i">2655</v>
    <v t="i">2656</v>
    <v t="i">2660</v>
    <v t="i">2661</v>
    <v t="i">2662</v>
    <v t="i">2663</v>
    <v t="i">2666</v>
    <v t="i">2667</v>
    <v t="i">2668</v>
    <v t="i">2669</v>
    <v t="i">2670</v>
    <v t="i">2673</v>
    <v t="i">2674</v>
    <v t="i">2675</v>
    <v t="i">2676</v>
    <v t="i">2677</v>
    <v t="i">2680</v>
    <v t="i">2681</v>
    <v t="i">2682</v>
    <v t="i">2683</v>
    <v t="i">2684</v>
    <v t="i">2687</v>
    <v t="i">2688</v>
    <v t="i">2689</v>
    <v t="i">2690</v>
    <v t="i">2691</v>
    <v t="i">2694</v>
    <v t="i">2696</v>
    <v t="i">2697</v>
    <v t="i">2698</v>
    <v t="i">2701</v>
    <v t="i">2702</v>
    <v t="i">2703</v>
    <v t="i">2704</v>
    <v t="i">2705</v>
    <v t="i">2708</v>
    <v t="i">2709</v>
    <v t="i">2710</v>
    <v t="i">2711</v>
    <v t="i">2712</v>
    <v t="i">2715</v>
    <v t="i">2716</v>
    <v t="i">2717</v>
    <v t="i">2718</v>
    <v t="i">2719</v>
    <v t="i">2722</v>
    <v t="i">2723</v>
    <v t="i">2724</v>
    <v t="i">2725</v>
    <v t="i">2726</v>
    <v t="i">2729</v>
    <v t="i">2730</v>
    <v t="i">2731</v>
    <v t="i">2732</v>
    <v t="i">2733</v>
    <v t="i">2736</v>
    <v t="i">2737</v>
    <v t="i">2738</v>
    <v t="i">2739</v>
    <v t="i">2740</v>
    <v t="i">2743</v>
    <v t="i">2744</v>
    <v t="i">2745</v>
    <v t="i">2746</v>
    <v t="i">2747</v>
    <v t="i">2750</v>
    <v t="i">2751</v>
    <v t="i">2752</v>
    <v t="i">2753</v>
    <v t="i">2754</v>
    <v t="i">2758</v>
    <v t="i">2759</v>
    <v t="i">2760</v>
    <v t="i">2761</v>
    <v t="i">2764</v>
    <v t="i">2765</v>
    <v t="i">2766</v>
    <v t="i">2767</v>
    <v t="i">2768</v>
    <v t="i">2771</v>
    <v t="i">2772</v>
    <v t="i">2773</v>
    <v t="i">2774</v>
    <v t="i">2775</v>
    <v t="i">2778</v>
    <v t="i">2779</v>
    <v t="i">2780</v>
    <v t="i">2781</v>
    <v t="i">2782</v>
    <v t="i">2785</v>
    <v t="i">2786</v>
    <v t="i">2787</v>
    <v t="i">2788</v>
    <v t="i">2789</v>
    <v t="i">2792</v>
    <v t="i">2793</v>
    <v t="i">2794</v>
    <v t="i">2795</v>
    <v t="i">2796</v>
    <v t="i">2799</v>
    <v t="i">2800</v>
    <v t="i">2801</v>
    <v t="i">2802</v>
    <v t="i">2803</v>
    <v t="i">2806</v>
    <v t="i">2807</v>
    <v t="i">2808</v>
    <v t="i">2809</v>
    <v t="i">2810</v>
    <v t="i">2813</v>
    <v t="i">2814</v>
    <v t="i">2815</v>
    <v t="i">2816</v>
    <v t="i">2817</v>
    <v t="i">2820</v>
    <v t="i">2821</v>
    <v t="i">2822</v>
    <v t="i">2823</v>
    <v t="i">2824</v>
    <v t="i">2827</v>
    <v t="i">2828</v>
    <v t="i">2829</v>
    <v t="i">2830</v>
    <v t="i">2831</v>
    <v t="i">2834</v>
    <v t="i">2835</v>
    <v t="i">2836</v>
    <v t="i">2838</v>
    <v t="i">2841</v>
    <v t="i">2842</v>
    <v t="i">2843</v>
    <v t="i">2844</v>
    <v t="i">2845</v>
    <v t="i">2848</v>
    <v t="i">2849</v>
    <v t="i">2850</v>
    <v t="i">2851</v>
    <v t="i">2852</v>
    <v t="i">2855</v>
    <v t="i">2856</v>
    <v t="i">2857</v>
    <v t="i">2858</v>
    <v t="i">2859</v>
    <v t="i">2862</v>
    <v t="i">2863</v>
    <v t="i">2864</v>
    <v t="i">2865</v>
    <v t="i">2866</v>
    <v t="i">2870</v>
    <v t="i">2871</v>
    <v t="i">2872</v>
    <v t="i">2873</v>
    <v t="i">2877</v>
    <v t="i">2878</v>
    <v t="i">2879</v>
    <v t="i">2880</v>
    <v t="i">2883</v>
    <v t="i">2884</v>
    <v t="i">2885</v>
    <v t="i">2886</v>
    <v t="i">2887</v>
    <v t="i">2891</v>
    <v t="i">2892</v>
    <v t="i">2893</v>
    <v t="i">2894</v>
    <v t="i">2897</v>
    <v t="i">2898</v>
    <v t="i">2899</v>
    <v t="i">2900</v>
    <v t="i">2901</v>
    <v t="i">2904</v>
    <v t="i">2905</v>
    <v t="i">2906</v>
    <v t="i">2907</v>
    <v t="i">2908</v>
    <v t="i">2911</v>
    <v t="i">2912</v>
    <v t="i">2913</v>
    <v t="i">2914</v>
    <v t="i">2915</v>
    <v t="i">2918</v>
    <v t="i">2919</v>
    <v t="i">2920</v>
    <v t="i">2921</v>
    <v t="i">2922</v>
    <v t="i">2926</v>
    <v t="i">2927</v>
    <v t="i">2928</v>
    <v t="i">2929</v>
    <v t="i">2932</v>
    <v t="i">2933</v>
    <v t="i">2934</v>
    <v t="i">2935</v>
    <v t="i">2936</v>
    <v t="i">2939</v>
    <v t="i">2940</v>
    <v t="i">2941</v>
    <v t="i">2942</v>
    <v t="i">2943</v>
    <v t="i">2946</v>
    <v t="i">2947</v>
    <v t="i">2948</v>
    <v t="i">2949</v>
    <v t="i">2950</v>
    <v t="i">2953</v>
    <v t="i">2954</v>
    <v t="i">2955</v>
    <v t="i">2956</v>
    <v t="i">2957</v>
    <v t="i">2960</v>
    <v t="i">2961</v>
    <v t="i">2962</v>
    <v t="i">2963</v>
    <v t="i">2967</v>
    <v t="i">2968</v>
    <v t="i">2969</v>
    <v t="i">2970</v>
    <v t="i">2971</v>
    <v t="i">2974</v>
    <v t="i">2975</v>
    <v t="i">2976</v>
    <v t="i">2977</v>
    <v t="i">2978</v>
    <v t="i">2981</v>
    <v t="i">2982</v>
    <v t="i">2983</v>
    <v t="i">2984</v>
    <v t="i">2985</v>
    <v t="i">2988</v>
    <v t="i">2989</v>
    <v t="i">2990</v>
    <v t="i">2991</v>
    <v t="i">2992</v>
    <v t="i">2995</v>
    <v t="i">2996</v>
    <v t="i">2997</v>
    <v t="i">2998</v>
    <v t="i">2999</v>
    <v t="i">3002</v>
    <v t="i">3003</v>
    <v t="i">3004</v>
    <v t="i">3005</v>
    <v t="i">3006</v>
    <v t="i">3009</v>
    <v t="i">3010</v>
    <v t="i">3011</v>
    <v t="i">3012</v>
    <v t="i">3013</v>
    <v t="i">3016</v>
    <v t="i">3017</v>
    <v t="i">3018</v>
    <v t="i">3019</v>
    <v t="i">3020</v>
    <v t="i">3024</v>
    <v t="i">3025</v>
    <v t="i">3026</v>
    <v t="i">3027</v>
    <v t="i">3030</v>
    <v t="i">3031</v>
    <v t="i">3032</v>
    <v t="i">3033</v>
    <v t="i">3034</v>
    <v t="i">3037</v>
    <v t="i">3038</v>
    <v t="i">3039</v>
    <v t="i">3040</v>
    <v t="i">3041</v>
    <v t="i">3044</v>
    <v t="i">3045</v>
    <v t="i">3046</v>
    <v t="i">3047</v>
    <v t="i">3048</v>
    <v t="i">3051</v>
    <v t="i">3052</v>
    <v t="i">3053</v>
    <v t="i">3054</v>
    <v t="i">3055</v>
    <v t="i">3058</v>
    <v t="i">3059</v>
    <v t="i">3061</v>
    <v t="i">3062</v>
    <v t="i">3065</v>
    <v t="i">3066</v>
    <v t="i">3067</v>
    <v t="i">3068</v>
    <v t="i">3069</v>
    <v t="i">3072</v>
    <v t="i">3073</v>
    <v t="i">3074</v>
    <v t="i">3075</v>
    <v t="i">3076</v>
    <v t="i">3079</v>
    <v t="i">3080</v>
    <v t="i">3081</v>
    <v t="i">3082</v>
    <v t="i">3083</v>
    <v t="i">3086</v>
    <v t="i">3087</v>
    <v t="i">3088</v>
    <v t="i">3089</v>
    <v t="i">3090</v>
    <v t="i">3093</v>
    <v t="i">3094</v>
    <v t="i">3095</v>
    <v t="i">3096</v>
    <v t="i">3097</v>
    <v t="i">3100</v>
    <v t="i">3101</v>
    <v t="i">3102</v>
    <v t="i">3103</v>
    <v t="i">3104</v>
    <v t="i">3107</v>
    <v t="i">3108</v>
    <v t="i">3109</v>
    <v t="i">3110</v>
    <v t="i">3111</v>
    <v t="i">3114</v>
    <v t="i">3115</v>
    <v t="i">3116</v>
    <v t="i">3117</v>
    <v t="i">3118</v>
    <v t="i">3122</v>
    <v t="i">3123</v>
    <v t="i">3124</v>
    <v t="i">3125</v>
    <v t="i">3128</v>
    <v t="i">3129</v>
    <v t="i">3130</v>
    <v t="i">3131</v>
    <v t="i">3132</v>
    <v t="i">3135</v>
    <v t="i">3136</v>
    <v t="i">3137</v>
    <v t="i">3138</v>
    <v t="i">3139</v>
    <v t="i">3142</v>
    <v t="i">3143</v>
    <v t="i">3144</v>
    <v t="i">3145</v>
    <v t="i">3146</v>
    <v t="i">3149</v>
    <v t="i">3150</v>
    <v t="i">3151</v>
    <v t="i">3152</v>
    <v t="i">3153</v>
    <v t="i">3156</v>
    <v t="i">3157</v>
    <v t="i">3158</v>
    <v t="i">3159</v>
    <v t="i">3160</v>
    <v t="i">3163</v>
    <v t="i">3164</v>
    <v t="i">3165</v>
    <v t="i">3166</v>
    <v t="i">3167</v>
    <v t="i">3170</v>
    <v t="i">3171</v>
    <v t="i">3172</v>
    <v t="i">3173</v>
    <v t="i">3174</v>
    <v t="i">3177</v>
    <v t="i">3178</v>
    <v t="i">3179</v>
    <v t="i">3180</v>
    <v t="i">3181</v>
    <v t="i">3184</v>
    <v t="i">3185</v>
    <v t="i">3186</v>
    <v t="i">3187</v>
    <v t="i">3188</v>
    <v t="i">3191</v>
    <v t="i">3192</v>
    <v t="i">3193</v>
    <v t="i">3194</v>
    <v t="i">3195</v>
    <v t="i">3198</v>
    <v t="i">3199</v>
    <v t="i">3200</v>
    <v t="i">3202</v>
    <v t="i">3205</v>
    <v t="i">3206</v>
    <v t="i">3207</v>
    <v t="i">3208</v>
    <v t="i">3209</v>
    <v t="i">3212</v>
    <v t="i">3213</v>
    <v t="i">3215</v>
    <v t="i">3216</v>
    <v t="i">3219</v>
    <v t="i">3220</v>
    <v t="i">3221</v>
    <v t="i">3222</v>
    <v t="i">3223</v>
    <v t="i">3226</v>
    <v t="i">3227</v>
    <v t="i">3228</v>
    <v t="i">3229</v>
    <v t="i">3230</v>
    <v t="i">3233</v>
    <v t="i">3235</v>
    <v t="i">3236</v>
    <v t="i">3237</v>
    <v t="i">3240</v>
    <v t="i">3242</v>
    <v t="i">3243</v>
    <v t="i">3244</v>
    <v t="i">3247</v>
    <v t="i">3248</v>
    <v t="i">3249</v>
    <v t="i">3250</v>
    <v t="i">3251</v>
    <v t="i">3254</v>
    <v t="i">3255</v>
    <v t="i">3256</v>
    <v t="i">3257</v>
    <v t="i">3258</v>
    <v t="i">3262</v>
    <v t="i">3263</v>
    <v t="i">3264</v>
    <v t="i">3265</v>
    <v t="i">3268</v>
    <v t="i">3269</v>
    <v t="i">3270</v>
    <v t="i">3271</v>
    <v t="i">3272</v>
    <v t="i">3275</v>
    <v t="i">3276</v>
    <v t="i">3277</v>
    <v t="i">3278</v>
    <v t="i">3279</v>
    <v t="i">3282</v>
    <v t="i">3283</v>
    <v t="i">3284</v>
    <v t="i">3285</v>
    <v t="i">3286</v>
    <v t="i">3290</v>
    <v t="i">3291</v>
    <v t="i">3292</v>
    <v t="i">3293</v>
    <v t="i">3296</v>
    <v t="i">3297</v>
    <v t="i">3298</v>
    <v t="i">3299</v>
    <v t="i">3300</v>
    <v t="i">3303</v>
    <v t="i">3304</v>
    <v t="i">3305</v>
    <v t="i">3306</v>
    <v t="i">3307</v>
    <v t="i">3310</v>
    <v t="i">3311</v>
    <v t="i">3312</v>
    <v t="i">3313</v>
    <v t="i">3314</v>
    <v t="i">3317</v>
    <v t="i">3318</v>
    <v t="i">3319</v>
    <v t="i">3320</v>
    <v t="i">3321</v>
    <v t="i">3324</v>
    <v t="i">3325</v>
    <v t="i">3326</v>
    <v t="i">3327</v>
    <v t="i">3328</v>
    <v t="i">3331</v>
    <v t="i">3332</v>
    <v t="i">3333</v>
    <v t="i">3334</v>
    <v t="i">3335</v>
    <v t="i">3338</v>
    <v t="i">3339</v>
    <v t="i">3340</v>
    <v t="i">3341</v>
    <v t="i">3342</v>
    <v t="i">3345</v>
    <v t="i">3346</v>
    <v t="i">3347</v>
    <v t="i">3348</v>
    <v t="i">3352</v>
    <v t="i">3353</v>
    <v t="i">3354</v>
    <v t="i">3355</v>
    <v t="i">3356</v>
    <v t="i">3359</v>
    <v t="i">3360</v>
    <v t="i">3361</v>
    <v t="i">3362</v>
    <v t="i">3363</v>
    <v t="i">3366</v>
    <v t="i">3367</v>
    <v t="i">3368</v>
    <v t="i">3369</v>
    <v t="i">3370</v>
    <v t="i">3373</v>
    <v t="i">3374</v>
    <v t="i">3375</v>
    <v t="i">3376</v>
    <v t="i">3377</v>
    <v t="i">3380</v>
    <v t="i">3381</v>
    <v t="i">3382</v>
    <v t="i">3383</v>
    <v t="i">3384</v>
    <v t="i">3388</v>
    <v t="i">3389</v>
    <v t="i">3390</v>
    <v t="i">3391</v>
    <v t="i">3394</v>
    <v t="i">3395</v>
    <v t="i">3396</v>
    <v t="i">3397</v>
    <v t="i">3398</v>
    <v t="i">3401</v>
    <v t="i">3402</v>
    <v t="i">3403</v>
    <v t="i">3404</v>
    <v t="i">3405</v>
    <v t="i">3408</v>
    <v t="i">3409</v>
    <v t="i">3410</v>
    <v t="i">3411</v>
    <v t="i">3412</v>
    <v t="i">3415</v>
    <v t="i">3416</v>
    <v t="i">3417</v>
    <v t="i">3418</v>
    <v t="i">3419</v>
    <v t="i">3422</v>
    <v t="i">3423</v>
    <v t="i">3424</v>
    <v t="i">3426</v>
    <v t="i">3429</v>
    <v t="i">3430</v>
    <v t="i">3431</v>
    <v t="i">3432</v>
    <v t="i">3433</v>
    <v t="i">3436</v>
    <v t="i">3437</v>
    <v t="i">3438</v>
    <v t="i">3439</v>
    <v t="i">3440</v>
    <v t="i">3443</v>
    <v t="i">3444</v>
    <v t="i">3445</v>
    <v t="i">3446</v>
    <v t="i">3447</v>
    <v t="i">3450</v>
    <v t="i">3451</v>
    <v t="i">3452</v>
    <v t="i">3453</v>
    <v t="i">3454</v>
    <v t="i">3457</v>
    <v t="i">3458</v>
    <v t="i">3459</v>
    <v t="i">3460</v>
    <v t="i">3461</v>
    <v t="i">3464</v>
    <v t="i">3465</v>
    <v t="i">3466</v>
    <v t="i">3467</v>
    <v t="i">3468</v>
    <v t="i">3471</v>
    <v t="i">3472</v>
    <v t="i">3473</v>
    <v t="i">3474</v>
    <v t="i">3475</v>
    <v t="i">3478</v>
    <v t="i">3479</v>
    <v t="i">3480</v>
    <v t="i">3481</v>
    <v t="i">3482</v>
    <v t="i">3486</v>
    <v t="i">3487</v>
    <v t="i">3488</v>
    <v t="i">3489</v>
    <v t="i">3492</v>
    <v t="i">3493</v>
    <v t="i">3494</v>
    <v t="i">3495</v>
    <v t="i">3496</v>
    <v t="i">3499</v>
    <v t="i">3500</v>
    <v t="i">3501</v>
    <v t="i">3502</v>
    <v t="i">3503</v>
    <v t="i">3506</v>
    <v t="i">3507</v>
    <v t="i">3508</v>
    <v t="i">3509</v>
    <v t="i">3510</v>
    <v t="i">3513</v>
    <v t="i">3514</v>
    <v t="i">3515</v>
    <v t="i">3516</v>
    <v t="i">3517</v>
    <v t="i">3520</v>
    <v t="i">3521</v>
    <v t="i">3522</v>
    <v t="i">3523</v>
    <v t="i">3524</v>
    <v t="i">3527</v>
    <v t="i">3528</v>
    <v t="i">3529</v>
    <v t="i">3530</v>
    <v t="i">3531</v>
    <v t="i">3534</v>
    <v t="i">3535</v>
    <v t="i">3536</v>
    <v t="i">3537</v>
    <v t="i">3538</v>
    <v t="i">3541</v>
    <v t="i">3542</v>
    <v t="i">3543</v>
    <v t="i">3544</v>
    <v t="i">3545</v>
    <v t="i">3548</v>
    <v t="i">3549</v>
    <v t="i">3550</v>
    <v t="i">3551</v>
    <v t="i">3552</v>
    <v t="i">3555</v>
    <v t="i">3556</v>
    <v t="i">3557</v>
    <v t="i">3558</v>
    <v t="i">3559</v>
    <v t="i">3562</v>
    <v t="i">3563</v>
    <v t="i">3564</v>
    <v t="i">3565</v>
    <v t="i">3566</v>
    <v t="i">3569</v>
    <v t="i">3570</v>
    <v t="i">3571</v>
    <v t="i">3573</v>
    <v t="i">3576</v>
    <v t="i">3577</v>
    <v t="i">3578</v>
    <v t="i">3579</v>
    <v t="i">3580</v>
    <v t="i">3583</v>
    <v t="i">3584</v>
    <v t="i">3585</v>
    <v t="i">3586</v>
    <v t="i">3587</v>
    <v t="i">3590</v>
    <v t="i">3591</v>
    <v t="i">3592</v>
    <v t="i">3593</v>
    <v t="i">3594</v>
    <v t="i">3597</v>
    <v t="i">3598</v>
    <v t="i">3600</v>
    <v t="i">3601</v>
    <v t="i">3604</v>
    <v t="i">3605</v>
    <v t="i">3607</v>
    <v t="i">3608</v>
    <v t="i">3611</v>
    <v t="i">3612</v>
    <v t="i">3613</v>
    <v t="i">3614</v>
    <v t="i">3615</v>
    <v t="i">3618</v>
    <v t="i">3619</v>
    <v t="i">3620</v>
    <v t="i">3621</v>
    <v t="i">3622</v>
    <v t="i">3626</v>
    <v t="i">3627</v>
    <v t="i">3628</v>
    <v t="i">3629</v>
    <v t="i">3632</v>
    <v t="i">3633</v>
    <v t="i">3634</v>
    <v t="i">3635</v>
    <v t="i">3636</v>
    <v t="i">3639</v>
    <v t="i">3640</v>
    <v t="i">3641</v>
    <v t="i">3642</v>
    <v t="i">3643</v>
    <v t="i">3646</v>
    <v t="i">3647</v>
    <v t="i">3648</v>
    <v t="i">3649</v>
    <v t="i">3650</v>
    <v t="i">3654</v>
    <v t="i">3655</v>
    <v t="i">3656</v>
    <v t="i">3657</v>
    <v t="i">3660</v>
    <v t="i">3661</v>
    <v t="i">3662</v>
    <v t="i">3663</v>
    <v t="i">3664</v>
    <v t="i">3667</v>
    <v t="i">3668</v>
    <v t="i">3669</v>
    <v t="i">3670</v>
    <v t="i">3671</v>
    <v t="i">3674</v>
    <v t="i">3675</v>
    <v t="i">3676</v>
    <v t="i">3677</v>
    <v t="i">3678</v>
    <v t="i">3681</v>
    <v t="i">3682</v>
    <v t="i">3683</v>
    <v t="i">3684</v>
    <v t="i">3685</v>
    <v t="i">3688</v>
    <v t="i">3689</v>
    <v t="i">3690</v>
    <v t="i">3691</v>
    <v t="i">3692</v>
    <v t="i">3695</v>
    <v t="i">3696</v>
    <v t="i">3697</v>
    <v t="i">3698</v>
    <v t="i">3699</v>
    <v t="i">3702</v>
    <v t="i">3703</v>
    <v t="i">3704</v>
    <v t="i">3705</v>
    <v t="i">3709</v>
    <v t="i">3710</v>
    <v t="i">3711</v>
    <v t="i">3712</v>
    <v t="i">3713</v>
    <v t="i">3716</v>
    <v t="i">3717</v>
    <v t="i">3718</v>
    <v t="i">3719</v>
    <v t="i">3720</v>
    <v t="i">3723</v>
    <v t="i">3724</v>
    <v t="i">3725</v>
    <v t="i">3726</v>
    <v t="i">3727</v>
    <v t="i">3730</v>
    <v t="i">3731</v>
    <v t="i">3732</v>
    <v t="i">3733</v>
    <v t="i">3734</v>
    <v t="i">3737</v>
    <v t="i">3738</v>
    <v t="i">3739</v>
    <v t="i">3740</v>
    <v t="i">3741</v>
    <v t="i">3744</v>
    <v t="i">3745</v>
    <v t="i">3746</v>
    <v t="i">3747</v>
    <v t="i">3748</v>
    <v t="i">3752</v>
    <v t="i">3753</v>
    <v t="i">3754</v>
    <v t="i">3755</v>
    <v t="i">3758</v>
    <v t="i">3759</v>
    <v t="i">3760</v>
    <v t="i">3761</v>
    <v t="i">3762</v>
    <v t="i">3765</v>
    <v t="i">3766</v>
    <v t="i">3767</v>
    <v t="i">3768</v>
    <v t="i">3769</v>
    <v t="i">3772</v>
    <v t="i">3773</v>
    <v t="i">3774</v>
    <v t="i">3775</v>
    <v t="i">3776</v>
    <v t="i">3779</v>
    <v t="i">3780</v>
    <v t="i">3781</v>
    <v t="i">3782</v>
    <v t="i">3783</v>
    <v t="i">3786</v>
    <v t="i">3787</v>
    <v t="i">3788</v>
    <v t="i">3789</v>
    <v t="i">3793</v>
    <v t="i">3794</v>
    <v t="i">3795</v>
    <v t="i">3796</v>
    <v t="i">3797</v>
    <v t="i">3800</v>
    <v t="i">3801</v>
    <v t="i">3802</v>
    <v t="i">3803</v>
    <v t="i">3804</v>
    <v t="i">3807</v>
    <v t="i">3808</v>
    <v t="i">3809</v>
    <v t="i">3810</v>
    <v t="i">3811</v>
    <v t="i">3814</v>
    <v t="i">3815</v>
    <v t="i">3816</v>
    <v t="i">3817</v>
    <v t="i">3818</v>
    <v t="i">3821</v>
    <v t="i">3822</v>
    <v t="i">3823</v>
    <v t="i">3824</v>
    <v t="i">3825</v>
    <v t="i">3828</v>
    <v t="i">3829</v>
    <v t="i">3830</v>
    <v t="i">3831</v>
    <v t="i">3832</v>
    <v t="i">3835</v>
    <v t="i">3836</v>
    <v t="i">3837</v>
    <v t="i">3838</v>
    <v t="i">3839</v>
    <v t="i">3842</v>
    <v t="i">3843</v>
    <v t="i">3844</v>
    <v t="i">3845</v>
    <v t="i">3846</v>
    <v t="i">3849</v>
    <v t="i">3850</v>
    <v t="i">3851</v>
    <v t="i">3852</v>
    <v t="i">3853</v>
    <v t="i">3857</v>
    <v t="i">3858</v>
    <v t="i">3859</v>
    <v t="i">3860</v>
    <v t="i">3863</v>
    <v t="i">3864</v>
    <v t="i">3865</v>
    <v t="i">3866</v>
    <v t="i">3867</v>
    <v t="i">3870</v>
    <v t="i">3871</v>
    <v t="i">3872</v>
    <v t="i">3873</v>
    <v t="i">3874</v>
    <v t="i">3877</v>
    <v t="i">3878</v>
    <v t="i">3879</v>
    <v t="i">3880</v>
    <v t="i">3881</v>
    <v t="i">3884</v>
    <v t="i">3885</v>
    <v t="i">3886</v>
    <v t="i">3887</v>
    <v t="i">3888</v>
    <v t="i">3891</v>
    <v t="i">3892</v>
    <v t="i">3893</v>
    <v t="i">3894</v>
    <v t="i">3895</v>
    <v t="i">3898</v>
    <v t="i">3899</v>
    <v t="i">3900</v>
    <v t="i">3901</v>
    <v t="i">3902</v>
    <v t="i">3905</v>
    <v t="i">3906</v>
    <v t="i">3907</v>
    <v t="i">3908</v>
    <v t="i">3909</v>
    <v t="i">3912</v>
    <v t="i">3913</v>
    <v t="i">3914</v>
    <v t="i">3915</v>
    <v t="i">3916</v>
    <v t="i">3919</v>
    <v t="i">3920</v>
    <v t="i">3921</v>
    <v t="i">3922</v>
    <v t="i">3923</v>
    <v t="i">3926</v>
    <v t="i">3927</v>
    <v t="i">3928</v>
    <v t="i">3929</v>
    <v t="i">3930</v>
    <v t="i">3933</v>
    <v t="i">3934</v>
    <v t="i">3935</v>
    <v t="i">3937</v>
    <v t="i">3940</v>
    <v t="i">3941</v>
    <v t="i">3942</v>
    <v t="i">3943</v>
    <v t="i">3944</v>
    <v t="i">3947</v>
    <v t="i">3948</v>
    <v t="i">3949</v>
    <v t="i">3950</v>
    <v t="i">3951</v>
    <v t="i">3954</v>
    <v t="i">3955</v>
    <v t="i">3956</v>
    <v t="i">3957</v>
    <v t="i">3958</v>
    <v t="i">3961</v>
    <v t="i">3962</v>
    <v t="i">3963</v>
    <v t="i">3964</v>
    <v t="i">3968</v>
    <v t="i">3969</v>
    <v t="i">3970</v>
    <v t="i">3971</v>
    <v t="i">3975</v>
    <v t="i">3976</v>
    <v t="i">3977</v>
    <v t="i">3978</v>
    <v t="i">3979</v>
    <v t="i">3982</v>
    <v t="i">3983</v>
    <v t="i">3984</v>
    <v t="i">3985</v>
    <v t="i">3986</v>
    <v t="i">3990</v>
    <v t="i">3991</v>
    <v t="i">3992</v>
    <v t="i">3993</v>
    <v t="i">3996</v>
    <v t="i">3997</v>
    <v t="i">3998</v>
    <v t="i">3999</v>
    <v t="i">4000</v>
    <v t="i">4003</v>
    <v t="i">4004</v>
    <v t="i">4005</v>
    <v t="i">4006</v>
    <v t="i">4007</v>
    <v t="i">4010</v>
    <v t="i">4011</v>
    <v t="i">4012</v>
    <v t="i">4013</v>
    <v t="i">4014</v>
    <v t="i">4018</v>
    <v t="i">4019</v>
    <v t="i">4020</v>
    <v t="i">4021</v>
    <v t="i">4024</v>
    <v t="i">4025</v>
    <v t="i">4026</v>
    <v t="i">4027</v>
    <v t="i">4028</v>
    <v t="i">4031</v>
    <v t="i">4032</v>
    <v t="i">4033</v>
    <v t="i">4034</v>
    <v t="i">4035</v>
    <v t="i">4038</v>
    <v t="i">4039</v>
    <v t="i">4040</v>
    <v t="i">4041</v>
    <v t="i">4042</v>
    <v t="i">4045</v>
    <v t="i">4046</v>
    <v t="i">4047</v>
    <v t="i">4048</v>
    <v t="i">4049</v>
    <v t="i">4052</v>
    <v t="i">4053</v>
    <v t="i">4054</v>
    <v t="i">4055</v>
    <v t="i">4056</v>
    <v t="i">4059</v>
    <v t="i">4060</v>
    <v t="i">4061</v>
    <v t="i">4062</v>
    <v t="i">4066</v>
    <v t="i">4067</v>
    <v t="i">4068</v>
    <v t="i">4069</v>
    <v t="i">4070</v>
    <v t="i">4073</v>
    <v t="i">4074</v>
    <v t="i">4075</v>
    <v t="i">4076</v>
    <v t="i">4077</v>
    <v t="i">4080</v>
    <v t="i">4081</v>
    <v t="i">4082</v>
    <v t="i">4083</v>
    <v t="i">4084</v>
    <v t="i">4087</v>
    <v t="i">4088</v>
    <v t="i">4089</v>
    <v t="i">4090</v>
    <v t="i">4091</v>
    <v t="i">4094</v>
    <v t="i">4095</v>
    <v t="i">4096</v>
    <v t="i">4097</v>
    <v t="i">4098</v>
    <v t="i">4101</v>
    <v t="i">4102</v>
    <v t="i">4103</v>
    <v t="i">4104</v>
    <v t="i">4105</v>
    <v t="i">4108</v>
    <v t="i">4109</v>
    <v t="i">4110</v>
    <v t="i">4111</v>
    <v t="i">4112</v>
    <v t="i">4115</v>
    <v t="i">4116</v>
    <v t="i">4117</v>
    <v t="i">4118</v>
    <v t="i">4119</v>
    <v t="i">4123</v>
    <v t="i">4124</v>
    <v t="i">4125</v>
    <v t="i">4126</v>
    <v t="i">4129</v>
    <v t="i">4130</v>
    <v t="i">4131</v>
    <v t="i">4132</v>
    <v t="i">4133</v>
    <v t="i">4136</v>
    <v t="i">4137</v>
    <v t="i">4138</v>
    <v t="i">4139</v>
    <v t="i">4140</v>
    <v t="i">4143</v>
    <v t="i">4144</v>
    <v t="i">4145</v>
    <v t="i">4146</v>
    <v t="i">4147</v>
    <v t="i">4150</v>
    <v t="i">4151</v>
    <v t="i">4152</v>
    <v t="i">4153</v>
    <v t="i">4154</v>
    <v t="i">4158</v>
    <v t="i">4159</v>
    <v t="i">4160</v>
    <v t="i">4161</v>
    <v t="i">4164</v>
    <v t="i">4165</v>
    <v t="i">4166</v>
    <v t="i">4167</v>
    <v t="i">4168</v>
    <v t="i">4171</v>
    <v t="i">4172</v>
    <v t="i">4173</v>
    <v t="i">4174</v>
    <v t="i">4175</v>
    <v t="i">4178</v>
    <v t="i">4179</v>
    <v t="i">4180</v>
    <v t="i">4181</v>
    <v t="i">4182</v>
    <v t="i">4185</v>
    <v t="i">4186</v>
    <v t="i">4187</v>
    <v t="i">4188</v>
    <v t="i">4189</v>
    <v t="i">4192</v>
    <v t="i">4193</v>
    <v t="i">4194</v>
    <v t="i">4195</v>
    <v t="i">4196</v>
    <v t="i">4199</v>
    <v t="i">4200</v>
    <v t="i">4201</v>
    <v t="i">4202</v>
    <v t="i">4203</v>
    <v t="i">4206</v>
    <v t="i">4207</v>
    <v t="i">4208</v>
    <v t="i">4209</v>
    <v t="i">4210</v>
    <v t="i">4213</v>
    <v t="i">4214</v>
    <v t="i">4215</v>
    <v t="i">4216</v>
    <v t="i">4217</v>
    <v t="i">4221</v>
    <v t="i">4222</v>
    <v t="i">4223</v>
    <v t="i">4224</v>
    <v t="i">4227</v>
    <v t="i">4228</v>
    <v t="i">4229</v>
    <v t="i">4230</v>
    <v t="i">4231</v>
    <v t="i">4234</v>
    <v t="i">4235</v>
    <v t="i">4236</v>
    <v t="i">4237</v>
    <v t="i">4238</v>
    <v t="i">4241</v>
    <v t="i">4242</v>
    <v t="i">4243</v>
    <v t="i">4244</v>
    <v t="i">4245</v>
    <v t="i">4248</v>
    <v t="i">4249</v>
    <v t="i">4250</v>
    <v t="i">4251</v>
    <v t="i">4252</v>
    <v t="i">4255</v>
    <v t="i">4256</v>
    <v t="i">4257</v>
    <v t="i">4258</v>
    <v t="i">4259</v>
    <v t="i">4262</v>
    <v t="i">4263</v>
    <v t="i">4264</v>
    <v t="i">4265</v>
    <v t="i">4266</v>
    <v t="i">4269</v>
    <v t="i">4270</v>
    <v t="i">4271</v>
    <v t="i">4272</v>
    <v t="i">4273</v>
    <v t="i">4276</v>
    <v t="i">4277</v>
    <v t="i">4278</v>
    <v t="i">4279</v>
    <v t="i">4280</v>
    <v t="i">4283</v>
    <v t="i">4284</v>
    <v t="i">4285</v>
    <v t="i">4286</v>
    <v t="i">4287</v>
    <v t="i">4290</v>
    <v t="i">4291</v>
    <v t="i">4292</v>
    <v t="i">4293</v>
    <v t="i">4294</v>
    <v t="i">4297</v>
    <v t="i">4298</v>
    <v t="i">4299</v>
    <v t="i">4301</v>
    <v t="i">4304</v>
    <v t="i">4305</v>
    <v t="i">4306</v>
    <v t="i">4307</v>
    <v t="i">4308</v>
    <v t="i">4311</v>
    <v t="i">4312</v>
    <v t="i">4313</v>
    <v t="i">4314</v>
    <v t="i">4315</v>
    <v t="i">4318</v>
    <v t="i">4319</v>
    <v t="i">4320</v>
    <v t="i">4321</v>
    <v t="i">4322</v>
    <v t="i">4325</v>
    <v t="i">4326</v>
    <v t="i">4327</v>
    <v t="i">4328</v>
    <v t="i">4332</v>
    <v t="i">4333</v>
    <v t="i">4334</v>
    <v t="i">4335</v>
    <v t="i">4336</v>
    <v t="i">4339</v>
    <v t="i">4340</v>
    <v t="i">4341</v>
    <v t="i">4342</v>
    <v t="i">4343</v>
    <v t="i">4346</v>
    <v t="i">4347</v>
    <v t="i">4348</v>
    <v t="i">4349</v>
    <v t="i">4350</v>
    <v t="i">4354</v>
    <v t="i">4355</v>
    <v t="i">4356</v>
    <v t="i">4357</v>
    <v t="i">4360</v>
    <v t="i">4361</v>
    <v t="i">4362</v>
    <v t="i">4363</v>
    <v t="i">4364</v>
    <v t="i">4367</v>
    <v t="i">4368</v>
    <v t="i">4369</v>
    <v t="i">4370</v>
    <v t="i">4371</v>
    <v t="i">4374</v>
    <v t="i">4375</v>
    <v t="i">4376</v>
    <v t="i">4377</v>
    <v t="i">4378</v>
    <v t="i">4381</v>
    <v t="i">4382</v>
    <v t="i">4383</v>
    <v t="i">4384</v>
    <v t="i">4385</v>
    <v t="i">4389</v>
    <v t="i">4390</v>
    <v t="i">4391</v>
    <v t="i">4392</v>
    <v t="i">4395</v>
    <v t="i">4396</v>
    <v t="i">4397</v>
    <v t="i">4398</v>
    <v t="i">4399</v>
    <v t="i">4402</v>
    <v t="i">4403</v>
    <v t="i">4404</v>
    <v t="i">4405</v>
    <v t="i">4406</v>
    <v t="i">4409</v>
    <v t="i">4410</v>
    <v t="i">4411</v>
    <v t="i">4412</v>
    <v t="i">4413</v>
    <v t="i">4416</v>
    <v t="i">4417</v>
    <v t="i">4418</v>
    <v t="i">4419</v>
    <v t="i">4420</v>
    <v t="i">4423</v>
    <v t="i">4424</v>
    <v t="i">4425</v>
    <v t="i">4426</v>
    <v t="i">4427</v>
    <v t="i">4430</v>
    <v t="i">4431</v>
    <v t="i">4432</v>
    <v t="i">4433</v>
    <v t="i">4434</v>
    <v t="i">4437</v>
    <v t="i">4438</v>
    <v t="i">4439</v>
    <v t="i">4440</v>
    <v t="i">4444</v>
    <v t="i">4445</v>
    <v t="i">4446</v>
    <v t="i">4447</v>
    <v t="i">4448</v>
    <v t="i">4451</v>
    <v t="i">4452</v>
    <v t="i">4453</v>
    <v t="i">4454</v>
    <v t="i">4455</v>
    <v t="i">4458</v>
    <v t="i">4459</v>
    <v t="i">4460</v>
    <v t="i">4461</v>
    <v t="i">4462</v>
    <v t="i">4465</v>
    <v t="i">4466</v>
    <v t="i">4467</v>
    <v t="i">4468</v>
    <v t="i">4469</v>
    <v t="i">4472</v>
    <v t="i">4473</v>
    <v t="i">4474</v>
    <v t="i">4475</v>
    <v t="i">4476</v>
    <v t="i">4479</v>
    <v t="i">4480</v>
    <v t="i">4481</v>
    <v t="i">4482</v>
    <v t="i">4483</v>
    <v t="i">4487</v>
    <v t="i">4488</v>
    <v t="i">4489</v>
    <v t="i">4490</v>
    <v t="i">4493</v>
    <v t="i">4494</v>
    <v t="i">4495</v>
    <v t="i">4496</v>
    <v t="i">4497</v>
    <v t="i">4500</v>
    <v t="i">4501</v>
    <v t="i">4502</v>
    <v t="i">4503</v>
    <v t="i">4504</v>
    <v t="i">4508</v>
    <v t="i">4509</v>
    <v t="i">4510</v>
    <v t="i">4511</v>
    <v t="i">4514</v>
    <v t="i">4515</v>
    <v t="i">4516</v>
    <v t="i">4517</v>
    <v t="i">4518</v>
    <v t="i">4522</v>
    <v t="i">4523</v>
    <v t="i">4524</v>
    <v t="i">4525</v>
    <v t="i">4528</v>
    <v t="i">4529</v>
    <v t="i">4530</v>
    <v t="i">4531</v>
    <v t="i">4532</v>
    <v t="i">4535</v>
    <v t="i">4536</v>
    <v t="i">4537</v>
    <v t="i">4538</v>
    <v t="i">4539</v>
    <v t="i">4542</v>
    <v t="i">4543</v>
    <v t="i">4544</v>
    <v t="i">4545</v>
    <v t="i">4546</v>
    <v t="i">4549</v>
    <v t="i">4550</v>
    <v t="i">4551</v>
    <v t="i">4552</v>
    <v t="i">4553</v>
    <v t="i">4556</v>
    <v t="i">4557</v>
    <v t="i">4558</v>
    <v t="i">4559</v>
    <v t="i">4560</v>
    <v t="i">4563</v>
    <v t="i">4564</v>
    <v t="i">4565</v>
    <v t="i">4566</v>
    <v t="i">4567</v>
    <v t="i">4570</v>
    <v t="i">4571</v>
    <v t="i">4572</v>
    <v t="i">4573</v>
    <v t="i">4574</v>
    <v t="i">4577</v>
    <v t="i">4578</v>
    <v t="i">4579</v>
    <v t="i">4580</v>
    <v t="i">4581</v>
    <v t="i">4585</v>
    <v t="i">4586</v>
    <v t="i">4587</v>
    <v t="i">4588</v>
    <v t="i">4591</v>
    <v t="i">4592</v>
    <v t="i">4593</v>
    <v t="i">4594</v>
    <v t="i">4595</v>
    <v t="i">4598</v>
    <v t="i">4599</v>
    <v t="i">4600</v>
    <v t="i">4601</v>
    <v t="i">4602</v>
    <v t="i">4605</v>
    <v t="i">4606</v>
    <v t="i">4607</v>
    <v t="i">4608</v>
    <v t="i">4609</v>
    <v t="i">4612</v>
    <v t="i">4613</v>
    <v t="i">4614</v>
    <v t="i">4615</v>
    <v t="i">4616</v>
    <v t="i">4619</v>
    <v t="i">4620</v>
    <v t="i">4621</v>
    <v t="i">4622</v>
    <v t="i">4623</v>
    <v t="i">4626</v>
    <v t="i">4627</v>
    <v t="i">4628</v>
    <v t="i">4629</v>
    <v t="i">4630</v>
    <v t="i">4633</v>
    <v t="i">4634</v>
    <v t="i">4635</v>
    <v t="i">4636</v>
    <v t="i">4637</v>
    <v t="i">4640</v>
    <v t="i">4641</v>
    <v t="i">4642</v>
    <v t="i">4643</v>
    <v t="i">4644</v>
    <v t="i">4647</v>
    <v t="i">4648</v>
    <v t="i">4649</v>
    <v t="i">4650</v>
    <v t="i">4651</v>
    <v t="i">4654</v>
    <v t="i">4655</v>
    <v t="i">4656</v>
    <v t="i">4657</v>
    <v t="i">4658</v>
    <v t="i">4661</v>
    <v t="i">4662</v>
    <v t="i">4663</v>
    <v t="i">4665</v>
    <v t="i">4668</v>
    <v t="i">4669</v>
    <v t="i">4670</v>
    <v t="i">4671</v>
    <v t="i">4672</v>
    <v t="i">4675</v>
    <v t="i">4676</v>
    <v t="i">4677</v>
    <v t="i">4678</v>
    <v t="i">4679</v>
    <v t="i">4682</v>
    <v t="i">4683</v>
    <v t="i">4684</v>
    <v t="i">4685</v>
    <v t="i">4686</v>
    <v t="i">4689</v>
    <v t="i">4690</v>
    <v t="i">4691</v>
    <v t="i">4692</v>
    <v t="i">4693</v>
    <v t="i">4697</v>
    <v t="i">4698</v>
    <v t="i">4699</v>
    <v t="i">4700</v>
    <v t="i">4704</v>
    <v t="i">4705</v>
    <v t="i">4706</v>
    <v t="i">4707</v>
    <v t="i">4710</v>
    <v t="i">4711</v>
    <v t="i">4712</v>
    <v t="i">4713</v>
    <v t="i">4714</v>
    <v t="i">4718</v>
    <v t="i">4719</v>
    <v t="i">4720</v>
    <v t="i">4721</v>
    <v t="i">4724</v>
    <v t="i">4725</v>
    <v t="i">4726</v>
    <v t="i">4727</v>
    <v t="i">4728</v>
    <v t="i">4731</v>
    <v t="i">4732</v>
    <v t="i">4733</v>
    <v t="i">4734</v>
    <v t="i">4735</v>
    <v t="i">4738</v>
    <v t="i">4739</v>
    <v t="i">4740</v>
    <v t="i">4741</v>
    <v t="i">4742</v>
    <v t="i">4745</v>
    <v t="i">4746</v>
    <v t="i">4747</v>
    <v t="i">4748</v>
    <v t="i">4749</v>
    <v t="i">4753</v>
    <v t="i">4754</v>
    <v t="i">4755</v>
    <v t="i">4756</v>
    <v t="i">4759</v>
    <v t="i">4760</v>
    <v t="i">4761</v>
    <v t="i">4762</v>
    <v t="i">4763</v>
    <v t="i">4766</v>
    <v t="i">4767</v>
    <v t="i">4768</v>
    <v t="i">4769</v>
    <v t="i">4770</v>
    <v t="i">4773</v>
    <v t="i">4774</v>
    <v t="i">4775</v>
    <v t="i">4776</v>
    <v t="i">4777</v>
    <v t="i">4780</v>
    <v t="i">4781</v>
    <v t="i">4782</v>
    <v t="i">4783</v>
    <v t="i">4784</v>
    <v t="i">4787</v>
    <v t="i">4788</v>
    <v t="i">4789</v>
    <v t="i">4790</v>
    <v t="i">4791</v>
    <v t="i">4794</v>
    <v t="i">4795</v>
    <v t="i">4796</v>
    <v t="i">4797</v>
    <v t="i">4801</v>
    <v t="i">4802</v>
    <v t="i">4803</v>
    <v t="i">4804</v>
    <v t="i">4805</v>
    <v t="i">4808</v>
    <v t="i">4809</v>
    <v t="i">4810</v>
    <v t="i">4811</v>
    <v t="i">4812</v>
    <v t="i">4815</v>
    <v t="i">4816</v>
    <v t="i">4817</v>
    <v t="i">4818</v>
    <v t="i">4819</v>
    <v t="i">4822</v>
    <v t="i">4823</v>
    <v t="i">4824</v>
    <v t="i">4825</v>
    <v t="i">4826</v>
    <v t="i">4829</v>
    <v t="i">4830</v>
    <v t="i">4831</v>
    <v t="i">4832</v>
    <v t="i">4833</v>
    <v t="i">4836</v>
    <v t="i">4837</v>
    <v t="i">4838</v>
    <v t="i">4839</v>
    <v t="i">4840</v>
    <v t="i">4843</v>
    <v t="i">4844</v>
    <v t="i">4845</v>
    <v t="i">4846</v>
    <v t="i">4847</v>
    <v t="i">4851</v>
    <v t="i">4852</v>
    <v t="i">4853</v>
    <v t="i">4854</v>
    <v t="i">4857</v>
    <v t="i">4858</v>
    <v t="i">4859</v>
    <v t="i">4860</v>
    <v t="i">4861</v>
    <v t="i">4864</v>
    <v t="i">4865</v>
    <v t="i">4866</v>
    <v t="i">4867</v>
    <v t="i">4868</v>
    <v t="i">4872</v>
    <v t="i">4873</v>
    <v t="i">4874</v>
    <v t="i">4875</v>
    <v t="i">4878</v>
    <v t="i">4879</v>
    <v t="i">4880</v>
    <v t="i">4881</v>
    <v t="i">4882</v>
    <v t="i">4885</v>
    <v t="i">4887</v>
    <v t="i">4888</v>
    <v t="i">4889</v>
    <v t="i">4892</v>
    <v t="i">4893</v>
    <v t="i">4894</v>
    <v t="i">4895</v>
    <v t="i">4896</v>
    <v t="i">4899</v>
    <v t="i">4900</v>
    <v t="i">4901</v>
    <v t="i">4902</v>
    <v t="i">4903</v>
    <v t="i">4906</v>
    <v t="i">4907</v>
    <v t="i">4908</v>
    <v t="i">4909</v>
    <v t="i">4910</v>
    <v t="i">4913</v>
    <v t="i">4914</v>
    <v t="i">4915</v>
    <v t="i">4916</v>
    <v t="i">4917</v>
    <v t="i">4920</v>
    <v t="i">4921</v>
    <v t="i">4922</v>
    <v t="i">4923</v>
    <v t="i">4924</v>
    <v t="i">4927</v>
    <v t="i">4928</v>
    <v t="i">4929</v>
    <v t="i">4930</v>
    <v t="i">4931</v>
    <v t="i">4934</v>
    <v t="i">4935</v>
    <v t="i">4936</v>
    <v t="i">4937</v>
    <v t="i">4938</v>
    <v t="i">4941</v>
    <v t="i">4942</v>
    <v t="i">4943</v>
    <v t="i">4944</v>
    <v t="i">4945</v>
    <v t="i">4949</v>
    <v t="i">4950</v>
    <v t="i">4951</v>
    <v t="i">4952</v>
    <v t="i">4955</v>
    <v t="i">4956</v>
    <v t="i">4957</v>
    <v t="i">4958</v>
    <v t="i">4959</v>
    <v t="i">4962</v>
    <v t="i">4963</v>
    <v t="i">4964</v>
    <v t="i">4965</v>
    <v t="i">4966</v>
    <v t="i">4969</v>
    <v t="i">4970</v>
    <v t="i">4971</v>
    <v t="i">4972</v>
    <v t="i">4973</v>
    <v t="i">4976</v>
    <v t="i">4977</v>
    <v t="i">4978</v>
    <v t="i">4979</v>
    <v t="i">4980</v>
    <v t="i">4983</v>
    <v t="i">4984</v>
    <v t="i">4985</v>
    <v t="i">4986</v>
    <v t="i">4987</v>
    <v t="i">4990</v>
    <v t="i">4991</v>
    <v t="i">4992</v>
    <v t="i">4993</v>
    <v t="i">4994</v>
    <v t="i">4997</v>
    <v t="i">4998</v>
    <v t="i">4999</v>
    <v t="i">5000</v>
    <v t="i">5001</v>
    <v t="i">5004</v>
    <v t="i">5005</v>
    <v t="i">5006</v>
    <v t="i">5007</v>
    <v t="i">5008</v>
    <v t="i">5011</v>
    <v t="i">5012</v>
    <v t="i">5013</v>
    <v t="i">5014</v>
    <v t="i">5015</v>
    <v t="i">5018</v>
    <v t="i">5019</v>
    <v t="i">5020</v>
    <v t="i">5021</v>
    <v t="i">5022</v>
    <v t="i">5025</v>
    <v t="i">5026</v>
    <v t="i">5027</v>
    <v t="i">5029</v>
    <v t="i">5032</v>
    <v t="i">5033</v>
    <v t="i">5034</v>
    <v t="i">5035</v>
    <v t="i">5036</v>
    <v t="i">5039</v>
    <v t="i">5040</v>
    <v t="i">5041</v>
    <v t="i">5042</v>
    <v t="i">5043</v>
    <v t="i">5046</v>
    <v t="i">5047</v>
    <v t="i">5048</v>
    <v t="i">5049</v>
    <v t="i">5050</v>
    <v t="i">5053</v>
    <v t="i">5054</v>
    <v t="i">5055</v>
    <v t="i">5056</v>
    <v t="i">5057</v>
    <v t="i">5061</v>
    <v t="i">5062</v>
    <v t="i">5063</v>
    <v t="i">5064</v>
    <v t="i">5068</v>
    <v t="i">5069</v>
    <v t="i">5070</v>
    <v t="i">5071</v>
    <v t="i">5074</v>
    <v t="i">5075</v>
    <v t="i">5076</v>
    <v t="i">5077</v>
    <v t="i">5078</v>
    <v t="i">5082</v>
    <v t="i">5083</v>
    <v t="i">5084</v>
    <v t="i">5085</v>
    <v t="i">5088</v>
    <v t="i">5089</v>
    <v t="i">5090</v>
    <v t="i">5091</v>
    <v t="i">5092</v>
    <v t="i">5095</v>
    <v t="i">5096</v>
    <v t="i">5097</v>
    <v t="i">5098</v>
    <v t="i">5099</v>
    <v t="i">5102</v>
    <v t="i">5103</v>
    <v t="i">5104</v>
    <v t="i">5105</v>
    <v t="i">5106</v>
    <v t="i">5109</v>
    <v t="i">5110</v>
    <v t="i">5111</v>
    <v t="i">5112</v>
    <v t="i">5113</v>
    <v t="i">5117</v>
    <v t="i">5118</v>
    <v t="i">5119</v>
    <v t="i">5120</v>
    <v t="i">5123</v>
    <v t="i">5124</v>
    <v t="i">5125</v>
    <v t="i">5126</v>
    <v t="i">5127</v>
    <v t="i">5130</v>
    <v t="i">5131</v>
    <v t="i">5132</v>
    <v t="i">5133</v>
    <v t="i">5134</v>
    <v t="i">5137</v>
    <v t="i">5138</v>
    <v t="i">5139</v>
    <v t="i">5140</v>
    <v t="i">5141</v>
    <v t="i">5144</v>
    <v t="i">5145</v>
    <v t="i">5146</v>
    <v t="i">5147</v>
    <v t="i">5148</v>
    <v t="i">5151</v>
    <v t="i">5152</v>
    <v t="i">5153</v>
    <v t="i">5154</v>
    <v t="i">5158</v>
    <v t="i">5159</v>
    <v t="i">5160</v>
    <v t="i">5161</v>
    <v t="i">5162</v>
    <v t="i">5165</v>
    <v t="i">5166</v>
    <v t="i">5167</v>
    <v t="i">5168</v>
    <v t="i">5169</v>
    <v t="i">5172</v>
    <v t="i">5173</v>
    <v t="i">5174</v>
    <v t="i">5175</v>
    <v t="i">5176</v>
    <v t="i">5179</v>
    <v t="i">5180</v>
    <v t="i">5181</v>
    <v t="i">5182</v>
    <v t="i">5183</v>
    <v t="i">5186</v>
    <v t="i">5187</v>
    <v t="i">5188</v>
    <v t="i">5189</v>
    <v t="i">5190</v>
    <v t="i">5193</v>
    <v t="i">5194</v>
    <v t="i">5195</v>
    <v t="i">5196</v>
    <v t="i">5197</v>
    <v t="i">5200</v>
    <v t="i">5201</v>
    <v t="i">5202</v>
    <v t="i">5203</v>
    <v t="i">5204</v>
    <v t="i">5207</v>
    <v t="i">5208</v>
    <v t="i">5209</v>
    <v t="i">5210</v>
    <v t="i">5211</v>
    <v t="i">5215</v>
    <v t="i">5216</v>
    <v t="i">5217</v>
    <v t="i">5218</v>
    <v t="i">5221</v>
    <v t="i">5222</v>
    <v t="i">5223</v>
    <v t="i">5224</v>
    <v t="i">5225</v>
    <v t="i">5228</v>
    <v t="i">5229</v>
    <v t="i">5230</v>
    <v t="i">5231</v>
    <v t="i">5232</v>
    <v t="i">5235</v>
    <v t="i">5236</v>
    <v t="i">5238</v>
    <v t="i">5239</v>
    <v t="i">5242</v>
    <v t="i">5243</v>
    <v t="i">5244</v>
    <v t="i">5245</v>
    <v t="i">5246</v>
    <v t="i">5249</v>
    <v t="i">5250</v>
    <v t="i">5251</v>
    <v t="i">5253</v>
    <v t="i">5256</v>
    <v t="i">5257</v>
    <v t="i">5258</v>
    <v t="i">5259</v>
    <v t="i">5260</v>
    <v t="i">5263</v>
    <v t="i">5264</v>
    <v t="i">5265</v>
    <v t="i">5266</v>
    <v t="i">5267</v>
    <v t="i">5270</v>
    <v t="i">5271</v>
    <v t="i">5272</v>
    <v t="i">5273</v>
    <v t="i">5274</v>
    <v t="i">5277</v>
    <v t="i">5278</v>
    <v t="i">5279</v>
    <v t="i">5280</v>
    <v t="i">5281</v>
    <v t="i">5284</v>
    <v t="i">5285</v>
    <v t="i">5286</v>
    <v t="i">5287</v>
    <v t="i">5288</v>
    <v t="i">5291</v>
    <v t="i">5292</v>
    <v t="i">5293</v>
    <v t="i">5294</v>
    <v t="i">5295</v>
    <v t="i">5298</v>
    <v t="i">5299</v>
    <v t="i">5300</v>
    <v t="i">5301</v>
    <v t="i">5302</v>
    <v t="i">5305</v>
    <v t="i">5306</v>
    <v t="i">5307</v>
    <v t="i">5308</v>
    <v t="i">5309</v>
    <v t="i">5313</v>
    <v t="i">5314</v>
    <v t="i">5315</v>
    <v t="i">5316</v>
    <v t="i">5319</v>
    <v t="i">5320</v>
    <v t="i">5321</v>
    <v t="i">5322</v>
    <v t="i">5323</v>
    <v t="i">5326</v>
    <v t="i">5327</v>
    <v t="i">5328</v>
    <v t="i">5329</v>
    <v t="i">5330</v>
    <v t="i">5333</v>
    <v t="i">5334</v>
    <v t="i">5335</v>
    <v t="i">5336</v>
    <v t="i">5337</v>
    <v t="i">5340</v>
    <v t="i">5341</v>
    <v t="i">5342</v>
    <v t="i">5343</v>
    <v t="i">5344</v>
    <v t="i">5347</v>
    <v t="i">5348</v>
    <v t="i">5349</v>
    <v t="i">5350</v>
    <v t="i">5351</v>
    <v t="i">5354</v>
    <v t="i">5355</v>
    <v t="i">5356</v>
    <v t="i">5357</v>
    <v t="i">5358</v>
    <v t="i">5361</v>
    <v t="i">5362</v>
    <v t="i">5363</v>
    <v t="i">5364</v>
    <v t="i">5365</v>
    <v t="i">5368</v>
    <v t="i">5369</v>
    <v t="i">5370</v>
    <v t="i">5371</v>
    <v t="i">5372</v>
    <v t="i">5375</v>
    <v t="i">5376</v>
    <v t="i">5377</v>
    <v t="i">5378</v>
    <v t="i">5379</v>
    <v t="i">5382</v>
    <v t="i">5383</v>
    <v t="i">5384</v>
    <v t="i">5385</v>
    <v t="i">5386</v>
    <v t="i">5389</v>
    <v t="i">5390</v>
    <v t="i">5391</v>
    <v t="i">5392</v>
    <v t="i">5393</v>
    <v t="i">5396</v>
    <v t="i">5397</v>
    <v t="i">5398</v>
    <v t="i">5400</v>
    <v t="i">5403</v>
    <v t="i">5404</v>
    <v t="i">5405</v>
    <v t="i">5406</v>
    <v t="i">5407</v>
    <v t="i">5410</v>
    <v t="i">5411</v>
    <v t="i">5412</v>
    <v t="i">5413</v>
    <v t="i">5414</v>
    <v t="i">5417</v>
    <v t="i">5418</v>
    <v t="i">5419</v>
    <v t="i">5420</v>
    <v t="i">5421</v>
    <v t="i">5424</v>
    <v t="i">5425</v>
    <v t="i">5426</v>
    <v t="i">5427</v>
    <v t="i">5428</v>
    <v t="i">5431</v>
    <v t="i">5432</v>
    <v t="i">5434</v>
    <v t="i">5435</v>
    <v t="i">5438</v>
    <v t="i">5439</v>
    <v t="i">5440</v>
    <v t="i">5442</v>
    <v t="i">5445</v>
    <v t="i">5446</v>
    <v t="i">5447</v>
    <v t="i">5448</v>
    <v t="i">5449</v>
    <v t="i">5453</v>
    <v t="i">5454</v>
    <v t="i">5455</v>
    <v t="i">5456</v>
    <v t="i">5459</v>
    <v t="i">5460</v>
    <v t="i">5461</v>
    <v t="i">5462</v>
    <v t="i">5463</v>
    <v t="i">5466</v>
    <v t="i">5467</v>
    <v t="i">5468</v>
    <v t="i">5469</v>
    <v t="i">5470</v>
    <v t="i">5473</v>
    <v t="i">5474</v>
    <v t="i">5475</v>
    <v t="i">5476</v>
    <v t="i">5477</v>
  </a>
  <a r="1" c="4045">
    <v>10268.8104</v>
    <v>10309.242899999999</v>
    <v>10392.9043</v>
    <v>10402.3511</v>
    <v>10402.3511</v>
    <v>10402.3511</v>
    <v>10383.381799999999</v>
    <v>10282.4138</v>
    <v>10374.161700000001</v>
    <v>10321.0326</v>
    <v>10325.264800000001</v>
    <v>10325.264800000001</v>
    <v>10325.264800000001</v>
    <v>10403.7871</v>
    <v>10405.9787</v>
    <v>10396.758599999999</v>
    <v>10444.144</v>
    <v>10566.197399999999</v>
    <v>10566.197399999999</v>
    <v>10566.197399999999</v>
    <v>10552.518400000001</v>
    <v>10564.383599999999</v>
    <v>10567.331099999999</v>
    <v>10611.8447</v>
    <v>10624.6924</v>
    <v>10624.6924</v>
    <v>10624.6924</v>
    <v>10642.1502</v>
    <v>10685.9836</v>
    <v>10733.6713</v>
    <v>10779.1674</v>
    <v>10741.9846</v>
    <v>10741.9846</v>
    <v>10741.9846</v>
    <v>10785.893599999999</v>
    <v>10888.826499999999</v>
    <v>10836.150900000001</v>
    <v>10841.214400000001</v>
    <v>10850.358899999999</v>
    <v>10850.358899999999</v>
    <v>10850.358899999999</v>
    <v>10895.855</v>
    <v>10907.418</v>
    <v>10856.6317</v>
    <v>10927.0674</v>
    <v>10927.0674</v>
    <v>10927.0674</v>
    <v>10927.0674</v>
    <v>10973.546</v>
    <v>10969.993899999999</v>
    <v>10897.5177</v>
    <v>10927.0674</v>
    <v>10997.3521</v>
    <v>10997.3521</v>
    <v>10997.3521</v>
    <v>11005.9676</v>
    <v>11019.419900000001</v>
    <v>11123.1086</v>
    <v>11144.571900000001</v>
    <v>11018.664199999999</v>
    <v>11018.664199999999</v>
    <v>11018.664199999999</v>
    <v>11092.047399999999</v>
    <v>11117.062599999999</v>
    <v>11124.922399999999</v>
    <v>11134.2937</v>
    <v>11204.276</v>
    <v>11204.276</v>
    <v>11204.276</v>
    <v>11205.031800000001</v>
    <v>10991.986199999999</v>
    <v>11045.2665</v>
    <v>11167.3199</v>
    <v>11008.6127</v>
    <v>11008.6127</v>
    <v>11008.6127</v>
    <v>11151.8271</v>
    <v>10926.765100000001</v>
    <v>10868.119000000001</v>
    <v>10520.3235</v>
    <v>10380.4344</v>
    <v>10380.4344</v>
    <v>10380.4344</v>
    <v>10785.1378</v>
    <v>10748.257299999999</v>
    <v>10896.913</v>
    <v>10782.9462</v>
    <v>10620.1579</v>
    <v>10620.1579</v>
    <v>10620.1579</v>
    <v>10625.825999999999</v>
    <v>10510.9522</v>
    <v>10444.370800000001</v>
    <v>10068.007900000001</v>
    <v>10193.3866</v>
    <v>10193.3866</v>
    <v>10193.3866</v>
    <v>10066.572</v>
    <v>10043.7484</v>
    <v>9974.4462000000003</v>
    <v>10258.9856</v>
    <v>10136.6299</v>
    <v>10136.6299</v>
    <v>10136.6299</v>
    <v>10136.6299</v>
    <v>10024.0234</v>
    <v>10249.5388</v>
    <v>10255.282499999999</v>
    <v>9931.9732000000004</v>
    <v>9931.9732000000004</v>
    <v>9931.9732000000004</v>
    <v>9816.4948000000004</v>
    <v>9939.9840999999997</v>
    <v>9899.2492999999995</v>
    <v>10172.528</v>
    <v>10211.0712</v>
    <v>10211.0712</v>
    <v>10211.0712</v>
    <v>10190.8927</v>
    <v>10404.7695</v>
    <v>10409.4552</v>
    <v>10434.1682</v>
    <v>10450.6435</v>
    <v>10450.6435</v>
    <v>10450.6435</v>
    <v>10442.4058</v>
    <v>10293.523300000001</v>
    <v>10298.4357</v>
    <v>10152.802900000001</v>
    <v>10143.809499999999</v>
    <v>10143.809499999999</v>
    <v>10143.809499999999</v>
    <v>10138.5193</v>
    <v>9870.3040999999994</v>
    <v>9774.0216999999993</v>
    <v>9732.5311000000002</v>
    <v>9686.4822999999997</v>
    <v>9686.4822999999997</v>
    <v>9686.4822999999997</v>
    <v>9686.4822999999997</v>
    <v>9743.6232999999993</v>
    <v>10018.2781</v>
    <v>10138.993</v>
    <v>10198.026</v>
    <v>10198.026</v>
    <v>10198.026</v>
    <v>10216.265600000001</v>
    <v>10363.015600000001</v>
    <v>10366.724099999999</v>
    <v>10359.3071</v>
    <v>10097.8969</v>
    <v>10097.8969</v>
    <v>10097.8969</v>
    <v>10154.4324</v>
    <v>10229.9643</v>
    <v>10120.5262</v>
    <v>10322.298000000001</v>
    <v>10424.6219</v>
    <v>10424.6219</v>
    <v>10424.6219</v>
    <v>10525.4321</v>
    <v>10537.692800000001</v>
    <v>10497.8833</v>
    <v>10467.1559</v>
    <v>10465.9449</v>
    <v>10465.9449</v>
    <v>10465.9449</v>
    <v>10674.3768</v>
    <v>10636.3838</v>
    <v>10680.431500000001</v>
    <v>10674.9823</v>
    <v>10653.563899999999</v>
    <v>10653.563899999999</v>
    <v>10653.563899999999</v>
    <v>10698.7469</v>
    <v>10644.2549</v>
    <v>10378.8334</v>
    <v>10319.951800000001</v>
    <v>10303.150100000001</v>
    <v>10303.150100000001</v>
    <v>10303.150100000001</v>
    <v>10302.0149</v>
    <v>10405.8524</v>
    <v>10415.5398</v>
    <v>10271.2117</v>
    <v>10213.6167</v>
    <v>10213.6167</v>
    <v>10213.6167</v>
    <v>10174.4128</v>
    <v>10040.453299999999</v>
    <v>10060.0553</v>
    <v>9985.8099000000002</v>
    <v>10150.6482</v>
    <v>10150.6482</v>
    <v>10150.6482</v>
    <v>10009.7258</v>
    <v>10014.7209</v>
    <v>10269.471</v>
    <v>10320.1032</v>
    <v>10447.9323</v>
    <v>10447.9323</v>
    <v>10447.9323</v>
    <v>10447.9323</v>
    <v>10340.689</v>
    <v>10387.0072</v>
    <v>10415.2371</v>
    <v>10462.766299999999</v>
    <v>10462.766299999999</v>
    <v>10462.766299999999</v>
    <v>10544.1258</v>
    <v>10526.491599999999</v>
    <v>10572.7341</v>
    <v>10594.833699999999</v>
    <v>10607.851199999999</v>
    <v>10607.851199999999</v>
    <v>10607.851199999999</v>
    <v>10753.6173</v>
    <v>10761.034299999999</v>
    <v>10739.313099999999</v>
    <v>10662.418900000001</v>
    <v>10860.2551</v>
    <v>10860.2551</v>
    <v>10860.2551</v>
    <v>10812.0448</v>
    <v>10858.136</v>
    <v>10835.2796</v>
    <v>10788.0532</v>
    <v>10829.679</v>
    <v>10829.679</v>
    <v>10829.679</v>
    <v>10751.2711</v>
    <v>10944.717699999999</v>
    <v>10967.6497</v>
    <v>10948.577499999999</v>
    <v>11006.4753</v>
    <v>11006.4753</v>
    <v>11006.4753</v>
    <v>11010.3351</v>
    <v>11020.401</v>
    <v>11096.0843</v>
    <v>11094.5707</v>
    <v>11062.7837</v>
    <v>11062.7837</v>
    <v>11062.7837</v>
    <v>11143.689200000001</v>
    <v>10978.623799999999</v>
    <v>11107.9666</v>
    <v>11146.5651</v>
    <v>11132.563700000001</v>
    <v>11132.563700000001</v>
    <v>11132.563700000001</v>
    <v>11164.048000000001</v>
    <v>11169.4593</v>
    <v>11126.281999999999</v>
    <v>11113.945599999999</v>
    <v>11118.4866</v>
    <v>11118.4866</v>
    <v>11118.4866</v>
    <v>11124.617</v>
    <v>11188.720799999999</v>
    <v>11215.1342</v>
    <v>11434.8429</v>
    <v>11444.076300000001</v>
    <v>11444.076300000001</v>
    <v>11444.076300000001</v>
    <v>11406.840099999999</v>
    <v>11346.747499999999</v>
    <v>11357.040499999999</v>
    <v>11283.097900000001</v>
    <v>11192.580599999999</v>
    <v>11192.580599999999</v>
    <v>11192.580599999999</v>
    <v>11201.9653</v>
    <v>11023.504000000001</v>
    <v>11007.875400000001</v>
    <v>11181.2281</v>
    <v>11203.554700000001</v>
    <v>11203.554700000001</v>
    <v>11203.554700000001</v>
    <v>11178.5792</v>
    <v>11036.370199999999</v>
    <v>11187.282800000001</v>
    <v>11187.282800000001</v>
    <v>11091.997499999999</v>
    <v>11091.997499999999</v>
    <v>11091.997499999999</v>
    <v>11052.4908</v>
    <v>11006.021199999999</v>
    <v>11255.7762</v>
    <v>11362.414000000001</v>
    <v>11382.091700000001</v>
    <v>11382.091700000001</v>
    <v>11382.091700000001</v>
    <v>11362.186900000001</v>
    <v>11359.159600000001</v>
    <v>11372.4799</v>
    <v>11370.058000000001</v>
    <v>11410.3215</v>
    <v>11410.3215</v>
    <v>11410.3215</v>
    <v>11428.5612</v>
    <v>11476.5445</v>
    <v>11457.472299999999</v>
    <v>11499.2495</v>
    <v>11491.9082</v>
    <v>11491.9082</v>
    <v>11491.9082</v>
    <v>11478.1338</v>
    <v>11533.1556</v>
    <v>11559.493399999999</v>
    <v>11573.4948</v>
    <v>11573.4948</v>
    <v>11573.4948</v>
    <v>11573.4948</v>
    <v>11555.0281</v>
    <v>11575.5383</v>
    <v>11585.3771</v>
    <v>11569.7106</v>
    <v>11577.505999999999</v>
    <v>11577.505999999999</v>
    <v>11577.505999999999</v>
    <v>11670.7479</v>
    <v>11691.1824</v>
    <v>11722.893700000001</v>
    <v>11697.3127</v>
    <v>11674.759099999999</v>
    <v>11674.759099999999</v>
    <v>11674.759099999999</v>
    <v>11637.447200000001</v>
    <v>11671.883099999999</v>
    <v>11755.4375</v>
    <v>11731.9</v>
    <v>11787.375899999999</v>
    <v>11787.375899999999</v>
    <v>11787.375899999999</v>
    <v>11787.375899999999</v>
    <v>11837.9323</v>
    <v>11825.2932</v>
    <v>11822.795700000001</v>
    <v>11871.8385</v>
    <v>11871.8385</v>
    <v>11871.8385</v>
    <v>11980.5198</v>
    <v>11977.189700000001</v>
    <v>11985.439200000001</v>
    <v>11989.828799999999</v>
    <v>11823.7039</v>
    <v>11823.7039</v>
    <v>11823.7039</v>
    <v>11891.9324</v>
    <v>12040.1582</v>
    <v>12041.9746</v>
    <v>12062.2577</v>
    <v>12092.152700000001</v>
    <v>12092.152700000001</v>
    <v>12092.152700000001</v>
    <v>12161.63</v>
    <v>12233.1507</v>
    <v>12239.886500000001</v>
    <v>12229.2909</v>
    <v>12273.2629</v>
    <v>12273.2629</v>
    <v>12273.2629</v>
    <v>12268.1921</v>
    <v>12226.641900000001</v>
    <v>12288.172500000001</v>
    <v>12318.143099999999</v>
    <v>12391.253199999999</v>
    <v>12391.253199999999</v>
    <v>12391.253199999999</v>
    <v>12391.253199999999</v>
    <v>12212.7919</v>
    <v>12105.7757</v>
    <v>12068.5016</v>
    <v>12130.448399999999</v>
    <v>12130.448399999999</v>
    <v>12130.448399999999</v>
    <v>12226.3392</v>
    <v>12058.0195</v>
    <v>12066.798699999999</v>
    <v>12258.2019</v>
    <v>12169.8794</v>
    <v>12169.8794</v>
    <v>12169.8794</v>
    <v>12090.0335</v>
    <v>12214.3812</v>
    <v>12213.0946</v>
    <v>11984.6067</v>
    <v>12044.396500000001</v>
    <v>12044.396500000001</v>
    <v>12044.396500000001</v>
    <v>11993.1589</v>
    <v>11855.415199999999</v>
    <v>11613.3042</v>
    <v>11774.5854</v>
    <v>11858.5182</v>
    <v>11858.5182</v>
    <v>11858.5182</v>
    <v>12036.5254</v>
    <v>12018.6263</v>
    <v>12086.022300000001</v>
    <v>12170.560600000001</v>
    <v>12220.587299999999</v>
    <v>12220.587299999999</v>
    <v>12220.587299999999</v>
    <v>12197.882299999999</v>
    <v>12279.014800000001</v>
    <v>12350.611199999999</v>
    <v>12319.732400000001</v>
    <v>12376.722</v>
    <v>12376.722</v>
    <v>12376.722</v>
    <v>12400.0324</v>
    <v>12393.902099999999</v>
    <v>12426.7487</v>
    <v>12409.492899999999</v>
    <v>12380.052</v>
    <v>12380.052</v>
    <v>12380.052</v>
    <v>12381.1116</v>
    <v>12263.5754</v>
    <v>12270.992399999999</v>
    <v>12285.145200000001</v>
    <v>12341.832</v>
    <v>12341.832</v>
    <v>12341.832</v>
    <v>12201.5908</v>
    <v>12266.7541</v>
    <v>12453.5406</v>
    <v>12505.989100000001</v>
    <v>12505.989100000001</v>
    <v>12505.989100000001</v>
    <v>12505.989100000001</v>
    <v>12479.8784</v>
    <v>12595.3711</v>
    <v>12690.959199999999</v>
    <v>12763.312400000001</v>
    <v>12810.5388</v>
    <v>12810.5388</v>
    <v>12810.5388</v>
    <v>12807.3601</v>
    <v>12807.511500000001</v>
    <v>12723.5787</v>
    <v>12584.17</v>
    <v>12638.7377</v>
    <v>12638.7377</v>
    <v>12638.7377</v>
    <v>12684.6774</v>
    <v>12760.3608</v>
    <v>12630.034100000001</v>
    <v>12695.9164</v>
    <v>12595.7495</v>
    <v>12595.7495</v>
    <v>12595.7495</v>
    <v>12548.371800000001</v>
    <v>12479.5756</v>
    <v>12560.178400000001</v>
    <v>12605.3235</v>
    <v>12512.043799999999</v>
    <v>12512.043799999999</v>
    <v>12512.043799999999</v>
    <v>12381.263000000001</v>
    <v>12356.211799999999</v>
    <v>12394.6589</v>
    <v>12402.757</v>
    <v>12441.5826</v>
    <v>12441.5826</v>
    <v>12441.5826</v>
    <v>12441.5826</v>
    <v>12569.790199999999</v>
    <v>12290.140299999999</v>
    <v>12248.552299999999</v>
    <v>12151.2613</v>
    <v>12151.2613</v>
    <v>12151.2613</v>
    <v>12089.9578</v>
    <v>12070.81</v>
    <v>12048.9375</v>
    <v>12124.3559</v>
    <v>11951.9115</v>
    <v>11951.9115</v>
    <v>11951.9115</v>
    <v>11952.971</v>
    <v>12076.1078</v>
    <v>11897.268099999999</v>
    <v>11961.5232</v>
    <v>12004.36</v>
    <v>12004.36</v>
    <v>12004.36</v>
    <v>12080.383900000001</v>
    <v>12190.011200000001</v>
    <v>12109.6733</v>
    <v>12049.996999999999</v>
    <v>11934.58</v>
    <v>11934.58</v>
    <v>11934.58</v>
    <v>12043.564</v>
    <v>12188.686799999999</v>
    <v>12261.4184</v>
    <v>12414.336600000001</v>
    <v>12582.7698</v>
    <v>12582.7698</v>
    <v>12582.7698</v>
    <v>12582.7698</v>
    <v>12569.8658</v>
    <v>12626.0229</v>
    <v>12719.4918</v>
    <v>12657.204400000001</v>
    <v>12657.204400000001</v>
    <v>12657.204400000001</v>
    <v>12505.7621</v>
    <v>12446.8804</v>
    <v>12491.6093</v>
    <v>12437.1173</v>
    <v>12479.727000000001</v>
    <v>12479.727000000001</v>
    <v>12479.727000000001</v>
    <v>12385.1607</v>
    <v>12587.4244</v>
    <v>12571.909299999999</v>
    <v>12724.4112</v>
    <v>12681.1582</v>
    <v>12681.1582</v>
    <v>12681.1582</v>
    <v>12592.7979</v>
    <v>12501.296700000001</v>
    <v>12302.552299999999</v>
    <v>12240.113600000001</v>
    <v>12143.2389</v>
    <v>12143.2389</v>
    <v>12143.2389</v>
    <v>12132.491900000001</v>
    <v>11866.6163</v>
    <v>11896.435600000001</v>
    <v>11383.681</v>
    <v>11444.606100000001</v>
    <v>11444.606100000001</v>
    <v>11444.606100000001</v>
    <v>10809.85</v>
    <v>11239.769200000001</v>
    <v>10719.938200000001</v>
    <v>11143.310799999999</v>
    <v>11269.0208</v>
    <v>11269.0208</v>
    <v>11269.0208</v>
    <v>11482.901900000001</v>
    <v>11405.9319</v>
    <v>11410.208000000001</v>
    <v>10990.5818</v>
    <v>10817.645399999999</v>
    <v>10817.645399999999</v>
    <v>10817.645399999999</v>
    <v>10854.654500000001</v>
    <v>11176.7628</v>
    <v>11320.7125</v>
    <v>11149.8195</v>
    <v>11284.535900000001</v>
    <v>11284.535900000001</v>
    <v>11284.535900000001</v>
    <v>11539.248100000001</v>
    <v>11559.9475</v>
    <v>11613.531300000001</v>
    <v>11493.573200000001</v>
    <v>11240.2611</v>
    <v>11240.2611</v>
    <v>11240.2611</v>
    <v>11240.2611</v>
    <v>11139.299499999999</v>
    <v>11414.862499999999</v>
    <v>11295.8127</v>
    <v>10992.1333</v>
    <v>10992.1333</v>
    <v>10992.1333</v>
    <v>11061.118700000001</v>
    <v>11105.8475</v>
    <v>11246.732</v>
    <v>11433.177900000001</v>
    <v>11509.088299999999</v>
    <v>11509.088299999999</v>
    <v>11509.088299999999</v>
    <v>11401.012500000001</v>
    <v>11408.656499999999</v>
    <v>11124.843999999999</v>
    <v>10733.8261</v>
    <v>10771.4786</v>
    <v>10771.4786</v>
    <v>10771.4786</v>
    <v>11043.8629</v>
    <v>11190.6885</v>
    <v>11010.9028</v>
    <v>11153.982099999999</v>
    <v>10913.3848</v>
    <v>10913.3848</v>
    <v>10913.3848</v>
    <v>10655.304599999999</v>
    <v>10808.7147</v>
    <v>10939.9496</v>
    <v>11123.330400000001</v>
    <v>11103.1229</v>
    <v>11103.1229</v>
    <v>11103.1229</v>
    <v>11433.177900000001</v>
    <v>11416.300499999999</v>
    <v>11518.8514</v>
    <v>11478.1338</v>
    <v>11644.4858</v>
    <v>11644.4858</v>
    <v>11644.4858</v>
    <v>11397.0013</v>
    <v>11577.0519</v>
    <v>11504.623</v>
    <v>11541.7835</v>
    <v>11808.7943</v>
    <v>11808.7943</v>
    <v>11808.7943</v>
    <v>11913.6157</v>
    <v>11706.621800000001</v>
    <v>11869.038200000001</v>
    <v>12208.553599999999</v>
    <v>12231.1072</v>
    <v>12231.1072</v>
    <v>12231.1072</v>
    <v>11955.014499999999</v>
    <v>11657.957399999999</v>
    <v>11836.040300000001</v>
    <v>12044.4722</v>
    <v>11983.2444</v>
    <v>11983.2444</v>
    <v>11983.2444</v>
    <v>12068.3881</v>
    <v>12170.182199999999</v>
    <v>11780.942800000001</v>
    <v>11893.786700000001</v>
    <v>12153.683199999999</v>
    <v>12153.683199999999</v>
    <v>12153.683199999999</v>
    <v>12078.9838</v>
    <v>12096.1639</v>
    <v>11905.5933</v>
    <v>11770.7256</v>
    <v>11796.155199999999</v>
    <v>11796.155199999999</v>
    <v>11796.155199999999</v>
    <v>11547.3084</v>
    <v>11493.7246</v>
    <v>11257.554700000001</v>
    <v>11257.554700000001</v>
    <v>11231.784600000001</v>
    <v>11231.784600000001</v>
    <v>11231.784600000001</v>
    <v>11523.013999999999</v>
    <v>11555.6335</v>
    <v>12045.6831</v>
    <v>12020.026400000001</v>
    <v>12019.421</v>
    <v>12019.421</v>
    <v>12019.421</v>
    <v>12097.8289</v>
    <v>12150.126099999999</v>
    <v>12196.3686</v>
    <v>11997.6999</v>
    <v>12184.2593</v>
    <v>12184.2593</v>
    <v>12184.2593</v>
    <v>12021.3887</v>
    <v>11954.9388</v>
    <v>11823.4768</v>
    <v>11868.8112</v>
    <v>11866.389300000001</v>
    <v>11866.389300000001</v>
    <v>11866.389300000001</v>
    <v>11766.260200000001</v>
    <v>12103.5808</v>
    <v>12107.743399999999</v>
    <v>12169.652400000001</v>
    <v>12294.000099999999</v>
    <v>12294.000099999999</v>
    <v>12294.000099999999</v>
    <v>12294.000099999999</v>
    <v>12291.351199999999</v>
    <v>12151.412700000001</v>
    <v>12287.037200000001</v>
    <v>12217.5599</v>
    <v>12217.5599</v>
    <v>12217.5599</v>
    <v>12217.5599</v>
    <v>12397.3835</v>
    <v>12418.423500000001</v>
    <v>12415.698899999999</v>
    <v>12359.9203</v>
    <v>12359.9203</v>
    <v>12359.9203</v>
    <v>12392.691199999999</v>
    <v>12462.4712</v>
    <v>12449.4537</v>
    <v>12471.0234</v>
    <v>12422.0563</v>
    <v>12422.0563</v>
    <v>12422.0563</v>
    <v>12422.0563</v>
    <v>12482.073200000001</v>
    <v>12578.9478</v>
    <v>12623.9794</v>
    <v>12720.475700000001</v>
    <v>12720.475700000001</v>
    <v>12720.475700000001</v>
    <v>12708.820400000001</v>
    <v>12675.746800000001</v>
    <v>12756.955</v>
    <v>12734.628500000001</v>
    <v>12660.4588</v>
    <v>12660.4588</v>
    <v>12660.4588</v>
    <v>12653.723</v>
    <v>12632.910099999999</v>
    <v>12716.4645</v>
    <v>12705.414699999999</v>
    <v>12862.2305</v>
    <v>12862.2305</v>
    <v>12862.2305</v>
    <v>12845.126099999999</v>
    <v>12878.199699999999</v>
    <v>12883.9517</v>
    <v>12890.4604</v>
    <v>12801.229799999999</v>
    <v>12801.229799999999</v>
    <v>12801.229799999999</v>
    <v>12874.0371</v>
    <v>12878.2754</v>
    <v>12780.946599999999</v>
    <v>12904.0834</v>
    <v>12949.871800000001</v>
    <v>12949.871800000001</v>
    <v>12949.871800000001</v>
    <v>12949.871800000001</v>
    <v>12965.689700000001</v>
    <v>12938.670700000001</v>
    <v>12984.6862</v>
    <v>12982.9455</v>
    <v>12982.9455</v>
    <v>12982.9455</v>
    <v>12981.5075</v>
    <v>13005.120699999999</v>
    <v>12952.066699999999</v>
    <v>12980.2965</v>
    <v>12977.571900000001</v>
    <v>12977.571900000001</v>
    <v>12977.571900000001</v>
    <v>12962.813700000001</v>
    <v>12759.149799999999</v>
    <v>12837.3307</v>
    <v>12907.943300000001</v>
    <v>12922.020399999999</v>
    <v>12922.020399999999</v>
    <v>12922.020399999999</v>
    <v>12959.7107</v>
    <v>13177.6787</v>
    <v>13194.1019</v>
    <v>13252.7565</v>
    <v>13232.6248</v>
    <v>13232.6248</v>
    <v>13232.6248</v>
    <v>13239.1335</v>
    <v>13170.186</v>
    <v>13124.624599999999</v>
    <v>13046.141</v>
    <v>13080.728300000001</v>
    <v>13080.728300000001</v>
    <v>13080.728300000001</v>
    <v>13241.631100000001</v>
    <v>13197.734700000001</v>
    <v>13126.214</v>
    <v>13145.816000000001</v>
    <v>13212.0389</v>
    <v>13212.0389</v>
    <v>13212.0389</v>
    <v>13264.4874</v>
    <v>13199.551100000001</v>
    <v>13074.749299999999</v>
    <v>13060.1425</v>
    <v>13060.1425</v>
    <v>13060.1425</v>
    <v>13060.1425</v>
    <v>12929.5887</v>
    <v>12715.9347</v>
    <v>12805.392400000001</v>
    <v>12986.578299999999</v>
    <v>12849.591399999999</v>
    <v>12849.591399999999</v>
    <v>12849.591399999999</v>
    <v>12921.4149</v>
    <v>13115.542600000001</v>
    <v>13032.7451</v>
    <v>12964.1003</v>
    <v>13029.2637</v>
    <v>13029.2637</v>
    <v>13029.2637</v>
    <v>12927.166800000001</v>
    <v>13001.563599999999</v>
    <v>13090.718500000001</v>
    <v>13204.6219</v>
    <v>13228.310799999999</v>
    <v>13228.310799999999</v>
    <v>13228.310799999999</v>
    <v>13213.628199999999</v>
    <v>13279.321400000001</v>
    <v>13268.5743</v>
    <v>13206.5897</v>
    <v>13038.27</v>
    <v>13038.27</v>
    <v>13038.27</v>
    <v>13008.526400000001</v>
    <v>12932.086300000001</v>
    <v>12835.0602</v>
    <v>12855.0406</v>
    <v>12820.6047</v>
    <v>12820.6047</v>
    <v>12820.6047</v>
    <v>12695.3488</v>
    <v>12632.001899999999</v>
    <v>12598.549800000001</v>
    <v>12442.4908</v>
    <v>12369.3807</v>
    <v>12369.3807</v>
    <v>12369.3807</v>
    <v>12504.475399999999</v>
    <v>12502.8104</v>
    <v>12496.150299999999</v>
    <v>12529.753699999999</v>
    <v>12454.8272</v>
    <v>12454.8272</v>
    <v>12454.8272</v>
    <v>12454.8272</v>
    <v>12580.688599999999</v>
    <v>12419.861500000001</v>
    <v>12393.448</v>
    <v>12118.5661</v>
    <v>12118.5661</v>
    <v>12118.5661</v>
    <v>12101.4617</v>
    <v>12127.9509</v>
    <v>12414.7907</v>
    <v>12460.9575</v>
    <v>12554.1994</v>
    <v>12554.1994</v>
    <v>12554.1994</v>
    <v>12411.2336</v>
    <v>12573.8014</v>
    <v>12496.3773</v>
    <v>12651.9066</v>
    <v>12767.1723</v>
    <v>12767.1723</v>
    <v>12767.1723</v>
    <v>12741.8184</v>
    <v>12837.3307</v>
    <v>12824.3889</v>
    <v>12573.5743</v>
    <v>12640.7811</v>
    <v>12640.7811</v>
    <v>12640.7811</v>
    <v>12502.659</v>
    <v>12534.6731</v>
    <v>12627.006799999999</v>
    <v>12602.2583</v>
    <v>12880.0918</v>
    <v>12880.0918</v>
    <v>12880.0918</v>
    <v>12871.388199999999</v>
    <v>12943.8172</v>
    <v>12943.8172</v>
    <v>12896.666499999999</v>
    <v>12772.4701</v>
    <v>12736.2935</v>
    <v>12653.1175</v>
    <v>12604.5288</v>
    <v>12573.2716</v>
    <v>12777.086799999999</v>
    <v>12727.211499999999</v>
    <v>12805.5437</v>
    <v>12908.7001</v>
    <v>12943.3631</v>
    <v>12822.5725</v>
    <v>12721.4596</v>
    <v>12617.319299999999</v>
    <v>12676.0496</v>
    <v>12887.924999999999</v>
    <v>13075.657499999999</v>
    <v>13073.008599999999</v>
    <v>13008.677799999999</v>
    <v>12971.063200000001</v>
    <v>12878.8809</v>
    <v>13096.1677</v>
    <v>13117.510399999999</v>
    <v>13168.5967</v>
    <v>13175.635200000001</v>
    <v>13165.1909</v>
    <v>13207.951999999999</v>
    <v>13169.43</v>
    <v>13172.140100000001</v>
    <v>13164.784100000001</v>
    <v>13250.113300000001</v>
    <v>13275.2011</v>
    <v>13271.6392</v>
    <v>13203.5771</v>
    <v>13172.7595</v>
    <v>13057.464400000001</v>
    <v>13157.9701</v>
    <v>13124.6747</v>
    <v>13102.993899999999</v>
    <v>13107.485000000001</v>
    <v>13000.7073</v>
    <v>13090.8372</v>
    <v>13035.9385</v>
    <v>13047.475700000001</v>
    <v>13292.0036</v>
    <v>13306.6381</v>
    <v>13254.294599999999</v>
    <v>13323.363300000001</v>
    <v>13333.3519</v>
    <v>13539.8611</v>
    <v>13593.366099999999</v>
    <v>13553.1018</v>
    <v>13564.6391</v>
    <v>13577.957200000001</v>
    <v>13596.927900000001</v>
    <v>13579.467199999999</v>
    <v>13558.9244</v>
    <v>13457.5545</v>
    <v>13413.5123</v>
    <v>13485.968800000001</v>
    <v>13437.126899999999</v>
    <v>13515.1126</v>
    <v>13482.359399999999</v>
    <v>13494.608200000001</v>
    <v>13575.3586</v>
    <v>13610.147000000001</v>
    <v>13583.6525</v>
    <v>13473.527899999999</v>
    <v>13344.972400000001</v>
    <v>13326.3878</v>
    <v>13328.845300000001</v>
    <v>13424.225200000001</v>
    <v>13551.7824</v>
    <v>13557.004499999999</v>
    <v>13548.941000000001</v>
    <v>13343.513199999999</v>
    <v>13345.893899999999</v>
    <v>13102.529200000001</v>
    <v>13077.3403</v>
    <v>13103.6811</v>
    <v>13107.2137</v>
    <v>13107.21</v>
    <v>13096.462299999999</v>
    <v>13232.6206</v>
    <v>13093.160099999999</v>
    <v>13112.435799999999</v>
    <v>13245.6759</v>
    <v>12932.7345</v>
    <v>12811.320900000001</v>
    <v>12815.391100000001</v>
    <v>12815.0839</v>
    <v>12756.1818</v>
    <v>12570.9512</v>
    <v>12542.3833</v>
    <v>12588.307000000001</v>
    <v>12795.961799999999</v>
    <v>12788.512699999999</v>
    <v>12836.8938</v>
    <v>13009.683499999999</v>
    <v>12967.369199999999</v>
    <v>12878.132900000001</v>
    <v>12985.109</v>
    <v>13021.8172</v>
    <v>13025.5802</v>
    <v>12965.6029</v>
    <v>12951.779699999999</v>
    <v>13034.4884</v>
    <v>13074.0381</v>
    <v>13155.134</v>
    <v>13169.8788</v>
    <v>13248.440500000001</v>
    <v>13245.4455</v>
    <v>13170.7235</v>
    <v>13135.0136</v>
    <v>13235.3853</v>
    <v>13350.9624</v>
    <v>13251.973099999999</v>
    <v>13311.7199</v>
    <v>13190.8439</v>
    <v>13139.0838</v>
    <v>13114.5861</v>
    <v>13096.3087</v>
    <v>12938.110199999999</v>
    <v>13104.141900000001</v>
    <v>13412.552299999999</v>
    <v>13391.3568</v>
    <v>13435.207</v>
    <v>13384.2916</v>
    <v>13328.845300000001</v>
    <v>13390.512000000001</v>
    <v>13471.224</v>
    <v>13488.4262</v>
    <v>13507.3179</v>
    <v>13534.887500000001</v>
    <v>13511.2345</v>
    <v>13596.016600000001</v>
    <v>13649.696599999999</v>
    <v>13712.2081</v>
    <v>13779.327300000001</v>
    <v>13825.327799999999</v>
    <v>13895.979600000001</v>
    <v>13881.925999999999</v>
    <v>13954.420899999999</v>
    <v>13910.417100000001</v>
    <v>13860.5769</v>
    <v>14009.7904</v>
    <v>13880.082899999999</v>
    <v>13979.302600000001</v>
    <v>13986.5214</v>
    <v>13944.0535</v>
    <v>13992.9722</v>
    <v>13971.239100000001</v>
    <v>14018.698700000001</v>
    <v>13982.912</v>
    <v>13973.3894</v>
    <v>13981.7601</v>
    <v>14035.6705</v>
    <v>13927.5425</v>
    <v>13880.620500000001</v>
    <v>14000.5749</v>
    <v>13784.1654</v>
    <v>13900.1265</v>
    <v>14075.3737</v>
    <v>14054.4853</v>
    <v>14089.6576</v>
    <v>14127.825000000001</v>
    <v>14253.7695</v>
    <v>14296.237300000001</v>
    <v>14329.489799999999</v>
    <v>14397.0697</v>
    <v>14447.294</v>
    <v>14450.0586</v>
    <v>14455.280699999999</v>
    <v>14539.141299999999</v>
    <v>14514.106</v>
    <v>14452.0553</v>
    <v>14455.818300000001</v>
    <v>14511.7253</v>
    <v>14421.4907</v>
    <v>14512.032499999999</v>
    <v>14447.7547</v>
    <v>14559.645699999999</v>
    <v>14526.162899999999</v>
    <v>14578.537399999999</v>
    <v>14572.854499999999</v>
    <v>14662.013999999999</v>
    <v>14550.3534</v>
    <v>14606.106900000001</v>
    <v>14565.251700000001</v>
    <v>14613.479300000001</v>
    <v>14673.4565</v>
    <v>14802.242399999999</v>
    <v>14865.1379</v>
    <v>14865.061100000001</v>
    <v>14599.195299999999</v>
    <v>14756.779500000001</v>
    <v>14618.5862</v>
    <v>14537.1446</v>
    <v>14547.512000000001</v>
    <v>14567.1716</v>
    <v>14719.457</v>
    <v>14676.2979</v>
    <v>14700.795700000001</v>
    <v>14712.545400000001</v>
    <v>14818.753500000001</v>
    <v>14839.795400000001</v>
    <v>14700.9493</v>
    <v>14831.578299999999</v>
    <v>14973.957</v>
    <v>14968.888499999999</v>
    <v>15056.204900000001</v>
    <v>15105.123600000001</v>
    <v>15082.622600000001</v>
    <v>15118.486000000001</v>
    <v>15091.6844</v>
    <v>15215.248299999999</v>
    <v>15275.686299999999</v>
    <v>15233.2184</v>
    <v>15354.401599999999</v>
    <v>15335.279500000001</v>
    <v>15387.5772</v>
    <v>15307.172399999999</v>
    <v>15294.501200000001</v>
    <v>15303.102199999999</v>
    <v>15409.3871</v>
    <v>15302.795099999999</v>
    <v>15324.528200000001</v>
    <v>15115.567800000001</v>
    <v>15254.03</v>
    <v>15177.5417</v>
    <v>14960.5946</v>
    <v>15040.6155</v>
    <v>15248.1167</v>
    <v>15238.5941</v>
    <v>15122.018599999999</v>
    <v>14995.2294</v>
    <v>15176.0826</v>
    <v>15070.181699999999</v>
    <v>15179.845600000001</v>
    <v>15318.2309</v>
    <v>15112.1888</v>
    <v>14758.315500000001</v>
    <v>14799.401</v>
    <v>14659.556500000001</v>
    <v>14760.312099999999</v>
    <v>14910.14</v>
    <v>15024.4884</v>
    <v>14909.602500000001</v>
    <v>14974.955400000001</v>
    <v>14932.4107</v>
    <v>14988.548199999999</v>
    <v>15135.8418</v>
    <v>15224.694100000001</v>
    <v>15300.337600000001</v>
    <v>15291.6597</v>
    <v>15460.916800000001</v>
    <v>15464.2958</v>
    <v>15484.262699999999</v>
    <v>15451.855</v>
    <v>15470.516299999999</v>
    <v>15548.5404</v>
    <v>15543.7407</v>
    <v>15545.545400000001</v>
    <v>15567.739299999999</v>
    <v>15542.243200000001</v>
    <v>15555.605600000001</v>
    <v>15558.831</v>
    <v>15521.9692</v>
    <v>15520.5869</v>
    <v>15499.544900000001</v>
    <v>15628.0237</v>
    <v>15658.357900000001</v>
    <v>15612.1271</v>
    <v>15518.7438</v>
    <v>15470.669900000001</v>
    <v>15498.316199999999</v>
    <v>15425.5142</v>
    <v>15419.6777</v>
    <v>15451.010200000001</v>
    <v>15337.6602</v>
    <v>15112.1888</v>
    <v>15081.470600000001</v>
    <v>15010.742</v>
    <v>15002.985699999999</v>
    <v>14897.545599999999</v>
    <v>14963.743200000001</v>
    <v>15010.5116</v>
    <v>14946.4643</v>
    <v>14776.132</v>
    <v>14824.5131</v>
    <v>14840.9473</v>
    <v>14810.306</v>
    <v>14833.959000000001</v>
    <v>14930.8748</v>
    <v>14937.4792</v>
    <v>14922.5041</v>
    <v>15063.1165</v>
    <v>15191.057699999999</v>
    <v>15326.6016</v>
    <v>15300.6448</v>
    <v>15376.0579</v>
    <v>15494.783600000001</v>
    <v>15529.7256</v>
    <v>15676.9424</v>
    <v>15636.548000000001</v>
    <v>15451.087</v>
    <v>15401.381100000001</v>
    <v>15334.5928</v>
    <v>15273.263199999999</v>
    <v>15328.299300000001</v>
    <v>15258.2358</v>
    <v>15129.6684</v>
    <v>15191.704400000001</v>
    <v>15133.136200000001</v>
    <v>14996.4771</v>
    <v>15072.5772</v>
    <v>14936.2392</v>
    <v>14776.5252</v>
    <v>14802.983700000001</v>
    <v>15126.072099999999</v>
    <v>15237.107599999999</v>
    <v>15301.2629</v>
    <v>15168.0074</v>
    <v>15373.831</v>
    <v>15371.647499999999</v>
    <v>15399.647199999999</v>
    <v>15392.197700000001</v>
    <v>15467.655699999999</v>
    <v>15413.325999999999</v>
    <v>15509.2057</v>
    <v>15570.2785</v>
    <v>15568.9298</v>
    <v>15680.350700000001</v>
    <v>15618.7642</v>
    <v>15545.7466</v>
    <v>15615.5532</v>
    <v>15639.121800000001</v>
    <v>15618.2183</v>
    <v>15746.882100000001</v>
    <v>15593.9755</v>
    <v>15761.781000000001</v>
    <v>15783.1019</v>
    <v>15750.6711</v>
    <v>15821.633599999999</v>
    <v>15876.2202</v>
    <v>15961.696400000001</v>
    <v>15976.017400000001</v>
    <v>15967.026599999999</v>
    <v>15900.8163</v>
    <v>16009.9895</v>
    <v>16064.768700000001</v>
    <v>16072.5393</v>
    <v>16072.796200000001</v>
    <v>16097.328</v>
    <v>16086.4107</v>
    <v>16008.7693</v>
    <v>15914.6235</v>
    <v>15889.770500000001</v>
    <v>15821.5052</v>
    <v>16020.2004</v>
    <v>16025.5306</v>
    <v>15973.127500000001</v>
    <v>15843.532499999999</v>
    <v>15739.432699999999</v>
    <v>15755.3591</v>
    <v>15884.568799999999</v>
    <v>15875.2569</v>
    <v>16167.969499999999</v>
    <v>16179.0795</v>
    <v>16221.1432</v>
    <v>16294.6104</v>
    <v>16357.5455</v>
    <v>16479.883699999998</v>
    <v>16478.406599999998</v>
    <v>16504.287100000001</v>
    <v>16576.662499999999</v>
    <v>16441.351999999999</v>
    <v>16469.993900000001</v>
    <v>16425.1044</v>
    <v>16530.938200000001</v>
    <v>16462.737099999998</v>
    <v>16444.7556</v>
    <v>16437.049299999999</v>
    <v>16257.941000000001</v>
    <v>16373.8573</v>
    <v>16481.938699999999</v>
    <v>16417.0128</v>
    <v>16458.5628</v>
    <v>16414.444</v>
    <v>16373.343500000001</v>
    <v>16197.349899999999</v>
    <v>15879.1101</v>
    <v>15837.8812</v>
    <v>15928.5591</v>
    <v>15738.790499999999</v>
    <v>15848.605799999999</v>
    <v>15698.8459</v>
    <v>15372.803400000001</v>
    <v>15445.2431</v>
    <v>15440.233899999999</v>
    <v>15628.525600000001</v>
    <v>15794.083500000001</v>
    <v>15801.7898</v>
    <v>15994.7695</v>
    <v>15963.944100000001</v>
    <v>16027.5856</v>
    <v>16154.3871</v>
    <v>16130.401099999999</v>
    <v>16040.558000000001</v>
    <v>16133.226699999999</v>
    <v>16103.3004</v>
    <v>16207.143400000001</v>
    <v>16179.6574</v>
    <v>16198.4095</v>
    <v>16272.647300000001</v>
    <v>16321.710999999999</v>
    <v>16168.0337</v>
    <v>16395.8845</v>
    <v>16360.1785</v>
    <v>16421.893499999998</v>
    <v>16452.718799999999</v>
    <v>16418.682499999999</v>
    <v>16351.252</v>
    <v>16340.077799999999</v>
    <v>16108.887500000001</v>
    <v>16065.667799999999</v>
    <v>16247.216399999999</v>
    <v>16336.192499999999</v>
    <v>16222.1708</v>
    <v>16331.054899999999</v>
    <v>16302.7662</v>
    <v>16276.6931</v>
    <v>16367.8848</v>
    <v>16268.986800000001</v>
    <v>16264.2345</v>
    <v>16323.059600000001</v>
    <v>16457.663700000001</v>
    <v>16532.607899999999</v>
    <v>16573.002</v>
    <v>16572.5524</v>
    <v>16412.7101</v>
    <v>16245.8678</v>
    <v>16256.142900000001</v>
    <v>16437.1777</v>
    <v>16170.217199999999</v>
    <v>16026.7508</v>
    <v>16173.235500000001</v>
    <v>16262.5648</v>
    <v>16424.8475</v>
    <v>16408.535800000001</v>
    <v>16449.251</v>
    <v>16514.369600000002</v>
    <v>16501.6541</v>
    <v>16501.6541</v>
    <v>16361.4629</v>
    <v>16448.7372</v>
    <v>16535.369299999998</v>
    <v>16580.836800000001</v>
    <v>16558.8737</v>
    <v>16512.892500000002</v>
    <v>16530.552899999999</v>
    <v>16401.022099999998</v>
    <v>16518.543799999999</v>
    <v>16550.974699999999</v>
    <v>16583.3413</v>
    <v>16695.4686</v>
    <v>16715.440900000001</v>
    <v>16613.973999999998</v>
    <v>16446.810600000001</v>
    <v>16491.314699999999</v>
    <v>16511.865000000002</v>
    <v>16374.3068</v>
    <v>16533.057400000002</v>
    <v>16543.075700000001</v>
    <v>16606.2677</v>
    <v>16675.496299999999</v>
    <v>16633.1757</v>
    <v>16698.7438</v>
    <v>16717.174800000001</v>
    <v>16743.6332</v>
    <v>16722.344499999999</v>
    <v>16737.5324</v>
    <v>16836.1093</v>
    <v>16924.2827</v>
    <v>16943.098999999998</v>
    <v>16945.9247</v>
    <v>16843.8799</v>
    <v>16734.192999999999</v>
    <v>16775.742999999999</v>
    <v>16781.008999999998</v>
    <v>16808.494900000002</v>
    <v>16906.6224</v>
    <v>16921.4571</v>
    <v>16947.080699999999</v>
    <v>16937.255099999998</v>
    <v>16818.127899999999</v>
    <v>16867.512699999999</v>
    <v>16846.1276</v>
    <v>16851.843099999998</v>
    <v>16826.604800000001</v>
    <v>16956.071400000001</v>
    <v>16976.2363</v>
    <v>17068.262900000002</v>
    <v>17024.208299999998</v>
    <v>16906.6224</v>
    <v>16985.612400000002</v>
    <v>16915.067200000001</v>
    <v>16943.805499999999</v>
    <v>17055.419000000002</v>
    <v>17060.685000000001</v>
    <v>17138.197899999999</v>
    <v>16976.814299999998</v>
    <v>17100.18</v>
    <v>17051.7264</v>
    <v>17113.5376</v>
    <v>17086.629700000001</v>
    <v>17083.804</v>
    <v>16960.566699999999</v>
    <v>16982.594000000001</v>
    <v>16912.113099999999</v>
    <v>16880.356599999999</v>
    <v>16563.304800000002</v>
    <v>16493.3698</v>
    <v>16569.2772</v>
    <v>16429.471399999999</v>
    <v>16443.342799999999</v>
    <v>16368.270200000001</v>
    <v>16553.928800000002</v>
    <v>16569.9836</v>
    <v>16560.543399999999</v>
    <v>16651.799299999999</v>
    <v>16713.5785</v>
    <v>16662.909299999999</v>
    <v>16838.742300000002</v>
    <v>16919.594700000001</v>
    <v>16979.126199999999</v>
    <v>17039.4925</v>
    <v>17001.217700000001</v>
    <v>17076.868299999998</v>
    <v>17106.6983</v>
    <v>17122.014599999999</v>
    <v>17079.565500000001</v>
    <v>17098.446</v>
    <v>17067.556499999999</v>
    <v>17078.2811</v>
    <v>17069.579399999999</v>
    <v>17137.363099999999</v>
    <v>17111.418399999999</v>
    <v>17013.868900000001</v>
    <v>17068.7124</v>
    <v>17048.996999999999</v>
    <v>16987.506799999999</v>
    <v>17031.144</v>
    <v>17131.9686</v>
    <v>17156.8537</v>
    <v>17265.9948</v>
    <v>17279.737700000001</v>
    <v>17172.683799999999</v>
    <v>17055.8685</v>
    <v>17210.059600000001</v>
    <v>16945.796300000002</v>
    <v>17113.152300000002</v>
    <v>17071.217000000001</v>
    <v>17042.896199999999</v>
    <v>16804.705999999998</v>
    <v>16801.0455</v>
    <v>17009.6947</v>
    <v>16991.905900000002</v>
    <v>16719.3904</v>
    <v>16994.217799999999</v>
    <v>16659.248800000001</v>
    <v>16544.103200000001</v>
    <v>16321.068799999999</v>
    <v>16315.1927</v>
    <v>16141.7358</v>
    <v>16117.2361</v>
    <v>16380.4076</v>
    <v>16399.673500000001</v>
    <v>16614.8089</v>
    <v>16461.324199999999</v>
    <v>16677.904600000002</v>
    <v>16805.412400000001</v>
    <v>16817.9352</v>
    <v>17005.745200000001</v>
    <v>16974.309700000002</v>
    <v>17195.4175</v>
    <v>17390.5164</v>
    <v>17366.241399999999</v>
    <v>17383.837599999999</v>
    <v>17484.533800000001</v>
    <v>17554.468799999999</v>
    <v>17573.927299999999</v>
    <v>17613.743399999999</v>
    <v>17614.899399999998</v>
    <v>17612.2022</v>
    <v>17652.7889</v>
    <v>17634.743200000001</v>
    <v>17647.7477</v>
    <v>17687.8207</v>
    <v>17685.733499999998</v>
    <v>17718.999199999998</v>
    <v>17810.0625</v>
    <v>17817.897300000001</v>
    <v>17814.943200000002</v>
    <v>17827.755000000001</v>
    <v>17828.2366</v>
    <v>17776.7968</v>
    <v>17879.547999999999</v>
    <v>17912.6211</v>
    <v>17900.098300000001</v>
    <v>17958.794900000001</v>
    <v>17852.479500000001</v>
    <v>17801.200199999999</v>
    <v>17533.148000000001</v>
    <v>17596.34</v>
    <v>17280.8295</v>
    <v>17180.8397</v>
    <v>17068.873</v>
    <v>17356.865399999999</v>
    <v>17778.145400000001</v>
    <v>17804.7965</v>
    <v>17959.437099999999</v>
    <v>18024.170399999999</v>
    <v>18030.206999999999</v>
    <v>18053.711299999999</v>
    <v>18038.234400000001</v>
    <v>17983.069899999999</v>
    <v>17823.066999999999</v>
    <v>17832.9889</v>
    <v>17501.648300000001</v>
    <v>17371.635900000001</v>
    <v>17584.5236</v>
    <v>17907.8688</v>
    <v>17737.366000000002</v>
    <v>17640.844099999998</v>
    <v>17613.679199999999</v>
    <v>17427.089400000001</v>
    <v>17320.709800000001</v>
    <v>17511.570199999998</v>
    <v>17515.2307</v>
    <v>17554.2762</v>
    <v>17813.979899999998</v>
    <v>17672.600600000002</v>
    <v>17678.701499999999</v>
    <v>17387.2091</v>
    <v>17191.3717</v>
    <v>17416.846399999999</v>
    <v>17164.945400000001</v>
    <v>17361.0396</v>
    <v>17666.403399999999</v>
    <v>17673.018100000001</v>
    <v>17884.878199999999</v>
    <v>17824.287100000001</v>
    <v>17729.2101</v>
    <v>17868.759099999999</v>
    <v>17862.144499999999</v>
    <v>17972.3773</v>
    <v>18019.353899999998</v>
    <v>18047.578399999999</v>
    <v>18029.853800000001</v>
    <v>17985.767100000001</v>
    <v>18140.4398</v>
    <v>18116.839100000001</v>
    <v>18209.186799999999</v>
    <v>18224.5674</v>
    <v>18214.420699999999</v>
    <v>18132.701300000001</v>
    <v>18288.6263</v>
    <v>18203.374899999999</v>
    <v>18096.899000000001</v>
    <v>18135.719700000001</v>
    <v>17856.782200000001</v>
    <v>17995.721099999999</v>
    <v>17662.935600000001</v>
    <v>17635.385399999999</v>
    <v>17895.2176</v>
    <v>17749.310799999999</v>
    <v>17977.4185</v>
    <v>17849.0759</v>
    <v>18076.188200000001</v>
    <v>17959.027999999998</v>
    <v>18127.653300000002</v>
    <v>18116.042300000001</v>
    <v>18011.143700000001</v>
    <v>17718.535100000001</v>
    <v>17678.230500000001</v>
    <v>17712.662899999999</v>
    <v>17976.3109</v>
    <v>17776.122599999999</v>
    <v>17698.1826</v>
    <v>17763.2438</v>
    <v>17880.8544</v>
    <v>17875.416000000001</v>
    <v>17902.508099999999</v>
    <v>17958.727699999999</v>
    <v>18057.6541</v>
    <v>17977.044900000001</v>
    <v>18036.701000000001</v>
    <v>18112.605800000001</v>
    <v>18105.766</v>
    <v>17826.303100000001</v>
    <v>18034.932700000001</v>
    <v>17949.5857</v>
    <v>18038.269199999999</v>
    <v>18058.688399999999</v>
    <v>18080.141899999999</v>
    <v>18037.9689</v>
    <v>18110.1368</v>
    <v>18035.533299999999</v>
    <v>17840.516500000002</v>
    <v>18024.055799999998</v>
    <v>18070.399399999998</v>
    <v>17928.199000000001</v>
    <v>17841.984499999999</v>
    <v>17924.061699999998</v>
    <v>18191.113000000001</v>
    <v>18105.165400000002</v>
    <v>18068.2307</v>
    <v>18060.490099999999</v>
    <v>18252.237099999998</v>
    <v>18272.556199999999</v>
    <v>18298.881000000001</v>
    <v>18312.393700000001</v>
    <v>18285.401699999999</v>
    <v>18285.7353</v>
    <v>18232.018100000001</v>
    <v>18041.5389</v>
    <v>18162.986499999999</v>
    <v>18126.1185</v>
    <v>18010.676500000001</v>
    <v>18040.3711</v>
    <v>18011.9444</v>
    <v>18076.2716</v>
    <v>17905.577700000002</v>
    <v>17849.458200000001</v>
    <v>17766.546900000001</v>
    <v>17764.0445</v>
    <v>18000.4002</v>
    <v>18039.370200000001</v>
    <v>17898.838</v>
    <v>17791.169999999998</v>
    <v>17904.476600000002</v>
    <v>17935.739399999999</v>
    <v>18115.842100000002</v>
    <v>18015.948199999999</v>
    <v>18119.779200000001</v>
    <v>18144.0687</v>
    <v>17966.067899999998</v>
    <v>17890.363399999998</v>
    <v>17946.683000000001</v>
    <v>17596.3534</v>
    <v>17619.508600000001</v>
    <v>17757.906299999999</v>
    <v>17730.1132</v>
    <v>17683.579699999998</v>
    <v>17776.9139</v>
    <v>17515.4179</v>
    <v>17548.6227</v>
    <v>17760.411700000001</v>
    <v>17977.679199999999</v>
    <v>18053.575799999999</v>
    <v>18050.1685</v>
    <v>18120.2526</v>
    <v>18086.446499999998</v>
    <v>18100.409899999999</v>
    <v>17919.286899999999</v>
    <v>17851.04</v>
    <v>17731.917099999999</v>
    <v>17568.532200000001</v>
    <v>17440.5903</v>
    <v>17630.264999999999</v>
    <v>17751.3923</v>
    <v>17745.9807</v>
    <v>17689.859899999999</v>
    <v>17598.196</v>
    <v>17550.693800000001</v>
    <v>17540.471799999999</v>
    <v>17419.7454</v>
    <v>17373.379000000001</v>
    <v>17615.1659</v>
    <v>17402.842400000001</v>
    <v>17402.508399999999</v>
    <v>17408.254000000001</v>
    <v>17477.4028</v>
    <v>17545.182000000001</v>
    <v>17511.342499999999</v>
    <v>17348.725999999999</v>
    <v>16990.688999999998</v>
    <v>16459.7467</v>
    <v>15871.347400000001</v>
    <v>15666.4398</v>
    <v>16285.5051</v>
    <v>16654.766199999998</v>
    <v>16643.007600000001</v>
    <v>16528.026900000001</v>
    <v>16058.349700000001</v>
    <v>16351.3802</v>
    <v>16374.763800000001</v>
    <v>16102.3778</v>
    <v>16492.6842</v>
    <v>16253.5697</v>
    <v>16330.4017</v>
    <v>16433.0893</v>
    <v>16370.955599999999</v>
    <v>16599.848099999999</v>
    <v>16739.949499999999</v>
    <v>16674.742600000001</v>
    <v>16384.584900000002</v>
    <v>16510.1885</v>
    <v>16330.468500000001</v>
    <v>16279.893</v>
    <v>16201.324000000001</v>
    <v>16314.6679</v>
    <v>16001.894899999999</v>
    <v>16049.1299</v>
    <v>16284.7034</v>
    <v>16272.009400000001</v>
    <v>16472.373800000001</v>
    <v>16776.428</v>
    <v>16790.190900000001</v>
    <v>16912.287</v>
    <v>17050.751499999998</v>
    <v>17084.4908</v>
    <v>17131.859400000001</v>
    <v>17081.885200000001</v>
    <v>16924.747100000001</v>
    <v>17141.747299999999</v>
    <v>17215.973699999999</v>
    <v>17230.538400000001</v>
    <v>17217.109499999999</v>
    <v>17168.605100000001</v>
    <v>17489.161499999998</v>
    <v>17646.700400000002</v>
    <v>17623.049500000001</v>
    <v>17581.426599999999</v>
    <v>17779.519499999999</v>
    <v>17755.801800000001</v>
    <v>17663.536599999999</v>
    <v>17828.7588</v>
    <v>17918.151099999999</v>
    <v>17867.5756</v>
    <v>17863.433400000002</v>
    <v>17910.334299999999</v>
    <v>17730.4807</v>
    <v>17758.206999999999</v>
    <v>17702.219799999999</v>
    <v>17448.073</v>
    <v>17245.2366</v>
    <v>17483.014899999998</v>
    <v>17489.495500000001</v>
    <v>17737.161700000001</v>
    <v>17732.752199999999</v>
    <v>17823.8148</v>
    <v>17792.681100000002</v>
    <v>17812.1898</v>
    <v>17813.392400000001</v>
    <v>17798.493699999999</v>
    <v>17719.924599999998</v>
    <v>17888.3537</v>
    <v>17729.678899999999</v>
    <v>17477.670099999999</v>
    <v>17847.632699999998</v>
    <v>17730.5141</v>
    <v>17567.9977</v>
    <v>17492.301500000001</v>
    <v>17574.745599999998</v>
    <v>17265.213</v>
    <v>17368.501899999999</v>
    <v>17524.904999999999</v>
    <v>17749.0874</v>
    <v>17495.842499999999</v>
    <v>17128.552299999999</v>
    <v>17251.616999999998</v>
    <v>17417.273499999999</v>
    <v>17602.605500000001</v>
    <v>17552.167700000002</v>
    <v>17528.267</v>
    <v>17720.9787</v>
    <v>17603.872500000001</v>
    <v>17425.028699999999</v>
    <v>17148.9388</v>
    <v>17158.663400000001</v>
    <v>16906.508399999999</v>
    <v>16514.0998</v>
    <v>16346.453</v>
    <v>16398.5687</v>
    <v>16516.2228</v>
    <v>16151.412899999999</v>
    <v>16379.050999999999</v>
    <v>15988.080599999999</v>
    <v>16016.021699999999</v>
    <v>15766.743</v>
    <v>15882.684999999999</v>
    <v>16093.510399999999</v>
    <v>15885.2189</v>
    <v>16167.232599999999</v>
    <v>15944.4568</v>
    <v>16069.644</v>
    <v>16466.298599999998</v>
    <v>16449.177800000001</v>
    <v>16153.535900000001</v>
    <v>16336.659900000001</v>
    <v>16416.5798</v>
    <v>16204.9668</v>
    <v>16027.047500000001</v>
    <v>16014.3781</v>
    <v>15914.7351</v>
    <v>15660.183199999999</v>
    <v>15973.8361</v>
    <v>16196.4064</v>
    <v>16453.834599999998</v>
    <v>16413.429499999998</v>
    <v>16391.994299999998</v>
    <v>16620.659599999999</v>
    <v>16431.782999999999</v>
    <v>16484.9944</v>
    <v>16697.292300000001</v>
    <v>16639.9719</v>
    <v>16516.4967</v>
    <v>16865.076000000001</v>
    <v>16899.317599999998</v>
    <v>16943.9002</v>
    <v>17006.7677</v>
    <v>17073.949700000001</v>
    <v>16964.102699999999</v>
    <v>17000.3645</v>
    <v>16995.125599999999</v>
    <v>17213.312999999998</v>
    <v>17229.132600000001</v>
    <v>17251.526600000001</v>
    <v>17325.762299999999</v>
    <v>17481.492999999999</v>
    <v>17602.297399999999</v>
    <v>17623.869600000002</v>
    <v>17582.574199999999</v>
    <v>17502.585899999998</v>
    <v>17515.7346</v>
    <v>17535.389299999999</v>
    <v>17633.114799999999</v>
    <v>17716.664199999999</v>
    <v>17685.093499999999</v>
    <v>17792.749</v>
    <v>17737.003700000001</v>
    <v>17603.3246</v>
    <v>17716.047900000001</v>
    <v>17541.9637</v>
    <v>17576.958600000002</v>
    <v>17556.4136</v>
    <v>17721.2526</v>
    <v>17908.280200000001</v>
    <v>17926.428199999998</v>
    <v>17897.459800000001</v>
    <v>18004.156599999998</v>
    <v>18053.6014</v>
    <v>18096.266500000002</v>
    <v>17982.515899999999</v>
    <v>18003.745699999999</v>
    <v>17977.242699999999</v>
    <v>17990.323</v>
    <v>18041.5484</v>
    <v>17830.7572</v>
    <v>17773.642199999998</v>
    <v>17891.1594</v>
    <v>17750.9058</v>
    <v>17651.2628</v>
    <v>17660.713500000002</v>
    <v>17740.633399999999</v>
    <v>17705.912400000001</v>
    <v>17928.345700000002</v>
    <v>17711.117099999999</v>
    <v>17720.499299999999</v>
    <v>17535.320800000001</v>
    <v>17710.706200000001</v>
    <v>17529.9791</v>
    <v>17526.623500000002</v>
    <v>17435.403900000001</v>
    <v>17500.942299999999</v>
    <v>17492.929700000001</v>
    <v>17706.0494</v>
    <v>17851.507600000001</v>
    <v>17828.291799999999</v>
    <v>17873.216799999998</v>
    <v>17787.2019</v>
    <v>17789.667300000001</v>
    <v>17838.564299999998</v>
    <v>17807.062000000002</v>
    <v>17920.333200000001</v>
    <v>17938.275799999999</v>
    <v>18005.046900000001</v>
    <v>17985.186799999999</v>
    <v>17865.341199999999</v>
    <v>17732.483899999999</v>
    <v>17674.821</v>
    <v>17640.1685</v>
    <v>17733.100200000001</v>
    <v>17675.163400000001</v>
    <v>17804.870599999998</v>
    <v>17829.73</v>
    <v>17780.832999999999</v>
    <v>18011.073400000001</v>
    <v>17400.751400000001</v>
    <v>17140.241399999999</v>
    <v>17409.722699999998</v>
    <v>17694.681100000002</v>
    <v>17929.989300000001</v>
    <v>17949.3701</v>
    <v>17840.6188</v>
    <v>17918.6211</v>
    <v>17895.884699999999</v>
    <v>18146.738499999999</v>
    <v>18226.9323</v>
    <v>18347.6682</v>
    <v>18372.116699999999</v>
    <v>18506.412100000001</v>
    <v>18516.547699999999</v>
    <v>18533.052100000001</v>
    <v>18559.0072</v>
    <v>18595.029399999999</v>
    <v>18517.232499999998</v>
    <v>18570.854800000001</v>
    <v>18493.0579</v>
    <v>18473.745699999999</v>
    <v>18472.170600000001</v>
    <v>18456.350999999999</v>
    <v>18432.244900000002</v>
    <v>18404.5092</v>
    <v>18313.769</v>
    <v>18354.995900000002</v>
    <v>18352.051100000001</v>
    <v>18543.53</v>
    <v>18529.285500000002</v>
    <v>18533.052100000001</v>
    <v>18495.6603</v>
    <v>18613.519799999998</v>
    <v>18576.470399999998</v>
    <v>18636.050800000001</v>
    <v>18552.0219</v>
    <v>18573.936600000001</v>
    <v>18597.700199999999</v>
    <v>18552.569800000001</v>
    <v>18529.422500000001</v>
    <v>18547.296600000001</v>
    <v>18481.4843</v>
    <v>18448.406900000002</v>
    <v>18395.400900000001</v>
    <v>18502.988000000001</v>
    <v>18454.2965</v>
    <v>18400.8796</v>
    <v>18419.301599999999</v>
    <v>18491.962200000002</v>
    <v>18538.119900000002</v>
    <v>18526.135300000002</v>
    <v>18479.909199999998</v>
    <v>18085.446100000001</v>
    <v>18325.0687</v>
    <v>18066.750199999999</v>
    <v>18034.768599999999</v>
    <v>18212.482400000001</v>
    <v>18123.796699999999</v>
    <v>18120.167099999999</v>
    <v>18129.960200000001</v>
    <v>18293.703399999999</v>
    <v>18392.456200000001</v>
    <v>18261.447899999999</v>
    <v>18094.828300000001</v>
    <v>18228.302</v>
    <v>18339.244699999999</v>
    <v>18143.451400000002</v>
    <v>18308.153399999999</v>
    <v>18253.8462</v>
    <v>18168.447700000001</v>
    <v>18281.034</v>
    <v>18268.5016</v>
    <v>18240.491999999998</v>
    <v>18329.040700000001</v>
    <v>18128.659</v>
    <v>18144.204699999998</v>
    <v>18098.937300000001</v>
    <v>18138.383600000001</v>
    <v>18086.404900000001</v>
    <v>18161.941800000001</v>
    <v>18202.620800000001</v>
    <v>18162.352699999999</v>
    <v>18145.711299999999</v>
    <v>18223.0288</v>
    <v>18169.269499999999</v>
    <v>18199.333600000002</v>
    <v>18169.680400000001</v>
    <v>18161.1885</v>
    <v>18142.4241</v>
    <v>18037.097000000002</v>
    <v>17959.642500000002</v>
    <v>17930.6741</v>
    <v>17888.283100000001</v>
    <v>18259.5988</v>
    <v>18332.738799999999</v>
    <v>18589.687699999999</v>
    <v>18807.875100000001</v>
    <v>18847.663799999998</v>
    <v>18868.688099999999</v>
    <v>18923.063699999999</v>
    <v>18868.140200000002</v>
    <v>18903.82</v>
    <v>18867.934799999999</v>
    <v>18956.688999999998</v>
    <v>19023.870999999999</v>
    <v>19083.1774</v>
    <v>19152.139899999998</v>
    <v>19097.901300000001</v>
    <v>19121.5965</v>
    <v>19123.5825</v>
    <v>19191.9287</v>
    <v>19170.424999999999</v>
    <v>19216.2402</v>
    <v>19251.782999999999</v>
    <v>19549.616300000002</v>
    <v>19614.8122</v>
    <v>19756.846300000001</v>
    <v>19796.429599999999</v>
    <v>19911.207399999999</v>
    <v>19792.526099999999</v>
    <v>19852.243399999999</v>
    <v>19843.409</v>
    <v>19883.060799999999</v>
    <v>19974.622800000001</v>
    <v>19941.956300000002</v>
    <v>19918.877499999999</v>
    <v>19933.806799999998</v>
    <v>19945.038100000002</v>
    <v>19833.684399999998</v>
    <v>19819.7824</v>
    <v>19762.598900000001</v>
    <v>19881.759600000001</v>
    <v>19942.161800000002</v>
    <v>19899.291300000001</v>
    <v>19963.802500000002</v>
    <v>19887.375199999999</v>
    <v>19855.530599999998</v>
    <v>19954.283299999999</v>
    <v>19891.0049</v>
    <v>19885.731599999999</v>
    <v>19826.767599999999</v>
    <v>19804.716100000001</v>
    <v>19732.397799999999</v>
    <v>19827.246999999999</v>
    <v>19799.8537</v>
    <v>19912.714</v>
    <v>20068.513200000001</v>
    <v>20100.9058</v>
    <v>20093.783500000001</v>
    <v>19971.1302</v>
    <v>19864.091</v>
    <v>19890.936399999999</v>
    <v>19884.909899999999</v>
    <v>20071.457999999999</v>
    <v>20052.419699999999</v>
    <v>20090.2909</v>
    <v>20054.337200000002</v>
    <v>20172.4022</v>
    <v>20269.374400000001</v>
    <v>20412.161800000002</v>
    <v>20504.408599999999</v>
    <v>20611.858700000001</v>
    <v>20619.768499999998</v>
    <v>20624.048699999999</v>
    <v>20743.0039</v>
    <v>20775.601900000001</v>
    <v>20810.322899999999</v>
    <v>20821.759600000001</v>
    <v>20837.442200000001</v>
    <v>20812.240399999999</v>
    <v>21115.5524</v>
    <v>21002.966100000001</v>
    <v>21005.705399999999</v>
    <v>20954.343000000001</v>
    <v>20924.758300000001</v>
    <v>20855.727299999999</v>
    <v>20858.192599999998</v>
    <v>20902.980599999999</v>
    <v>20881.476900000001</v>
    <v>20837.373800000001</v>
    <v>20950.097099999999</v>
    <v>20934.5514</v>
    <v>20914.622800000001</v>
    <v>20905.856899999999</v>
    <v>20668.014899999998</v>
    <v>20661.303500000002</v>
    <v>20656.5782</v>
    <v>20596.723900000001</v>
    <v>20550.977200000001</v>
    <v>20701.503199999999</v>
    <v>20659.317500000001</v>
    <v>20728.485499999999</v>
    <v>20663.221099999999</v>
    <v>20650.209299999999</v>
    <v>20689.244699999999</v>
    <v>20648.1548</v>
    <v>20662.947100000001</v>
    <v>20656.0988</v>
    <v>20658.016299999999</v>
    <v>20651.305</v>
    <v>20591.8616</v>
    <v>20453.251700000001</v>
    <v>20636.923500000001</v>
    <v>20523.275699999998</v>
    <v>20404.491699999999</v>
    <v>20578.712800000001</v>
    <v>20547.758399999999</v>
    <v>20763.891299999999</v>
    <v>20996.117699999999</v>
    <v>20975.093400000002</v>
    <v>20981.325400000002</v>
    <v>20940.509399999999</v>
    <v>20913.458600000002</v>
    <v>20949.891599999999</v>
    <v>20957.9041</v>
    <v>20951.466700000001</v>
    <v>21006.938099999999</v>
    <v>21012.2798</v>
    <v>20975.778200000001</v>
    <v>20943.111799999999</v>
    <v>20919.4166</v>
    <v>20896.611700000001</v>
    <v>20981.941699999999</v>
    <v>20979.7503</v>
    <v>20606.927899999999</v>
    <v>20663.015599999999</v>
    <v>20804.8442</v>
    <v>20894.831099999999</v>
    <v>20937.9071</v>
    <v>21012.416700000002</v>
    <v>21082.954399999999</v>
    <v>21080.283599999999</v>
    <v>21029.469099999998</v>
    <v>21008.6502</v>
    <v>21144.1783</v>
    <v>21206.292600000001</v>
    <v>21184.035599999999</v>
    <v>21136.2343</v>
    <v>21173.694599999999</v>
    <v>21182.528900000001</v>
    <v>21271.9679</v>
    <v>21235.671900000001</v>
    <v>21328.4666</v>
    <v>21374.555700000001</v>
    <v>21359.900300000001</v>
    <v>21384.280299999999</v>
    <v>21528.9853</v>
    <v>21467.145</v>
    <v>21410.03</v>
    <v>21397.2922</v>
    <v>21394.758300000001</v>
    <v>21409.550599999999</v>
    <v>21310.660899999999</v>
    <v>21454.6126</v>
    <v>21287.034199999998</v>
    <v>21349.627899999999</v>
    <v>21479.266500000002</v>
    <v>21478.1708</v>
    <v>21320.043099999999</v>
    <v>21414.344499999999</v>
    <v>21408.523399999998</v>
    <v>21409.0713</v>
    <v>21532.1355</v>
    <v>21553.091400000001</v>
    <v>21637.7366</v>
    <v>21629.723999999998</v>
    <v>21574.732</v>
    <v>21640.749800000001</v>
    <v>21611.7814</v>
    <v>21580.073700000001</v>
    <v>21513.165700000001</v>
    <v>21613.424999999999</v>
    <v>21711.013500000001</v>
    <v>21796.548999999999</v>
    <v>21830.3112</v>
    <v>21891.124299999999</v>
    <v>21963.921900000001</v>
    <v>22016.242999999999</v>
    <v>22026.104599999999</v>
    <v>22092.807199999999</v>
    <v>22118.419900000001</v>
    <v>22085.342499999999</v>
    <v>22048.704099999999</v>
    <v>21844.007900000001</v>
    <v>21858.320800000001</v>
    <v>21993.712100000001</v>
    <v>21998.9853</v>
    <v>22024.871899999998</v>
    <v>21750.733800000002</v>
    <v>21674.511999999999</v>
    <v>21703.754300000001</v>
    <v>21899.890100000001</v>
    <v>21812.094700000001</v>
    <v>21783.400300000001</v>
    <v>21813.6698</v>
    <v>21808.3966</v>
    <v>21865.374599999999</v>
    <v>21892.425500000001</v>
    <v>21948.102299999999</v>
    <v>21987.555899999999</v>
    <v>21753.313099999999</v>
    <v>21807.639299999999</v>
    <v>21784.779600000002</v>
    <v>21797.793099999999</v>
    <v>22057.374199999998</v>
    <v>22118.861199999999</v>
    <v>22158.177100000001</v>
    <v>22203.4833</v>
    <v>22268.3442</v>
    <v>22331.346000000001</v>
    <v>22370.799500000001</v>
    <v>22412.5942</v>
    <v>22359.232</v>
    <v>22349.592400000001</v>
    <v>22296.092499999999</v>
    <v>22284.3184</v>
    <v>22340.710200000001</v>
    <v>22381.196499999998</v>
    <v>22405.089</v>
    <v>22557.601600000002</v>
    <v>22641.6728</v>
    <v>22661.640599999999</v>
    <v>22775.3881</v>
    <v>22773.666700000002</v>
    <v>22761.0664</v>
    <v>22830.678199999998</v>
    <v>22872.885900000001</v>
    <v>22841.006300000001</v>
    <v>22871.715400000001</v>
    <v>22956.957200000001</v>
    <v>22997.443599999999</v>
    <v>23157.598900000001</v>
    <v>23163.038400000001</v>
    <v>23328.633300000001</v>
    <v>23273.962899999999</v>
    <v>23441.7611</v>
    <v>23329.459599999998</v>
    <v>23400.8616</v>
    <v>23434.187099999999</v>
    <v>23348.738799999999</v>
    <v>23377.244500000001</v>
    <v>23435.0134</v>
    <v>23516.261600000002</v>
    <v>23539.1901</v>
    <v>23548.4166</v>
    <v>23557.23</v>
    <v>23563.358</v>
    <v>23461.9355</v>
    <v>23422.2065</v>
    <v>23439.695500000002</v>
    <v>23409.468400000002</v>
    <v>23271.277600000001</v>
    <v>23458.355</v>
    <v>23358.240699999998</v>
    <v>23430.331300000002</v>
    <v>23590.830900000001</v>
    <v>23526.176599999999</v>
    <v>23557.987400000002</v>
    <v>23580.778200000001</v>
    <v>23836.71</v>
    <v>23940.680199999999</v>
    <v>24272.351900000001</v>
    <v>24231.590100000001</v>
    <v>24290.047500000001</v>
    <v>24180.6378</v>
    <v>24140.908800000001</v>
    <v>24211.4846</v>
    <v>24329.156800000001</v>
    <v>24386.030599999998</v>
    <v>24504.804400000001</v>
    <v>24585.4329</v>
    <v>24508.6603</v>
    <v>24651.739699999998</v>
    <v>24792.202799999999</v>
    <v>24754.745999999999</v>
    <v>24726.653399999999</v>
    <v>24782.287700000001</v>
    <v>24754.057400000002</v>
    <v>24746.207999999999</v>
    <v>24774.300599999999</v>
    <v>24837.508999999998</v>
    <v>24719.217100000002</v>
    <v>24824.013500000001</v>
    <v>24922.6819</v>
    <v>25075.125499999998</v>
    <v>25295.872800000001</v>
    <v>25282.996999999999</v>
    <v>25385.796699999999</v>
    <v>25369.133900000001</v>
    <v>25574.733199999999</v>
    <v>25803.1921</v>
    <v>25792.864000000001</v>
    <v>26115.6535</v>
    <v>26017.811300000001</v>
    <v>26071.724399999999</v>
    <v>26214.597300000001</v>
    <v>26210.810300000001</v>
    <v>26252.122899999998</v>
    <v>26392.7925</v>
    <v>26616.7071</v>
    <v>26439.4758</v>
    <v>26076.8884</v>
    <v>26149.392100000001</v>
    <v>26186.711200000002</v>
    <v>25520.957900000001</v>
    <v>24345.750700000001</v>
    <v>24912.766800000001</v>
    <v>24893.349900000001</v>
    <v>23860.464800000002</v>
    <v>24190.897099999998</v>
    <v>24601.269499999999</v>
    <v>24640.4476</v>
    <v>24893.4876</v>
    <v>25200.3717</v>
    <v>25219.375499999998</v>
    <v>24964.751899999999</v>
    <v>24797.78</v>
    <v>24962.4797</v>
    <v>25309.988000000001</v>
    <v>25709.274700000002</v>
    <v>25410.0334</v>
    <v>25029.199700000001</v>
    <v>24608.981199999998</v>
    <v>24538.061099999999</v>
    <v>24874.7592</v>
    <v>24884.1234</v>
    <v>24801.360400000001</v>
    <v>24895.208999999999</v>
    <v>25335.7395</v>
    <v>25178.613700000002</v>
    <v>25007.0285</v>
    <v>24758.1198</v>
    <v>24873.657500000001</v>
    <v>24946.505499999999</v>
    <v>24610.909100000001</v>
    <v>24727.273000000001</v>
    <v>24682.311099999999</v>
    <v>23957.893800000002</v>
    <v>23533.199799999999</v>
    <v>24202.6024</v>
    <v>23857.710599999999</v>
    <v>23848.415300000001</v>
    <v>24103.107800000002</v>
    <v>23644.1931</v>
    <v>24033.358199999999</v>
    <v>24264.295999999998</v>
    <v>24505.2176</v>
    <v>23932.761900000001</v>
    <v>23979.100999999999</v>
    <v>24407.9951</v>
    <v>24189.4512</v>
    <v>24483.046399999999</v>
    <v>24360.141299999999</v>
    <v>24573.039199999999</v>
    <v>24786.625499999998</v>
    <v>24748.0671</v>
    <v>24664.890899999999</v>
    <v>24462.940900000001</v>
    <v>24448.688099999999</v>
    <v>24024.131799999999</v>
    <v>24083.8285</v>
    <v>24322.340199999999</v>
    <v>24311.185799999999</v>
    <v>24163.148799999999</v>
    <v>24099.045399999999</v>
    <v>23924.981400000001</v>
    <v>23930.145499999999</v>
    <v>24262.505700000002</v>
    <v>24357.318299999999</v>
    <v>24360.210200000001</v>
    <v>24542.536599999999</v>
    <v>24739.5291</v>
    <v>24831.1744</v>
    <v>24899.409100000001</v>
    <v>24706.410199999998</v>
    <v>24768.93</v>
    <v>24713.984100000001</v>
    <v>24715.085800000001</v>
    <v>25013.294300000001</v>
    <v>24834.410500000002</v>
    <v>24886.808700000001</v>
    <v>24811.757399999999</v>
    <v>24753.093400000002</v>
    <v>24361.449499999999</v>
    <v>24667.782800000001</v>
    <v>24415.844499999999</v>
    <v>24635.2147</v>
    <v>24813.685300000001</v>
    <v>24799.9833</v>
    <v>25146.389899999998</v>
    <v>25241.409</v>
    <v>25316.5291</v>
    <v>25322.312900000001</v>
    <v>25320.729200000002</v>
    <v>25201.198</v>
    <v>25175.308700000001</v>
    <v>25090.480100000001</v>
    <v>24987.473900000001</v>
    <v>24700.213299999999</v>
    <v>24657.798900000002</v>
    <v>24461.7016</v>
    <v>24580.888599999998</v>
    <v>24252.797299999998</v>
    <v>24283.106299999999</v>
    <v>24117.593199999999</v>
    <v>24216.046699999999</v>
    <v>24271.409899999999</v>
    <v>24307.177299999999</v>
    <v>24174.821</v>
    <v>24356.7431</v>
    <v>24456.484899999999</v>
    <v>24776.594499999999</v>
    <v>24919.664100000002</v>
    <v>24700.449000000001</v>
    <v>24924.8851</v>
    <v>25019.405900000002</v>
    <v>25064.361000000001</v>
    <v>25119.893700000001</v>
    <v>25199.293900000001</v>
    <v>25064.496599999999</v>
    <v>25058.122899999998</v>
    <v>25044.2906</v>
    <v>25241.943500000001</v>
    <v>25414.101600000002</v>
    <v>25527.065500000001</v>
    <v>25451.0556</v>
    <v>25306.833299999998</v>
    <v>25415.1865</v>
    <v>25333.819899999999</v>
    <v>25326.157899999998</v>
    <v>25462.5825</v>
    <v>25502.180899999999</v>
    <v>25628.909299999999</v>
    <v>25583.750899999999</v>
    <v>25509.2327</v>
    <v>25313.139299999999</v>
    <v>25187.699100000002</v>
    <v>25299.9172</v>
    <v>25162.4077</v>
    <v>25558.7307</v>
    <v>25669.321400000001</v>
    <v>25758.688999999998</v>
    <v>25822.2906</v>
    <v>25733.600999999999</v>
    <v>25656.980800000001</v>
    <v>25790.354200000002</v>
    <v>26049.6423</v>
    <v>26064.017100000001</v>
    <v>26124.5674</v>
    <v>25986.922200000001</v>
    <v>25964.8177</v>
    <v>25952.4771</v>
    <v>25974.988499999999</v>
    <v>25995.872599999999</v>
    <v>25916.540199999999</v>
    <v>25857.074799999999</v>
    <v>25971.055799999998</v>
    <v>25998.9238</v>
    <v>26145.993900000001</v>
    <v>26154.672999999999</v>
    <v>26062.1185</v>
    <v>26246.956200000001</v>
    <v>26405.756700000002</v>
    <v>26656.975900000001</v>
    <v>26743.495699999999</v>
    <v>26562.048299999999</v>
    <v>26492.208600000002</v>
    <v>26385.279399999999</v>
    <v>26439.9306</v>
    <v>26458.305899999999</v>
    <v>26651.212500000001</v>
    <v>26773.940399999999</v>
    <v>26828.388200000001</v>
    <v>26627.480500000001</v>
    <v>26447.050200000001</v>
    <v>26486.784199999998</v>
    <v>26430.573499999999</v>
    <v>25598.7359</v>
    <v>25052.833999999999</v>
    <v>25339.9902</v>
    <v>25250.554800000002</v>
    <v>25798.422999999999</v>
    <v>25706.682199999999</v>
    <v>25379.453000000001</v>
    <v>25444.342799999999</v>
    <v>25317.411</v>
    <v>25191.428400000001</v>
    <v>24583.416799999999</v>
    <v>24984.553899999999</v>
    <v>24688.311799999999</v>
    <v>24442.9238</v>
    <v>24874.641299999999</v>
    <v>25115.7575</v>
    <v>25380.741300000002</v>
    <v>25270.828600000001</v>
    <v>25461.701000000001</v>
    <v>25635.0118</v>
    <v>26180.303500000002</v>
    <v>26191.220099999999</v>
    <v>25989.295399999999</v>
    <v>25387.182799999999</v>
    <v>25286.491699999999</v>
    <v>25080.4987</v>
    <v>25289.271700000001</v>
    <v>25413.220099999999</v>
    <v>25017.439600000002</v>
    <v>24465.638599999998</v>
    <v>24464.689399999999</v>
    <v>24285.954099999999</v>
    <v>24640.237700000001</v>
    <v>24748.726500000001</v>
    <v>25366.434399999998</v>
    <v>25338.837500000001</v>
    <v>25538.4568</v>
    <v>25826.4267</v>
    <v>25027.067999999999</v>
    <v>24947.667799999999</v>
    <v>24388.950700000001</v>
    <v>24423.260200000001</v>
    <v>24370.2363</v>
    <v>24527.273799999999</v>
    <v>24597.384699999999</v>
    <v>24100.5062</v>
    <v>23592.982199999999</v>
    <v>23675.6371</v>
    <v>23323.658899999999</v>
    <v>22859.5982</v>
    <v>22445.374599999999</v>
    <v>21792.204399999999</v>
    <v>22878.448100000001</v>
    <v>23138.821100000001</v>
    <v>23062.404399999999</v>
    <v>23327.455999999998</v>
    <v>23346.238099999999</v>
    <v>22686.2196</v>
    <v>23433.164700000001</v>
    <v>23531.347000000002</v>
    <v>23787.4483</v>
    <v>23879.121299999999</v>
    <v>24001.917000000001</v>
    <v>23995.950099999998</v>
    <v>23909.837200000002</v>
    <v>24065.5864</v>
    <v>24207.164199999999</v>
    <v>24370.100699999999</v>
    <v>24706.348099999999</v>
    <v>24404.4781</v>
    <v>24575.6191</v>
    <v>24553.243299999998</v>
    <v>24737.1996</v>
    <v>24528.223099999999</v>
    <v>24579.958699999999</v>
    <v>25014.863000000001</v>
    <v>24999.674599999998</v>
    <v>25063.886299999998</v>
    <v>25239.366900000001</v>
    <v>25411.525000000001</v>
    <v>25390.301899999999</v>
    <v>25169.527300000002</v>
    <v>25106.332600000002</v>
    <v>25053.105299999999</v>
    <v>25425.7641</v>
    <v>25543.271000000001</v>
    <v>25439.393</v>
    <v>25883.2477</v>
    <v>25891.316500000001</v>
    <v>25954.4434</v>
    <v>25850.6332</v>
    <v>26031.809499999999</v>
    <v>26091.9529</v>
    <v>26057.982400000001</v>
    <v>25985.159299999999</v>
    <v>25915.9977</v>
    <v>26026.317200000001</v>
    <v>25819.646100000002</v>
    <v>25806.627499999999</v>
    <v>25673.4575</v>
    <v>25473.227999999999</v>
    <v>25450.241900000001</v>
    <v>25650.8783</v>
    <v>25554.662400000001</v>
    <v>25702.8851</v>
    <v>25709.936900000001</v>
    <v>25848.870299999999</v>
    <v>25914.099200000001</v>
    <v>25887.3838</v>
    <v>25745.670399999999</v>
    <v>25962.512299999999</v>
    <v>25502.316500000001</v>
    <v>25516.8269</v>
    <v>25657.726699999999</v>
    <v>25625.586899999998</v>
    <v>25717.463299999999</v>
    <v>25928.677299999999</v>
    <v>26258.415400000002</v>
    <v>26179.1319</v>
    <v>26218.129300000001</v>
    <v>26384.631300000001</v>
    <v>26424.985199999999</v>
    <v>26341.022000000001</v>
    <v>26150.579000000002</v>
    <v>26157.1577</v>
    <v>26143.050800000001</v>
    <v>26412.302500000002</v>
    <v>26384.767</v>
    <v>26452.6564</v>
    <v>26449.536599999999</v>
    <v>26559.5432</v>
    <v>26511.050800000001</v>
    <v>26656.392400000001</v>
    <v>26597.048500000001</v>
    <v>26462.083600000002</v>
    <v>26543.3338</v>
    <v>26554.3887</v>
    <v>26592.911400000001</v>
    <v>26430.139599999999</v>
    <v>26307.789499999999</v>
    <v>26504.946800000002</v>
    <v>26438.4817</v>
    <v>25965.087</v>
    <v>25967.325099999998</v>
    <v>25828.358700000001</v>
    <v>25942.3668</v>
    <v>25324.9869</v>
    <v>25532.046200000001</v>
    <v>25648.021100000002</v>
    <v>25862.6764</v>
    <v>25763.995999999999</v>
    <v>25679.897199999999</v>
    <v>25877.3259</v>
    <v>25776.610799999999</v>
    <v>25490.4715</v>
    <v>25585.6931</v>
    <v>25347.7749</v>
    <v>25126.405299999999</v>
    <v>25169.8789</v>
    <v>24815.036400000001</v>
    <v>24819.783899999999</v>
    <v>25332.175999999999</v>
    <v>25539.574400000001</v>
    <v>25720.657999999999</v>
    <v>25983.9414</v>
    <v>26062.6823</v>
    <v>26048.5075</v>
    <v>26004.830399999999</v>
    <v>26106.766299999999</v>
    <v>26089.607400000001</v>
    <v>26112.5311</v>
    <v>26465.5425</v>
    <v>26503.997299999999</v>
    <v>26753.1738</v>
    <v>26719.127400000001</v>
    <v>26727.5373</v>
    <v>26548.217000000001</v>
    <v>26536.823</v>
    <v>26526.581900000001</v>
    <v>26599.964899999999</v>
    <v>26717.431799999998</v>
    <v>26786.6777</v>
    <v>26965.998</v>
    <v>26922.117399999999</v>
    <v>26806.142500000002</v>
    <v>26783.490099999999</v>
    <v>26860.1963</v>
    <v>27088.076799999999</v>
    <v>27332.0311</v>
    <v>27359.1597</v>
    <v>27335.625599999999</v>
    <v>27219.8541</v>
    <v>27222.973900000001</v>
    <v>27154.2029</v>
    <v>27171.904299999998</v>
    <v>27349.189900000001</v>
    <v>27269.974300000002</v>
    <v>27140.977599999998</v>
    <v>27192.4542</v>
    <v>27221.3462</v>
    <v>27198.015599999999</v>
    <v>26864.265599999999</v>
    <v>26583.416399999998</v>
    <v>26485.007300000001</v>
    <v>25717.741699999999</v>
    <v>26029.517500000002</v>
    <v>26007.068599999999</v>
    <v>26378.188300000002</v>
    <v>26287.442999999999</v>
    <v>25907.370800000001</v>
    <v>26279.914799999999</v>
    <v>25479.4166</v>
    <v>25579.385600000001</v>
    <v>25886.007000000001</v>
    <v>26135.793900000001</v>
    <v>25962.441999999999</v>
    <v>26202.733800000002</v>
    <v>26252.243600000002</v>
    <v>25628.895400000001</v>
    <v>25898.8253</v>
    <v>25777.899399999998</v>
    <v>26036.0962</v>
    <v>26362.250199999999</v>
    <v>26403.282299999999</v>
    <v>26118.024700000002</v>
    <v>26355.468000000001</v>
    <v>26728.147700000001</v>
    <v>26797.461299999999</v>
    <v>26835.5092</v>
    <v>26909.434799999999</v>
    <v>27137.044000000002</v>
    <v>27182.450499999999</v>
    <v>27219.514999999999</v>
    <v>27076.8184</v>
    <v>27110.796999999999</v>
    <v>27147.081600000001</v>
    <v>27094.791099999999</v>
    <v>26935.0713</v>
    <v>26949.992099999999</v>
    <v>26807.770199999999</v>
    <v>26970.711599999999</v>
    <v>26891.122899999998</v>
    <v>26820.249400000001</v>
    <v>26916.827300000001</v>
    <v>26573.039700000001</v>
    <v>26078.620299999999</v>
    <v>26201.0383</v>
    <v>26573.7179</v>
    <v>26478.021700000001</v>
    <v>26164.0416</v>
    <v>26346.0069</v>
    <v>26496.672600000002</v>
    <v>26816.587</v>
    <v>26787.355899999999</v>
    <v>27024.799299999999</v>
    <v>27001.977299999999</v>
    <v>27025.884399999999</v>
    <v>26770.197</v>
    <v>26827.641899999999</v>
    <v>26788.101900000001</v>
    <v>26833.9493</v>
    <v>26805.5321</v>
    <v>26958.0628</v>
    <v>27090.7219</v>
    <v>27071.422500000001</v>
    <v>27186.689399999999</v>
    <v>27046.230899999999</v>
    <v>27347.358700000001</v>
    <v>27462.1129</v>
    <v>27492.632600000001</v>
    <v>27492.564699999999</v>
    <v>27674.801299999999</v>
    <v>27681.2444</v>
    <v>27691.485499999999</v>
    <v>27691.485499999999</v>
    <v>27783.587200000002</v>
    <v>27781.9594</v>
    <v>28004.888999999999</v>
    <v>28036.222600000001</v>
    <v>27934.0154</v>
    <v>27821.092499999999</v>
    <v>27766.292700000002</v>
    <v>27875.6211</v>
    <v>28066.471000000001</v>
    <v>28121.677800000001</v>
    <v>28163.9984</v>
    <v>28051.4146</v>
    <v>27783.044600000001</v>
    <v>27502.805799999998</v>
    <v>27649.7752</v>
    <v>27677.785500000002</v>
    <v>28015.0622</v>
    <v>27909.599699999999</v>
    <v>27881.724999999999</v>
    <v>27911.2952</v>
    <v>28132.054499999998</v>
    <v>28135.377700000001</v>
    <v>28235.889299999999</v>
    <v>28267.1551</v>
    <v>28239.2804</v>
    <v>28376.958200000001</v>
    <v>28455.0887</v>
    <v>28551.530999999999</v>
    <v>28515.4499</v>
    <v>28621.387200000001</v>
    <v>28645.260399999999</v>
    <v>28462.142100000001</v>
    <v>28538.4414</v>
    <v>28868.8004</v>
    <v>28634.883699999998</v>
    <v>28703.3835</v>
    <v>28583.678400000001</v>
    <v>28745.093799999999</v>
    <v>28956.900600000001</v>
    <v>28823.766800000001</v>
    <v>28907.0517</v>
    <v>28939.673900000002</v>
    <v>29030.215700000001</v>
    <v>29297.636200000001</v>
    <v>29348.095499999999</v>
    <v>29196.039499999999</v>
    <v>29186.2732</v>
    <v>29160.094099999998</v>
    <v>28989.726200000001</v>
    <v>28535.796399999999</v>
    <v>28722.848300000001</v>
    <v>28734.445800000001</v>
    <v>28859.440999999999</v>
    <v>28256.032299999999</v>
    <v>28399.8141</v>
    <v>28807.6253</v>
    <v>29290.8541</v>
    <v>29379.768199999999</v>
    <v>29102.513500000001</v>
    <v>29276.814999999999</v>
    <v>29276.3403</v>
    <v>29551.424599999998</v>
    <v>29423.309600000001</v>
    <v>29398.080000000002</v>
    <v>29232.188399999999</v>
    <v>29348.027699999999</v>
    <v>29219.980500000001</v>
    <v>28992.405200000001</v>
    <v>27960.805</v>
    <v>27081.362499999999</v>
    <v>26957.588100000001</v>
    <v>25766.641</v>
    <v>25409.356899999999</v>
    <v>26703.3249</v>
    <v>25917.4084</v>
    <v>27090.857499999998</v>
    <v>26121.2801</v>
    <v>25864.778900000001</v>
    <v>23851.020400000001</v>
    <v>25018.162</v>
    <v>23553.215800000002</v>
    <v>21200.620599999998</v>
    <v>23185.622800000001</v>
    <v>20188.519100000001</v>
    <v>21237.3799</v>
    <v>19898.920900000001</v>
    <v>20087.1937</v>
    <v>19173.975999999999</v>
    <v>18591.931199999999</v>
    <v>20704.912700000001</v>
    <v>21200.552800000001</v>
    <v>22552.1692</v>
    <v>21636.781200000001</v>
    <v>22327.476299999998</v>
    <v>21917.155699999999</v>
    <v>20943.508999999998</v>
    <v>21413.444800000001</v>
    <v>21052.534800000001</v>
    <v>22679.990600000001</v>
    <v>22653.8586</v>
    <v>23433.566800000001</v>
    <v>23719.373</v>
    <v>23390.767899999999</v>
    <v>23949.759999999998</v>
    <v>23504.349600000001</v>
    <v>23537.683400000002</v>
    <v>24242.493600000002</v>
    <v>23650.4421</v>
    <v>23018.8838</v>
    <v>23475.816999999999</v>
    <v>23515.255099999998</v>
    <v>23775.272199999999</v>
    <v>24133.781599999998</v>
    <v>24101.545300000002</v>
    <v>24633.8567</v>
    <v>24345.718499999999</v>
    <v>23723.694</v>
    <v>23749.7575</v>
    <v>23883.092499999999</v>
    <v>23664.639800000001</v>
    <v>23875.890800000001</v>
    <v>24331.314999999999</v>
    <v>24221.985799999999</v>
    <v>23764.778200000001</v>
    <v>23247.967700000001</v>
    <v>23625.338899999999</v>
    <v>23685.421900000001</v>
    <v>24597.3678</v>
    <v>24206.862099999998</v>
    <v>24575.899799999999</v>
    <v>24474.1152</v>
    <v>24465.164499999999</v>
    <v>24995.1096</v>
    <v>25548.271700000001</v>
    <v>25400.6361</v>
    <v>25383.1119</v>
    <v>25475.019799999998</v>
    <v>25742.650099999999</v>
    <v>26269.885999999999</v>
    <v>26281.820299999999</v>
    <v>27110.980500000001</v>
    <v>27572.440500000001</v>
    <v>27272.2994</v>
    <v>26989.991300000002</v>
    <v>25128.170300000002</v>
    <v>25605.542700000002</v>
    <v>25763.157899999998</v>
    <v>26289.9823</v>
    <v>26119.609700000001</v>
    <v>26080.102999999999</v>
    <v>25871.458299999998</v>
    <v>26024.958299999998</v>
    <v>26156.0985</v>
    <v>25445.9385</v>
    <v>25745.599399999999</v>
    <v>25015.5488</v>
    <v>25595.803199999998</v>
    <v>25812.8842</v>
    <v>25734.968199999999</v>
    <v>25827.356299999999</v>
    <v>26287.032999999999</v>
    <v>25890.1829</v>
    <v>26067.277099999999</v>
    <v>25706.092700000001</v>
    <v>26075.301800000001</v>
    <v>26085.7958</v>
    <v>26642.593099999998</v>
    <v>26870.0995</v>
    <v>26734.7068</v>
    <v>26671.948799999998</v>
    <v>26680.8652</v>
    <v>26840.400900000001</v>
    <v>27005.8351</v>
    <v>26652.332600000002</v>
    <v>26469.888599999998</v>
    <v>26584.773399999998</v>
    <v>26379.283800000001</v>
    <v>26539.573899999999</v>
    <v>26313.645100000002</v>
    <v>26428.324199999999</v>
    <v>26664.4041</v>
    <v>26828.4666</v>
    <v>27201.516599999999</v>
    <v>27386.978599999999</v>
    <v>27433.481199999998</v>
    <v>27791.441900000002</v>
    <v>27686.913799999998</v>
    <v>27976.835299999999</v>
    <v>27896.7245</v>
    <v>27931.018499999998</v>
    <v>27844.906299999999</v>
    <v>27778.067299999999</v>
    <v>27692.881000000001</v>
    <v>27739.726600000002</v>
    <v>27930.332600000002</v>
    <v>28308.458200000001</v>
    <v>28248.4437</v>
    <v>28331.915300000001</v>
    <v>28492.274000000001</v>
    <v>28653.867300000002</v>
    <v>28430.048999999999</v>
    <v>28645.6594</v>
    <v>29100.500700000001</v>
    <v>28292.7346</v>
    <v>28133.313200000001</v>
    <v>27500.891</v>
    <v>27940.467799999999</v>
    <v>27534.578099999999</v>
    <v>27665.641800000001</v>
    <v>27993.334200000001</v>
    <v>27995.6041</v>
    <v>28032.383600000001</v>
    <v>27901.977699999999</v>
    <v>27657.4175</v>
    <v>27147.703099999999</v>
    <v>27288.175500000001</v>
    <v>26763.1309</v>
    <v>26815.437999999998</v>
    <v>27173.955300000001</v>
    <v>27584.056</v>
    <v>27452.663199999999</v>
    <v>27781.704300000001</v>
    <v>27816.904699999999</v>
    <v>27682.814399999999</v>
    <v>28148.643400000001</v>
    <v>27772.7562</v>
    <v>28303.459200000001</v>
    <v>28425.509099999999</v>
    <v>28586.904399999999</v>
    <v>28837.517800000001</v>
    <v>28679.807000000001</v>
    <v>28514.003499999999</v>
    <v>28494.199100000002</v>
    <v>28606.313900000001</v>
    <v>28195.423699999999</v>
    <v>28308.7886</v>
    <v>28210.819800000001</v>
    <v>28363.661700000001</v>
    <v>28335.567200000001</v>
    <v>27685.380399999998</v>
    <v>27463.190399999999</v>
    <v>26519.952300000001</v>
    <v>26659.108899999999</v>
    <v>26501.595499999999</v>
    <v>26925.052599999999</v>
    <v>27480.034</v>
    <v>27847.6639</v>
    <v>28390.177100000001</v>
    <v>28323.395100000002</v>
    <v>29157.972699999998</v>
    <v>29420.922699999999</v>
    <v>29397.6312</v>
    <v>29080.17</v>
    <v>29479.809300000001</v>
    <v>29950.4414</v>
    <v>29783.354800000001</v>
    <v>29438.424200000001</v>
    <v>29483.230599999999</v>
    <v>29263.4751</v>
    <v>29591.266100000001</v>
    <v>30046.239000000001</v>
    <v>29872.474200000001</v>
    <v>29910.372200000002</v>
    <v>29638.638599999998</v>
    <v>29823.9175</v>
    <v>29883.791000000001</v>
    <v>29969.522000000001</v>
    <v>30218.260200000001</v>
    <v>30069.793600000001</v>
    <v>30173.881399999998</v>
    <v>30068.806700000001</v>
    <v>29999.261299999998</v>
    <v>30046.370599999998</v>
    <v>29861.552199999998</v>
    <v>30199.3112</v>
    <v>30154.537700000001</v>
    <v>30303.366099999999</v>
    <v>30179.046300000002</v>
    <v>30216.450799999999</v>
    <v>30015.512699999999</v>
    <v>30129.831600000001</v>
    <v>30199.870500000001</v>
    <v>30403.966799999998</v>
    <v>30335.6715</v>
    <v>30409.559399999998</v>
    <v>30606.484</v>
    <v>30223.885699999999</v>
    <v>30391.597300000001</v>
    <v>30829.397700000001</v>
    <v>31041.126199999999</v>
    <v>31097.9732</v>
    <v>31008.689299999998</v>
    <v>31068.6944</v>
    <v>31060.47</v>
    <v>30991.5167</v>
    <v>30814.264800000001</v>
    <v>30930.524700000002</v>
    <v>31188.375599999999</v>
    <v>31176.006099999999</v>
    <v>30996.977699999999</v>
    <v>30960.000899999999</v>
    <v>30937.038400000001</v>
    <v>30303.168699999998</v>
    <v>30603.358700000001</v>
    <v>29982.6152</v>
    <v>30211.911</v>
    <v>30687.477699999999</v>
    <v>30723.599200000001</v>
    <v>31055.864300000001</v>
    <v>31148.240600000001</v>
    <v>31385.7608</v>
    <v>31375.825700000001</v>
    <v>31437.804700000001</v>
    <v>31430.698799999998</v>
    <v>31458.3986</v>
    <v>31522.7461</v>
    <v>31613.017</v>
    <v>31493.3357</v>
    <v>31494.322700000001</v>
    <v>31521.6934</v>
    <v>31537.352599999998</v>
    <v>31961.862400000002</v>
    <v>31402.012200000001</v>
    <v>30932.366999999998</v>
    <v>31535.510399999999</v>
    <v>31391.517899999999</v>
    <v>31270.093099999998</v>
    <v>30924.142599999999</v>
    <v>31496.2965</v>
    <v>31802.440999999999</v>
    <v>31832.739600000001</v>
    <v>32297.022499999999</v>
    <v>32485.591199999999</v>
    <v>32778.642399999997</v>
    <v>32953.459900000002</v>
    <v>32825.949000000001</v>
    <v>33015.373</v>
    <v>32862.300799999997</v>
    <v>32627.971699999998</v>
    <v>32731.204099999999</v>
    <v>32423.151600000001</v>
    <v>32420.059300000001</v>
    <v>32619.484100000001</v>
    <v>33072.877899999999</v>
    <v>33171.373200000002</v>
    <v>33066.956400000003</v>
    <v>32981.554400000001</v>
    <v>33153.2137</v>
    <v>33527.192900000002</v>
    <v>33430.243799999997</v>
    <v>33446.264900000002</v>
    <v>33503.572399999997</v>
    <v>33800.604299999999</v>
    <v>33745.402199999997</v>
    <v>33677.271399999998</v>
    <v>33730.894399999997</v>
    <v>34035.986100000002</v>
    <v>34200.671199999997</v>
    <v>34077.634400000003</v>
    <v>33821.296799999996</v>
    <v>34137.3105</v>
    <v>33815.901599999997</v>
    <v>34043.486799999999</v>
    <v>33981.573600000003</v>
    <v>33984.929199999999</v>
    <v>33820.375699999997</v>
    <v>34060.3632</v>
    <v>33874.853999999999</v>
    <v>34113.229500000001</v>
    <v>34133.033900000002</v>
    <v>34230.344799999999</v>
    <v>34548.529699999999</v>
    <v>34777.759700000002</v>
    <v>34742.8226</v>
    <v>34269.1639</v>
    <v>33587.658499999998</v>
    <v>34021.445399999997</v>
    <v>34382.133999999998</v>
    <v>34327.787300000004</v>
    <v>34060.659299999999</v>
    <v>33896.04</v>
    <v>34084.148099999999</v>
    <v>34207.842900000003</v>
    <v>34393.977099999996</v>
    <v>34312.457000000002</v>
    <v>34323.050000000003</v>
    <v>34464.641000000003</v>
    <v>34529.449200000003</v>
    <v>34575.308299999997</v>
    <v>34600.376199999999</v>
    <v>34577.042800000003</v>
    <v>34756.388800000001</v>
    <v>34630.240899999997</v>
    <v>34599.823199999999</v>
    <v>34447.142099999997</v>
    <v>34466.235399999998</v>
    <v>34479.6008</v>
    <v>34393.746400000004</v>
    <v>34299.332999999999</v>
    <v>34033.671799999996</v>
    <v>33823.447200000002</v>
    <v>33290.083700000003</v>
    <v>33876.974499999997</v>
    <v>33945.5789</v>
    <v>33874.242100000003</v>
    <v>34196.821400000001</v>
    <v>34433.842499999999</v>
    <v>34283.268300000003</v>
    <v>34292.288200000003</v>
    <v>34502.512799999997</v>
    <v>34633.532899999998</v>
    <v>34786.345699999998</v>
    <v>34577.372000000003</v>
    <v>34681.792999999998</v>
    <v>34421.925600000002</v>
    <v>34870.159</v>
    <v>34996.175199999998</v>
    <v>34888.791499999999</v>
    <v>34933.233</v>
    <v>34987.0236</v>
    <v>34687.850200000001</v>
    <v>33962.038699999997</v>
    <v>34511.993699999999</v>
    <v>34797.999199999998</v>
    <v>34823.347300000001</v>
    <v>35061.553599999999</v>
    <v>35144.313499999997</v>
    <v>35058.525000000001</v>
    <v>34930.928599999999</v>
    <v>35084.531499999997</v>
    <v>34935.4715</v>
    <v>34838.161099999998</v>
    <v>35116.397700000001</v>
    <v>34792.6662</v>
    <v>35064.252999999997</v>
    <v>35208.506699999998</v>
    <v>35101.847199999997</v>
    <v>35264.667600000001</v>
    <v>35484.965600000003</v>
    <v>35499.845200000003</v>
    <v>35515.383300000001</v>
    <v>35625.400600000001</v>
    <v>35343.279600000002</v>
    <v>34960.687899999997</v>
    <v>34894.124499999998</v>
    <v>35120.084600000002</v>
    <v>35335.708100000003</v>
    <v>35366.2575</v>
    <v>35405.497600000002</v>
    <v>35213.1155</v>
    <v>35455.798799999997</v>
    <v>35399.835500000001</v>
    <v>35360.726999999999</v>
    <v>35312.532700000003</v>
    <v>35443.816099999996</v>
    <v>35369.088600000003</v>
    <v>35100.003700000001</v>
    <v>35031.07</v>
    <v>34879.376499999998</v>
    <v>34607.723899999997</v>
    <v>34869.632299999997</v>
    <v>34577.569499999998</v>
    <v>34814.393199999999</v>
    <v>34751.319199999998</v>
    <v>34584.877699999997</v>
    <v>33970.466099999998</v>
    <v>33919.835800000001</v>
    <v>34258.315199999997</v>
    <v>34764.816299999999</v>
    <v>34797.999199999998</v>
    <v>34869.368900000001</v>
    <v>34299.991399999999</v>
    <v>34390.717799999999</v>
    <v>33843.923199999997</v>
    <v>34326.4588</v>
    <v>34002.924899999998</v>
    <v>34314.673600000002</v>
    <v>34416.987699999998</v>
    <v>34754.940399999999</v>
    <v>34746.249600000003</v>
    <v>34496.060599999997</v>
    <v>34378.340100000001</v>
    <v>34377.813399999999</v>
    <v>34912.559399999998</v>
    <v>35294.756099999999</v>
    <v>35258.610399999998</v>
    <v>35457.313099999999</v>
    <v>35609.335800000001</v>
    <v>35603.081100000003</v>
    <v>35677.018499999998</v>
    <v>35741.145900000003</v>
    <v>35756.881500000003</v>
    <v>35490.693599999999</v>
    <v>35730.480000000003</v>
    <v>35819.560400000002</v>
    <v>35913.842199999999</v>
    <v>36052.631300000001</v>
    <v>36157.578999999998</v>
    <v>36124.229700000004</v>
    <v>36327.950199999999</v>
    <v>36432.216</v>
    <v>36319.975299999998</v>
    <v>36079.9398</v>
    <v>35921.234199999999</v>
    <v>36100.305200000003</v>
    <v>36087.453300000001</v>
    <v>36142.222500000003</v>
    <v>35931.054499999998</v>
    <v>35870.9467</v>
    <v>35601.977700000003</v>
    <v>35619.245499999997</v>
    <v>35813.804799999998</v>
    <v>35804.379999999997</v>
    <v>34899.336600000002</v>
    <v>35135.945</v>
    <v>34483.7232</v>
    <v>34022.040300000001</v>
    <v>34639.792399999998</v>
    <v>34580.080099999999</v>
    <v>35227.029300000002</v>
    <v>35719.4251</v>
    <v>35754.751600000003</v>
    <v>35754.685700000002</v>
    <v>35970.994500000001</v>
    <v>35650.947099999998</v>
    <v>35544.176800000001</v>
    <v>35927.429600000003</v>
    <v>35897.639300000003</v>
    <v>35365.435299999997</v>
    <v>34932.158600000002</v>
    <v>35492.702899999997</v>
    <v>35753.894800000002</v>
    <v>35950.563099999999</v>
    <v>36302.377999999997</v>
    <v>36398.207699999999</v>
    <v>36488.632899999997</v>
    <v>36398.075900000003</v>
    <v>36338.297700000003</v>
    <v>36585.055800000002</v>
    <v>36799.650999999998</v>
    <v>36407.105199999998</v>
    <v>36236.470399999998</v>
    <v>36231.659099999997</v>
    <v>36068.867299999998</v>
    <v>36252.024599999997</v>
    <v>36290.316899999998</v>
    <v>36113.618600000002</v>
    <v>35911.809500000003</v>
    <v>35368.466999999997</v>
    <v>35028.647400000002</v>
    <v>34715.388400000003</v>
    <v>34265.371200000001</v>
    <v>34364.496299999999</v>
    <v>34297.731800000001</v>
    <v>34168.0916</v>
    <v>34160.775800000003</v>
    <v>34725.472300000001</v>
    <v>35131.858699999997</v>
    <v>35405.243499999997</v>
    <v>35629.329400000002</v>
    <v>35111.163699999997</v>
    <v>35089.743699999999</v>
    <v>35091.127800000002</v>
    <v>35462.7808</v>
    <v>35768.064899999998</v>
    <v>35241.594899999996</v>
    <v>34738.060700000002</v>
    <v>34566.173600000002</v>
    <v>34988.839200000002</v>
    <v>34934.267599999999</v>
    <v>34312.033799999997</v>
    <v>34079.182200000003</v>
    <v>33596.606599999999</v>
    <v>33131.760199999997</v>
    <v>33223.833100000003</v>
    <v>34058.750800000002</v>
    <v>33892.597699999998</v>
    <v>33294.947399999997</v>
    <v>33891.345500000003</v>
    <v>33794.659</v>
    <v>33614.797100000003</v>
    <v>32817.380799999999</v>
    <v>32632.641800000001</v>
    <v>33286.247600000002</v>
    <v>33174.072800000002</v>
    <v>32944.187100000003</v>
    <v>32945.241600000001</v>
    <v>33544.341899999999</v>
    <v>34063.100700000003</v>
    <v>34480.757299999997</v>
    <v>34754.932999999997</v>
    <v>34552.992100000003</v>
    <v>34807.4614</v>
    <v>34358.498699999996</v>
    <v>34707.940900000001</v>
    <v>34861.241999999998</v>
    <v>34955.885300000002</v>
    <v>35294.189200000001</v>
    <v>35228.808799999999</v>
    <v>34678.348400000003</v>
    <v>34818.270199999999</v>
    <v>34921.877</v>
    <v>34641.176500000001</v>
    <v>34496.5092</v>
    <v>34583.573199999999</v>
    <v>34721.1224</v>
    <v>34308.079400000002</v>
    <v>34220.356299999999</v>
    <v>34564.591800000002</v>
    <v>34451.2307</v>
    <v>34411.686099999999</v>
    <v>34911.199999999997</v>
    <v>35160.792099999999</v>
    <v>34792.764000000003</v>
    <v>33811.3995</v>
    <v>34049.457900000001</v>
    <v>33240.178200000002</v>
    <v>33301.933599999997</v>
    <v>33916.390399999997</v>
    <v>32977.2068</v>
    <v>33061.5026</v>
    <v>33128.794300000001</v>
    <v>34061.0576</v>
    <v>32997.967700000001</v>
    <v>32899.369899999998</v>
    <v>32245.698100000001</v>
    <v>32160.743200000001</v>
    <v>31834.105100000001</v>
    <v>31730.300599999999</v>
    <v>32196.662899999999</v>
    <v>32223.421399999999</v>
    <v>32654.589</v>
    <v>31490.067299999999</v>
    <v>31253.129400000002</v>
    <v>31261.895100000002</v>
    <v>31880.240399999999</v>
    <v>31928.616600000001</v>
    <v>32120.275900000001</v>
    <v>32637.189399999999</v>
    <v>33212.958400000003</v>
    <v>32990.1247</v>
    <v>32813.228600000002</v>
    <v>33248.284800000001</v>
    <v>32899.699399999998</v>
    <v>32915.780899999998</v>
    <v>33180.136400000003</v>
    <v>32910.903700000003</v>
    <v>32272.786199999999</v>
    <v>31392.7876</v>
    <v>30516.743600000002</v>
    <v>30364.826499999999</v>
    <v>30668.5288</v>
    <v>29927.0681</v>
    <v>29888.775799999999</v>
    <v>30530.2546</v>
    <v>30483.130700000002</v>
    <v>30677.360400000001</v>
    <v>31500.678400000001</v>
    <v>31438.263900000002</v>
    <v>30946.988499999999</v>
    <v>31029.307100000002</v>
    <v>30775.431</v>
    <v>31097.257900000001</v>
    <v>30967.815299999998</v>
    <v>31037.6774</v>
    <v>31384.549200000001</v>
    <v>31338.1502</v>
    <v>31173.842499999999</v>
    <v>30981.326400000002</v>
    <v>30772.794699999999</v>
    <v>30630.170600000001</v>
    <v>31288.2582</v>
    <v>31072.608400000001</v>
    <v>31827.052899999999</v>
    <v>31874.835999999999</v>
    <v>32036.9028</v>
    <v>31899.287700000001</v>
    <v>31990.0425</v>
    <v>31761.540799999999</v>
    <v>32197.585599999999</v>
    <v>32529.628199999999</v>
    <v>32845.127899999999</v>
    <v>32798.399400000002</v>
    <v>32396.165199999999</v>
    <v>32812.503700000001</v>
    <v>32726.823799999998</v>
    <v>32803.474300000002</v>
    <v>32832.539599999996</v>
    <v>32774.409099999997</v>
    <v>33309.512999999999</v>
    <v>33336.667000000001</v>
    <v>33761.0461</v>
    <v>33912.435899999997</v>
    <v>34152.0101</v>
    <v>33980.320800000001</v>
    <v>33999.038500000002</v>
    <v>33706.7382</v>
    <v>33063.611700000001</v>
    <v>32909.585599999999</v>
    <v>32969.232000000004</v>
    <v>33291.783900000002</v>
    <v>32283.397300000001</v>
    <v>32098.987799999999</v>
    <v>31790.869699999999</v>
    <v>31510.432700000001</v>
    <v>31656.418099999999</v>
    <v>31318.443800000001</v>
    <v>31145.304499999998</v>
    <v>31581.2834</v>
    <v>31774.524600000001</v>
    <v>32151.713899999999</v>
    <v>32381.335999999999</v>
    <v>31104.969099999998</v>
    <v>31135.088800000001</v>
    <v>30961.8177</v>
    <v>30822.4231</v>
    <v>31019.684600000001</v>
    <v>30706.227999999999</v>
    <v>30183.778300000002</v>
    <v>30076.678400000001</v>
    <v>29590.412</v>
    <v>29260.808000000001</v>
    <v>29134.990300000001</v>
    <v>29683.7372</v>
    <v>29225.613300000001</v>
    <v>28725.506300000001</v>
    <v>29490.891500000002</v>
    <v>30316.318500000001</v>
    <v>30273.874</v>
    <v>29926.936300000001</v>
    <v>29296.7935</v>
    <v>29202.875199999999</v>
    <v>29239.190299999998</v>
    <v>29210.85</v>
    <v>30038.7156</v>
    <v>29634.833699999999</v>
    <v>30185.821400000001</v>
    <v>30523.795699999999</v>
    <v>30423.8138</v>
    <v>30333.586299999999</v>
    <v>31082.5605</v>
    <v>31499.623899999999</v>
    <v>31836.741399999999</v>
    <v>31839.114000000001</v>
    <v>32033.277900000001</v>
    <v>32861.802600000003</v>
    <v>32732.9532</v>
    <v>32653.204900000001</v>
    <v>32147.759399999999</v>
    <v>32001.246800000001</v>
    <v>32403.2173</v>
    <v>32827.003299999997</v>
    <v>33160.825400000002</v>
    <v>32513.9421</v>
    <v>33715.372100000001</v>
    <v>33747.864600000001</v>
    <v>33536.696600000003</v>
    <v>33592.915800000002</v>
    <v>33553.832600000002</v>
    <v>33546.319100000001</v>
    <v>33745.689599999998</v>
    <v>33700.279300000002</v>
    <v>34098.097699999998</v>
    <v>34194.059200000003</v>
    <v>34347.0308</v>
    <v>33849.461199999998</v>
    <v>33852.525900000001</v>
    <v>34589.768499999998</v>
    <v>34395.011500000001</v>
    <v>34429.876600000003</v>
    <v>33947.103300000002</v>
    <v>33596.343000000001</v>
    <v>33597.924800000001</v>
    <v>33781.477500000001</v>
    <v>33476.457000000002</v>
    <v>34005.036099999998</v>
    <v>34108.642899999999</v>
    <v>33966.348299999998</v>
    <v>33202.215400000001</v>
    <v>32920.460299999999</v>
    <v>32757.536700000001</v>
    <v>32849.741499999996</v>
    <v>33376.475200000001</v>
    <v>33027.494299999998</v>
    <v>33203.928999999996</v>
    <v>33241.562299999998</v>
    <v>32875.7091</v>
    <v>33220.801399999997</v>
    <v>33147.248500000002</v>
    <v>33136.373699999996</v>
    <v>33269.770700000001</v>
    <v>32930.082900000001</v>
    <v>33630.6149</v>
    <v>33517.649299999997</v>
    <v>33704.101900000001</v>
    <v>33973.004999999997</v>
    <v>34189.972900000001</v>
    <v>34302.608999999997</v>
    <v>33910.854099999997</v>
    <v>33296.957600000002</v>
    <v>33044.564400000003</v>
    <v>33375.486499999999</v>
    <v>33629.560400000002</v>
    <v>33733.958100000003</v>
    <v>33743.8442</v>
    <v>33949.410100000001</v>
    <v>33978.079899999997</v>
    <v>33717.085700000003</v>
    <v>34086.036599999999</v>
    <v>34092.956899999997</v>
    <v>34053.939599999998</v>
    <v>33926.012900000002</v>
    <v>33891.015899999999</v>
    <v>34156.689599999998</v>
    <v>33949.014600000002</v>
    <v>33699.883800000003</v>
    <v>33869.2664</v>
    <v>34245.928500000002</v>
    <v>34089.266100000001</v>
    <v>34128.0527</v>
    <v>33696.852099999996</v>
    <v>33826.6901</v>
    <v>33129.585200000001</v>
    <v>33045.0916</v>
    <v>33153.905100000004</v>
    <v>32816.919500000004</v>
    <v>32889.088300000003</v>
    <v>32656.698</v>
    <v>32661.838800000001</v>
    <v>33003.569799999997</v>
    <v>33390.974800000004</v>
    <v>33431.4421</v>
    <v>32856.464</v>
    <v>32798.399400000002</v>
    <v>32254.8593</v>
    <v>31909.635200000001</v>
    <v>31819.144</v>
    <v>32155.404699999999</v>
    <v>31874.5723</v>
    <v>32246.554899999999</v>
    <v>31861.984</v>
    <v>32244.577700000002</v>
    <v>32560.6047</v>
    <v>32030.114300000001</v>
    <v>32105.249</v>
    <v>32237.525600000001</v>
    <v>32432.084900000002</v>
    <v>32394.2539</v>
    <v>32717.596699999998</v>
    <v>32859.034399999997</v>
    <v>33274.153599999998</v>
    <v>33601.154199999997</v>
    <v>33402.376900000003</v>
    <v>33482.718200000003</v>
    <v>33485.2886</v>
    <v>33586.522700000001</v>
    <v>33684.790999999997</v>
    <v>33646.498699999996</v>
    <v>34029.685599999997</v>
    <v>33886.4683</v>
    <v>33987.175199999998</v>
    <v>33976.6299</v>
    <v>33897.013500000001</v>
    <v>33786.618300000002</v>
    <v>33808.961000000003</v>
    <v>33875.395799999998</v>
    <v>33530.830800000003</v>
    <v>33301.867700000003</v>
    <v>33826.162799999998</v>
    <v>34098.1636</v>
    <v>34051.698700000001</v>
    <v>33684.527399999999</v>
    <v>33414.2402</v>
    <v>33127.739800000003</v>
    <v>33674.3776</v>
    <v>33618.685700000002</v>
    <v>33561.807399999998</v>
    <v>33531.325100000002</v>
    <v>33309.512999999999</v>
    <v>33300.6155</v>
    <v>33348.5962</v>
    <v>33012.137799999997</v>
    <v>33420.765099999997</v>
    <v>33535.905700000003</v>
    <v>33426.630899999996</v>
    <v>33286.5772</v>
    <v>33055.505100000002</v>
    <v>32799.915300000001</v>
    <v>32764.654699999999</v>
    <v>33093.336000000003</v>
    <v>33042.784899999999</v>
    <v>32908.267399999997</v>
    <v>33061.568599999999</v>
    <v>33762.759700000002</v>
    <v>33562.861900000004</v>
    <v>33573.275300000001</v>
    <v>33665.018700000001</v>
    <v>33833.610399999998</v>
    <v>33876.779900000001</v>
    <v>34066.330199999997</v>
    <v>34212.117899999997</v>
    <v>33979.332199999997</v>
    <v>34408.061199999996</v>
    <v>34299.115899999997</v>
    <v>34053.873699999996</v>
    <v>33951.519099999998</v>
    <v>33946.707900000001</v>
    <v>33727.433199999999</v>
    <v>33714.713100000001</v>
    <v>33926.7379</v>
    <v>33852.657700000003</v>
    <v>34122.417600000001</v>
    <v>34407.599900000001</v>
    <v>34418.474600000001</v>
    <v>34288.636599999998</v>
    <v>33922.256200000003</v>
    <v>33734.880799999999</v>
    <v>33944.401100000003</v>
    <v>34261.416799999999</v>
    <v>34347.426200000002</v>
    <v>34395.143300000003</v>
    <v>34509.0317</v>
    <v>34585.352700000003</v>
    <v>34951.930899999999</v>
    <v>35061.205699999999</v>
    <v>35225.183900000004</v>
    <v>35227.688399999999</v>
    <v>35411.241099999999</v>
    <v>35438.065499999997</v>
    <v>35520.120499999997</v>
    <v>35282.7212</v>
    <v>35459.287700000001</v>
    <v>35559.533199999998</v>
    <v>35630.680500000002</v>
    <v>35282.523500000003</v>
    <v>35215.890899999999</v>
    <v>35065.621500000001</v>
    <v>35473.128299999997</v>
    <v>35314.488700000002</v>
    <v>35123.356599999999</v>
    <v>35176.1486</v>
    <v>35281.403100000003</v>
    <v>35307.634299999998</v>
    <v>34946.3946</v>
    <v>34765.741900000001</v>
    <v>34474.825599999996</v>
    <v>34500.661399999997</v>
    <v>34463.6872</v>
    <v>34288.834300000002</v>
    <v>34472.980199999998</v>
    <v>34099.415800000002</v>
    <v>34346.8989</v>
    <v>34559.978300000002</v>
    <v>34852.673999999999</v>
    <v>34890.241300000002</v>
    <v>34721.9133</v>
    <v>34837.713000000003</v>
    <v>34641.967400000001</v>
    <v>34443.19</v>
    <v>34500.727299999999</v>
    <v>34576.587</v>
    <v>34663.716899999999</v>
    <v>34645.987699999998</v>
    <v>34575.532500000001</v>
    <v>34907.113700000002</v>
    <v>34618.240599999997</v>
    <v>34624.304100000001</v>
    <v>34517.731500000002</v>
    <v>34440.883199999997</v>
    <v>34070.416499999999</v>
    <v>33963.8439</v>
    <v>34006.881500000003</v>
    <v>33618.883399999999</v>
    <v>33550.273500000003</v>
    <v>33666.336900000002</v>
    <v>33507.499499999998</v>
    <v>33433.3534</v>
    <v>33002.383500000004</v>
    <v>33129.552300000003</v>
    <v>33119.567300000002</v>
    <v>33407.583599999998</v>
    <v>33604.647299999997</v>
    <v>33739.296600000001</v>
    <v>33804.8747</v>
    <v>33631.142200000002</v>
    <v>33670.291299999997</v>
    <v>33984.5389</v>
    <v>33997.654499999997</v>
    <v>33665.084600000002</v>
    <v>33414.174299999999</v>
    <v>33127.278400000003</v>
    <v>32936.410000000003</v>
    <v>33141.382700000002</v>
    <v>33035.930500000002</v>
    <v>32784.2952</v>
    <v>32417.585200000001</v>
    <v>32928.962399999997</v>
    <v>33052.868699999999</v>
    <v>33274.582000000002</v>
    <v>33839.080699999999</v>
    <v>34061.321199999998</v>
    <v>34095.856800000001</v>
    <v>34152.603300000002</v>
    <v>34112.267800000001</v>
    <v>33891.938600000001</v>
    <v>34283.100400000003</v>
    <v>34337.869599999998</v>
    <v>34827.695</v>
    <v>34991.211799999997</v>
    <v>34945.471899999997</v>
    <v>34947.284399999997</v>
    <v>35151.037799999998</v>
    <v>35088.293799999999</v>
    <v>35273.032800000001</v>
    <v>35390.150600000001</v>
    <v>35333.470099999999</v>
    <v>35416.974999999999</v>
    <v>35430.4202</v>
    <v>35950.892699999997</v>
    <v>36245.4997</v>
    <v>36204.439299999998</v>
    <v>36124.559200000003</v>
    <v>36054.433499999999</v>
    <v>36117.3753</v>
    <v>36247.8724</v>
    <v>36404.9303</v>
    <v>36577.9378</v>
    <v>37090.237699999998</v>
    <v>37248.350100000003</v>
    <v>37305.162400000001</v>
    <v>37306.019200000002</v>
    <v>37557.918100000003</v>
    <v>37081.999199999998</v>
    <v>37404.3534</v>
    <v>37385.965199999999</v>
    <v>37545.3298</v>
    <v>37656.515899999999</v>
    <v>37710.0988</v>
    <v>37689.5357</v>
    <v>37715.041899999997</v>
    <v>37430.189200000001</v>
    <v>37440.339</v>
    <v>37466.108800000002</v>
    <v>37683.010799999996</v>
    <v>37525.162100000001</v>
    <v>37695.731</v>
    <v>37711.021500000003</v>
    <v>37592.981</v>
    <v>37361.118000000002</v>
    <v>37266.672400000003</v>
    <v>37468.613299999997</v>
    <v>37863.795400000003</v>
    <v>38001.805999999997</v>
    <v>37905.449000000001</v>
    <v>37806.389900000002</v>
    <v>38049.1276</v>
    <v>38109.433100000002</v>
    <v>38333.453099999999</v>
    <v>38467.311500000003</v>
    <v>38150.2958</v>
    <v>38519.839800000002</v>
    <v>38654.423199999997</v>
    <v>38380.115700000002</v>
    <v>38521.3557</v>
    <v>38677.359100000001</v>
    <v>38726.328399999999</v>
    <v>38671.690999999999</v>
    <v>38797.376799999998</v>
    <v>38272.752200000003</v>
    <v>38424.273800000003</v>
    <v>38773.122799999997</v>
    <v>38627.994299999998</v>
    <v>38563.800199999998</v>
    <v>38612.242299999998</v>
    <v>39069.113899999997</v>
    <v>39131.5285</v>
    <v>39069.2304</v>
    <v>38972.409500000002</v>
    <v>38949.023200000003</v>
    <v>38996.385499999997</v>
    <v>39087.376100000001</v>
    <v>38989.834699999999</v>
    <v>38585.191800000001</v>
    <v>38661.050000000003</v>
    <v>38791.345399999998</v>
    <v>38722.693099999997</v>
    <v>38769.662300000004</v>
    <v>39005.491099999999</v>
    <v>39043.321900000003</v>
    <v>38905.656900000002</v>
    <v>38714.766600000003</v>
    <v>38790.4283</v>
    <v>39110.7624</v>
    <v>39512.1299</v>
    <v>39781.3678</v>
    <v>39475.904000000002</v>
    <v>39313.640700000004</v>
    <v>39282.327899999997</v>
    <v>39760.077700000002</v>
    <v>39807.374499999998</v>
    <v>39566.845099999999</v>
    <v>39170.238499999999</v>
    <v>39127.141900000002</v>
    <v>38596.975400000003</v>
    <v>38904.038399999998</v>
    <v>38892.804400000001</v>
    <v>38883.672599999998</v>
    <v>38461.510300000002</v>
    <v>38459.079599999997</v>
    <v>37983.243600000002</v>
    <v>37735.109900000003</v>
    <v>37798.966399999998</v>
    <v>37753.307699999998</v>
    <v>37775.381600000001</v>
    <v>37986.396999999997</v>
    <v>38239.983500000002</v>
    <v>38503.687100000003</v>
    <v>38460.919000000002</v>
    <v>38085.795100000003</v>
    <v>38239.654999999999</v>
    <v>38386.0913</v>
    <v>37815.915999999997</v>
    <v>37903.291599999997</v>
    <v>38225.661800000002</v>
    <v>38675.679199999999</v>
    <v>38852.269999999997</v>
    <v>38884.263899999998</v>
    <v>39056.3874</v>
    <v>39387.757799999999</v>
    <v>39512.843000000001</v>
    <v>39431.511400000003</v>
    <v>39558.107499999998</v>
    <v>39908.004300000001</v>
    <v>39869.375</v>
    <v>40003.591899999999</v>
    <v>39806.766799999998</v>
    <v>39872.988299999997</v>
    <v>39671.0389</v>
    <v>39065.256300000001</v>
    <v>39069.592299999997</v>
    <v>38852.861199999999</v>
    <v>38441.538699999997</v>
    <v>38111.482199999999</v>
    <v>38686.321900000003</v>
    <v>38571.025500000003</v>
    <v>38711.286399999997</v>
    <v>38807.333899999998</v>
    <v>38886.169099999999</v>
    <v>38798.9905</v>
    <v>38868.036999999997</v>
    <v>38747.419199999997</v>
    <v>38712.206200000001</v>
    <v>38647.1014</v>
    <v>38589.157599999999</v>
    <v>38778.099199999997</v>
    <v>38834.860500000003</v>
    <v>39134.762600000002</v>
    <v>39150.332600000002</v>
    <v>39411.211300000003</v>
    <v>39112.163200000003</v>
    <v>39127.798900000002</v>
    <v>39164.063099999999</v>
    <v>39118.864200000004</v>
    <v>39169.515800000001</v>
    <v>39331.850599999998</v>
    <v>39308.002899999999</v>
    <v>39375.866900000001</v>
    <v>39344.792699999998</v>
    <v>39291.973100000003</v>
    <v>39721.362000000001</v>
    <v>39753.750099999997</v>
    <v>40000.898399999998</v>
    <v>40211.716699999997</v>
    <v>40954.475400000003</v>
    <v>41198.076099999998</v>
    <v>40665.019</v>
    <v>40287.529900000001</v>
    <v>40415.440000000002</v>
    <v>40358.087399999997</v>
    <v>39853.870799999997</v>
    <v>39935.071000000004</v>
    <v>40589.337200000002</v>
    <v>40539.933799999999</v>
    <v>40743.328600000001</v>
    <v>40842.792300000001</v>
    <v>40347.970200000003</v>
    <v>39737.260399999999</v>
    <v>38703.271500000003</v>
    <v>38997.655200000001</v>
    <v>38763.449999999997</v>
    <v>39446.49</v>
    <v>39497.54</v>
    <v>39357.01</v>
    <v>39765.64</v>
    <v>40008.39</v>
    <v>40563.06</v>
    <v>40659.760000000002</v>
    <v>40896.53</v>
    <v>40834.97</v>
    <v>40890.49</v>
    <v>40712.78</v>
    <v>41175.08</v>
    <v>41240.519999999997</v>
    <v>41250.5</v>
    <v>41091.42</v>
    <v>41335.050000000003</v>
    <v>41563.08</v>
    <v>40936.93</v>
    <v>40974.97</v>
    <v>40755.75</v>
    <v>40345.410000000003</v>
    <v>40829.589999999997</v>
    <v>40736.959999999999</v>
    <v>40861.71</v>
    <v>41096.769999999997</v>
    <v>41393.78</v>
    <v>41622.080000000002</v>
    <v>41606.18</v>
    <v>41503.1</v>
    <v>42025.19</v>
    <v>42063.360000000001</v>
    <v>42124.65</v>
    <v>42208.22</v>
    <v>41914.75</v>
    <v>42175.11</v>
    <v>42313</v>
    <v>42330.15</v>
    <v>42156.97</v>
    <v>42196.52</v>
    <v>42011.59</v>
    <v>42352.75</v>
    <v>41954.239999999998</v>
    <v>42080.37</v>
    <v>42512</v>
    <v>42454.12</v>
    <v>42863.86</v>
    <v>43065.22</v>
    <v>42740.42</v>
    <v>43077.7</v>
    <v>43239.05</v>
    <v>43275.91</v>
    <v>42931.6</v>
    <v>42924.89</v>
    <v>42514.95</v>
    <v>42374.36</v>
    <v>42114.400000000001</v>
    <v>42387.57</v>
    <v>42233.05</v>
    <v>42141.54</v>
    <v>41763.46</v>
    <v>42052.19</v>
    <v>41794.6</v>
    <v>42221.88</v>
    <v>43729.93</v>
    <v>43729.34</v>
    <v>43988.99</v>
    <v>44293.13</v>
    <v>43910.98</v>
    <v>43958.19</v>
    <v>43750.86</v>
    <v>43444.99</v>
    <v>43389.599999999999</v>
    <v>43268.94</v>
    <v>43408.47</v>
    <v>43870.35</v>
    <v>44296.51</v>
    <v>44736.57</v>
    <v>44860.31</v>
    <v>44722.06</v>
    <v>44910.65</v>
    <v>44782</v>
    <v>44705.53</v>
    <v>45014.04</v>
    <v>44765.71</v>
    <v>44642.52</v>
    <v>44401.93</v>
    <v>44247.83</v>
    <v>44148.56</v>
    <v>43914.12</v>
    <v>43828.06</v>
    <v>43717.48</v>
    <v>43449.9</v>
    <v>42326.87</v>
    <v>42342.239999999998</v>
    <v>42840.26</v>
    <v>42906.95</v>
    <v>43297.03</v>
    <v>43297.03</v>
    <v>43325.8</v>
    <v>42992.21</v>
    <v>42573.73</v>
    <v>42544.22</v>
    <v>42392.27</v>
    <v>42732.13</v>
    <v>42706.559999999998</v>
    <v>42528.36</v>
    <v>42635.199999999997</v>
    <v>41938.449999999997</v>
    <v>42297.120000000003</v>
    <v>42518.28</v>
    <v>43221.55</v>
    <v>43153.13</v>
    <v>43487.83</v>
    <v>44025.81</v>
    <v>44156.73</v>
    <v>44565.07</v>
    <v>44424.25</v>
    <v>44713.58</v>
    <v>44850.35</v>
    <v>44713.52</v>
    <v>44882.13</v>
    <v>44544.66</v>
    <v>44421.91</v>
    <v>44556.04</v>
    <v>44873.279999999999</v>
    <v>44747.63</v>
    <v>44303.4</v>
    <v>44470.41</v>
    <v>44593.65</v>
    <v>44368.56</v>
    <v>44711.43</v>
    <v>44546.080000000002</v>
  </a>
  <a r="1" c="5">
    <v>108.91</v>
    <v>108.75</v>
    <v>109.29</v>
    <v>110.93</v>
    <v>110.6</v>
  </a>
  <a r="1" c="3774">
    <v t="i">0</v>
    <v t="i">1</v>
    <v t="i">2</v>
    <v t="i">3</v>
    <v t="i">6</v>
    <v t="i">7</v>
    <v t="i">8</v>
    <v t="i">9</v>
    <v t="i">10</v>
    <v t="i">13</v>
    <v t="i">14</v>
    <v t="i">15</v>
    <v t="i">16</v>
    <v t="i">17</v>
    <v t="i">20</v>
    <v t="i">21</v>
    <v t="i">22</v>
    <v t="i">23</v>
    <v t="i">24</v>
    <v t="i">27</v>
    <v t="i">28</v>
    <v t="i">29</v>
    <v t="i">30</v>
    <v t="i">31</v>
    <v t="i">34</v>
    <v t="i">35</v>
    <v t="i">36</v>
    <v t="i">37</v>
    <v t="i">38</v>
    <v t="i">41</v>
    <v t="i">42</v>
    <v t="i">43</v>
    <v t="i">44</v>
    <v t="i">48</v>
    <v t="i">49</v>
    <v t="i">50</v>
    <v t="i">51</v>
    <v t="i">52</v>
    <v t="i">55</v>
    <v t="i">56</v>
    <v t="i">57</v>
    <v t="i">58</v>
    <v t="i">59</v>
    <v t="i">62</v>
    <v t="i">63</v>
    <v t="i">64</v>
    <v t="i">65</v>
    <v t="i">66</v>
    <v t="i">69</v>
    <v t="i">70</v>
    <v t="i">71</v>
    <v t="i">72</v>
    <v t="i">73</v>
    <v t="i">76</v>
    <v t="i">77</v>
    <v t="i">78</v>
    <v t="i">79</v>
    <v t="i">80</v>
    <v t="i">83</v>
    <v t="i">84</v>
    <v t="i">85</v>
    <v t="i">86</v>
    <v t="i">87</v>
    <v t="i">90</v>
    <v t="i">91</v>
    <v t="i">92</v>
    <v t="i">93</v>
    <v t="i">94</v>
    <v t="i">97</v>
    <v t="i">98</v>
    <v t="i">99</v>
    <v t="i">100</v>
    <v t="i">101</v>
    <v t="i">105</v>
    <v t="i">106</v>
    <v t="i">107</v>
    <v t="i">108</v>
    <v t="i">111</v>
    <v t="i">112</v>
    <v t="i">113</v>
    <v t="i">114</v>
    <v t="i">115</v>
    <v t="i">118</v>
    <v t="i">119</v>
    <v t="i">120</v>
    <v t="i">121</v>
    <v t="i">122</v>
    <v t="i">125</v>
    <v t="i">126</v>
    <v t="i">127</v>
    <v t="i">128</v>
    <v t="i">129</v>
    <v t="i">132</v>
    <v t="i">133</v>
    <v t="i">134</v>
    <v t="i">135</v>
    <v t="i">136</v>
    <v t="i">140</v>
    <v t="i">141</v>
    <v t="i">142</v>
    <v t="i">143</v>
    <v t="i">146</v>
    <v t="i">147</v>
    <v t="i">148</v>
    <v t="i">149</v>
    <v t="i">150</v>
    <v t="i">153</v>
    <v t="i">154</v>
    <v t="i">155</v>
    <v t="i">156</v>
    <v t="i">157</v>
    <v t="i">160</v>
    <v t="i">161</v>
    <v t="i">162</v>
    <v t="i">163</v>
    <v t="i">164</v>
    <v t="i">167</v>
    <v t="i">168</v>
    <v t="i">169</v>
    <v t="i">170</v>
    <v t="i">171</v>
    <v t="i">174</v>
    <v t="i">175</v>
    <v t="i">176</v>
    <v t="i">177</v>
    <v t="i">178</v>
    <v t="i">181</v>
    <v t="i">182</v>
    <v t="i">183</v>
    <v t="i">184</v>
    <v t="i">185</v>
    <v t="i">188</v>
    <v t="i">189</v>
    <v t="i">190</v>
    <v t="i">191</v>
    <v t="i">192</v>
    <v t="i">195</v>
    <v t="i">196</v>
    <v t="i">197</v>
    <v t="i">198</v>
    <v t="i">199</v>
    <v t="i">203</v>
    <v t="i">204</v>
    <v t="i">205</v>
    <v t="i">206</v>
    <v t="i">209</v>
    <v t="i">210</v>
    <v t="i">211</v>
    <v t="i">212</v>
    <v t="i">213</v>
    <v t="i">216</v>
    <v t="i">217</v>
    <v t="i">218</v>
    <v t="i">219</v>
    <v t="i">220</v>
    <v t="i">223</v>
    <v t="i">224</v>
    <v t="i">225</v>
    <v t="i">226</v>
    <v t="i">227</v>
    <v t="i">230</v>
    <v t="i">231</v>
    <v t="i">232</v>
    <v t="i">233</v>
    <v t="i">234</v>
    <v t="i">237</v>
    <v t="i">238</v>
    <v t="i">239</v>
    <v t="i">240</v>
    <v t="i">241</v>
    <v t="i">244</v>
    <v t="i">245</v>
    <v t="i">246</v>
    <v t="i">247</v>
    <v t="i">248</v>
    <v t="i">251</v>
    <v t="i">252</v>
    <v t="i">253</v>
    <v t="i">254</v>
    <v t="i">255</v>
    <v t="i">258</v>
    <v t="i">259</v>
    <v t="i">260</v>
    <v t="i">261</v>
    <v t="i">262</v>
    <v t="i">265</v>
    <v t="i">266</v>
    <v t="i">267</v>
    <v t="i">268</v>
    <v t="i">269</v>
    <v t="i">272</v>
    <v t="i">273</v>
    <v t="i">274</v>
    <v t="i">275</v>
    <v t="i">276</v>
    <v t="i">279</v>
    <v t="i">280</v>
    <v t="i">281</v>
    <v t="i">283</v>
    <v t="i">286</v>
    <v t="i">287</v>
    <v t="i">288</v>
    <v t="i">289</v>
    <v t="i">290</v>
    <v t="i">293</v>
    <v t="i">294</v>
    <v t="i">295</v>
    <v t="i">296</v>
    <v t="i">297</v>
    <v t="i">300</v>
    <v t="i">301</v>
    <v t="i">302</v>
    <v t="i">303</v>
    <v t="i">304</v>
    <v t="i">307</v>
    <v t="i">308</v>
    <v t="i">309</v>
    <v t="i">310</v>
    <v t="i">314</v>
    <v t="i">315</v>
    <v t="i">316</v>
    <v t="i">317</v>
    <v t="i">318</v>
    <v t="i">321</v>
    <v t="i">322</v>
    <v t="i">323</v>
    <v t="i">324</v>
    <v t="i">325</v>
    <v t="i">328</v>
    <v t="i">329</v>
    <v t="i">330</v>
    <v t="i">331</v>
    <v t="i">332</v>
    <v t="i">336</v>
    <v t="i">337</v>
    <v t="i">338</v>
    <v t="i">339</v>
    <v t="i">342</v>
    <v t="i">343</v>
    <v t="i">344</v>
    <v t="i">345</v>
    <v t="i">346</v>
    <v t="i">349</v>
    <v t="i">350</v>
    <v t="i">351</v>
    <v t="i">352</v>
    <v t="i">353</v>
    <v t="i">356</v>
    <v t="i">357</v>
    <v t="i">358</v>
    <v t="i">359</v>
    <v t="i">360</v>
    <v t="i">363</v>
    <v t="i">364</v>
    <v t="i">365</v>
    <v t="i">366</v>
    <v t="i">367</v>
    <v t="i">371</v>
    <v t="i">372</v>
    <v t="i">373</v>
    <v t="i">374</v>
    <v t="i">377</v>
    <v t="i">378</v>
    <v t="i">379</v>
    <v t="i">380</v>
    <v t="i">381</v>
    <v t="i">384</v>
    <v t="i">385</v>
    <v t="i">386</v>
    <v t="i">387</v>
    <v t="i">388</v>
    <v t="i">391</v>
    <v t="i">392</v>
    <v t="i">393</v>
    <v t="i">394</v>
    <v t="i">395</v>
    <v t="i">398</v>
    <v t="i">399</v>
    <v t="i">400</v>
    <v t="i">401</v>
    <v t="i">402</v>
    <v t="i">405</v>
    <v t="i">406</v>
    <v t="i">407</v>
    <v t="i">408</v>
    <v t="i">409</v>
    <v t="i">412</v>
    <v t="i">413</v>
    <v t="i">414</v>
    <v t="i">415</v>
    <v t="i">416</v>
    <v t="i">419</v>
    <v t="i">420</v>
    <v t="i">421</v>
    <v t="i">422</v>
    <v t="i">423</v>
    <v t="i">426</v>
    <v t="i">427</v>
    <v t="i">428</v>
    <v t="i">429</v>
    <v t="i">433</v>
    <v t="i">434</v>
    <v t="i">435</v>
    <v t="i">436</v>
    <v t="i">437</v>
    <v t="i">440</v>
    <v t="i">441</v>
    <v t="i">442</v>
    <v t="i">443</v>
    <v t="i">444</v>
    <v t="i">447</v>
    <v t="i">448</v>
    <v t="i">449</v>
    <v t="i">450</v>
    <v t="i">451</v>
    <v t="i">454</v>
    <v t="i">455</v>
    <v t="i">456</v>
    <v t="i">457</v>
    <v t="i">458</v>
    <v t="i">461</v>
    <v t="i">462</v>
    <v t="i">463</v>
    <v t="i">464</v>
    <v t="i">465</v>
    <v t="i">469</v>
    <v t="i">470</v>
    <v t="i">471</v>
    <v t="i">472</v>
    <v t="i">475</v>
    <v t="i">476</v>
    <v t="i">477</v>
    <v t="i">478</v>
    <v t="i">479</v>
    <v t="i">482</v>
    <v t="i">483</v>
    <v t="i">484</v>
    <v t="i">485</v>
    <v t="i">486</v>
    <v t="i">489</v>
    <v t="i">490</v>
    <v t="i">491</v>
    <v t="i">492</v>
    <v t="i">493</v>
    <v t="i">496</v>
    <v t="i">497</v>
    <v t="i">498</v>
    <v t="i">499</v>
    <v t="i">500</v>
    <v t="i">504</v>
    <v t="i">505</v>
    <v t="i">506</v>
    <v t="i">507</v>
    <v t="i">510</v>
    <v t="i">511</v>
    <v t="i">512</v>
    <v t="i">513</v>
    <v t="i">514</v>
    <v t="i">517</v>
    <v t="i">518</v>
    <v t="i">519</v>
    <v t="i">520</v>
    <v t="i">521</v>
    <v t="i">524</v>
    <v t="i">525</v>
    <v t="i">526</v>
    <v t="i">527</v>
    <v t="i">528</v>
    <v t="i">531</v>
    <v t="i">532</v>
    <v t="i">533</v>
    <v t="i">534</v>
    <v t="i">535</v>
    <v t="i">538</v>
    <v t="i">539</v>
    <v t="i">540</v>
    <v t="i">541</v>
    <v t="i">542</v>
    <v t="i">545</v>
    <v t="i">546</v>
    <v t="i">547</v>
    <v t="i">548</v>
    <v t="i">549</v>
    <v t="i">552</v>
    <v t="i">553</v>
    <v t="i">554</v>
    <v t="i">555</v>
    <v t="i">556</v>
    <v t="i">559</v>
    <v t="i">560</v>
    <v t="i">561</v>
    <v t="i">562</v>
    <v t="i">563</v>
    <v t="i">567</v>
    <v t="i">568</v>
    <v t="i">569</v>
    <v t="i">570</v>
    <v t="i">573</v>
    <v t="i">574</v>
    <v t="i">575</v>
    <v t="i">576</v>
    <v t="i">577</v>
    <v t="i">580</v>
    <v t="i">581</v>
    <v t="i">582</v>
    <v t="i">583</v>
    <v t="i">584</v>
    <v t="i">587</v>
    <v t="i">588</v>
    <v t="i">589</v>
    <v t="i">590</v>
    <v t="i">591</v>
    <v t="i">594</v>
    <v t="i">595</v>
    <v t="i">596</v>
    <v t="i">597</v>
    <v t="i">598</v>
    <v t="i">601</v>
    <v t="i">602</v>
    <v t="i">603</v>
    <v t="i">604</v>
    <v t="i">605</v>
    <v t="i">608</v>
    <v t="i">609</v>
    <v t="i">610</v>
    <v t="i">611</v>
    <v t="i">612</v>
    <v t="i">615</v>
    <v t="i">616</v>
    <v t="i">617</v>
    <v t="i">618</v>
    <v t="i">619</v>
    <v t="i">622</v>
    <v t="i">623</v>
    <v t="i">624</v>
    <v t="i">625</v>
    <v t="i">626</v>
    <v t="i">629</v>
    <v t="i">630</v>
    <v t="i">631</v>
    <v t="i">632</v>
    <v t="i">633</v>
    <v t="i">636</v>
    <v t="i">637</v>
    <v t="i">638</v>
    <v t="i">639</v>
    <v t="i">640</v>
    <v t="i">643</v>
    <v t="i">644</v>
    <v t="i">645</v>
    <v t="i">647</v>
    <v t="i">650</v>
    <v t="i">651</v>
    <v t="i">652</v>
    <v t="i">653</v>
    <v t="i">654</v>
    <v t="i">657</v>
    <v t="i">658</v>
    <v t="i">659</v>
    <v t="i">660</v>
    <v t="i">661</v>
    <v t="i">664</v>
    <v t="i">665</v>
    <v t="i">666</v>
    <v t="i">667</v>
    <v t="i">668</v>
    <v t="i">671</v>
    <v t="i">672</v>
    <v t="i">673</v>
    <v t="i">674</v>
    <v t="i">675</v>
    <v t="i">679</v>
    <v t="i">680</v>
    <v t="i">681</v>
    <v t="i">682</v>
    <v t="i">686</v>
    <v t="i">687</v>
    <v t="i">688</v>
    <v t="i">689</v>
    <v t="i">692</v>
    <v t="i">693</v>
    <v t="i">694</v>
    <v t="i">695</v>
    <v t="i">696</v>
    <v t="i">700</v>
    <v t="i">701</v>
    <v t="i">702</v>
    <v t="i">703</v>
    <v t="i">706</v>
    <v t="i">707</v>
    <v t="i">708</v>
    <v t="i">709</v>
    <v t="i">710</v>
    <v t="i">713</v>
    <v t="i">714</v>
    <v t="i">715</v>
    <v t="i">716</v>
    <v t="i">717</v>
    <v t="i">720</v>
    <v t="i">721</v>
    <v t="i">722</v>
    <v t="i">723</v>
    <v t="i">724</v>
    <v t="i">727</v>
    <v t="i">728</v>
    <v t="i">729</v>
    <v t="i">730</v>
    <v t="i">731</v>
    <v t="i">735</v>
    <v t="i">736</v>
    <v t="i">737</v>
    <v t="i">738</v>
    <v t="i">741</v>
    <v t="i">742</v>
    <v t="i">743</v>
    <v t="i">744</v>
    <v t="i">745</v>
    <v t="i">748</v>
    <v t="i">749</v>
    <v t="i">750</v>
    <v t="i">751</v>
    <v t="i">752</v>
    <v t="i">755</v>
    <v t="i">756</v>
    <v t="i">757</v>
    <v t="i">758</v>
    <v t="i">759</v>
    <v t="i">762</v>
    <v t="i">763</v>
    <v t="i">764</v>
    <v t="i">765</v>
    <v t="i">766</v>
    <v t="i">769</v>
    <v t="i">770</v>
    <v t="i">771</v>
    <v t="i">772</v>
    <v t="i">773</v>
    <v t="i">776</v>
    <v t="i">777</v>
    <v t="i">778</v>
    <v t="i">779</v>
    <v t="i">783</v>
    <v t="i">784</v>
    <v t="i">785</v>
    <v t="i">786</v>
    <v t="i">787</v>
    <v t="i">790</v>
    <v t="i">791</v>
    <v t="i">792</v>
    <v t="i">793</v>
    <v t="i">794</v>
    <v t="i">797</v>
    <v t="i">798</v>
    <v t="i">799</v>
    <v t="i">800</v>
    <v t="i">801</v>
    <v t="i">804</v>
    <v t="i">805</v>
    <v t="i">806</v>
    <v t="i">807</v>
    <v t="i">808</v>
    <v t="i">811</v>
    <v t="i">812</v>
    <v t="i">813</v>
    <v t="i">814</v>
    <v t="i">815</v>
    <v t="i">818</v>
    <v t="i">819</v>
    <v t="i">820</v>
    <v t="i">821</v>
    <v t="i">822</v>
    <v t="i">825</v>
    <v t="i">826</v>
    <v t="i">827</v>
    <v t="i">828</v>
    <v t="i">829</v>
    <v t="i">833</v>
    <v t="i">834</v>
    <v t="i">835</v>
    <v t="i">836</v>
    <v t="i">839</v>
    <v t="i">840</v>
    <v t="i">841</v>
    <v t="i">842</v>
    <v t="i">843</v>
    <v t="i">846</v>
    <v t="i">847</v>
    <v t="i">848</v>
    <v t="i">849</v>
    <v t="i">850</v>
    <v t="i">853</v>
    <v t="i">854</v>
    <v t="i">855</v>
    <v t="i">856</v>
    <v t="i">857</v>
    <v t="i">860</v>
    <v t="i">861</v>
    <v t="i">862</v>
    <v t="i">863</v>
    <v t="i">864</v>
    <v t="i">867</v>
    <v t="i">868</v>
    <v t="i">870</v>
    <v t="i">871</v>
    <v t="i">874</v>
    <v t="i">875</v>
    <v t="i">876</v>
    <v t="i">877</v>
    <v t="i">878</v>
    <v t="i">881</v>
    <v t="i">882</v>
    <v t="i">883</v>
    <v t="i">884</v>
    <v t="i">885</v>
    <v t="i">888</v>
    <v t="i">889</v>
    <v t="i">890</v>
    <v t="i">891</v>
    <v t="i">892</v>
    <v t="i">895</v>
    <v t="i">896</v>
    <v t="i">897</v>
    <v t="i">898</v>
    <v t="i">899</v>
    <v t="i">902</v>
    <v t="i">903</v>
    <v t="i">904</v>
    <v t="i">905</v>
    <v t="i">906</v>
    <v t="i">909</v>
    <v t="i">910</v>
    <v t="i">911</v>
    <v t="i">912</v>
    <v t="i">913</v>
    <v t="i">916</v>
    <v t="i">917</v>
    <v t="i">918</v>
    <v t="i">919</v>
    <v t="i">920</v>
    <v t="i">923</v>
    <v t="i">924</v>
    <v t="i">925</v>
    <v t="i">926</v>
    <v t="i">927</v>
    <v t="i">931</v>
    <v t="i">932</v>
    <v t="i">933</v>
    <v t="i">934</v>
    <v t="i">937</v>
    <v t="i">938</v>
    <v t="i">939</v>
    <v t="i">940</v>
    <v t="i">941</v>
    <v t="i">944</v>
    <v t="i">945</v>
    <v t="i">946</v>
    <v t="i">947</v>
    <v t="i">948</v>
    <v t="i">951</v>
    <v t="i">952</v>
    <v t="i">953</v>
    <v t="i">954</v>
    <v t="i">955</v>
    <v t="i">958</v>
    <v t="i">959</v>
    <v t="i">960</v>
    <v t="i">961</v>
    <v t="i">962</v>
    <v t="i">965</v>
    <v t="i">966</v>
    <v t="i">967</v>
    <v t="i">968</v>
    <v t="i">969</v>
    <v t="i">972</v>
    <v t="i">973</v>
    <v t="i">974</v>
    <v t="i">975</v>
    <v t="i">976</v>
    <v t="i">979</v>
    <v t="i">980</v>
    <v t="i">981</v>
    <v t="i">982</v>
    <v t="i">983</v>
    <v t="i">988</v>
    <v t="i">989</v>
    <v t="i">990</v>
    <v t="i">993</v>
    <v t="i">994</v>
    <v t="i">995</v>
    <v t="i">996</v>
    <v t="i">997</v>
    <v t="i">1000</v>
    <v t="i">1001</v>
    <v t="i">1002</v>
    <v t="i">1003</v>
    <v t="i">1004</v>
    <v t="i">1007</v>
    <v t="i">1008</v>
    <v t="i">1009</v>
    <v t="i">1011</v>
    <v t="i">1014</v>
    <v t="i">1015</v>
    <v t="i">1016</v>
    <v t="i">1017</v>
    <v t="i">1018</v>
    <v t="i">1021</v>
    <v t="i">1022</v>
    <v t="i">1023</v>
    <v t="i">1024</v>
    <v t="i">1025</v>
    <v t="i">1028</v>
    <v t="i">1029</v>
    <v t="i">1030</v>
    <v t="i">1031</v>
    <v t="i">1032</v>
    <v t="i">1035</v>
    <v t="i">1036</v>
    <v t="i">1037</v>
    <v t="i">1038</v>
    <v t="i">1039</v>
    <v t="i">1042</v>
    <v t="i">1044</v>
    <v t="i">1045</v>
    <v t="i">1046</v>
    <v t="i">1049</v>
    <v t="i">1051</v>
    <v t="i">1052</v>
    <v t="i">1053</v>
    <v t="i">1056</v>
    <v t="i">1057</v>
    <v t="i">1058</v>
    <v t="i">1059</v>
    <v t="i">1060</v>
    <v t="i">1063</v>
    <v t="i">1064</v>
    <v t="i">1065</v>
    <v t="i">1066</v>
    <v t="i">1067</v>
    <v t="i">1071</v>
    <v t="i">1072</v>
    <v t="i">1073</v>
    <v t="i">1074</v>
    <v t="i">1077</v>
    <v t="i">1078</v>
    <v t="i">1079</v>
    <v t="i">1080</v>
    <v t="i">1081</v>
    <v t="i">1084</v>
    <v t="i">1085</v>
    <v t="i">1086</v>
    <v t="i">1087</v>
    <v t="i">1088</v>
    <v t="i">1091</v>
    <v t="i">1092</v>
    <v t="i">1093</v>
    <v t="i">1094</v>
    <v t="i">1095</v>
    <v t="i">1099</v>
    <v t="i">1100</v>
    <v t="i">1101</v>
    <v t="i">1102</v>
    <v t="i">1105</v>
    <v t="i">1106</v>
    <v t="i">1107</v>
    <v t="i">1108</v>
    <v t="i">1109</v>
    <v t="i">1112</v>
    <v t="i">1113</v>
    <v t="i">1114</v>
    <v t="i">1115</v>
    <v t="i">1116</v>
    <v t="i">1119</v>
    <v t="i">1120</v>
    <v t="i">1121</v>
    <v t="i">1122</v>
    <v t="i">1123</v>
    <v t="i">1126</v>
    <v t="i">1127</v>
    <v t="i">1128</v>
    <v t="i">1129</v>
    <v t="i">1130</v>
    <v t="i">1133</v>
    <v t="i">1134</v>
    <v t="i">1135</v>
    <v t="i">1136</v>
    <v t="i">1140</v>
    <v t="i">1141</v>
    <v t="i">1142</v>
    <v t="i">1143</v>
    <v t="i">1144</v>
    <v t="i">1147</v>
    <v t="i">1148</v>
    <v t="i">1149</v>
    <v t="i">1150</v>
    <v t="i">1151</v>
    <v t="i">1154</v>
    <v t="i">1155</v>
    <v t="i">1156</v>
    <v t="i">1157</v>
    <v t="i">1158</v>
    <v t="i">1161</v>
    <v t="i">1162</v>
    <v t="i">1163</v>
    <v t="i">1164</v>
    <v t="i">1165</v>
    <v t="i">1168</v>
    <v t="i">1169</v>
    <v t="i">1170</v>
    <v t="i">1171</v>
    <v t="i">1172</v>
    <v t="i">1175</v>
    <v t="i">1176</v>
    <v t="i">1177</v>
    <v t="i">1178</v>
    <v t="i">1179</v>
    <v t="i">1182</v>
    <v t="i">1183</v>
    <v t="i">1184</v>
    <v t="i">1185</v>
    <v t="i">1186</v>
    <v t="i">1189</v>
    <v t="i">1190</v>
    <v t="i">1191</v>
    <v t="i">1192</v>
    <v t="i">1193</v>
    <v t="i">1197</v>
    <v t="i">1198</v>
    <v t="i">1199</v>
    <v t="i">1200</v>
    <v t="i">1203</v>
    <v t="i">1204</v>
    <v t="i">1205</v>
    <v t="i">1206</v>
    <v t="i">1207</v>
    <v t="i">1210</v>
    <v t="i">1211</v>
    <v t="i">1212</v>
    <v t="i">1213</v>
    <v t="i">1214</v>
    <v t="i">1217</v>
    <v t="i">1218</v>
    <v t="i">1219</v>
    <v t="i">1220</v>
    <v t="i">1221</v>
    <v t="i">1224</v>
    <v t="i">1225</v>
    <v t="i">1226</v>
    <v t="i">1227</v>
    <v t="i">1228</v>
    <v t="i">1231</v>
    <v t="i">1232</v>
    <v t="i">1233</v>
    <v t="i">1235</v>
    <v t="i">1238</v>
    <v t="i">1239</v>
    <v t="i">1240</v>
    <v t="i">1241</v>
    <v t="i">1242</v>
    <v t="i">1245</v>
    <v t="i">1246</v>
    <v t="i">1247</v>
    <v t="i">1248</v>
    <v t="i">1249</v>
    <v t="i">1252</v>
    <v t="i">1253</v>
    <v t="i">1254</v>
    <v t="i">1255</v>
    <v t="i">1256</v>
    <v t="i">1259</v>
    <v t="i">1260</v>
    <v t="i">1261</v>
    <v t="i">1262</v>
    <v t="i">1263</v>
    <v t="i">1266</v>
    <v t="i">1267</v>
    <v t="i">1268</v>
    <v t="i">1269</v>
    <v t="i">1270</v>
    <v t="i">1273</v>
    <v t="i">1274</v>
    <v t="i">1275</v>
    <v t="i">1276</v>
    <v t="i">1277</v>
    <v t="i">1280</v>
    <v t="i">1281</v>
    <v t="i">1282</v>
    <v t="i">1283</v>
    <v t="i">1284</v>
    <v t="i">1287</v>
    <v t="i">1288</v>
    <v t="i">1289</v>
    <v t="i">1290</v>
    <v t="i">1291</v>
    <v t="i">1295</v>
    <v t="i">1296</v>
    <v t="i">1297</v>
    <v t="i">1298</v>
    <v t="i">1301</v>
    <v t="i">1302</v>
    <v t="i">1303</v>
    <v t="i">1304</v>
    <v t="i">1305</v>
    <v t="i">1308</v>
    <v t="i">1309</v>
    <v t="i">1310</v>
    <v t="i">1311</v>
    <v t="i">1312</v>
    <v t="i">1315</v>
    <v t="i">1316</v>
    <v t="i">1317</v>
    <v t="i">1318</v>
    <v t="i">1319</v>
    <v t="i">1322</v>
    <v t="i">1323</v>
    <v t="i">1324</v>
    <v t="i">1325</v>
    <v t="i">1326</v>
    <v t="i">1329</v>
    <v t="i">1330</v>
    <v t="i">1331</v>
    <v t="i">1332</v>
    <v t="i">1333</v>
    <v t="i">1336</v>
    <v t="i">1337</v>
    <v t="i">1338</v>
    <v t="i">1339</v>
    <v t="i">1340</v>
    <v t="i">1343</v>
    <v t="i">1344</v>
    <v t="i">1345</v>
    <v t="i">1346</v>
    <v t="i">1347</v>
    <v t="i">1350</v>
    <v t="i">1351</v>
    <v t="i">1352</v>
    <v t="i">1353</v>
    <v t="i">1354</v>
    <v t="i">1357</v>
    <v t="i">1358</v>
    <v t="i">1359</v>
    <v t="i">1360</v>
    <v t="i">1361</v>
    <v t="i">1364</v>
    <v t="i">1365</v>
    <v t="i">1366</v>
    <v t="i">1367</v>
    <v t="i">1368</v>
    <v t="i">1371</v>
    <v t="i">1372</v>
    <v t="i">1373</v>
    <v t="i">1374</v>
    <v t="i">1375</v>
    <v t="i">1378</v>
    <v t="i">1379</v>
    <v t="i">1380</v>
    <v t="i">1382</v>
    <v t="i">1385</v>
    <v t="i">1386</v>
    <v t="i">1387</v>
    <v t="i">1388</v>
    <v t="i">1389</v>
    <v t="i">1392</v>
    <v t="i">1393</v>
    <v t="i">1394</v>
    <v t="i">1395</v>
    <v t="i">1396</v>
    <v t="i">1399</v>
    <v t="i">1400</v>
    <v t="i">1401</v>
    <v t="i">1402</v>
    <v t="i">1403</v>
    <v t="i">1406</v>
    <v t="i">1407</v>
    <v t="i">1409</v>
    <v t="i">1410</v>
    <v t="i">1413</v>
    <v t="i">1414</v>
    <v t="i">1416</v>
    <v t="i">1417</v>
    <v t="i">1420</v>
    <v t="i">1421</v>
    <v t="i">1422</v>
    <v t="i">1423</v>
    <v t="i">1424</v>
    <v t="i">1427</v>
    <v t="i">1428</v>
    <v t="i">1429</v>
    <v t="i">1430</v>
    <v t="i">1431</v>
    <v t="i">1435</v>
    <v t="i">1436</v>
    <v t="i">1437</v>
    <v t="i">1438</v>
    <v t="i">1441</v>
    <v t="i">1442</v>
    <v t="i">1443</v>
    <v t="i">1444</v>
    <v t="i">1445</v>
    <v t="i">1448</v>
    <v t="i">1449</v>
    <v t="i">1451</v>
    <v t="i">1452</v>
    <v t="i">1455</v>
    <v t="i">1456</v>
    <v t="i">1457</v>
    <v t="i">1458</v>
    <v t="i">1459</v>
    <v t="i">1463</v>
    <v t="i">1464</v>
    <v t="i">1465</v>
    <v t="i">1466</v>
    <v t="i">1469</v>
    <v t="i">1470</v>
    <v t="i">1471</v>
    <v t="i">1472</v>
    <v t="i">1473</v>
    <v t="i">1476</v>
    <v t="i">1477</v>
    <v t="i">1478</v>
    <v t="i">1479</v>
    <v t="i">1480</v>
    <v t="i">1483</v>
    <v t="i">1484</v>
    <v t="i">1485</v>
    <v t="i">1486</v>
    <v t="i">1487</v>
    <v t="i">1490</v>
    <v t="i">1491</v>
    <v t="i">1492</v>
    <v t="i">1493</v>
    <v t="i">1494</v>
    <v t="i">1497</v>
    <v t="i">1498</v>
    <v t="i">1499</v>
    <v t="i">1500</v>
    <v t="i">1501</v>
    <v t="i">1504</v>
    <v t="i">1505</v>
    <v t="i">1506</v>
    <v t="i">1507</v>
    <v t="i">1508</v>
    <v t="i">1511</v>
    <v t="i">1512</v>
    <v t="i">1513</v>
    <v t="i">1514</v>
    <v t="i">1515</v>
    <v t="i">1518</v>
    <v t="i">1519</v>
    <v t="i">1520</v>
    <v t="i">1521</v>
    <v t="i">1525</v>
    <v t="i">1526</v>
    <v t="i">1527</v>
    <v t="i">1528</v>
    <v t="i">1529</v>
    <v t="i">1532</v>
    <v t="i">1533</v>
    <v t="i">1534</v>
    <v t="i">1535</v>
    <v t="i">1536</v>
    <v t="i">1539</v>
    <v t="i">1540</v>
    <v t="i">1541</v>
    <v t="i">1542</v>
    <v t="i">1543</v>
    <v t="i">1546</v>
    <v t="i">1547</v>
    <v t="i">1548</v>
    <v t="i">1549</v>
    <v t="i">1550</v>
    <v t="i">1553</v>
    <v t="i">1554</v>
    <v t="i">1555</v>
    <v t="i">1556</v>
    <v t="i">1557</v>
    <v t="i">1561</v>
    <v t="i">1562</v>
    <v t="i">1563</v>
    <v t="i">1564</v>
    <v t="i">1567</v>
    <v t="i">1568</v>
    <v t="i">1569</v>
    <v t="i">1570</v>
    <v t="i">1571</v>
    <v t="i">1574</v>
    <v t="i">1575</v>
    <v t="i">1576</v>
    <v t="i">1577</v>
    <v t="i">1578</v>
    <v t="i">1581</v>
    <v t="i">1582</v>
    <v t="i">1583</v>
    <v t="i">1584</v>
    <v t="i">1585</v>
    <v t="i">1588</v>
    <v t="i">1589</v>
    <v t="i">1590</v>
    <v t="i">1591</v>
    <v t="i">1592</v>
    <v t="i">1595</v>
    <v t="i">1596</v>
    <v t="i">1597</v>
    <v t="i">1598</v>
    <v t="i">1602</v>
    <v t="i">1603</v>
    <v t="i">1604</v>
    <v t="i">1605</v>
    <v t="i">1606</v>
    <v t="i">1609</v>
    <v t="i">1610</v>
    <v t="i">1611</v>
    <v t="i">1612</v>
    <v t="i">1613</v>
    <v t="i">1616</v>
    <v t="i">1617</v>
    <v t="i">1618</v>
    <v t="i">1619</v>
    <v t="i">1620</v>
    <v t="i">1623</v>
    <v t="i">1624</v>
    <v t="i">1625</v>
    <v t="i">1626</v>
    <v t="i">1627</v>
    <v t="i">1630</v>
    <v t="i">1631</v>
    <v t="i">1632</v>
    <v t="i">1633</v>
    <v t="i">1634</v>
    <v t="i">1637</v>
    <v t="i">1638</v>
    <v t="i">1639</v>
    <v t="i">1640</v>
    <v t="i">1641</v>
    <v t="i">1644</v>
    <v t="i">1645</v>
    <v t="i">1646</v>
    <v t="i">1647</v>
    <v t="i">1648</v>
    <v t="i">1651</v>
    <v t="i">1652</v>
    <v t="i">1653</v>
    <v t="i">1654</v>
    <v t="i">1655</v>
    <v t="i">1659</v>
    <v t="i">1660</v>
    <v t="i">1661</v>
    <v t="i">1662</v>
    <v t="i">1665</v>
    <v t="i">1666</v>
    <v t="i">1667</v>
    <v t="i">1668</v>
    <v t="i">1669</v>
    <v t="i">1672</v>
    <v t="i">1673</v>
    <v t="i">1674</v>
    <v t="i">1675</v>
    <v t="i">1676</v>
    <v t="i">1679</v>
    <v t="i">1680</v>
    <v t="i">1681</v>
    <v t="i">1682</v>
    <v t="i">1683</v>
    <v t="i">1686</v>
    <v t="i">1687</v>
    <v t="i">1688</v>
    <v t="i">1689</v>
    <v t="i">1690</v>
    <v t="i">1693</v>
    <v t="i">1694</v>
    <v t="i">1695</v>
    <v t="i">1696</v>
    <v t="i">1697</v>
    <v t="i">1700</v>
    <v t="i">1701</v>
    <v t="i">1702</v>
    <v t="i">1703</v>
    <v t="i">1704</v>
    <v t="i">1707</v>
    <v t="i">1708</v>
    <v t="i">1709</v>
    <v t="i">1710</v>
    <v t="i">1711</v>
    <v t="i">1714</v>
    <v t="i">1715</v>
    <v t="i">1716</v>
    <v t="i">1717</v>
    <v t="i">1718</v>
    <v t="i">1721</v>
    <v t="i">1722</v>
    <v t="i">1723</v>
    <v t="i">1724</v>
    <v t="i">1725</v>
    <v t="i">1728</v>
    <v t="i">1729</v>
    <v t="i">1730</v>
    <v t="i">1731</v>
    <v t="i">1732</v>
    <v t="i">1735</v>
    <v t="i">1736</v>
    <v t="i">1737</v>
    <v t="i">1738</v>
    <v t="i">1739</v>
    <v t="i">1742</v>
    <v t="i">1743</v>
    <v t="i">1744</v>
    <v t="i">1746</v>
    <v t="i">1749</v>
    <v t="i">1750</v>
    <v t="i">1751</v>
    <v t="i">1752</v>
    <v t="i">1753</v>
    <v t="i">1756</v>
    <v t="i">1757</v>
    <v t="i">1758</v>
    <v t="i">1759</v>
    <v t="i">1760</v>
    <v t="i">1763</v>
    <v t="i">1764</v>
    <v t="i">1765</v>
    <v t="i">1766</v>
    <v t="i">1767</v>
    <v t="i">1770</v>
    <v t="i">1771</v>
    <v t="i">1772</v>
    <v t="i">1774</v>
    <v t="i">1777</v>
    <v t="i">1778</v>
    <v t="i">1779</v>
    <v t="i">1781</v>
    <v t="i">1784</v>
    <v t="i">1785</v>
    <v t="i">1786</v>
    <v t="i">1787</v>
    <v t="i">1788</v>
    <v t="i">1791</v>
    <v t="i">1792</v>
    <v t="i">1793</v>
    <v t="i">1794</v>
    <v t="i">1795</v>
    <v t="i">1799</v>
    <v t="i">1800</v>
    <v t="i">1801</v>
    <v t="i">1802</v>
    <v t="i">1805</v>
    <v t="i">1806</v>
    <v t="i">1807</v>
    <v t="i">1808</v>
    <v t="i">1809</v>
    <v t="i">1812</v>
    <v t="i">1813</v>
    <v t="i">1814</v>
    <v t="i">1815</v>
    <v t="i">1816</v>
    <v t="i">1819</v>
    <v t="i">1820</v>
    <v t="i">1821</v>
    <v t="i">1822</v>
    <v t="i">1823</v>
    <v t="i">1827</v>
    <v t="i">1828</v>
    <v t="i">1829</v>
    <v t="i">1830</v>
    <v t="i">1833</v>
    <v t="i">1834</v>
    <v t="i">1835</v>
    <v t="i">1836</v>
    <v t="i">1837</v>
    <v t="i">1840</v>
    <v t="i">1841</v>
    <v t="i">1842</v>
    <v t="i">1843</v>
    <v t="i">1844</v>
    <v t="i">1847</v>
    <v t="i">1848</v>
    <v t="i">1849</v>
    <v t="i">1850</v>
    <v t="i">1851</v>
    <v t="i">1854</v>
    <v t="i">1855</v>
    <v t="i">1856</v>
    <v t="i">1857</v>
    <v t="i">1858</v>
    <v t="i">1861</v>
    <v t="i">1862</v>
    <v t="i">1863</v>
    <v t="i">1864</v>
    <v t="i">1865</v>
    <v t="i">1868</v>
    <v t="i">1869</v>
    <v t="i">1870</v>
    <v t="i">1871</v>
    <v t="i">1875</v>
    <v t="i">1876</v>
    <v t="i">1877</v>
    <v t="i">1878</v>
    <v t="i">1879</v>
    <v t="i">1882</v>
    <v t="i">1883</v>
    <v t="i">1884</v>
    <v t="i">1885</v>
    <v t="i">1886</v>
    <v t="i">1889</v>
    <v t="i">1890</v>
    <v t="i">1891</v>
    <v t="i">1892</v>
    <v t="i">1893</v>
    <v t="i">1896</v>
    <v t="i">1897</v>
    <v t="i">1898</v>
    <v t="i">1899</v>
    <v t="i">1900</v>
    <v t="i">1903</v>
    <v t="i">1904</v>
    <v t="i">1905</v>
    <v t="i">1906</v>
    <v t="i">1907</v>
    <v t="i">1910</v>
    <v t="i">1911</v>
    <v t="i">1912</v>
    <v t="i">1913</v>
    <v t="i">1914</v>
    <v t="i">1917</v>
    <v t="i">1918</v>
    <v t="i">1919</v>
    <v t="i">1920</v>
    <v t="i">1921</v>
    <v t="i">1925</v>
    <v t="i">1926</v>
    <v t="i">1927</v>
    <v t="i">1928</v>
    <v t="i">1931</v>
    <v t="i">1932</v>
    <v t="i">1933</v>
    <v t="i">1934</v>
    <v t="i">1935</v>
    <v t="i">1938</v>
    <v t="i">1939</v>
    <v t="i">1940</v>
    <v t="i">1941</v>
    <v t="i">1942</v>
    <v t="i">1945</v>
    <v t="i">1946</v>
    <v t="i">1947</v>
    <v t="i">1948</v>
    <v t="i">1949</v>
    <v t="i">1952</v>
    <v t="i">1953</v>
    <v t="i">1954</v>
    <v t="i">1955</v>
    <v t="i">1956</v>
    <v t="i">1959</v>
    <v t="i">1960</v>
    <v t="i">1961</v>
    <v t="i">1962</v>
    <v t="i">1966</v>
    <v t="i">1967</v>
    <v t="i">1968</v>
    <v t="i">1969</v>
    <v t="i">1970</v>
    <v t="i">1973</v>
    <v t="i">1974</v>
    <v t="i">1975</v>
    <v t="i">1976</v>
    <v t="i">1977</v>
    <v t="i">1980</v>
    <v t="i">1981</v>
    <v t="i">1982</v>
    <v t="i">1983</v>
    <v t="i">1984</v>
    <v t="i">1987</v>
    <v t="i">1988</v>
    <v t="i">1989</v>
    <v t="i">1990</v>
    <v t="i">1991</v>
    <v t="i">1994</v>
    <v t="i">1995</v>
    <v t="i">1996</v>
    <v t="i">1997</v>
    <v t="i">1998</v>
    <v t="i">2001</v>
    <v t="i">2002</v>
    <v t="i">2003</v>
    <v t="i">2004</v>
    <v t="i">2005</v>
    <v t="i">2008</v>
    <v t="i">2009</v>
    <v t="i">2010</v>
    <v t="i">2011</v>
    <v t="i">2012</v>
    <v t="i">2015</v>
    <v t="i">2016</v>
    <v t="i">2017</v>
    <v t="i">2018</v>
    <v t="i">2019</v>
    <v t="i">2022</v>
    <v t="i">2023</v>
    <v t="i">2024</v>
    <v t="i">2025</v>
    <v t="i">2026</v>
    <v t="i">2030</v>
    <v t="i">2031</v>
    <v t="i">2032</v>
    <v t="i">2033</v>
    <v t="i">2036</v>
    <v t="i">2037</v>
    <v t="i">2038</v>
    <v t="i">2039</v>
    <v t="i">2040</v>
    <v t="i">2043</v>
    <v t="i">2044</v>
    <v t="i">2045</v>
    <v t="i">2046</v>
    <v t="i">2047</v>
    <v t="i">2050</v>
    <v t="i">2051</v>
    <v t="i">2052</v>
    <v t="i">2053</v>
    <v t="i">2054</v>
    <v t="i">2057</v>
    <v t="i">2058</v>
    <v t="i">2059</v>
    <v t="i">2060</v>
    <v t="i">2061</v>
    <v t="i">2064</v>
    <v t="i">2065</v>
    <v t="i">2066</v>
    <v t="i">2067</v>
    <v t="i">2068</v>
    <v t="i">2071</v>
    <v t="i">2072</v>
    <v t="i">2073</v>
    <v t="i">2074</v>
    <v t="i">2075</v>
    <v t="i">2078</v>
    <v t="i">2079</v>
    <v t="i">2080</v>
    <v t="i">2081</v>
    <v t="i">2082</v>
    <v t="i">2085</v>
    <v t="i">2086</v>
    <v t="i">2087</v>
    <v t="i">2088</v>
    <v t="i">2089</v>
    <v t="i">2092</v>
    <v t="i">2093</v>
    <v t="i">2094</v>
    <v t="i">2095</v>
    <v t="i">2096</v>
    <v t="i">2099</v>
    <v t="i">2100</v>
    <v t="i">2101</v>
    <v t="i">2102</v>
    <v t="i">2103</v>
    <v t="i">2106</v>
    <v t="i">2107</v>
    <v t="i">2108</v>
    <v t="i">2110</v>
    <v t="i">2113</v>
    <v t="i">2114</v>
    <v t="i">2115</v>
    <v t="i">2116</v>
    <v t="i">2117</v>
    <v t="i">2120</v>
    <v t="i">2121</v>
    <v t="i">2122</v>
    <v t="i">2123</v>
    <v t="i">2124</v>
    <v t="i">2127</v>
    <v t="i">2128</v>
    <v t="i">2129</v>
    <v t="i">2130</v>
    <v t="i">2131</v>
    <v t="i">2134</v>
    <v t="i">2135</v>
    <v t="i">2136</v>
    <v t="i">2137</v>
    <v t="i">2141</v>
    <v t="i">2142</v>
    <v t="i">2143</v>
    <v t="i">2144</v>
    <v t="i">2148</v>
    <v t="i">2149</v>
    <v t="i">2150</v>
    <v t="i">2151</v>
    <v t="i">2152</v>
    <v t="i">2155</v>
    <v t="i">2156</v>
    <v t="i">2157</v>
    <v t="i">2158</v>
    <v t="i">2159</v>
    <v t="i">2163</v>
    <v t="i">2164</v>
    <v t="i">2165</v>
    <v t="i">2166</v>
    <v t="i">2169</v>
    <v t="i">2170</v>
    <v t="i">2171</v>
    <v t="i">2172</v>
    <v t="i">2173</v>
    <v t="i">2176</v>
    <v t="i">2177</v>
    <v t="i">2178</v>
    <v t="i">2179</v>
    <v t="i">2180</v>
    <v t="i">2183</v>
    <v t="i">2184</v>
    <v t="i">2185</v>
    <v t="i">2186</v>
    <v t="i">2187</v>
    <v t="i">2191</v>
    <v t="i">2192</v>
    <v t="i">2193</v>
    <v t="i">2194</v>
    <v t="i">2197</v>
    <v t="i">2198</v>
    <v t="i">2199</v>
    <v t="i">2200</v>
    <v t="i">2201</v>
    <v t="i">2204</v>
    <v t="i">2205</v>
    <v t="i">2206</v>
    <v t="i">2207</v>
    <v t="i">2208</v>
    <v t="i">2211</v>
    <v t="i">2212</v>
    <v t="i">2213</v>
    <v t="i">2214</v>
    <v t="i">2215</v>
    <v t="i">2218</v>
    <v t="i">2219</v>
    <v t="i">2220</v>
    <v t="i">2221</v>
    <v t="i">2222</v>
    <v t="i">2225</v>
    <v t="i">2226</v>
    <v t="i">2227</v>
    <v t="i">2228</v>
    <v t="i">2232</v>
    <v t="i">2233</v>
    <v t="i">2234</v>
    <v t="i">2235</v>
    <v t="i">2236</v>
    <v t="i">2239</v>
    <v t="i">2240</v>
    <v t="i">2241</v>
    <v t="i">2242</v>
    <v t="i">2243</v>
    <v t="i">2246</v>
    <v t="i">2247</v>
    <v t="i">2248</v>
    <v t="i">2249</v>
    <v t="i">2250</v>
    <v t="i">2253</v>
    <v t="i">2254</v>
    <v t="i">2255</v>
    <v t="i">2256</v>
    <v t="i">2257</v>
    <v t="i">2260</v>
    <v t="i">2261</v>
    <v t="i">2262</v>
    <v t="i">2263</v>
    <v t="i">2264</v>
    <v t="i">2267</v>
    <v t="i">2268</v>
    <v t="i">2269</v>
    <v t="i">2270</v>
    <v t="i">2271</v>
    <v t="i">2274</v>
    <v t="i">2275</v>
    <v t="i">2276</v>
    <v t="i">2277</v>
    <v t="i">2278</v>
    <v t="i">2281</v>
    <v t="i">2282</v>
    <v t="i">2283</v>
    <v t="i">2284</v>
    <v t="i">2285</v>
    <v t="i">2288</v>
    <v t="i">2289</v>
    <v t="i">2290</v>
    <v t="i">2291</v>
    <v t="i">2292</v>
    <v t="i">2296</v>
    <v t="i">2297</v>
    <v t="i">2298</v>
    <v t="i">2299</v>
    <v t="i">2302</v>
    <v t="i">2303</v>
    <v t="i">2304</v>
    <v t="i">2305</v>
    <v t="i">2306</v>
    <v t="i">2309</v>
    <v t="i">2310</v>
    <v t="i">2311</v>
    <v t="i">2312</v>
    <v t="i">2313</v>
    <v t="i">2316</v>
    <v t="i">2317</v>
    <v t="i">2318</v>
    <v t="i">2319</v>
    <v t="i">2320</v>
    <v t="i">2323</v>
    <v t="i">2324</v>
    <v t="i">2325</v>
    <v t="i">2326</v>
    <v t="i">2327</v>
    <v t="i">2331</v>
    <v t="i">2332</v>
    <v t="i">2333</v>
    <v t="i">2334</v>
    <v t="i">2337</v>
    <v t="i">2338</v>
    <v t="i">2339</v>
    <v t="i">2340</v>
    <v t="i">2341</v>
    <v t="i">2344</v>
    <v t="i">2345</v>
    <v t="i">2346</v>
    <v t="i">2347</v>
    <v t="i">2348</v>
    <v t="i">2351</v>
    <v t="i">2352</v>
    <v t="i">2353</v>
    <v t="i">2354</v>
    <v t="i">2355</v>
    <v t="i">2358</v>
    <v t="i">2359</v>
    <v t="i">2360</v>
    <v t="i">2361</v>
    <v t="i">2362</v>
    <v t="i">2365</v>
    <v t="i">2366</v>
    <v t="i">2367</v>
    <v t="i">2368</v>
    <v t="i">2369</v>
    <v t="i">2372</v>
    <v t="i">2373</v>
    <v t="i">2374</v>
    <v t="i">2375</v>
    <v t="i">2376</v>
    <v t="i">2379</v>
    <v t="i">2380</v>
    <v t="i">2381</v>
    <v t="i">2382</v>
    <v t="i">2383</v>
    <v t="i">2386</v>
    <v t="i">2387</v>
    <v t="i">2388</v>
    <v t="i">2389</v>
    <v t="i">2390</v>
    <v t="i">2394</v>
    <v t="i">2395</v>
    <v t="i">2396</v>
    <v t="i">2397</v>
    <v t="i">2400</v>
    <v t="i">2401</v>
    <v t="i">2402</v>
    <v t="i">2403</v>
    <v t="i">2404</v>
    <v t="i">2407</v>
    <v t="i">2408</v>
    <v t="i">2409</v>
    <v t="i">2410</v>
    <v t="i">2411</v>
    <v t="i">2414</v>
    <v t="i">2415</v>
    <v t="i">2416</v>
    <v t="i">2417</v>
    <v t="i">2418</v>
    <v t="i">2421</v>
    <v t="i">2422</v>
    <v t="i">2423</v>
    <v t="i">2424</v>
    <v t="i">2425</v>
    <v t="i">2428</v>
    <v t="i">2429</v>
    <v t="i">2430</v>
    <v t="i">2431</v>
    <v t="i">2432</v>
    <v t="i">2435</v>
    <v t="i">2436</v>
    <v t="i">2437</v>
    <v t="i">2438</v>
    <v t="i">2439</v>
    <v t="i">2442</v>
    <v t="i">2443</v>
    <v t="i">2444</v>
    <v t="i">2445</v>
    <v t="i">2446</v>
    <v t="i">2449</v>
    <v t="i">2450</v>
    <v t="i">2451</v>
    <v t="i">2452</v>
    <v t="i">2453</v>
    <v t="i">2456</v>
    <v t="i">2457</v>
    <v t="i">2458</v>
    <v t="i">2459</v>
    <v t="i">2460</v>
    <v t="i">2463</v>
    <v t="i">2464</v>
    <v t="i">2465</v>
    <v t="i">2466</v>
    <v t="i">2467</v>
    <v t="i">2470</v>
    <v t="i">2471</v>
    <v t="i">2472</v>
    <v t="i">2474</v>
    <v t="i">2477</v>
    <v t="i">2478</v>
    <v t="i">2479</v>
    <v t="i">2480</v>
    <v t="i">2481</v>
    <v t="i">2484</v>
    <v t="i">2485</v>
    <v t="i">2486</v>
    <v t="i">2487</v>
    <v t="i">2488</v>
    <v t="i">2491</v>
    <v t="i">2492</v>
    <v t="i">2493</v>
    <v t="i">2494</v>
    <v t="i">2495</v>
    <v t="i">2498</v>
    <v t="i">2499</v>
    <v t="i">2500</v>
    <v t="i">2501</v>
    <v t="i">2502</v>
    <v t="i">2506</v>
    <v t="i">2507</v>
    <v t="i">2508</v>
    <v t="i">2509</v>
    <v t="i">2513</v>
    <v t="i">2514</v>
    <v t="i">2515</v>
    <v t="i">2516</v>
    <v t="i">2519</v>
    <v t="i">2520</v>
    <v t="i">2521</v>
    <v t="i">2522</v>
    <v t="i">2523</v>
    <v t="i">2527</v>
    <v t="i">2528</v>
    <v t="i">2529</v>
    <v t="i">2530</v>
    <v t="i">2533</v>
    <v t="i">2534</v>
    <v t="i">2535</v>
    <v t="i">2536</v>
    <v t="i">2537</v>
    <v t="i">2540</v>
    <v t="i">2541</v>
    <v t="i">2542</v>
    <v t="i">2543</v>
    <v t="i">2544</v>
    <v t="i">2547</v>
    <v t="i">2548</v>
    <v t="i">2549</v>
    <v t="i">2550</v>
    <v t="i">2551</v>
    <v t="i">2554</v>
    <v t="i">2555</v>
    <v t="i">2556</v>
    <v t="i">2557</v>
    <v t="i">2558</v>
    <v t="i">2562</v>
    <v t="i">2563</v>
    <v t="i">2564</v>
    <v t="i">2565</v>
    <v t="i">2568</v>
    <v t="i">2569</v>
    <v t="i">2570</v>
    <v t="i">2571</v>
    <v t="i">2572</v>
    <v t="i">2575</v>
    <v t="i">2576</v>
    <v t="i">2577</v>
    <v t="i">2578</v>
    <v t="i">2579</v>
    <v t="i">2582</v>
    <v t="i">2583</v>
    <v t="i">2584</v>
    <v t="i">2585</v>
    <v t="i">2586</v>
    <v t="i">2589</v>
    <v t="i">2590</v>
    <v t="i">2591</v>
    <v t="i">2592</v>
    <v t="i">2593</v>
    <v t="i">2596</v>
    <v t="i">2597</v>
    <v t="i">2598</v>
    <v t="i">2599</v>
    <v t="i">2600</v>
    <v t="i">2603</v>
    <v t="i">2604</v>
    <v t="i">2605</v>
    <v t="i">2606</v>
    <v t="i">2607</v>
    <v t="i">2610</v>
    <v t="i">2611</v>
    <v t="i">2612</v>
    <v t="i">2613</v>
    <v t="i">2617</v>
    <v t="i">2618</v>
    <v t="i">2619</v>
    <v t="i">2620</v>
    <v t="i">2621</v>
    <v t="i">2624</v>
    <v t="i">2625</v>
    <v t="i">2626</v>
    <v t="i">2627</v>
    <v t="i">2628</v>
    <v t="i">2631</v>
    <v t="i">2632</v>
    <v t="i">2633</v>
    <v t="i">2634</v>
    <v t="i">2635</v>
    <v t="i">2638</v>
    <v t="i">2639</v>
    <v t="i">2640</v>
    <v t="i">2641</v>
    <v t="i">2642</v>
    <v t="i">2645</v>
    <v t="i">2646</v>
    <v t="i">2647</v>
    <v t="i">2648</v>
    <v t="i">2649</v>
    <v t="i">2652</v>
    <v t="i">2653</v>
    <v t="i">2654</v>
    <v t="i">2655</v>
    <v t="i">2656</v>
    <v t="i">2660</v>
    <v t="i">2661</v>
    <v t="i">2662</v>
    <v t="i">2663</v>
    <v t="i">2666</v>
    <v t="i">2667</v>
    <v t="i">2668</v>
    <v t="i">2669</v>
    <v t="i">2670</v>
    <v t="i">2673</v>
    <v t="i">2674</v>
    <v t="i">2675</v>
    <v t="i">2676</v>
    <v t="i">2677</v>
    <v t="i">2680</v>
    <v t="i">2681</v>
    <v t="i">2682</v>
    <v t="i">2683</v>
    <v t="i">2684</v>
    <v t="i">2687</v>
    <v t="i">2688</v>
    <v t="i">2689</v>
    <v t="i">2690</v>
    <v t="i">2691</v>
    <v t="i">2694</v>
    <v t="i">2696</v>
    <v t="i">2697</v>
    <v t="i">2698</v>
    <v t="i">2701</v>
    <v t="i">2702</v>
    <v t="i">2703</v>
    <v t="i">2704</v>
    <v t="i">2705</v>
    <v t="i">2708</v>
    <v t="i">2709</v>
    <v t="i">2710</v>
    <v t="i">2711</v>
    <v t="i">2712</v>
    <v t="i">2715</v>
    <v t="i">2716</v>
    <v t="i">2717</v>
    <v t="i">2718</v>
    <v t="i">2719</v>
    <v t="i">2722</v>
    <v t="i">2723</v>
    <v t="i">2724</v>
    <v t="i">2725</v>
    <v t="i">2726</v>
    <v t="i">2729</v>
    <v t="i">2730</v>
    <v t="i">2731</v>
    <v t="i">2732</v>
    <v t="i">2733</v>
    <v t="i">2736</v>
    <v t="i">2737</v>
    <v t="i">2738</v>
    <v t="i">2739</v>
    <v t="i">2740</v>
    <v t="i">2743</v>
    <v t="i">2744</v>
    <v t="i">2745</v>
    <v t="i">2746</v>
    <v t="i">2747</v>
    <v t="i">2750</v>
    <v t="i">2751</v>
    <v t="i">2752</v>
    <v t="i">2753</v>
    <v t="i">2754</v>
    <v t="i">2758</v>
    <v t="i">2759</v>
    <v t="i">2760</v>
    <v t="i">2761</v>
    <v t="i">2764</v>
    <v t="i">2765</v>
    <v t="i">2766</v>
    <v t="i">2767</v>
    <v t="i">2768</v>
    <v t="i">2771</v>
    <v t="i">2772</v>
    <v t="i">2773</v>
    <v t="i">2774</v>
    <v t="i">2775</v>
    <v t="i">2778</v>
    <v t="i">2779</v>
    <v t="i">2780</v>
    <v t="i">2781</v>
    <v t="i">2782</v>
    <v t="i">2785</v>
    <v t="i">2786</v>
    <v t="i">2787</v>
    <v t="i">2788</v>
    <v t="i">2789</v>
    <v t="i">2792</v>
    <v t="i">2793</v>
    <v t="i">2794</v>
    <v t="i">2795</v>
    <v t="i">2796</v>
    <v t="i">2799</v>
    <v t="i">2800</v>
    <v t="i">2801</v>
    <v t="i">2802</v>
    <v t="i">2803</v>
    <v t="i">2806</v>
    <v t="i">2807</v>
    <v t="i">2808</v>
    <v t="i">2809</v>
    <v t="i">2810</v>
    <v t="i">2813</v>
    <v t="i">2814</v>
    <v t="i">2815</v>
    <v t="i">2816</v>
    <v t="i">2817</v>
    <v t="i">2820</v>
    <v t="i">2821</v>
    <v t="i">2822</v>
    <v t="i">2823</v>
    <v t="i">2824</v>
    <v t="i">2827</v>
    <v t="i">2828</v>
    <v t="i">2829</v>
    <v t="i">2830</v>
    <v t="i">2831</v>
    <v t="i">2834</v>
    <v t="i">2835</v>
    <v t="i">2836</v>
    <v t="i">2838</v>
    <v t="i">2841</v>
    <v t="i">2842</v>
    <v t="i">2843</v>
    <v t="i">2844</v>
    <v t="i">2845</v>
    <v t="i">2848</v>
    <v t="i">2849</v>
    <v t="i">2850</v>
    <v t="i">2851</v>
    <v t="i">2852</v>
    <v t="i">2855</v>
    <v t="i">2856</v>
    <v t="i">2857</v>
    <v t="i">2858</v>
    <v t="i">2859</v>
    <v t="i">2862</v>
    <v t="i">2863</v>
    <v t="i">2864</v>
    <v t="i">2865</v>
    <v t="i">2866</v>
    <v t="i">2870</v>
    <v t="i">2871</v>
    <v t="i">2872</v>
    <v t="i">2873</v>
    <v t="i">2877</v>
    <v t="i">2878</v>
    <v t="i">2879</v>
    <v t="i">2880</v>
    <v t="i">2883</v>
    <v t="i">2884</v>
    <v t="i">2885</v>
    <v t="i">2886</v>
    <v t="i">2887</v>
    <v t="i">2891</v>
    <v t="i">2892</v>
    <v t="i">2893</v>
    <v t="i">2894</v>
    <v t="i">2897</v>
    <v t="i">2898</v>
    <v t="i">2899</v>
    <v t="i">2900</v>
    <v t="i">2901</v>
    <v t="i">2904</v>
    <v t="i">2905</v>
    <v t="i">2906</v>
    <v t="i">2907</v>
    <v t="i">2908</v>
    <v t="i">2911</v>
    <v t="i">2912</v>
    <v t="i">2913</v>
    <v t="i">2914</v>
    <v t="i">2915</v>
    <v t="i">2918</v>
    <v t="i">2919</v>
    <v t="i">2920</v>
    <v t="i">2921</v>
    <v t="i">2922</v>
    <v t="i">2926</v>
    <v t="i">2927</v>
    <v t="i">2928</v>
    <v t="i">2929</v>
    <v t="i">2932</v>
    <v t="i">2933</v>
    <v t="i">2934</v>
    <v t="i">2935</v>
    <v t="i">2936</v>
    <v t="i">2939</v>
    <v t="i">2940</v>
    <v t="i">2941</v>
    <v t="i">2942</v>
    <v t="i">2943</v>
    <v t="i">2946</v>
    <v t="i">2947</v>
    <v t="i">2948</v>
    <v t="i">2949</v>
    <v t="i">2950</v>
    <v t="i">2953</v>
    <v t="i">2954</v>
    <v t="i">2955</v>
    <v t="i">2956</v>
    <v t="i">2957</v>
    <v t="i">2960</v>
    <v t="i">2961</v>
    <v t="i">2962</v>
    <v t="i">2963</v>
    <v t="i">2967</v>
    <v t="i">2968</v>
    <v t="i">2969</v>
    <v t="i">2970</v>
    <v t="i">2971</v>
    <v t="i">2974</v>
    <v t="i">2975</v>
    <v t="i">2976</v>
    <v t="i">2977</v>
    <v t="i">2978</v>
    <v t="i">2981</v>
    <v t="i">2982</v>
    <v t="i">2983</v>
    <v t="i">2984</v>
    <v t="i">2985</v>
    <v t="i">2988</v>
    <v t="i">2989</v>
    <v t="i">2990</v>
    <v t="i">2991</v>
    <v t="i">2992</v>
    <v t="i">2995</v>
    <v t="i">2996</v>
    <v t="i">2997</v>
    <v t="i">2998</v>
    <v t="i">2999</v>
    <v t="i">3002</v>
    <v t="i">3003</v>
    <v t="i">3004</v>
    <v t="i">3005</v>
    <v t="i">3006</v>
    <v t="i">3009</v>
    <v t="i">3010</v>
    <v t="i">3011</v>
    <v t="i">3012</v>
    <v t="i">3013</v>
    <v t="i">3016</v>
    <v t="i">3017</v>
    <v t="i">3018</v>
    <v t="i">3019</v>
    <v t="i">3020</v>
    <v t="i">3024</v>
    <v t="i">3025</v>
    <v t="i">3026</v>
    <v t="i">3027</v>
    <v t="i">3030</v>
    <v t="i">3031</v>
    <v t="i">3032</v>
    <v t="i">3033</v>
    <v t="i">3034</v>
    <v t="i">3037</v>
    <v t="i">3038</v>
    <v t="i">3039</v>
    <v t="i">3040</v>
    <v t="i">3041</v>
    <v t="i">3044</v>
    <v t="i">3045</v>
    <v t="i">3046</v>
    <v t="i">3047</v>
    <v t="i">3048</v>
    <v t="i">3051</v>
    <v t="i">3052</v>
    <v t="i">3053</v>
    <v t="i">3054</v>
    <v t="i">3055</v>
    <v t="i">3058</v>
    <v t="i">3059</v>
    <v t="i">3061</v>
    <v t="i">3062</v>
    <v t="i">3065</v>
    <v t="i">3066</v>
    <v t="i">3067</v>
    <v t="i">3068</v>
    <v t="i">3069</v>
    <v t="i">3072</v>
    <v t="i">3073</v>
    <v t="i">3074</v>
    <v t="i">3075</v>
    <v t="i">3076</v>
    <v t="i">3079</v>
    <v t="i">3080</v>
    <v t="i">3081</v>
    <v t="i">3082</v>
    <v t="i">3083</v>
    <v t="i">3086</v>
    <v t="i">3087</v>
    <v t="i">3088</v>
    <v t="i">3089</v>
    <v t="i">3090</v>
    <v t="i">3093</v>
    <v t="i">3094</v>
    <v t="i">3095</v>
    <v t="i">3096</v>
    <v t="i">3097</v>
    <v t="i">3100</v>
    <v t="i">3101</v>
    <v t="i">3102</v>
    <v t="i">3103</v>
    <v t="i">3104</v>
    <v t="i">3107</v>
    <v t="i">3108</v>
    <v t="i">3109</v>
    <v t="i">3110</v>
    <v t="i">3111</v>
    <v t="i">3114</v>
    <v t="i">3115</v>
    <v t="i">3116</v>
    <v t="i">3117</v>
    <v t="i">3118</v>
    <v t="i">3122</v>
    <v t="i">3123</v>
    <v t="i">3124</v>
    <v t="i">3125</v>
    <v t="i">3128</v>
    <v t="i">3129</v>
    <v t="i">3130</v>
    <v t="i">3131</v>
    <v t="i">3132</v>
    <v t="i">3135</v>
    <v t="i">3136</v>
    <v t="i">3137</v>
    <v t="i">3138</v>
    <v t="i">3139</v>
    <v t="i">3142</v>
    <v t="i">3143</v>
    <v t="i">3144</v>
    <v t="i">3145</v>
    <v t="i">3146</v>
    <v t="i">3149</v>
    <v t="i">3150</v>
    <v t="i">3151</v>
    <v t="i">3152</v>
    <v t="i">3153</v>
    <v t="i">3156</v>
    <v t="i">3157</v>
    <v t="i">3158</v>
    <v t="i">3159</v>
    <v t="i">3160</v>
    <v t="i">3163</v>
    <v t="i">3164</v>
    <v t="i">3165</v>
    <v t="i">3166</v>
    <v t="i">3167</v>
    <v t="i">3170</v>
    <v t="i">3171</v>
    <v t="i">3172</v>
    <v t="i">3173</v>
    <v t="i">3174</v>
    <v t="i">3177</v>
    <v t="i">3178</v>
    <v t="i">3179</v>
    <v t="i">3180</v>
    <v t="i">3181</v>
    <v t="i">3184</v>
    <v t="i">3185</v>
    <v t="i">3186</v>
    <v t="i">3187</v>
    <v t="i">3188</v>
    <v t="i">3191</v>
    <v t="i">3192</v>
    <v t="i">3193</v>
    <v t="i">3194</v>
    <v t="i">3195</v>
    <v t="i">3198</v>
    <v t="i">3199</v>
    <v t="i">3200</v>
    <v t="i">3202</v>
    <v t="i">3205</v>
    <v t="i">3206</v>
    <v t="i">3207</v>
    <v t="i">3208</v>
    <v t="i">3209</v>
    <v t="i">3212</v>
    <v t="i">3213</v>
    <v t="i">3215</v>
    <v t="i">3216</v>
    <v t="i">3219</v>
    <v t="i">3220</v>
    <v t="i">3221</v>
    <v t="i">3222</v>
    <v t="i">3223</v>
    <v t="i">3226</v>
    <v t="i">3227</v>
    <v t="i">3228</v>
    <v t="i">3229</v>
    <v t="i">3230</v>
    <v t="i">3233</v>
    <v t="i">3235</v>
    <v t="i">3236</v>
    <v t="i">3237</v>
    <v t="i">3240</v>
    <v t="i">3242</v>
    <v t="i">3243</v>
    <v t="i">3244</v>
    <v t="i">3247</v>
    <v t="i">3248</v>
    <v t="i">3249</v>
    <v t="i">3250</v>
    <v t="i">3251</v>
    <v t="i">3254</v>
    <v t="i">3255</v>
    <v t="i">3256</v>
    <v t="i">3257</v>
    <v t="i">3258</v>
    <v t="i">3262</v>
    <v t="i">3263</v>
    <v t="i">3264</v>
    <v t="i">3265</v>
    <v t="i">3268</v>
    <v t="i">3269</v>
    <v t="i">3270</v>
    <v t="i">3271</v>
    <v t="i">3272</v>
    <v t="i">3275</v>
    <v t="i">3276</v>
    <v t="i">3277</v>
    <v t="i">3278</v>
    <v t="i">3279</v>
    <v t="i">3282</v>
    <v t="i">3283</v>
    <v t="i">3284</v>
    <v t="i">3285</v>
    <v t="i">3286</v>
    <v t="i">3290</v>
    <v t="i">3291</v>
    <v t="i">3292</v>
    <v t="i">3293</v>
    <v t="i">3296</v>
    <v t="i">3297</v>
    <v t="i">3298</v>
    <v t="i">3299</v>
    <v t="i">3300</v>
    <v t="i">3303</v>
    <v t="i">3304</v>
    <v t="i">3305</v>
    <v t="i">3306</v>
    <v t="i">3307</v>
    <v t="i">3310</v>
    <v t="i">3311</v>
    <v t="i">3312</v>
    <v t="i">3313</v>
    <v t="i">3314</v>
    <v t="i">3317</v>
    <v t="i">3318</v>
    <v t="i">3319</v>
    <v t="i">3320</v>
    <v t="i">3321</v>
    <v t="i">3324</v>
    <v t="i">3325</v>
    <v t="i">3326</v>
    <v t="i">3327</v>
    <v t="i">3328</v>
    <v t="i">3331</v>
    <v t="i">3332</v>
    <v t="i">3333</v>
    <v t="i">3334</v>
    <v t="i">3335</v>
    <v t="i">3338</v>
    <v t="i">3339</v>
    <v t="i">3340</v>
    <v t="i">3341</v>
    <v t="i">3342</v>
    <v t="i">3345</v>
    <v t="i">3346</v>
    <v t="i">3347</v>
    <v t="i">3348</v>
    <v t="i">3352</v>
    <v t="i">3353</v>
    <v t="i">3354</v>
    <v t="i">3355</v>
    <v t="i">3356</v>
    <v t="i">3359</v>
    <v t="i">3360</v>
    <v t="i">3361</v>
    <v t="i">3362</v>
    <v t="i">3363</v>
    <v t="i">3366</v>
    <v t="i">3367</v>
    <v t="i">3368</v>
    <v t="i">3369</v>
    <v t="i">3370</v>
    <v t="i">3373</v>
    <v t="i">3374</v>
    <v t="i">3375</v>
    <v t="i">3376</v>
    <v t="i">3377</v>
    <v t="i">3380</v>
    <v t="i">3381</v>
    <v t="i">3382</v>
    <v t="i">3383</v>
    <v t="i">3384</v>
    <v t="i">3388</v>
    <v t="i">3389</v>
    <v t="i">3390</v>
    <v t="i">3391</v>
    <v t="i">3394</v>
    <v t="i">3395</v>
    <v t="i">3396</v>
    <v t="i">3397</v>
    <v t="i">3398</v>
    <v t="i">3401</v>
    <v t="i">3402</v>
    <v t="i">3403</v>
    <v t="i">3404</v>
    <v t="i">3405</v>
    <v t="i">3408</v>
    <v t="i">3409</v>
    <v t="i">3410</v>
    <v t="i">3411</v>
    <v t="i">3412</v>
    <v t="i">3415</v>
    <v t="i">3416</v>
    <v t="i">3417</v>
    <v t="i">3418</v>
    <v t="i">3419</v>
    <v t="i">3422</v>
    <v t="i">3423</v>
    <v t="i">3424</v>
    <v t="i">3426</v>
    <v t="i">3429</v>
    <v t="i">3430</v>
    <v t="i">3431</v>
    <v t="i">3432</v>
    <v t="i">3433</v>
    <v t="i">3436</v>
    <v t="i">3437</v>
    <v t="i">3438</v>
    <v t="i">3439</v>
    <v t="i">3440</v>
    <v t="i">3443</v>
    <v t="i">3444</v>
    <v t="i">3445</v>
    <v t="i">3446</v>
    <v t="i">3447</v>
    <v t="i">3450</v>
    <v t="i">3451</v>
    <v t="i">3452</v>
    <v t="i">3453</v>
    <v t="i">3454</v>
    <v t="i">3457</v>
    <v t="i">3458</v>
    <v t="i">3459</v>
    <v t="i">3460</v>
    <v t="i">3461</v>
    <v t="i">3464</v>
    <v t="i">3465</v>
    <v t="i">3466</v>
    <v t="i">3467</v>
    <v t="i">3468</v>
    <v t="i">3471</v>
    <v t="i">3472</v>
    <v t="i">3473</v>
    <v t="i">3474</v>
    <v t="i">3475</v>
    <v t="i">3478</v>
    <v t="i">3479</v>
    <v t="i">3480</v>
    <v t="i">3481</v>
    <v t="i">3482</v>
    <v t="i">3486</v>
    <v t="i">3487</v>
    <v t="i">3488</v>
    <v t="i">3489</v>
    <v t="i">3492</v>
    <v t="i">3493</v>
    <v t="i">3494</v>
    <v t="i">3495</v>
    <v t="i">3496</v>
    <v t="i">3499</v>
    <v t="i">3500</v>
    <v t="i">3501</v>
    <v t="i">3502</v>
    <v t="i">3503</v>
    <v t="i">3506</v>
    <v t="i">3507</v>
    <v t="i">3508</v>
    <v t="i">3509</v>
    <v t="i">3510</v>
    <v t="i">3513</v>
    <v t="i">3514</v>
    <v t="i">3515</v>
    <v t="i">3516</v>
    <v t="i">3517</v>
    <v t="i">3520</v>
    <v t="i">3521</v>
    <v t="i">3522</v>
    <v t="i">3523</v>
    <v t="i">3524</v>
    <v t="i">3527</v>
    <v t="i">3528</v>
    <v t="i">3529</v>
    <v t="i">3530</v>
    <v t="i">3531</v>
    <v t="i">3534</v>
    <v t="i">3535</v>
    <v t="i">3536</v>
    <v t="i">3537</v>
    <v t="i">3538</v>
    <v t="i">3541</v>
    <v t="i">3542</v>
    <v t="i">3543</v>
    <v t="i">3544</v>
    <v t="i">3545</v>
    <v t="i">3548</v>
    <v t="i">3549</v>
    <v t="i">3550</v>
    <v t="i">3551</v>
    <v t="i">3552</v>
    <v t="i">3555</v>
    <v t="i">3556</v>
    <v t="i">3557</v>
    <v t="i">3558</v>
    <v t="i">3559</v>
    <v t="i">3562</v>
    <v t="i">3563</v>
    <v t="i">3564</v>
    <v t="i">3565</v>
    <v t="i">3566</v>
    <v t="i">3569</v>
    <v t="i">3570</v>
    <v t="i">3571</v>
    <v t="i">3573</v>
    <v t="i">3576</v>
    <v t="i">3577</v>
    <v t="i">3578</v>
    <v t="i">3579</v>
    <v t="i">3580</v>
    <v t="i">3583</v>
    <v t="i">3584</v>
    <v t="i">3585</v>
    <v t="i">3586</v>
    <v t="i">3587</v>
    <v t="i">3590</v>
    <v t="i">3591</v>
    <v t="i">3592</v>
    <v t="i">3593</v>
    <v t="i">3594</v>
    <v t="i">3597</v>
    <v t="i">3598</v>
    <v t="i">3600</v>
    <v t="i">3601</v>
    <v t="i">3604</v>
    <v t="i">3605</v>
    <v t="i">3607</v>
    <v t="i">3608</v>
    <v t="i">3611</v>
    <v t="i">3612</v>
    <v t="i">3613</v>
    <v t="i">3614</v>
    <v t="i">3615</v>
    <v t="i">3618</v>
    <v t="i">3619</v>
    <v t="i">3620</v>
    <v t="i">3621</v>
    <v t="i">3622</v>
    <v t="i">3626</v>
    <v t="i">3627</v>
    <v t="i">3628</v>
    <v t="i">3629</v>
    <v t="i">3632</v>
    <v t="i">3633</v>
    <v t="i">3634</v>
    <v t="i">3635</v>
    <v t="i">3636</v>
    <v t="i">3639</v>
    <v t="i">3640</v>
    <v t="i">3641</v>
    <v t="i">3642</v>
    <v t="i">3643</v>
    <v t="i">3646</v>
    <v t="i">3647</v>
    <v t="i">3648</v>
    <v t="i">3649</v>
    <v t="i">3650</v>
    <v t="i">3654</v>
    <v t="i">3655</v>
    <v t="i">3656</v>
    <v t="i">3657</v>
    <v t="i">3660</v>
    <v t="i">3661</v>
    <v t="i">3662</v>
    <v t="i">3663</v>
    <v t="i">3664</v>
    <v t="i">3667</v>
    <v t="i">3668</v>
    <v t="i">3669</v>
    <v t="i">3670</v>
    <v t="i">3671</v>
    <v t="i">3674</v>
    <v t="i">3675</v>
    <v t="i">3676</v>
    <v t="i">3677</v>
    <v t="i">3678</v>
    <v t="i">3681</v>
    <v t="i">3682</v>
    <v t="i">3683</v>
    <v t="i">3684</v>
    <v t="i">3685</v>
    <v t="i">3688</v>
    <v t="i">3689</v>
    <v t="i">3690</v>
    <v t="i">3691</v>
    <v t="i">3692</v>
    <v t="i">3695</v>
    <v t="i">3696</v>
    <v t="i">3697</v>
    <v t="i">3698</v>
    <v t="i">3699</v>
    <v t="i">3702</v>
    <v t="i">3703</v>
    <v t="i">3704</v>
    <v t="i">3705</v>
    <v t="i">3709</v>
    <v t="i">3710</v>
    <v t="i">3711</v>
    <v t="i">3712</v>
    <v t="i">3713</v>
    <v t="i">3716</v>
    <v t="i">3717</v>
    <v t="i">3718</v>
    <v t="i">3719</v>
    <v t="i">3720</v>
    <v t="i">3723</v>
    <v t="i">3724</v>
    <v t="i">3725</v>
    <v t="i">3726</v>
    <v t="i">3727</v>
    <v t="i">3730</v>
    <v t="i">3731</v>
    <v t="i">3732</v>
    <v t="i">3733</v>
    <v t="i">3734</v>
    <v t="i">3737</v>
    <v t="i">3738</v>
    <v t="i">3739</v>
    <v t="i">3740</v>
    <v t="i">3741</v>
    <v t="i">3744</v>
    <v t="i">3745</v>
    <v t="i">3746</v>
    <v t="i">3747</v>
    <v t="i">3748</v>
    <v t="i">3752</v>
    <v t="i">3753</v>
    <v t="i">3754</v>
    <v t="i">3755</v>
    <v t="i">3758</v>
    <v t="i">3759</v>
    <v t="i">3760</v>
    <v t="i">3761</v>
    <v t="i">3762</v>
    <v t="i">3765</v>
    <v t="i">3766</v>
    <v t="i">3767</v>
    <v t="i">3768</v>
    <v t="i">3769</v>
    <v t="i">3772</v>
    <v t="i">3773</v>
    <v t="i">3774</v>
    <v t="i">3775</v>
    <v t="i">3776</v>
    <v t="i">3779</v>
    <v t="i">3780</v>
    <v t="i">3781</v>
    <v t="i">3782</v>
    <v t="i">3783</v>
    <v t="i">3786</v>
    <v t="i">3787</v>
    <v t="i">3788</v>
    <v t="i">3789</v>
    <v t="i">3793</v>
    <v t="i">3794</v>
    <v t="i">3795</v>
    <v t="i">3796</v>
    <v t="i">3797</v>
    <v t="i">3800</v>
    <v t="i">3801</v>
    <v t="i">3802</v>
    <v t="i">3803</v>
    <v t="i">3804</v>
    <v t="i">3807</v>
    <v t="i">3808</v>
    <v t="i">3809</v>
    <v t="i">3810</v>
    <v t="i">3811</v>
    <v t="i">3814</v>
    <v t="i">3815</v>
    <v t="i">3816</v>
    <v t="i">3817</v>
    <v t="i">3818</v>
    <v t="i">3821</v>
    <v t="i">3822</v>
    <v t="i">3823</v>
    <v t="i">3824</v>
    <v t="i">3825</v>
    <v t="i">3828</v>
    <v t="i">3829</v>
    <v t="i">3830</v>
    <v t="i">3831</v>
    <v t="i">3832</v>
    <v t="i">3835</v>
    <v t="i">3836</v>
    <v t="i">3837</v>
    <v t="i">3838</v>
    <v t="i">3839</v>
    <v t="i">3842</v>
    <v t="i">3843</v>
    <v t="i">3844</v>
    <v t="i">3845</v>
    <v t="i">3846</v>
    <v t="i">3849</v>
    <v t="i">3850</v>
    <v t="i">3851</v>
    <v t="i">3852</v>
    <v t="i">3853</v>
    <v t="i">3857</v>
    <v t="i">3858</v>
    <v t="i">3859</v>
    <v t="i">3860</v>
    <v t="i">3863</v>
    <v t="i">3864</v>
    <v t="i">3865</v>
    <v t="i">3866</v>
    <v t="i">3867</v>
    <v t="i">3870</v>
    <v t="i">3871</v>
    <v t="i">3872</v>
    <v t="i">3873</v>
    <v t="i">3874</v>
    <v t="i">3877</v>
    <v t="i">3878</v>
    <v t="i">3879</v>
    <v t="i">3880</v>
    <v t="i">3881</v>
    <v t="i">3884</v>
    <v t="i">3885</v>
    <v t="i">3886</v>
    <v t="i">3887</v>
    <v t="i">3888</v>
    <v t="i">3891</v>
    <v t="i">3892</v>
    <v t="i">3893</v>
    <v t="i">3894</v>
    <v t="i">3895</v>
    <v t="i">3898</v>
    <v t="i">3899</v>
    <v t="i">3900</v>
    <v t="i">3901</v>
    <v t="i">3902</v>
    <v t="i">3905</v>
    <v t="i">3906</v>
    <v t="i">3907</v>
    <v t="i">3908</v>
    <v t="i">3909</v>
    <v t="i">3912</v>
    <v t="i">3913</v>
    <v t="i">3914</v>
    <v t="i">3915</v>
    <v t="i">3916</v>
    <v t="i">3919</v>
    <v t="i">3920</v>
    <v t="i">3921</v>
    <v t="i">3922</v>
    <v t="i">3923</v>
    <v t="i">3926</v>
    <v t="i">3927</v>
    <v t="i">3928</v>
    <v t="i">3929</v>
    <v t="i">3930</v>
    <v t="i">3933</v>
    <v t="i">3934</v>
    <v t="i">3935</v>
    <v t="i">3937</v>
    <v t="i">3940</v>
    <v t="i">3941</v>
    <v t="i">3942</v>
    <v t="i">3943</v>
    <v t="i">3944</v>
    <v t="i">3947</v>
    <v t="i">3948</v>
    <v t="i">3949</v>
    <v t="i">3950</v>
    <v t="i">3951</v>
    <v t="i">3954</v>
    <v t="i">3955</v>
    <v t="i">3956</v>
    <v t="i">3957</v>
    <v t="i">3958</v>
    <v t="i">3961</v>
    <v t="i">3962</v>
    <v t="i">3963</v>
    <v t="i">3964</v>
    <v t="i">3968</v>
    <v t="i">3969</v>
    <v t="i">3970</v>
    <v t="i">3971</v>
    <v t="i">3975</v>
    <v t="i">3976</v>
    <v t="i">3977</v>
    <v t="i">3978</v>
    <v t="i">3979</v>
    <v t="i">3982</v>
    <v t="i">3983</v>
    <v t="i">3984</v>
    <v t="i">3985</v>
    <v t="i">3986</v>
    <v t="i">3990</v>
    <v t="i">3991</v>
    <v t="i">3992</v>
    <v t="i">3993</v>
    <v t="i">3996</v>
    <v t="i">3997</v>
    <v t="i">3998</v>
    <v t="i">3999</v>
    <v t="i">4000</v>
    <v t="i">4003</v>
    <v t="i">4004</v>
    <v t="i">4005</v>
    <v t="i">4006</v>
    <v t="i">4007</v>
    <v t="i">4010</v>
    <v t="i">4011</v>
    <v t="i">4012</v>
    <v t="i">4013</v>
    <v t="i">4014</v>
    <v t="i">4018</v>
    <v t="i">4019</v>
    <v t="i">4020</v>
    <v t="i">4021</v>
    <v t="i">4024</v>
    <v t="i">4025</v>
    <v t="i">4026</v>
    <v t="i">4027</v>
    <v t="i">4028</v>
    <v t="i">4031</v>
    <v t="i">4032</v>
    <v t="i">4033</v>
    <v t="i">4034</v>
    <v t="i">4035</v>
    <v t="i">4038</v>
    <v t="i">4039</v>
    <v t="i">4040</v>
    <v t="i">4041</v>
    <v t="i">4042</v>
    <v t="i">4045</v>
    <v t="i">4046</v>
    <v t="i">4047</v>
    <v t="i">4048</v>
    <v t="i">4049</v>
    <v t="i">4052</v>
    <v t="i">4053</v>
    <v t="i">4054</v>
    <v t="i">4055</v>
    <v t="i">4056</v>
    <v t="i">4059</v>
    <v t="i">4060</v>
    <v t="i">4061</v>
    <v t="i">4062</v>
    <v t="i">4066</v>
    <v t="i">4067</v>
    <v t="i">4068</v>
    <v t="i">4069</v>
    <v t="i">4070</v>
    <v t="i">4073</v>
    <v t="i">4074</v>
    <v t="i">4075</v>
    <v t="i">4076</v>
    <v t="i">4077</v>
    <v t="i">4080</v>
    <v t="i">4081</v>
    <v t="i">4082</v>
    <v t="i">4083</v>
    <v t="i">4084</v>
    <v t="i">4087</v>
    <v t="i">4088</v>
    <v t="i">4089</v>
    <v t="i">4090</v>
    <v t="i">4091</v>
    <v t="i">4094</v>
    <v t="i">4095</v>
    <v t="i">4096</v>
    <v t="i">4097</v>
    <v t="i">4098</v>
    <v t="i">4101</v>
    <v t="i">4102</v>
    <v t="i">4103</v>
    <v t="i">4104</v>
    <v t="i">4105</v>
    <v t="i">4108</v>
    <v t="i">4109</v>
    <v t="i">4110</v>
    <v t="i">4111</v>
    <v t="i">4112</v>
    <v t="i">4115</v>
    <v t="i">4116</v>
    <v t="i">4117</v>
    <v t="i">4118</v>
    <v t="i">4119</v>
    <v t="i">4123</v>
    <v t="i">4124</v>
    <v t="i">4125</v>
    <v t="i">4126</v>
    <v t="i">4129</v>
    <v t="i">4130</v>
    <v t="i">4131</v>
    <v t="i">4132</v>
    <v t="i">4133</v>
    <v t="i">4136</v>
    <v t="i">4137</v>
    <v t="i">4138</v>
    <v t="i">4139</v>
    <v t="i">4140</v>
    <v t="i">4143</v>
    <v t="i">4144</v>
    <v t="i">4145</v>
    <v t="i">4146</v>
    <v t="i">4147</v>
    <v t="i">4150</v>
    <v t="i">4151</v>
    <v t="i">4152</v>
    <v t="i">4153</v>
    <v t="i">4154</v>
    <v t="i">4158</v>
    <v t="i">4159</v>
    <v t="i">4160</v>
    <v t="i">4161</v>
    <v t="i">4164</v>
    <v t="i">4165</v>
    <v t="i">4166</v>
    <v t="i">4167</v>
    <v t="i">4168</v>
    <v t="i">4171</v>
    <v t="i">4172</v>
    <v t="i">4173</v>
    <v t="i">4174</v>
    <v t="i">4175</v>
    <v t="i">4178</v>
    <v t="i">4179</v>
    <v t="i">4180</v>
    <v t="i">4181</v>
    <v t="i">4182</v>
    <v t="i">4185</v>
    <v t="i">4186</v>
    <v t="i">4187</v>
    <v t="i">4188</v>
    <v t="i">4189</v>
    <v t="i">4192</v>
    <v t="i">4193</v>
    <v t="i">4194</v>
    <v t="i">4195</v>
    <v t="i">4196</v>
    <v t="i">4199</v>
    <v t="i">4200</v>
    <v t="i">4201</v>
    <v t="i">4202</v>
    <v t="i">4203</v>
    <v t="i">4206</v>
    <v t="i">4207</v>
    <v t="i">4208</v>
    <v t="i">4209</v>
    <v t="i">4210</v>
    <v t="i">4213</v>
    <v t="i">4214</v>
    <v t="i">4215</v>
    <v t="i">4216</v>
    <v t="i">4217</v>
    <v t="i">4221</v>
    <v t="i">4222</v>
    <v t="i">4223</v>
    <v t="i">4224</v>
    <v t="i">4227</v>
    <v t="i">4228</v>
    <v t="i">4229</v>
    <v t="i">4230</v>
    <v t="i">4231</v>
    <v t="i">4234</v>
    <v t="i">4235</v>
    <v t="i">4236</v>
    <v t="i">4237</v>
    <v t="i">4238</v>
    <v t="i">4241</v>
    <v t="i">4242</v>
    <v t="i">4243</v>
    <v t="i">4244</v>
    <v t="i">4245</v>
    <v t="i">4248</v>
    <v t="i">4249</v>
    <v t="i">4250</v>
    <v t="i">4251</v>
    <v t="i">4252</v>
    <v t="i">4255</v>
    <v t="i">4256</v>
    <v t="i">4257</v>
    <v t="i">4258</v>
    <v t="i">4259</v>
    <v t="i">4262</v>
    <v t="i">4263</v>
    <v t="i">4264</v>
    <v t="i">4265</v>
    <v t="i">4266</v>
    <v t="i">4269</v>
    <v t="i">4270</v>
    <v t="i">4271</v>
    <v t="i">4272</v>
    <v t="i">4273</v>
    <v t="i">4276</v>
    <v t="i">4277</v>
    <v t="i">4278</v>
    <v t="i">4279</v>
    <v t="i">4280</v>
    <v t="i">4283</v>
    <v t="i">4284</v>
    <v t="i">4285</v>
    <v t="i">4286</v>
    <v t="i">4287</v>
    <v t="i">4290</v>
    <v t="i">4291</v>
    <v t="i">4292</v>
    <v t="i">4293</v>
    <v t="i">4294</v>
    <v t="i">4297</v>
    <v t="i">4298</v>
    <v t="i">4299</v>
    <v t="i">4301</v>
    <v t="i">4304</v>
    <v t="i">4305</v>
    <v t="i">4306</v>
    <v t="i">4307</v>
    <v t="i">4308</v>
    <v t="i">4311</v>
    <v t="i">4312</v>
    <v t="i">4313</v>
    <v t="i">4314</v>
    <v t="i">4315</v>
    <v t="i">4318</v>
    <v t="i">4319</v>
    <v t="i">4320</v>
    <v t="i">4321</v>
    <v t="i">4322</v>
    <v t="i">4325</v>
    <v t="i">4326</v>
    <v t="i">4327</v>
    <v t="i">4328</v>
    <v t="i">4332</v>
    <v t="i">4333</v>
    <v t="i">4334</v>
    <v t="i">4335</v>
    <v t="i">4336</v>
    <v t="i">4339</v>
    <v t="i">4340</v>
    <v t="i">4341</v>
    <v t="i">4342</v>
    <v t="i">4343</v>
    <v t="i">4346</v>
    <v t="i">4347</v>
    <v t="i">4348</v>
    <v t="i">4349</v>
    <v t="i">4350</v>
    <v t="i">4354</v>
    <v t="i">4355</v>
    <v t="i">4356</v>
    <v t="i">4357</v>
    <v t="i">4360</v>
    <v t="i">4361</v>
    <v t="i">4362</v>
    <v t="i">4363</v>
    <v t="i">4364</v>
    <v t="i">4367</v>
    <v t="i">4368</v>
    <v t="i">4369</v>
    <v t="i">4370</v>
    <v t="i">4371</v>
    <v t="i">4374</v>
    <v t="i">4375</v>
    <v t="i">4376</v>
    <v t="i">4377</v>
    <v t="i">4378</v>
    <v t="i">4381</v>
    <v t="i">4382</v>
    <v t="i">4383</v>
    <v t="i">4384</v>
    <v t="i">4385</v>
    <v t="i">4389</v>
    <v t="i">4390</v>
    <v t="i">4391</v>
    <v t="i">4392</v>
    <v t="i">4395</v>
    <v t="i">4396</v>
    <v t="i">4397</v>
    <v t="i">4398</v>
    <v t="i">4399</v>
    <v t="i">4402</v>
    <v t="i">4403</v>
    <v t="i">4404</v>
    <v t="i">4405</v>
    <v t="i">4406</v>
    <v t="i">4409</v>
    <v t="i">4410</v>
    <v t="i">4411</v>
    <v t="i">4412</v>
    <v t="i">4413</v>
    <v t="i">4416</v>
    <v t="i">4417</v>
    <v t="i">4418</v>
    <v t="i">4419</v>
    <v t="i">4420</v>
    <v t="i">4423</v>
    <v t="i">4424</v>
    <v t="i">4425</v>
    <v t="i">4426</v>
    <v t="i">4427</v>
    <v t="i">4430</v>
    <v t="i">4431</v>
    <v t="i">4432</v>
    <v t="i">4433</v>
    <v t="i">4434</v>
    <v t="i">4437</v>
    <v t="i">4438</v>
    <v t="i">4439</v>
    <v t="i">4440</v>
    <v t="i">4444</v>
    <v t="i">4445</v>
    <v t="i">4446</v>
    <v t="i">4447</v>
    <v t="i">4448</v>
    <v t="i">4451</v>
    <v t="i">4452</v>
    <v t="i">4453</v>
    <v t="i">4454</v>
    <v t="i">4455</v>
    <v t="i">4458</v>
    <v t="i">4459</v>
    <v t="i">4460</v>
    <v t="i">4461</v>
    <v t="i">4462</v>
    <v t="i">4465</v>
    <v t="i">4466</v>
    <v t="i">4467</v>
    <v t="i">4468</v>
    <v t="i">4469</v>
    <v t="i">4472</v>
    <v t="i">4473</v>
    <v t="i">4474</v>
    <v t="i">4475</v>
    <v t="i">4476</v>
    <v t="i">4479</v>
    <v t="i">4480</v>
    <v t="i">4481</v>
    <v t="i">4482</v>
    <v t="i">4483</v>
    <v t="i">4487</v>
    <v t="i">4488</v>
    <v t="i">4489</v>
    <v t="i">4490</v>
    <v t="i">4493</v>
    <v t="i">4494</v>
    <v t="i">4495</v>
    <v t="i">4496</v>
    <v t="i">4497</v>
    <v t="i">4500</v>
    <v t="i">4501</v>
    <v t="i">4502</v>
    <v t="i">4503</v>
    <v t="i">4504</v>
    <v t="i">4508</v>
    <v t="i">4509</v>
    <v t="i">4510</v>
    <v t="i">4511</v>
    <v t="i">4514</v>
    <v t="i">4515</v>
    <v t="i">4516</v>
    <v t="i">4517</v>
    <v t="i">4518</v>
    <v t="i">4522</v>
    <v t="i">4523</v>
    <v t="i">4524</v>
    <v t="i">4525</v>
    <v t="i">4528</v>
    <v t="i">4529</v>
    <v t="i">4530</v>
    <v t="i">4531</v>
    <v t="i">4532</v>
    <v t="i">4535</v>
    <v t="i">4536</v>
    <v t="i">4537</v>
    <v t="i">4538</v>
    <v t="i">4539</v>
    <v t="i">4542</v>
    <v t="i">4543</v>
    <v t="i">4544</v>
    <v t="i">4545</v>
    <v t="i">4546</v>
    <v t="i">4549</v>
    <v t="i">4550</v>
    <v t="i">4551</v>
    <v t="i">4552</v>
    <v t="i">4553</v>
    <v t="i">4556</v>
    <v t="i">4557</v>
    <v t="i">4558</v>
    <v t="i">4559</v>
    <v t="i">4560</v>
    <v t="i">4563</v>
    <v t="i">4564</v>
    <v t="i">4565</v>
    <v t="i">4566</v>
    <v t="i">4567</v>
    <v t="i">4570</v>
    <v t="i">4571</v>
    <v t="i">4572</v>
    <v t="i">4573</v>
    <v t="i">4574</v>
    <v t="i">4577</v>
    <v t="i">4578</v>
    <v t="i">4579</v>
    <v t="i">4580</v>
    <v t="i">4581</v>
    <v t="i">4585</v>
    <v t="i">4586</v>
    <v t="i">4587</v>
    <v t="i">4588</v>
    <v t="i">4591</v>
    <v t="i">4592</v>
    <v t="i">4593</v>
    <v t="i">4594</v>
    <v t="i">4595</v>
    <v t="i">4598</v>
    <v t="i">4599</v>
    <v t="i">4600</v>
    <v t="i">4601</v>
    <v t="i">4602</v>
    <v t="i">4605</v>
    <v t="i">4606</v>
    <v t="i">4607</v>
    <v t="i">4608</v>
    <v t="i">4609</v>
    <v t="i">4612</v>
    <v t="i">4613</v>
    <v t="i">4614</v>
    <v t="i">4615</v>
    <v t="i">4616</v>
    <v t="i">4619</v>
    <v t="i">4620</v>
    <v t="i">4621</v>
    <v t="i">4622</v>
    <v t="i">4623</v>
    <v t="i">4626</v>
    <v t="i">4627</v>
    <v t="i">4628</v>
    <v t="i">4629</v>
    <v t="i">4630</v>
    <v t="i">4633</v>
    <v t="i">4634</v>
    <v t="i">4635</v>
    <v t="i">4636</v>
    <v t="i">4637</v>
    <v t="i">4640</v>
    <v t="i">4641</v>
    <v t="i">4642</v>
    <v t="i">4643</v>
    <v t="i">4644</v>
    <v t="i">4647</v>
    <v t="i">4648</v>
    <v t="i">4649</v>
    <v t="i">4650</v>
    <v t="i">4651</v>
    <v t="i">4654</v>
    <v t="i">4655</v>
    <v t="i">4656</v>
    <v t="i">4657</v>
    <v t="i">4658</v>
    <v t="i">4661</v>
    <v t="i">4662</v>
    <v t="i">4663</v>
    <v t="i">4665</v>
    <v t="i">4668</v>
    <v t="i">4669</v>
    <v t="i">4670</v>
    <v t="i">4671</v>
    <v t="i">4672</v>
    <v t="i">4675</v>
    <v t="i">4676</v>
    <v t="i">4677</v>
    <v t="i">4678</v>
    <v t="i">4679</v>
    <v t="i">4682</v>
    <v t="i">4683</v>
    <v t="i">4684</v>
    <v t="i">4685</v>
    <v t="i">4686</v>
    <v t="i">4689</v>
    <v t="i">4690</v>
    <v t="i">4691</v>
    <v t="i">4692</v>
    <v t="i">4693</v>
    <v t="i">4697</v>
    <v t="i">4698</v>
    <v t="i">4699</v>
    <v t="i">4700</v>
    <v t="i">4704</v>
    <v t="i">4705</v>
    <v t="i">4706</v>
    <v t="i">4707</v>
    <v t="i">4710</v>
    <v t="i">4711</v>
    <v t="i">4712</v>
    <v t="i">4713</v>
    <v t="i">4714</v>
    <v t="i">4718</v>
    <v t="i">4719</v>
    <v t="i">4720</v>
    <v t="i">4721</v>
    <v t="i">4724</v>
    <v t="i">4725</v>
    <v t="i">4726</v>
    <v t="i">4727</v>
    <v t="i">4728</v>
    <v t="i">4731</v>
    <v t="i">4732</v>
    <v t="i">4733</v>
    <v t="i">4734</v>
    <v t="i">4735</v>
    <v t="i">4738</v>
    <v t="i">4739</v>
    <v t="i">4740</v>
    <v t="i">4741</v>
    <v t="i">4742</v>
    <v t="i">4745</v>
    <v t="i">4746</v>
    <v t="i">4747</v>
    <v t="i">4748</v>
    <v t="i">4749</v>
    <v t="i">4753</v>
    <v t="i">4754</v>
    <v t="i">4755</v>
    <v t="i">4756</v>
    <v t="i">4759</v>
    <v t="i">4760</v>
    <v t="i">4761</v>
    <v t="i">4762</v>
    <v t="i">4763</v>
    <v t="i">4766</v>
    <v t="i">4767</v>
    <v t="i">4768</v>
    <v t="i">4769</v>
    <v t="i">4770</v>
    <v t="i">4773</v>
    <v t="i">4774</v>
    <v t="i">4775</v>
    <v t="i">4776</v>
    <v t="i">4777</v>
    <v t="i">4780</v>
    <v t="i">4781</v>
    <v t="i">4782</v>
    <v t="i">4783</v>
    <v t="i">4784</v>
    <v t="i">4787</v>
    <v t="i">4788</v>
    <v t="i">4789</v>
    <v t="i">4790</v>
    <v t="i">4791</v>
    <v t="i">4794</v>
    <v t="i">4795</v>
    <v t="i">4796</v>
    <v t="i">4797</v>
    <v t="i">4801</v>
    <v t="i">4802</v>
    <v t="i">4803</v>
    <v t="i">4804</v>
    <v t="i">4805</v>
    <v t="i">4808</v>
    <v t="i">4809</v>
    <v t="i">4810</v>
    <v t="i">4811</v>
    <v t="i">4812</v>
    <v t="i">4815</v>
    <v t="i">4816</v>
    <v t="i">4817</v>
    <v t="i">4818</v>
    <v t="i">4819</v>
    <v t="i">4822</v>
    <v t="i">4823</v>
    <v t="i">4824</v>
    <v t="i">4825</v>
    <v t="i">4826</v>
    <v t="i">4829</v>
    <v t="i">4830</v>
    <v t="i">4831</v>
    <v t="i">4832</v>
    <v t="i">4833</v>
    <v t="i">4836</v>
    <v t="i">4837</v>
    <v t="i">4838</v>
    <v t="i">4839</v>
    <v t="i">4840</v>
    <v t="i">4843</v>
    <v t="i">4844</v>
    <v t="i">4845</v>
    <v t="i">4846</v>
    <v t="i">4847</v>
    <v t="i">4851</v>
    <v t="i">4852</v>
    <v t="i">4853</v>
    <v t="i">4854</v>
    <v t="i">4857</v>
    <v t="i">4858</v>
    <v t="i">4859</v>
    <v t="i">4860</v>
    <v t="i">4861</v>
    <v t="i">4864</v>
    <v t="i">4865</v>
    <v t="i">4866</v>
    <v t="i">4867</v>
    <v t="i">4868</v>
    <v t="i">4872</v>
    <v t="i">4873</v>
    <v t="i">4874</v>
    <v t="i">4875</v>
    <v t="i">4878</v>
    <v t="i">4879</v>
    <v t="i">4880</v>
    <v t="i">4881</v>
    <v t="i">4882</v>
    <v t="i">4885</v>
    <v t="i">4887</v>
    <v t="i">4888</v>
    <v t="i">4889</v>
    <v t="i">4892</v>
    <v t="i">4893</v>
    <v t="i">4894</v>
    <v t="i">4895</v>
    <v t="i">4896</v>
    <v t="i">4899</v>
    <v t="i">4900</v>
    <v t="i">4901</v>
    <v t="i">4902</v>
    <v t="i">4903</v>
    <v t="i">4906</v>
    <v t="i">4907</v>
    <v t="i">4908</v>
    <v t="i">4909</v>
    <v t="i">4910</v>
    <v t="i">4913</v>
    <v t="i">4914</v>
    <v t="i">4915</v>
    <v t="i">4916</v>
    <v t="i">4917</v>
    <v t="i">4920</v>
    <v t="i">4921</v>
    <v t="i">4922</v>
    <v t="i">4923</v>
    <v t="i">4924</v>
    <v t="i">4927</v>
    <v t="i">4928</v>
    <v t="i">4929</v>
    <v t="i">4930</v>
    <v t="i">4931</v>
    <v t="i">4934</v>
    <v t="i">4935</v>
    <v t="i">4936</v>
    <v t="i">4937</v>
    <v t="i">4938</v>
    <v t="i">4941</v>
    <v t="i">4942</v>
    <v t="i">4943</v>
    <v t="i">4944</v>
    <v t="i">4945</v>
    <v t="i">4949</v>
    <v t="i">4950</v>
    <v t="i">4951</v>
    <v t="i">4952</v>
    <v t="i">4955</v>
    <v t="i">4956</v>
    <v t="i">4957</v>
    <v t="i">4958</v>
    <v t="i">4959</v>
    <v t="i">4962</v>
    <v t="i">4963</v>
    <v t="i">4964</v>
    <v t="i">4965</v>
    <v t="i">4966</v>
    <v t="i">4969</v>
    <v t="i">4970</v>
    <v t="i">4971</v>
    <v t="i">4972</v>
    <v t="i">4973</v>
    <v t="i">4976</v>
    <v t="i">4977</v>
    <v t="i">4978</v>
    <v t="i">4979</v>
    <v t="i">4980</v>
    <v t="i">4983</v>
    <v t="i">4984</v>
    <v t="i">4985</v>
    <v t="i">4986</v>
    <v t="i">4987</v>
    <v t="i">4990</v>
    <v t="i">4991</v>
    <v t="i">4992</v>
    <v t="i">4993</v>
    <v t="i">4994</v>
    <v t="i">4997</v>
    <v t="i">4998</v>
    <v t="i">4999</v>
    <v t="i">5000</v>
    <v t="i">5001</v>
    <v t="i">5004</v>
    <v t="i">5005</v>
    <v t="i">5006</v>
    <v t="i">5007</v>
    <v t="i">5008</v>
    <v t="i">5011</v>
    <v t="i">5012</v>
    <v t="i">5013</v>
    <v t="i">5014</v>
    <v t="i">5015</v>
    <v t="i">5018</v>
    <v t="i">5019</v>
    <v t="i">5020</v>
    <v t="i">5021</v>
    <v t="i">5022</v>
    <v t="i">5025</v>
    <v t="i">5026</v>
    <v t="i">5027</v>
    <v t="i">5029</v>
    <v t="i">5032</v>
    <v t="i">5033</v>
    <v t="i">5034</v>
    <v t="i">5035</v>
    <v t="i">5036</v>
    <v t="i">5039</v>
    <v t="i">5040</v>
    <v t="i">5041</v>
    <v t="i">5042</v>
    <v t="i">5043</v>
    <v t="i">5046</v>
    <v t="i">5047</v>
    <v t="i">5048</v>
    <v t="i">5049</v>
    <v t="i">5050</v>
    <v t="i">5053</v>
    <v t="i">5054</v>
    <v t="i">5055</v>
    <v t="i">5056</v>
    <v t="i">5057</v>
    <v t="i">5061</v>
    <v t="i">5062</v>
    <v t="i">5063</v>
    <v t="i">5064</v>
    <v t="i">5068</v>
    <v t="i">5069</v>
    <v t="i">5070</v>
    <v t="i">5071</v>
    <v t="i">5074</v>
    <v t="i">5075</v>
    <v t="i">5076</v>
    <v t="i">5077</v>
    <v t="i">5078</v>
    <v t="i">5082</v>
    <v t="i">5083</v>
    <v t="i">5084</v>
    <v t="i">5085</v>
    <v t="i">5088</v>
    <v t="i">5089</v>
    <v t="i">5090</v>
    <v t="i">5091</v>
    <v t="i">5092</v>
    <v t="i">5095</v>
    <v t="i">5096</v>
    <v t="i">5097</v>
    <v t="i">5098</v>
    <v t="i">5099</v>
    <v t="i">5102</v>
    <v t="i">5103</v>
    <v t="i">5104</v>
    <v t="i">5105</v>
    <v t="i">5106</v>
    <v t="i">5109</v>
    <v t="i">5110</v>
    <v t="i">5111</v>
    <v t="i">5112</v>
    <v t="i">5113</v>
    <v t="i">5117</v>
    <v t="i">5118</v>
    <v t="i">5119</v>
    <v t="i">5120</v>
    <v t="i">5123</v>
    <v t="i">5124</v>
    <v t="i">5125</v>
    <v t="i">5126</v>
    <v t="i">5127</v>
    <v t="i">5130</v>
    <v t="i">5131</v>
    <v t="i">5132</v>
    <v t="i">5133</v>
    <v t="i">5134</v>
    <v t="i">5137</v>
    <v t="i">5138</v>
    <v t="i">5139</v>
    <v t="i">5140</v>
    <v t="i">5141</v>
    <v t="i">5144</v>
    <v t="i">5145</v>
    <v t="i">5146</v>
    <v t="i">5147</v>
    <v t="i">5148</v>
    <v t="i">5151</v>
    <v t="i">5152</v>
    <v t="i">5153</v>
    <v t="i">5154</v>
    <v t="i">5158</v>
    <v t="i">5159</v>
    <v t="i">5160</v>
    <v t="i">5161</v>
    <v t="i">5162</v>
    <v t="i">5165</v>
    <v t="i">5166</v>
    <v t="i">5167</v>
    <v t="i">5168</v>
    <v t="i">5169</v>
    <v t="i">5172</v>
    <v t="i">5173</v>
    <v t="i">5174</v>
    <v t="i">5175</v>
    <v t="i">5176</v>
    <v t="i">5179</v>
    <v t="i">5180</v>
    <v t="i">5181</v>
    <v t="i">5182</v>
    <v t="i">5183</v>
    <v t="i">5186</v>
    <v t="i">5187</v>
    <v t="i">5188</v>
    <v t="i">5189</v>
    <v t="i">5190</v>
    <v t="i">5193</v>
    <v t="i">5194</v>
    <v t="i">5195</v>
    <v t="i">5196</v>
    <v t="i">5197</v>
    <v t="i">5200</v>
    <v t="i">5201</v>
    <v t="i">5202</v>
    <v t="i">5203</v>
    <v t="i">5204</v>
    <v t="i">5207</v>
    <v t="i">5208</v>
    <v t="i">5209</v>
    <v t="i">5210</v>
    <v t="i">5211</v>
    <v t="i">5215</v>
    <v t="i">5216</v>
    <v t="i">5217</v>
    <v t="i">5218</v>
    <v t="i">5221</v>
    <v t="i">5222</v>
    <v t="i">5223</v>
    <v t="i">5224</v>
    <v t="i">5225</v>
    <v t="i">5228</v>
    <v t="i">5229</v>
    <v t="i">5230</v>
    <v t="i">5231</v>
    <v t="i">5232</v>
    <v t="i">5235</v>
    <v t="i">5236</v>
    <v t="i">5238</v>
    <v t="i">5239</v>
    <v t="i">5242</v>
    <v t="i">5243</v>
    <v t="i">5244</v>
    <v t="i">5245</v>
    <v t="i">5246</v>
    <v t="i">5249</v>
    <v t="i">5250</v>
    <v t="i">5251</v>
    <v t="i">5253</v>
    <v t="i">5256</v>
    <v t="i">5257</v>
    <v t="i">5258</v>
    <v t="i">5259</v>
    <v t="i">5260</v>
    <v t="i">5263</v>
    <v t="i">5264</v>
    <v t="i">5265</v>
    <v t="i">5266</v>
    <v t="i">5267</v>
    <v t="i">5270</v>
    <v t="i">5271</v>
    <v t="i">5272</v>
    <v t="i">5273</v>
    <v t="i">5274</v>
    <v t="i">5277</v>
    <v t="i">5278</v>
    <v t="i">5279</v>
    <v t="i">5280</v>
    <v t="i">5281</v>
    <v t="i">5284</v>
    <v t="i">5285</v>
    <v t="i">5286</v>
    <v t="i">5287</v>
    <v t="i">5288</v>
    <v t="i">5291</v>
    <v t="i">5292</v>
    <v t="i">5293</v>
    <v t="i">5294</v>
    <v t="i">5295</v>
    <v t="i">5298</v>
    <v t="i">5299</v>
    <v t="i">5300</v>
    <v t="i">5301</v>
    <v t="i">5302</v>
    <v t="i">5305</v>
    <v t="i">5306</v>
    <v t="i">5307</v>
    <v t="i">5308</v>
    <v t="i">5309</v>
    <v t="i">5313</v>
    <v t="i">5314</v>
    <v t="i">5315</v>
    <v t="i">5316</v>
    <v t="i">5319</v>
    <v t="i">5320</v>
    <v t="i">5321</v>
    <v t="i">5322</v>
    <v t="i">5323</v>
    <v t="i">5326</v>
    <v t="i">5327</v>
    <v t="i">5328</v>
    <v t="i">5329</v>
    <v t="i">5330</v>
    <v t="i">5333</v>
    <v t="i">5334</v>
    <v t="i">5335</v>
    <v t="i">5336</v>
    <v t="i">5337</v>
    <v t="i">5340</v>
    <v t="i">5341</v>
    <v t="i">5342</v>
    <v t="i">5343</v>
    <v t="i">5344</v>
    <v t="i">5347</v>
    <v t="i">5348</v>
    <v t="i">5349</v>
    <v t="i">5350</v>
    <v t="i">5351</v>
    <v t="i">5354</v>
    <v t="i">5355</v>
    <v t="i">5356</v>
    <v t="i">5357</v>
    <v t="i">5358</v>
    <v t="i">5361</v>
    <v t="i">5362</v>
    <v t="i">5363</v>
    <v t="i">5364</v>
    <v t="i">5365</v>
    <v t="i">5368</v>
    <v t="i">5369</v>
    <v t="i">5370</v>
    <v t="i">5371</v>
    <v t="i">5372</v>
    <v t="i">5375</v>
    <v t="i">5376</v>
    <v t="i">5377</v>
    <v t="i">5378</v>
    <v t="i">5379</v>
    <v t="i">5382</v>
    <v t="i">5383</v>
    <v t="i">5384</v>
    <v t="i">5385</v>
    <v t="i">5386</v>
    <v t="i">5389</v>
    <v t="i">5390</v>
    <v t="i">5391</v>
    <v t="i">5392</v>
    <v t="i">5393</v>
    <v t="i">5396</v>
    <v t="i">5397</v>
    <v t="i">5398</v>
    <v t="i">5400</v>
    <v t="i">5403</v>
    <v t="i">5404</v>
    <v t="i">5405</v>
    <v t="i">5406</v>
    <v t="i">5407</v>
    <v t="i">5410</v>
    <v t="i">5411</v>
    <v t="i">5412</v>
    <v t="i">5413</v>
    <v t="i">5414</v>
    <v t="i">5417</v>
    <v t="i">5418</v>
    <v t="i">5419</v>
    <v t="i">5420</v>
    <v t="i">5421</v>
    <v t="i">5424</v>
    <v t="i">5425</v>
    <v t="i">5427</v>
    <v t="i">5428</v>
    <v t="i">5431</v>
    <v t="i">5432</v>
    <v t="i">5434</v>
    <v t="i">5435</v>
    <v t="i">5438</v>
    <v t="i">5439</v>
    <v t="i">5440</v>
    <v t="i">5442</v>
    <v t="i">5445</v>
    <v t="i">5446</v>
    <v t="i">5447</v>
    <v t="i">5448</v>
    <v t="i">5449</v>
    <v t="i">5453</v>
    <v t="i">5454</v>
    <v t="i">5455</v>
    <v t="i">5456</v>
    <v t="i">5459</v>
    <v t="i">5460</v>
    <v t="i">5461</v>
    <v t="i">5462</v>
    <v t="i">5463</v>
    <v t="i">5466</v>
    <v t="i">5467</v>
    <v t="i">5468</v>
    <v t="i">5469</v>
    <v t="i">5470</v>
    <v t="i">5473</v>
    <v t="i">5474</v>
    <v t="i">5475</v>
    <v t="i">5476</v>
    <v t="i">5477</v>
  </a>
  <a r="1" c="3774">
    <v>8.2799999999999994</v>
    <v>8.27</v>
    <v>8.25</v>
    <v>8.36</v>
    <v>8.375</v>
    <v>8.41</v>
    <v>8.4749999999999996</v>
    <v>8.4450000000000003</v>
    <v>8.39</v>
    <v>8.42</v>
    <v>8.4600000000000009</v>
    <v>8.5399999999999991</v>
    <v>8.59</v>
    <v>8.68</v>
    <v>8.6549999999999994</v>
    <v>8.7200000000000006</v>
    <v>8.7750000000000004</v>
    <v>8.84</v>
    <v>8.8350000000000009</v>
    <v>8.85</v>
    <v>8.8699999999999992</v>
    <v>8.94</v>
    <v>8.9649999999999999</v>
    <v>8.99</v>
    <v>8.9550000000000001</v>
    <v>9</v>
    <v>8.98</v>
    <v>8.93</v>
    <v>8.9049999999999994</v>
    <v>8.9149999999999991</v>
    <v>8.99</v>
    <v>8.9600000000000009</v>
    <v>8.8650000000000002</v>
    <v>8.8949999999999996</v>
    <v>8.9550000000000001</v>
    <v>8.9949999999999992</v>
    <v>9.0500000000000007</v>
    <v>9.15</v>
    <v>9.2050000000000001</v>
    <v>9.2899999999999991</v>
    <v>9.3949999999999996</v>
    <v>9.4250000000000007</v>
    <v>9.2949999999999999</v>
    <v>9.4499999999999993</v>
    <v>9.77</v>
    <v>9.73</v>
    <v>9.8949999999999996</v>
    <v>10.015000000000001</v>
    <v>9.9250000000000007</v>
    <v>9.85</v>
    <v>9.9049999999999994</v>
    <v>10.125</v>
    <v>10.07</v>
    <v>10.074999999999999</v>
    <v>10.015000000000001</v>
    <v>9.8800000000000008</v>
    <v>9.4949999999999992</v>
    <v>9.5050000000000008</v>
    <v>9.73</v>
    <v>9.7850000000000001</v>
    <v>9.9149999999999991</v>
    <v>9.91</v>
    <v>9.76</v>
    <v>9.8800000000000008</v>
    <v>9.7650000000000006</v>
    <v>9.8149999999999995</v>
    <v>9.5350000000000001</v>
    <v>9.5500000000000007</v>
    <v>9.5649999999999995</v>
    <v>9.49</v>
    <v>9.5449999999999999</v>
    <v>9.8650000000000002</v>
    <v>9.8000000000000007</v>
    <v>9.68</v>
    <v>9.7899999999999991</v>
    <v>9.9149999999999991</v>
    <v>9.65</v>
    <v>9.4749999999999996</v>
    <v>9.5150000000000006</v>
    <v>9.3849999999999998</v>
    <v>9.7949999999999999</v>
    <v>9.8550000000000004</v>
    <v>10</v>
    <v>10.195</v>
    <v>10.130000000000001</v>
    <v>10.09</v>
    <v>10.105</v>
    <v>10.06</v>
    <v>9.9250000000000007</v>
    <v>9.89</v>
    <v>9.8550000000000004</v>
    <v>9.8949999999999996</v>
    <v>9.9049999999999994</v>
    <v>9.6750000000000007</v>
    <v>9.57</v>
    <v>9.57</v>
    <v>9.4499999999999993</v>
    <v>9.48</v>
    <v>9.6349999999999998</v>
    <v>9.6850000000000005</v>
    <v>9.7349999999999994</v>
    <v>9.65</v>
    <v>9.9600000000000009</v>
    <v>9.83</v>
    <v>9.7349999999999994</v>
    <v>9.4749999999999996</v>
    <v>9.5350000000000001</v>
    <v>10</v>
    <v>9.7249999999999996</v>
    <v>10.045</v>
    <v>10.095000000000001</v>
    <v>10.115</v>
    <v>10</v>
    <v>9.9949999999999992</v>
    <v>9.9649999999999999</v>
    <v>10.01</v>
    <v>10.06</v>
    <v>9.9450000000000003</v>
    <v>10.06</v>
    <v>10.039999999999999</v>
    <v>10.035</v>
    <v>10.25</v>
    <v>10.130000000000001</v>
    <v>9.8800000000000008</v>
    <v>9.7650000000000006</v>
    <v>9.6999999999999993</v>
    <v>9.6950000000000003</v>
    <v>9.8350000000000009</v>
    <v>9.9</v>
    <v>9.7650000000000006</v>
    <v>9.74</v>
    <v>9.7550000000000008</v>
    <v>9.6449999999999996</v>
    <v>9.6199999999999992</v>
    <v>9.5850000000000009</v>
    <v>9.7650000000000006</v>
    <v>9.57</v>
    <v>9.52</v>
    <v>9.69</v>
    <v>9.9350000000000005</v>
    <v>9.92</v>
    <v>9.7449999999999992</v>
    <v>9.77</v>
    <v>9.9049999999999994</v>
    <v>9.9749999999999996</v>
    <v>10.074999999999999</v>
    <v>10.085000000000001</v>
    <v>10.095000000000001</v>
    <v>10.085000000000001</v>
    <v>10.14</v>
    <v>10.17</v>
    <v>10.17</v>
    <v>10.02</v>
    <v>9.875</v>
    <v>10.08</v>
    <v>9.9250000000000007</v>
    <v>9.8450000000000006</v>
    <v>9.9350000000000005</v>
    <v>10.095000000000001</v>
    <v>10.085000000000001</v>
    <v>9.98</v>
    <v>10.135</v>
    <v>10.185</v>
    <v>10.220000000000001</v>
    <v>10.154999999999999</v>
    <v>10.16</v>
    <v>10.234999999999999</v>
    <v>10.345000000000001</v>
    <v>10.305</v>
    <v>10.37</v>
    <v>10.365</v>
    <v>10.75</v>
    <v>10.87</v>
    <v>10.875</v>
    <v>11.045</v>
    <v>11.035</v>
    <v>11.135</v>
    <v>11.17</v>
    <v>11.18</v>
    <v>11.145</v>
    <v>11.115</v>
    <v>11.105</v>
    <v>11.23</v>
    <v>11.49</v>
    <v>11.515000000000001</v>
    <v>11.515000000000001</v>
    <v>11.345000000000001</v>
    <v>11.45</v>
    <v>11.385</v>
    <v>11.28</v>
    <v>11.43</v>
    <v>11.195</v>
    <v>11.22</v>
    <v>11.404999999999999</v>
    <v>11.265000000000001</v>
    <v>11.27</v>
    <v>11.305</v>
    <v>11.53</v>
    <v>11.36</v>
    <v>11.46</v>
    <v>11.435</v>
    <v>11.74</v>
    <v>11.9</v>
    <v>11.72</v>
    <v>11.57</v>
    <v>11.55</v>
    <v>11.73</v>
    <v>11.75</v>
    <v>11.865</v>
    <v>11.925000000000001</v>
    <v>12.03</v>
    <v>11.93</v>
    <v>11.95</v>
    <v>11.975</v>
    <v>11.965</v>
    <v>12.05</v>
    <v>12.1</v>
    <v>12.035</v>
    <v>12.08</v>
    <v>12.065</v>
    <v>12.095000000000001</v>
    <v>12.06</v>
    <v>11.97</v>
    <v>12.28</v>
    <v>11.935</v>
    <v>12.065</v>
    <v>12.14</v>
    <v>12.07</v>
    <v>12.19</v>
    <v>12.27</v>
    <v>12.244999999999999</v>
    <v>12.18</v>
    <v>12.324999999999999</v>
    <v>12.41</v>
    <v>12.305</v>
    <v>12.25</v>
    <v>12.18</v>
    <v>12.22</v>
    <v>12.49</v>
    <v>12.494999999999999</v>
    <v>12.45</v>
    <v>12.35</v>
    <v>12.38</v>
    <v>12.375</v>
    <v>12.23</v>
    <v>12.21</v>
    <v>12.33</v>
    <v>12.335000000000001</v>
    <v>12.47</v>
    <v>12.615</v>
    <v>12.55</v>
    <v>12.62</v>
    <v>12.66</v>
    <v>12.95</v>
    <v>13.095000000000001</v>
    <v>13.215</v>
    <v>13.255000000000001</v>
    <v>13.11</v>
    <v>12.9</v>
    <v>12.875</v>
    <v>13.11</v>
    <v>13.07</v>
    <v>12.865</v>
    <v>12.664999999999999</v>
    <v>12.96</v>
    <v>12.67</v>
    <v>12.63</v>
    <v>12.855</v>
    <v>12.664999999999999</v>
    <v>12.46</v>
    <v>12.71</v>
    <v>12.664999999999999</v>
    <v>12.535</v>
    <v>12.48</v>
    <v>12.44</v>
    <v>12.44</v>
    <v>12.52</v>
    <v>12.44</v>
    <v>12.455</v>
    <v>12.42</v>
    <v>12.545</v>
    <v>12.525</v>
    <v>12.615</v>
    <v>12.82</v>
    <v>12.9</v>
    <v>13.15</v>
    <v>13.324999999999999</v>
    <v>13.39</v>
    <v>13.38</v>
    <v>13.455</v>
    <v>13.265000000000001</v>
    <v>13.24</v>
    <v>13.07</v>
    <v>13.185</v>
    <v>13.074999999999999</v>
    <v>13.07</v>
    <v>12.98</v>
    <v>12.565</v>
    <v>12.65</v>
    <v>12.574999999999999</v>
    <v>12.51</v>
    <v>12.56</v>
    <v>12.595000000000001</v>
    <v>12.86</v>
    <v>12.925000000000001</v>
    <v>12.74</v>
    <v>12.7</v>
    <v>12.68</v>
    <v>12.62</v>
    <v>12.7</v>
    <v>12.685</v>
    <v>12.8</v>
    <v>12.69</v>
    <v>12.86</v>
    <v>12.805</v>
    <v>13.005000000000001</v>
    <v>12.855</v>
    <v>13.125</v>
    <v>13.055</v>
    <v>12.955</v>
    <v>12.805</v>
    <v>12.83</v>
    <v>12.87</v>
    <v>13</v>
    <v>13.04</v>
    <v>13.195</v>
    <v>12.92</v>
    <v>13.015000000000001</v>
    <v>12.98</v>
    <v>12.925000000000001</v>
    <v>12.895</v>
    <v>12.734999999999999</v>
    <v>12.73</v>
    <v>12.545</v>
    <v>12.57</v>
    <v>12.695</v>
    <v>12.505000000000001</v>
    <v>12.555</v>
    <v>12.51</v>
    <v>12.545</v>
    <v>12.895</v>
    <v>12.82</v>
    <v>12.815</v>
    <v>12.59</v>
    <v>12.56</v>
    <v>12.58</v>
    <v>12.76</v>
    <v>12.83</v>
    <v>12.94</v>
    <v>12.81</v>
    <v>12.89</v>
    <v>13.03</v>
    <v>12.94</v>
    <v>12.64</v>
    <v>12.645</v>
    <v>12.585000000000001</v>
    <v>12.404999999999999</v>
    <v>12.21</v>
    <v>11.92</v>
    <v>11</v>
    <v>10.835000000000001</v>
    <v>11.01</v>
    <v>10.9</v>
    <v>10.92</v>
    <v>11.03</v>
    <v>11.07</v>
    <v>10.95</v>
    <v>10.904999999999999</v>
    <v>10.85</v>
    <v>10.625</v>
    <v>10.73</v>
    <v>10.44</v>
    <v>10.095000000000001</v>
    <v>9.19</v>
    <v>9.6300000000000008</v>
    <v>9.27</v>
    <v>9.8149999999999995</v>
    <v>9.7249999999999996</v>
    <v>9.98</v>
    <v>9.9049999999999994</v>
    <v>10.035</v>
    <v>9.58</v>
    <v>9.58</v>
    <v>9.6549999999999994</v>
    <v>9.9700000000000006</v>
    <v>10.065</v>
    <v>9.9749999999999996</v>
    <v>10.215</v>
    <v>10.505000000000001</v>
    <v>10.484999999999999</v>
    <v>10.505000000000001</v>
    <v>10.34</v>
    <v>9.9849999999999994</v>
    <v>9.8550000000000004</v>
    <v>10.135</v>
    <v>9.9649999999999999</v>
    <v>9.7949999999999999</v>
    <v>9.68</v>
    <v>9.58</v>
    <v>9.4949999999999992</v>
    <v>9.5150000000000006</v>
    <v>9.5050000000000008</v>
    <v>9.31</v>
    <v>9.3049999999999997</v>
    <v>9.0250000000000004</v>
    <v>8.6999999999999993</v>
    <v>8.7750000000000004</v>
    <v>9.08</v>
    <v>9.24</v>
    <v>8.9499999999999993</v>
    <v>9.1</v>
    <v>8.9</v>
    <v>8.5</v>
    <v>8.86</v>
    <v>8.9600000000000009</v>
    <v>9.08</v>
    <v>8.8249999999999993</v>
    <v>9.14</v>
    <v>9.08</v>
    <v>9.1</v>
    <v>9.2349999999999994</v>
    <v>9.2200000000000006</v>
    <v>8.9649999999999999</v>
    <v>9.8350000000000009</v>
    <v>10</v>
    <v>10.305</v>
    <v>10.75</v>
    <v>11.115</v>
    <v>10.9</v>
    <v>11.145</v>
    <v>11.41</v>
    <v>11.32</v>
    <v>11.04</v>
    <v>10.74</v>
    <v>10.984999999999999</v>
    <v>11.085000000000001</v>
    <v>10.955</v>
    <v>10.885</v>
    <v>11.09</v>
    <v>10.8</v>
    <v>10.86</v>
    <v>11.085000000000001</v>
    <v>10.86</v>
    <v>10.81</v>
    <v>10.595000000000001</v>
    <v>10.5</v>
    <v>10.535</v>
    <v>10.23</v>
    <v>10.095000000000001</v>
    <v>9.8550000000000004</v>
    <v>9.875</v>
    <v>10.065</v>
    <v>10</v>
    <v>10.43</v>
    <v>10.505000000000001</v>
    <v>10.61</v>
    <v>10.73</v>
    <v>10.73</v>
    <v>10.73</v>
    <v>10.635</v>
    <v>10.895</v>
    <v>10.93</v>
    <v>10.9</v>
    <v>10.865</v>
    <v>10.88</v>
    <v>10.935</v>
    <v>10.795</v>
    <v>11.11</v>
    <v>11.125</v>
    <v>11.19</v>
    <v>11.255000000000001</v>
    <v>11.195</v>
    <v>11.085000000000001</v>
    <v>11.315</v>
    <v>11.315</v>
    <v>11.365</v>
    <v>11.145</v>
    <v>11.185</v>
    <v>11.2</v>
    <v>11.29</v>
    <v>11.455</v>
    <v>11.545</v>
    <v>11.465</v>
    <v>11.4</v>
    <v>11.3</v>
    <v>11.45</v>
    <v>11.37</v>
    <v>11.57</v>
    <v>11.57</v>
    <v>11.555</v>
    <v>11.615</v>
    <v>11.595000000000001</v>
    <v>11.57</v>
    <v>11.414999999999999</v>
    <v>11.39</v>
    <v>11.66</v>
    <v>11.775</v>
    <v>11.675000000000001</v>
    <v>12.255000000000001</v>
    <v>12.27</v>
    <v>12.315</v>
    <v>12.435</v>
    <v>12.38</v>
    <v>12.414999999999999</v>
    <v>12.19</v>
    <v>12.03</v>
    <v>12.125</v>
    <v>12.13</v>
    <v>12.02</v>
    <v>11.98</v>
    <v>11.99</v>
    <v>11.994999999999999</v>
    <v>11.885</v>
    <v>11.845000000000001</v>
    <v>11.815</v>
    <v>12.005000000000001</v>
    <v>11.935</v>
    <v>11.965</v>
    <v>11.83</v>
    <v>11.78</v>
    <v>11.86</v>
    <v>11.93</v>
    <v>11.94</v>
    <v>12.08</v>
    <v>12.035</v>
    <v>12.17</v>
    <v>12.135</v>
    <v>12.005000000000001</v>
    <v>11.97</v>
    <v>11.925000000000001</v>
    <v>11.755000000000001</v>
    <v>11.805</v>
    <v>11.945</v>
    <v>11.835000000000001</v>
    <v>11.935</v>
    <v>11.914999999999999</v>
    <v>11.89</v>
    <v>11.945</v>
    <v>12.135</v>
    <v>12.42</v>
    <v>12.265000000000001</v>
    <v>12.02</v>
    <v>11.74</v>
    <v>11.86</v>
    <v>11.96</v>
    <v>11.744999999999999</v>
    <v>12.02</v>
    <v>12.72</v>
    <v>12.675000000000001</v>
    <v>12.945</v>
    <v>13.03</v>
    <v>13.025</v>
    <v>13.255000000000001</v>
    <v>13.385</v>
    <v>13.525</v>
    <v>13.61</v>
    <v>13.484999999999999</v>
    <v>13.585000000000001</v>
    <v>13.47</v>
    <v>13.43</v>
    <v>13.265000000000001</v>
    <v>13.205</v>
    <v>13.15</v>
    <v>13.47</v>
    <v>13.355</v>
    <v>13.24</v>
    <v>13.125</v>
    <v>13.08</v>
    <v>12.86</v>
    <v>12.63</v>
    <v>12.615</v>
    <v>12.645</v>
    <v>12.67</v>
    <v>12.77</v>
    <v>12.93</v>
    <v>12.845000000000001</v>
    <v>12.984999999999999</v>
    <v>12.8</v>
    <v>12.8</v>
    <v>12.685</v>
    <v>12.55</v>
    <v>12.675000000000001</v>
    <v>12.95</v>
    <v>12.885</v>
    <v>12.99</v>
    <v>12.74</v>
    <v>12.984999999999999</v>
    <v>13.105</v>
    <v>13.315</v>
    <v>13.225</v>
    <v>13.185</v>
    <v>13.3</v>
    <v>13.295</v>
    <v>13.17</v>
    <v>13.345000000000001</v>
    <v>12.984999999999999</v>
    <v>13.215</v>
    <v>13.34</v>
    <v>13.465</v>
    <v>13.635</v>
    <v>13.71</v>
    <v>13.805</v>
    <v>13.82</v>
    <v>13.64</v>
    <v>13.59</v>
    <v>13.574999999999999</v>
    <v>13.595000000000001</v>
    <v>13.57</v>
    <v>13.645</v>
    <v>13.35</v>
    <v>13.38</v>
    <v>13.345000000000001</v>
    <v>13.105</v>
    <v>12.935</v>
    <v>12.824999999999999</v>
    <v>12.6</v>
    <v>12.64</v>
    <v>12.675000000000001</v>
    <v>12.904999999999999</v>
    <v>12.85</v>
    <v>12.62</v>
    <v>12.595000000000001</v>
    <v>12.654999999999999</v>
    <v>12.76</v>
    <v>12.725</v>
    <v>12.64</v>
    <v>12.51</v>
    <v>12.52</v>
    <v>12.515000000000001</v>
    <v>12.42</v>
    <v>12.61</v>
    <v>12.824999999999999</v>
    <v>12.824999999999999</v>
    <v>12.83</v>
    <v>12.75</v>
    <v>12.75</v>
    <v>12.91</v>
    <v>12.84</v>
    <v>12.91</v>
    <v>12.955</v>
    <v>12.98</v>
    <v>12.914999999999999</v>
    <v>13.06</v>
    <v>13.12</v>
    <v>13.14</v>
    <v>13.095000000000001</v>
    <v>13.244999999999999</v>
    <v>13.13</v>
    <v>12.855</v>
    <v>13.145</v>
    <v>13.234999999999999</v>
    <v>13.335000000000001</v>
    <v>13.335000000000001</v>
    <v>13.26</v>
    <v>13.07</v>
    <v>13.265000000000001</v>
    <v>13.195</v>
    <v>13.19</v>
    <v>13.09</v>
    <v>13.055</v>
    <v>12.984999999999999</v>
    <v>13.065</v>
    <v>13.035</v>
    <v>13.04</v>
    <v>13.115</v>
    <v>13.33</v>
    <v>13.48</v>
    <v>13.484999999999999</v>
    <v>13.505000000000001</v>
    <v>13.33</v>
    <v>13.38</v>
    <v>13.335000000000001</v>
    <v>13.125</v>
    <v>13.15</v>
    <v>12.84</v>
    <v>12.744999999999999</v>
    <v>12.73</v>
    <v>12.62</v>
    <v>12.67</v>
    <v>12.615</v>
    <v>12.574999999999999</v>
    <v>12.654999999999999</v>
    <v>12.65</v>
    <v>12.775</v>
    <v>12.855</v>
    <v>12.824999999999999</v>
    <v>12.945</v>
    <v>13.154999999999999</v>
    <v>13.03</v>
    <v>13.07</v>
    <v>13.04</v>
    <v>12.955</v>
    <v>12.935</v>
    <v>12.835000000000001</v>
    <v>13.025</v>
    <v>12.96</v>
    <v>13.074999999999999</v>
    <v>13.225</v>
    <v>13.275</v>
    <v>13.46</v>
    <v>13.32</v>
    <v>13.14</v>
    <v>13.074999999999999</v>
    <v>13.2</v>
    <v>13.42</v>
    <v>13.375</v>
    <v>13.24</v>
    <v>13.205</v>
    <v>13.19</v>
    <v>13.145</v>
    <v>13.08</v>
    <v>13.07</v>
    <v>12.935</v>
    <v>13.085000000000001</v>
    <v>12.885</v>
    <v>13.06</v>
    <v>13.13</v>
    <v>12.984999999999999</v>
    <v>12.95</v>
    <v>12.82</v>
    <v>12.875</v>
    <v>12.755000000000001</v>
    <v>12.685</v>
    <v>12.66</v>
    <v>12.73</v>
    <v>13.085000000000001</v>
    <v>13.154999999999999</v>
    <v>13.35</v>
    <v>13.31</v>
    <v>13.28</v>
    <v>13.175000000000001</v>
    <v>13.3</v>
    <v>13.14</v>
    <v>13.195</v>
    <v>13.29</v>
    <v>13.29</v>
    <v>13.46</v>
    <v>13.39</v>
    <v>13.67</v>
    <v>13.75</v>
    <v>13.685</v>
    <v>13.565</v>
    <v>13.565</v>
    <v>13.645</v>
    <v>13.675000000000001</v>
    <v>13.67</v>
    <v>13.744999999999999</v>
    <v>14.484999999999999</v>
    <v>14.69</v>
    <v>14.715</v>
    <v>14.645</v>
    <v>14.535</v>
    <v>14.565</v>
    <v>14.605</v>
    <v>14.734999999999999</v>
    <v>14.61</v>
    <v>14.685</v>
    <v>14.845000000000001</v>
    <v>14.69</v>
    <v>14.654999999999999</v>
    <v>14.835000000000001</v>
    <v>14.58</v>
    <v>14.78</v>
    <v>14.835000000000001</v>
    <v>15</v>
    <v>14.904999999999999</v>
    <v>14.994999999999999</v>
    <v>15.23</v>
    <v>15.1</v>
    <v>15.085000000000001</v>
    <v>15.34</v>
    <v>15.35</v>
    <v>15.285</v>
    <v>15.31</v>
    <v>15.34</v>
    <v>15.295</v>
    <v>15.545</v>
    <v>15.39</v>
    <v>15.44</v>
    <v>15.54</v>
    <v>15.78</v>
    <v>15.795</v>
    <v>15.96</v>
    <v>15.955</v>
    <v>16.02</v>
    <v>15.9</v>
    <v>15.744999999999999</v>
    <v>15.42</v>
    <v>15.43</v>
    <v>15.335000000000001</v>
    <v>15.324999999999999</v>
    <v>15.36</v>
    <v>15.75</v>
    <v>15.914999999999999</v>
    <v>15.66</v>
    <v>15.335000000000001</v>
    <v>15.47</v>
    <v>15.234999999999999</v>
    <v>15.16</v>
    <v>15.25</v>
    <v>15.24</v>
    <v>15.14</v>
    <v>15.164999999999999</v>
    <v>15.33</v>
    <v>15.225</v>
    <v>15.35</v>
    <v>15.494999999999999</v>
    <v>15.404999999999999</v>
    <v>15.6</v>
    <v>15.725</v>
    <v>15.805</v>
    <v>15.78</v>
    <v>15.92</v>
    <v>15.93</v>
    <v>15.93</v>
    <v>16.079999999999998</v>
    <v>16.245000000000001</v>
    <v>16.399999999999999</v>
    <v>16.21</v>
    <v>16.16</v>
    <v>16.024999999999999</v>
    <v>16.18</v>
    <v>16.344999999999999</v>
    <v>16.445</v>
    <v>16.27</v>
    <v>16.305</v>
    <v>16.135000000000002</v>
    <v>16.315000000000001</v>
    <v>16.135000000000002</v>
    <v>15.965</v>
    <v>15.86</v>
    <v>15.705</v>
    <v>15.88</v>
    <v>16.14</v>
    <v>16.059999999999999</v>
    <v>16.074999999999999</v>
    <v>16.085000000000001</v>
    <v>16.295000000000002</v>
    <v>16.195</v>
    <v>16.385000000000002</v>
    <v>16.57</v>
    <v>16.149999999999999</v>
    <v>15.815</v>
    <v>15.76</v>
    <v>15.455</v>
    <v>15.585000000000001</v>
    <v>15.664999999999999</v>
    <v>16.105</v>
    <v>16.12</v>
    <v>16.32</v>
    <v>16.215</v>
    <v>16.074999999999999</v>
    <v>16.395</v>
    <v>16.260000000000002</v>
    <v>16.399999999999999</v>
    <v>16.425000000000001</v>
    <v>16.77</v>
    <v>16.88</v>
    <v>16.895</v>
    <v>16.79</v>
    <v>16.824999999999999</v>
    <v>16.82</v>
    <v>17.059999999999999</v>
    <v>17.02</v>
    <v>16.795000000000002</v>
    <v>16.649999999999999</v>
    <v>16.649999999999999</v>
    <v>16.5</v>
    <v>16.38</v>
    <v>16.5</v>
    <v>16.495000000000001</v>
    <v>16.855</v>
    <v>16.86</v>
    <v>16.754999999999999</v>
    <v>16.635000000000002</v>
    <v>16.645</v>
    <v>16.670000000000002</v>
    <v>16.645</v>
    <v>16.43</v>
    <v>16.52</v>
    <v>16.54</v>
    <v>16.184999999999999</v>
    <v>16.164999999999999</v>
    <v>16.155000000000001</v>
    <v>16.190000000000001</v>
    <v>16.100000000000001</v>
    <v>16.225000000000001</v>
    <v>16.190000000000001</v>
    <v>16.14</v>
    <v>15.74</v>
    <v>15.855</v>
    <v>15.75</v>
    <v>15.57</v>
    <v>15.414999999999999</v>
    <v>15.42</v>
    <v>15.565</v>
    <v>15.73</v>
    <v>16.010000000000002</v>
    <v>16.265000000000001</v>
    <v>16.074999999999999</v>
    <v>16.234999999999999</v>
    <v>16.105</v>
    <v>16.204999999999998</v>
    <v>16.41</v>
    <v>16.54</v>
    <v>16.364999999999998</v>
    <v>16.375</v>
    <v>16.065000000000001</v>
    <v>16.085000000000001</v>
    <v>16.105</v>
    <v>16.085000000000001</v>
    <v>16.094999999999999</v>
    <v>16.05</v>
    <v>16.39</v>
    <v>16.434999999999999</v>
    <v>16.45</v>
    <v>16.445</v>
    <v>16.23</v>
    <v>16.215</v>
    <v>16.059999999999999</v>
    <v>16.399999999999999</v>
    <v>16.495000000000001</v>
    <v>16.695</v>
    <v>16.164999999999999</v>
    <v>16.295000000000002</v>
    <v>16.445</v>
    <v>16.62</v>
    <v>16.61</v>
    <v>16.68</v>
    <v>16.555</v>
    <v>16.489999999999998</v>
    <v>16.34</v>
    <v>16.344999999999999</v>
    <v>16.350000000000001</v>
    <v>16.29</v>
    <v>15.965</v>
    <v>15.935</v>
    <v>15.75</v>
    <v>15.505000000000001</v>
    <v>15.53</v>
    <v>15.515000000000001</v>
    <v>15.685</v>
    <v>15.815</v>
    <v>15.815</v>
    <v>15.904999999999999</v>
    <v>16.055</v>
    <v>16.02</v>
    <v>15.87</v>
    <v>15.65</v>
    <v>15.605</v>
    <v>15.68</v>
    <v>15.824999999999999</v>
    <v>15.89</v>
    <v>15.765000000000001</v>
    <v>15.775</v>
    <v>15.81</v>
    <v>15.82</v>
    <v>15.56</v>
    <v>15.38</v>
    <v>15.404999999999999</v>
    <v>15.49</v>
    <v>15.6</v>
    <v>15.55</v>
    <v>15.13</v>
    <v>15.085000000000001</v>
    <v>14.94</v>
    <v>14.935</v>
    <v>14.845000000000001</v>
    <v>14.945</v>
    <v>15.125</v>
    <v>15.215</v>
    <v>15.37</v>
    <v>15.48</v>
    <v>15.385</v>
    <v>15.45</v>
    <v>15.535</v>
    <v>15.695</v>
    <v>15.57</v>
    <v>15.55</v>
    <v>15.44</v>
    <v>15.785</v>
    <v>15.77</v>
    <v>15.845000000000001</v>
    <v>15.845000000000001</v>
    <v>15.6</v>
    <v>15.78</v>
    <v>15.78</v>
    <v>16.100000000000001</v>
    <v>16.204999999999998</v>
    <v>16.28</v>
    <v>16.39</v>
    <v>16.13</v>
    <v>15.7</v>
    <v>15.824999999999999</v>
    <v>15.975</v>
    <v>15.795</v>
    <v>15.935</v>
    <v>15.744999999999999</v>
    <v>15.34</v>
    <v>14.14</v>
    <v>14.145</v>
    <v>14.59</v>
    <v>14.63</v>
    <v>14.8</v>
    <v>14.74</v>
    <v>14.765000000000001</v>
    <v>14.8</v>
    <v>14.9</v>
    <v>14.89</v>
    <v>15.03</v>
    <v>14.98</v>
    <v>14.855</v>
    <v>14.805</v>
    <v>14.72</v>
    <v>14.904999999999999</v>
    <v>15.05</v>
    <v>14.965</v>
    <v>15.14</v>
    <v>15.24</v>
    <v>15.414999999999999</v>
    <v>15.445</v>
    <v>15.47</v>
    <v>15.484999999999999</v>
    <v>15.525</v>
    <v>15.47</v>
    <v>15.54</v>
    <v>15.494999999999999</v>
    <v>15.615</v>
    <v>15.475</v>
    <v>15.6</v>
    <v>15.494999999999999</v>
    <v>15.385</v>
    <v>15.37</v>
    <v>15.255000000000001</v>
    <v>15.154999999999999</v>
    <v>15.225</v>
    <v>15.38</v>
    <v>15.525</v>
    <v>15.574999999999999</v>
    <v>15.48</v>
    <v>15.265000000000001</v>
    <v>14.81</v>
    <v>14.785</v>
    <v>14.99</v>
    <v>14.645</v>
    <v>14.505000000000001</v>
    <v>14.53</v>
    <v>14.76</v>
    <v>14.92</v>
    <v>15.055</v>
    <v>15.05</v>
    <v>14.455</v>
    <v>14.69</v>
    <v>14.75</v>
    <v>14.795</v>
    <v>14.78</v>
    <v>14.865</v>
    <v>14.89</v>
    <v>14.895</v>
    <v>14.83</v>
    <v>14.84</v>
    <v>14.61</v>
    <v>14.664999999999999</v>
    <v>14.765000000000001</v>
    <v>14.81</v>
    <v>15.05</v>
    <v>15.025</v>
    <v>14.95</v>
    <v>14.885</v>
    <v>14.79</v>
    <v>14.85</v>
    <v>14.695</v>
    <v>14.744999999999999</v>
    <v>14.845000000000001</v>
    <v>15.035</v>
    <v>15.12</v>
    <v>15.01</v>
    <v>15.145</v>
    <v>15.095000000000001</v>
    <v>15.095000000000001</v>
    <v>15.055</v>
    <v>15.175000000000001</v>
    <v>15.16</v>
    <v>15.385</v>
    <v>15.43</v>
    <v>15.39</v>
    <v>15.34</v>
    <v>15.335000000000001</v>
    <v>15.285</v>
    <v>15.255000000000001</v>
    <v>15.38</v>
    <v>15.41</v>
    <v>15.35</v>
    <v>15.27</v>
    <v>15.315</v>
    <v>15.23</v>
    <v>15.32</v>
    <v>15.225</v>
    <v>15.24</v>
    <v>15.355</v>
    <v>15.5</v>
    <v>15.324999999999999</v>
    <v>15.385</v>
    <v>15.305</v>
    <v>15.28</v>
    <v>15.265000000000001</v>
    <v>15.135</v>
    <v>15.14</v>
    <v>15.205</v>
    <v>15.21</v>
    <v>15.265000000000001</v>
    <v>15.175000000000001</v>
    <v>15.185</v>
    <v>15.11</v>
    <v>15.785</v>
    <v>15.775</v>
    <v>15.86</v>
    <v>15.81</v>
    <v>15.8</v>
    <v>15.565</v>
    <v>15.585000000000001</v>
    <v>15.39</v>
    <v>15.27</v>
    <v>15.295</v>
    <v>15.154999999999999</v>
    <v>15.244999999999999</v>
    <v>15.2</v>
    <v>15.305</v>
    <v>15.35</v>
    <v>15.44</v>
    <v>15.585000000000001</v>
    <v>15.66</v>
    <v>15.725</v>
    <v>15.865</v>
    <v>15.925000000000001</v>
    <v>15.945</v>
    <v>16.114999999999998</v>
    <v>16.114999999999998</v>
    <v>16.184999999999999</v>
    <v>16.265000000000001</v>
    <v>16.28</v>
    <v>16.254999999999999</v>
    <v>16.309999999999999</v>
    <v>16.425000000000001</v>
    <v>16.47</v>
    <v>16.484999999999999</v>
    <v>16.434999999999999</v>
    <v>16.46</v>
    <v>16.32</v>
    <v>16.324999999999999</v>
    <v>16.355</v>
    <v>16.445</v>
    <v>16.43</v>
    <v>16.395</v>
    <v>16.454999999999998</v>
    <v>16.57</v>
    <v>16.420000000000002</v>
    <v>16.315000000000001</v>
    <v>16.190000000000001</v>
    <v>16.315000000000001</v>
    <v>16.100000000000001</v>
    <v>16.265000000000001</v>
    <v>16.245000000000001</v>
    <v>16.074999999999999</v>
    <v>16</v>
    <v>16.07</v>
    <v>16.145</v>
    <v>16.11</v>
    <v>15.97</v>
    <v>16.09</v>
    <v>15.935</v>
    <v>15.734999999999999</v>
    <v>15.705</v>
    <v>15.79</v>
    <v>15.79</v>
    <v>15.775</v>
    <v>16.03</v>
    <v>16.149999999999999</v>
    <v>15.88</v>
    <v>15.61</v>
    <v>15.63</v>
    <v>15.74</v>
    <v>15.78</v>
    <v>15.945</v>
    <v>15.79</v>
    <v>15.795</v>
    <v>15.93</v>
    <v>15.945</v>
    <v>15.92</v>
    <v>15.955</v>
    <v>16.010000000000002</v>
    <v>16.149999999999999</v>
    <v>16.25</v>
    <v>16.245000000000001</v>
    <v>16.015000000000001</v>
    <v>15.95</v>
    <v>15.994999999999999</v>
    <v>15.935</v>
    <v>15.92</v>
    <v>15.885</v>
    <v>15.96</v>
    <v>16.004999999999999</v>
    <v>16.14</v>
    <v>16.145</v>
    <v>16.184999999999999</v>
    <v>16.100000000000001</v>
    <v>15.92</v>
    <v>16.105</v>
    <v>16.335000000000001</v>
    <v>16.350000000000001</v>
    <v>16.399999999999999</v>
    <v>16.465</v>
    <v>16.395</v>
    <v>16.22</v>
    <v>16.22</v>
    <v>15.96</v>
    <v>15.845000000000001</v>
    <v>15.744999999999999</v>
    <v>16.16</v>
    <v>16.245000000000001</v>
    <v>16.215</v>
    <v>16.305</v>
    <v>16.39</v>
    <v>16.38</v>
    <v>16.309999999999999</v>
    <v>16.579999999999998</v>
    <v>16.63</v>
    <v>16.454999999999998</v>
    <v>16.28</v>
    <v>16.07</v>
    <v>15.99</v>
    <v>16.135000000000002</v>
    <v>16.445</v>
    <v>16.234999999999999</v>
    <v>16.065000000000001</v>
    <v>16.015000000000001</v>
    <v>15.91</v>
    <v>15.85</v>
    <v>15.914999999999999</v>
    <v>15.815</v>
    <v>15.81</v>
    <v>16.09</v>
    <v>15.875</v>
    <v>15.914999999999999</v>
    <v>15.744999999999999</v>
    <v>15.535</v>
    <v>15.47</v>
    <v>15.425000000000001</v>
    <v>15.734999999999999</v>
    <v>15.98</v>
    <v>16.04</v>
    <v>16.21</v>
    <v>16.055</v>
    <v>15.98</v>
    <v>16.11</v>
    <v>16.234999999999999</v>
    <v>16.405000000000001</v>
    <v>16.504999999999999</v>
    <v>16.54</v>
    <v>16.54</v>
    <v>16.55</v>
    <v>16.545000000000002</v>
    <v>16.324999999999999</v>
    <v>16.29</v>
    <v>16.21</v>
    <v>16.18</v>
    <v>16.07</v>
    <v>16.004999999999999</v>
    <v>15.96</v>
    <v>15.875</v>
    <v>15.93</v>
    <v>15.92</v>
    <v>15.955</v>
    <v>15.89</v>
    <v>16.074999999999999</v>
    <v>16.305</v>
    <v>16.190000000000001</v>
    <v>16.48</v>
    <v>16.52</v>
    <v>16.39</v>
    <v>16.414999999999999</v>
    <v>16.565000000000001</v>
    <v>16.504999999999999</v>
    <v>16.5</v>
    <v>16.305</v>
    <v>16.274999999999999</v>
    <v>16.38</v>
    <v>16.625</v>
    <v>16.555</v>
    <v>16.504999999999999</v>
    <v>16.565000000000001</v>
    <v>16.614999999999998</v>
    <v>16.55</v>
    <v>16.565000000000001</v>
    <v>16.625</v>
    <v>16.605</v>
    <v>16.64</v>
    <v>16.66</v>
    <v>16.625</v>
    <v>16.585000000000001</v>
    <v>16.285</v>
    <v>16.495000000000001</v>
    <v>16.23</v>
    <v>16.11</v>
    <v>16.135000000000002</v>
    <v>16.215</v>
    <v>16.045000000000002</v>
    <v>16.13</v>
    <v>16.14</v>
    <v>15.975</v>
    <v>15.925000000000001</v>
    <v>15.96</v>
    <v>15.835000000000001</v>
    <v>15.87</v>
    <v>15.914999999999999</v>
    <v>15.955</v>
    <v>16.059999999999999</v>
    <v>15.935</v>
    <v>15.914999999999999</v>
    <v>16.03</v>
    <v>16.024999999999999</v>
    <v>16.18</v>
    <v>16.18</v>
    <v>16.234999999999999</v>
    <v>16.204999999999998</v>
    <v>16.149999999999999</v>
    <v>16.125</v>
    <v>16.170000000000002</v>
    <v>16.32</v>
    <v>16.195</v>
    <v>16.22</v>
    <v>16.295000000000002</v>
    <v>16.440000000000001</v>
    <v>16.43</v>
    <v>16.465</v>
    <v>16.445</v>
    <v>16.475000000000001</v>
    <v>16.53</v>
    <v>16.715</v>
    <v>16.690000000000001</v>
    <v>16.61</v>
    <v>16.645</v>
    <v>16.73</v>
    <v>16.77</v>
    <v>16.77</v>
    <v>16.835000000000001</v>
    <v>16.824999999999999</v>
    <v>16.72</v>
    <v>16.559999999999999</v>
    <v>16.565000000000001</v>
    <v>16.385000000000002</v>
    <v>16.43</v>
    <v>16.61</v>
    <v>16.565000000000001</v>
    <v>16.645</v>
    <v>16.684999999999999</v>
    <v>16.565000000000001</v>
    <v>16.64</v>
    <v>16.824999999999999</v>
    <v>17</v>
    <v>17.079999999999998</v>
    <v>17.04</v>
    <v>17.22</v>
    <v>17.145</v>
    <v>17.234999999999999</v>
    <v>16.5</v>
    <v>16.605</v>
    <v>16.824999999999999</v>
    <v>16.690000000000001</v>
    <v>16.62</v>
    <v>16.53</v>
    <v>16.765000000000001</v>
    <v>16.77</v>
    <v>16.725000000000001</v>
    <v>16.785</v>
    <v>16.809999999999999</v>
    <v>16.809999999999999</v>
    <v>16.815000000000001</v>
    <v>16.79</v>
    <v>17.059999999999999</v>
    <v>17.024999999999999</v>
    <v>16.93</v>
    <v>17.035</v>
    <v>17.195</v>
    <v>17.170000000000002</v>
    <v>17.225000000000001</v>
    <v>16.984999999999999</v>
    <v>16.655000000000001</v>
    <v>16.335000000000001</v>
    <v>15.72</v>
    <v>15.46</v>
    <v>16.094999999999999</v>
    <v>16.45</v>
    <v>16.195</v>
    <v>16.03</v>
    <v>15.58</v>
    <v>15.78</v>
    <v>15.795</v>
    <v>15.57</v>
    <v>15.91</v>
    <v>15.85</v>
    <v>15.84</v>
    <v>15.895</v>
    <v>15.88</v>
    <v>16.024999999999999</v>
    <v>16.215</v>
    <v>16.149999999999999</v>
    <v>15.695</v>
    <v>15.875</v>
    <v>15.7</v>
    <v>15.61</v>
    <v>15.59</v>
    <v>15.64</v>
    <v>15.37</v>
    <v>15.37</v>
    <v>15.484999999999999</v>
    <v>15.455</v>
    <v>15.545</v>
    <v>15.775</v>
    <v>15.75</v>
    <v>15.92</v>
    <v>15.96</v>
    <v>15.984999999999999</v>
    <v>15.87</v>
    <v>15.734999999999999</v>
    <v>15.455</v>
    <v>15.605</v>
    <v>15.66</v>
    <v>15.63</v>
    <v>15.565</v>
    <v>15.515000000000001</v>
    <v>15.805</v>
    <v>16.024999999999999</v>
    <v>16.004999999999999</v>
    <v>15.82</v>
    <v>16.285</v>
    <v>16.315000000000001</v>
    <v>16.135000000000002</v>
    <v>16.2</v>
    <v>16.13</v>
    <v>16.079999999999998</v>
    <v>16.065000000000001</v>
    <v>16.055</v>
    <v>15.91</v>
    <v>15.99</v>
    <v>16.05</v>
    <v>15.914999999999999</v>
    <v>15.67</v>
    <v>15.845000000000001</v>
    <v>15.78</v>
    <v>16.085000000000001</v>
    <v>16.12</v>
    <v>16.29</v>
    <v>16.215</v>
    <v>16.25</v>
    <v>16.195</v>
    <v>16.2</v>
    <v>16.23</v>
    <v>16.399999999999999</v>
    <v>16.36</v>
    <v>16.18</v>
    <v>16.510000000000002</v>
    <v>16.535</v>
    <v>16.305</v>
    <v>16.13</v>
    <v>16.085000000000001</v>
    <v>16.010000000000002</v>
    <v>15.955</v>
    <v>16.204999999999998</v>
    <v>16.079999999999998</v>
    <v>15.83</v>
    <v>15.625</v>
    <v>15.815</v>
    <v>15.84</v>
    <v>16.035</v>
    <v>16.04</v>
    <v>16.059999999999999</v>
    <v>16.225000000000001</v>
    <v>16.170000000000002</v>
    <v>16.05</v>
    <v>15.815</v>
    <v>15.965</v>
    <v>15.69</v>
    <v>15.22</v>
    <v>15.1</v>
    <v>15.154999999999999</v>
    <v>15.195</v>
    <v>14.95</v>
    <v>15.24</v>
    <v>14.935</v>
    <v>14.82</v>
    <v>14.55</v>
    <v>14.56</v>
    <v>14.7</v>
    <v>14.435</v>
    <v>14.855</v>
    <v>14.535</v>
    <v>14.61</v>
    <v>15.125</v>
    <v>15.234999999999999</v>
    <v>15.13</v>
    <v>15.38</v>
    <v>15.715</v>
    <v>15.75</v>
    <v>15.87</v>
    <v>15.78</v>
    <v>15.615</v>
    <v>15.525</v>
    <v>15.685</v>
    <v>15.695</v>
    <v>15.74</v>
    <v>15.79</v>
    <v>15.74</v>
    <v>15.93</v>
    <v>15.904999999999999</v>
    <v>15.885</v>
    <v>16.04</v>
    <v>16.225000000000001</v>
    <v>16.155000000000001</v>
    <v>16.440000000000001</v>
    <v>16.489999999999998</v>
    <v>16.53</v>
    <v>16.815000000000001</v>
    <v>16.895</v>
    <v>16.695</v>
    <v>16.89</v>
    <v>16.91</v>
    <v>17.18</v>
    <v>17.14</v>
    <v>17.21</v>
    <v>17.175000000000001</v>
    <v>17.515000000000001</v>
    <v>17.600000000000001</v>
    <v>17.68</v>
    <v>17.734999999999999</v>
    <v>17.524999999999999</v>
    <v>17.61</v>
    <v>17.675000000000001</v>
    <v>17.829999999999998</v>
    <v>17.815000000000001</v>
    <v>17.899999999999999</v>
    <v>17.805</v>
    <v>17.715</v>
    <v>17.515000000000001</v>
    <v>17.53</v>
    <v>17.324999999999999</v>
    <v>17.32</v>
    <v>17.37</v>
    <v>17.53</v>
    <v>17.75</v>
    <v>17.760000000000002</v>
    <v>17.760000000000002</v>
    <v>18</v>
    <v>17.25</v>
    <v>17.32</v>
    <v>17.149999999999999</v>
    <v>17.344999999999999</v>
    <v>17.5</v>
    <v>17.655000000000001</v>
    <v>17.62</v>
    <v>17.47</v>
    <v>17.555</v>
    <v>17.75</v>
    <v>17.670000000000002</v>
    <v>17.594999999999999</v>
    <v>17.565000000000001</v>
    <v>17.445</v>
    <v>17.574999999999999</v>
    <v>17.77</v>
    <v>17.594999999999999</v>
    <v>17.645</v>
    <v>17.565000000000001</v>
    <v>17.71</v>
    <v>17.53</v>
    <v>17.68</v>
    <v>17.574999999999999</v>
    <v>17.600000000000001</v>
    <v>17.53</v>
    <v>17.8</v>
    <v>17.875</v>
    <v>17.93</v>
    <v>17.984999999999999</v>
    <v>18.03</v>
    <v>18.010000000000002</v>
    <v>18.079999999999998</v>
    <v>17.989999999999998</v>
    <v>18.079999999999998</v>
    <v>18.16</v>
    <v>18.204999999999998</v>
    <v>18.285</v>
    <v>18.204999999999998</v>
    <v>17.995000000000001</v>
    <v>17.875</v>
    <v>17.774999999999999</v>
    <v>17.835000000000001</v>
    <v>17.805</v>
    <v>17.975000000000001</v>
    <v>18.16</v>
    <v>18.175000000000001</v>
    <v>18.489999999999998</v>
    <v>17.805</v>
    <v>17.41</v>
    <v>17.895</v>
    <v>18.245000000000001</v>
    <v>18.734999999999999</v>
    <v>18.55</v>
    <v>18.355</v>
    <v>18.46</v>
    <v>18.395</v>
    <v>18.670000000000002</v>
    <v>18.489999999999998</v>
    <v>18.45</v>
    <v>18.260000000000002</v>
    <v>18.05</v>
    <v>18.02</v>
    <v>17.95</v>
    <v>18.704999999999998</v>
    <v>18.625</v>
    <v>18.445</v>
    <v>18.535</v>
    <v>18.555</v>
    <v>18.484999999999999</v>
    <v>18.414999999999999</v>
    <v>18.420000000000002</v>
    <v>18.329999999999998</v>
    <v>18.309999999999999</v>
    <v>18.245000000000001</v>
    <v>18.3</v>
    <v>18.25</v>
    <v>18.425000000000001</v>
    <v>18.48</v>
    <v>18.425000000000001</v>
    <v>18.375</v>
    <v>18.39</v>
    <v>18.254999999999999</v>
    <v>18.285</v>
    <v>18.114999999999998</v>
    <v>18.18</v>
    <v>18.265000000000001</v>
    <v>18.285</v>
    <v>18.385000000000002</v>
    <v>18.375</v>
    <v>18.425000000000001</v>
    <v>18.475000000000001</v>
    <v>18.440000000000001</v>
    <v>18.684999999999999</v>
    <v>18.690000000000001</v>
    <v>18.734999999999999</v>
    <v>18.79</v>
    <v>19</v>
    <v>18.934999999999999</v>
    <v>18.895</v>
    <v>18.88</v>
    <v>18.414999999999999</v>
    <v>18.734999999999999</v>
    <v>18.585000000000001</v>
    <v>18.38</v>
    <v>18.635000000000002</v>
    <v>18.47</v>
    <v>18.574999999999999</v>
    <v>18.61</v>
    <v>18.805</v>
    <v>18.934999999999999</v>
    <v>18.745000000000001</v>
    <v>18.594999999999999</v>
    <v>18.75</v>
    <v>18.84</v>
    <v>18.64</v>
    <v>18.855</v>
    <v>18.565000000000001</v>
    <v>18.78</v>
    <v>18.97</v>
    <v>19.315000000000001</v>
    <v>19.105</v>
    <v>18.945</v>
    <v>18.63</v>
    <v>18.805</v>
    <v>18.754999999999999</v>
    <v>18.72</v>
    <v>18.64</v>
    <v>18.670000000000002</v>
    <v>18.734999999999999</v>
    <v>18.555</v>
    <v>18.809999999999999</v>
    <v>18.29</v>
    <v>18.29</v>
    <v>18.355</v>
    <v>18.315000000000001</v>
    <v>18.38</v>
    <v>18.43</v>
    <v>18.234999999999999</v>
    <v>18.105</v>
    <v>18.27</v>
    <v>18.14</v>
    <v>18.414999999999999</v>
    <v>18.5</v>
    <v>18.8</v>
    <v>19.085000000000001</v>
    <v>19.574999999999999</v>
    <v>20.100000000000001</v>
    <v>20.324999999999999</v>
    <v>20.504999999999999</v>
    <v>21.13</v>
    <v>21.17</v>
    <v>21.14</v>
    <v>21.32</v>
    <v>21.64</v>
    <v>21.59</v>
    <v>21.434999999999999</v>
    <v>21.475000000000001</v>
    <v>21.675000000000001</v>
    <v>21.81</v>
    <v>21.61</v>
    <v>21.805</v>
    <v>22.15</v>
    <v>22.18</v>
    <v>22.09</v>
    <v>22.21</v>
    <v>22.35</v>
    <v>22.555</v>
    <v>22.37</v>
    <v>22.45</v>
    <v>22.44</v>
    <v>22.46</v>
    <v>22.454999999999998</v>
    <v>22.385000000000002</v>
    <v>22.38</v>
    <v>22.445</v>
    <v>22.45</v>
    <v>22.295000000000002</v>
    <v>22.395</v>
    <v>22.43</v>
    <v>22.41</v>
    <v>22.78</v>
    <v>22.53</v>
    <v>22.454999999999998</v>
    <v>22.33</v>
    <v>22.305</v>
    <v>22.14</v>
    <v>21.975000000000001</v>
    <v>22.13</v>
    <v>21.99</v>
    <v>22.02</v>
    <v>21.94</v>
    <v>21.914999999999999</v>
    <v>21.715</v>
    <v>21.63</v>
    <v>21.6</v>
    <v>21.74</v>
    <v>21.63</v>
    <v>21.195</v>
    <v>21.065000000000001</v>
    <v>20.975000000000001</v>
    <v>21.13</v>
    <v>21.265000000000001</v>
    <v>21.105</v>
    <v>21.004999999999999</v>
    <v>20.945</v>
    <v>21.07</v>
    <v>21.49</v>
    <v>21.57</v>
    <v>21.55</v>
    <v>21.74</v>
    <v>21.88</v>
    <v>21.934999999999999</v>
    <v>21.664999999999999</v>
    <v>21.58</v>
    <v>21.574999999999999</v>
    <v>21.71</v>
    <v>21.76</v>
    <v>21.55</v>
    <v>21.934999999999999</v>
    <v>21.574999999999999</v>
    <v>21.8</v>
    <v>21.62</v>
    <v>21.57</v>
    <v>21.45</v>
    <v>21.504999999999999</v>
    <v>21.605</v>
    <v>21.635000000000002</v>
    <v>21.6</v>
    <v>21.76</v>
    <v>21.745000000000001</v>
    <v>21.88</v>
    <v>21.635000000000002</v>
    <v>21.27</v>
    <v>21.274999999999999</v>
    <v>21.245000000000001</v>
    <v>21.305</v>
    <v>21.25</v>
    <v>21.285</v>
    <v>21.175000000000001</v>
    <v>21.024999999999999</v>
    <v>20.86</v>
    <v>20.69</v>
    <v>20.81</v>
    <v>20.77</v>
    <v>20.914999999999999</v>
    <v>20.905000000000001</v>
    <v>20.975000000000001</v>
    <v>21.074999999999999</v>
    <v>20.82</v>
    <v>20.66</v>
    <v>20.965</v>
    <v>21.164999999999999</v>
    <v>20.97</v>
    <v>21.395</v>
    <v>21.25</v>
    <v>21.55</v>
    <v>21.54</v>
    <v>21.664999999999999</v>
    <v>21.734999999999999</v>
    <v>21.45</v>
    <v>21.515000000000001</v>
    <v>21.414999999999999</v>
    <v>21.41</v>
    <v>21.504999999999999</v>
    <v>21.54</v>
    <v>21.524999999999999</v>
    <v>21.315000000000001</v>
    <v>21.38</v>
    <v>21.29</v>
    <v>21.145</v>
    <v>21.21</v>
    <v>21.245000000000001</v>
    <v>20.925000000000001</v>
    <v>21.05</v>
    <v>21.035</v>
    <v>21.225000000000001</v>
    <v>21.234999999999999</v>
    <v>21.23</v>
    <v>21.48</v>
    <v>21.434999999999999</v>
    <v>21.5</v>
    <v>21.715</v>
    <v>22.055</v>
    <v>21.905000000000001</v>
    <v>21.74</v>
    <v>21.535</v>
    <v>21.52</v>
    <v>21.71</v>
    <v>21.925000000000001</v>
    <v>22.004999999999999</v>
    <v>22.05</v>
    <v>22.024999999999999</v>
    <v>22.15</v>
    <v>22.164999999999999</v>
    <v>22</v>
    <v>21.875</v>
    <v>21.76</v>
    <v>21.585000000000001</v>
    <v>21.465</v>
    <v>21.574999999999999</v>
    <v>21.524999999999999</v>
    <v>21.77</v>
    <v>21.785</v>
    <v>21.535</v>
    <v>21.76</v>
    <v>21.585000000000001</v>
    <v>21.43</v>
    <v>21.58</v>
    <v>21.43</v>
    <v>21.355</v>
    <v>21.54</v>
    <v>21.54</v>
    <v>21.65</v>
    <v>21.504999999999999</v>
    <v>21.515000000000001</v>
    <v>21.885000000000002</v>
    <v>21.94</v>
    <v>22.035</v>
    <v>22.125</v>
    <v>22.324999999999999</v>
    <v>22.234999999999999</v>
    <v>22.004999999999999</v>
    <v>22.29</v>
    <v>22.3</v>
    <v>22.295000000000002</v>
    <v>22.204999999999998</v>
    <v>21.975000000000001</v>
    <v>22.03</v>
    <v>21.945</v>
    <v>21.86</v>
    <v>21.905000000000001</v>
    <v>21.74</v>
    <v>21.77</v>
    <v>21.954999999999998</v>
    <v>22.074999999999999</v>
    <v>22.02</v>
    <v>21.684999999999999</v>
    <v>21.815000000000001</v>
    <v>21.91</v>
    <v>22.05</v>
    <v>21.85</v>
    <v>21.905000000000001</v>
    <v>22.145</v>
    <v>22.58</v>
    <v>22.38</v>
    <v>22.454999999999998</v>
    <v>22.48</v>
    <v>22.524999999999999</v>
    <v>22.74</v>
    <v>22.94</v>
    <v>23.015000000000001</v>
    <v>24.065000000000001</v>
    <v>23.45</v>
    <v>23.414999999999999</v>
    <v>23.295000000000002</v>
    <v>23.17</v>
    <v>23.21</v>
    <v>23.454999999999998</v>
    <v>23.48</v>
    <v>23.664999999999999</v>
    <v>23.535</v>
    <v>23.71</v>
    <v>23.84</v>
    <v>24.114999999999998</v>
    <v>24.434999999999999</v>
    <v>24.15</v>
    <v>24.094999999999999</v>
    <v>24.19</v>
    <v>24.375</v>
    <v>24.38</v>
    <v>24.434999999999999</v>
    <v>24.364999999999998</v>
    <v>24.425000000000001</v>
    <v>24.47</v>
    <v>24.445</v>
    <v>24.59</v>
    <v>24.695</v>
    <v>24.484999999999999</v>
    <v>24.504999999999999</v>
    <v>24.47</v>
    <v>24.5</v>
    <v>24.66</v>
    <v>24.824999999999999</v>
    <v>24.725000000000001</v>
    <v>24.605</v>
    <v>24.69</v>
    <v>24.84</v>
    <v>24.745000000000001</v>
    <v>24.92</v>
    <v>25.045000000000002</v>
    <v>25.2</v>
    <v>25.195</v>
    <v>25.27</v>
    <v>25.114999999999998</v>
    <v>24.85</v>
    <v>24.684999999999999</v>
    <v>24.74</v>
    <v>24.7</v>
    <v>25</v>
    <v>24.975000000000001</v>
    <v>24.965</v>
    <v>24.94</v>
    <v>25.135000000000002</v>
    <v>25.254999999999999</v>
    <v>25.18</v>
    <v>25.024999999999999</v>
    <v>25.15</v>
    <v>25.39</v>
    <v>25.445</v>
    <v>25.625</v>
    <v>25.875</v>
    <v>25.765000000000001</v>
    <v>25.475000000000001</v>
    <v>25.835000000000001</v>
    <v>25.82</v>
    <v>25.965</v>
    <v>25.8</v>
    <v>25.83</v>
    <v>25.625</v>
    <v>25.524999999999999</v>
    <v>25.59</v>
    <v>25.734999999999999</v>
    <v>25.75</v>
    <v>25.695</v>
    <v>25.675000000000001</v>
    <v>25.555</v>
    <v>25.72</v>
    <v>25.78</v>
    <v>25.89</v>
    <v>25.73</v>
    <v>25.54</v>
    <v>25.83</v>
    <v>25.9</v>
    <v>26.145</v>
    <v>26.065000000000001</v>
    <v>26.274999999999999</v>
    <v>26.11</v>
    <v>26.1</v>
    <v>26.21</v>
    <v>26.184999999999999</v>
    <v>26.29</v>
    <v>26.18</v>
    <v>26.25</v>
    <v>26.125</v>
    <v>26.024999999999999</v>
    <v>26.445</v>
    <v>26.484999999999999</v>
    <v>26.885000000000002</v>
    <v>26.574999999999999</v>
    <v>26.434999999999999</v>
    <v>26.24</v>
    <v>26.594999999999999</v>
    <v>26.49</v>
    <v>25.74</v>
    <v>25.83</v>
    <v>25.885000000000002</v>
    <v>25.055</v>
    <v>25.245000000000001</v>
    <v>25.56</v>
    <v>25.78</v>
    <v>26.22</v>
    <v>26.32</v>
    <v>26.35</v>
    <v>26.305</v>
    <v>26.25</v>
    <v>26.125</v>
    <v>26.44</v>
    <v>26.69</v>
    <v>26.614999999999998</v>
    <v>26.32</v>
    <v>25.97</v>
    <v>26.135000000000002</v>
    <v>26.42</v>
    <v>26.504999999999999</v>
    <v>26.274999999999999</v>
    <v>26.285</v>
    <v>26.815000000000001</v>
    <v>26.664999999999999</v>
    <v>26.4</v>
    <v>26.27</v>
    <v>26.27</v>
    <v>26.375</v>
    <v>26.31</v>
    <v>26.43</v>
    <v>26.285</v>
    <v>25.465</v>
    <v>24.97</v>
    <v>25.52</v>
    <v>25.28</v>
    <v>25.51</v>
    <v>25.44</v>
    <v>24.84</v>
    <v>25.14</v>
    <v>25.31</v>
    <v>25.46</v>
    <v>25.09</v>
    <v>25.26</v>
    <v>25.49</v>
    <v>25.5</v>
    <v>25.75</v>
    <v>25.72</v>
    <v>26.06</v>
    <v>26.31</v>
    <v>26.25</v>
    <v>26.15</v>
    <v>25.95</v>
    <v>26.56</v>
    <v>26.39</v>
    <v>26.83</v>
    <v>27.42</v>
    <v>27.73</v>
    <v>27.23</v>
    <v>27.22</v>
    <v>26.91</v>
    <v>27.08</v>
    <v>27.51</v>
    <v>27.53</v>
    <v>27.4</v>
    <v>27.42</v>
    <v>27.49</v>
    <v>27.45</v>
    <v>27.24</v>
    <v>27.23</v>
    <v>27.3</v>
    <v>27.52</v>
    <v>27.61</v>
    <v>27.86</v>
    <v>27.78</v>
    <v>27.89</v>
    <v>27.97</v>
    <v>27.81</v>
    <v>27.33</v>
    <v>27.83</v>
    <v>27.78</v>
    <v>28.04</v>
    <v>28.1</v>
    <v>28.15</v>
    <v>28.1</v>
    <v>28.12</v>
    <v>28.48</v>
    <v>28.59</v>
    <v>28.44</v>
    <v>28.29</v>
    <v>28.33</v>
    <v>28.26</v>
    <v>28.42</v>
    <v>28.51</v>
    <v>28.16</v>
    <v>28.07</v>
    <v>28.22</v>
    <v>28.01</v>
    <v>27.9</v>
    <v>27.49</v>
    <v>27.57</v>
    <v>27.73</v>
    <v>27.71</v>
    <v>27.9</v>
    <v>28.12</v>
    <v>28.3</v>
    <v>28.77</v>
    <v>28.66</v>
    <v>28.56</v>
    <v>28.73</v>
    <v>28.75</v>
    <v>29.01</v>
    <v>29.15</v>
    <v>29.59</v>
    <v>29.46</v>
    <v>29.67</v>
    <v>29.6</v>
    <v>28.96</v>
    <v>29.13</v>
    <v>29.43</v>
    <v>29.28</v>
    <v>29.41</v>
    <v>29.26</v>
    <v>28.98</v>
    <v>29.19</v>
    <v>29.29</v>
    <v>29.44</v>
    <v>29.57</v>
    <v>29.78</v>
    <v>29.72</v>
    <v>29.65</v>
    <v>29.59</v>
    <v>29.74</v>
    <v>29.73</v>
    <v>29.83</v>
    <v>29.82</v>
    <v>29.89</v>
    <v>30.3</v>
    <v>30.22</v>
    <v>30.28</v>
    <v>30.38</v>
    <v>30.28</v>
    <v>30.12</v>
    <v>30.22</v>
    <v>30.14</v>
    <v>30.48</v>
    <v>30.46</v>
    <v>30.67</v>
    <v>30.77</v>
    <v>30.82</v>
    <v>31</v>
    <v>31.17</v>
    <v>31.19</v>
    <v>31.34</v>
    <v>31.07</v>
    <v>30.63</v>
    <v>30.08</v>
    <v>30.4</v>
    <v>30.4</v>
    <v>30.27</v>
    <v>30.01</v>
    <v>29.69</v>
    <v>29.53</v>
    <v>29.58</v>
    <v>29.57</v>
    <v>29.5</v>
    <v>29.42</v>
    <v>29.48</v>
    <v>29.63</v>
    <v>29.32</v>
    <v>29.49</v>
    <v>29.31</v>
    <v>28.65</v>
    <v>28.11</v>
    <v>27.91</v>
    <v>27.82</v>
    <v>28.39</v>
    <v>28.48</v>
    <v>28.2</v>
    <v>28.85</v>
    <v>29.13</v>
    <v>28</v>
    <v>27.61</v>
    <v>28.08</v>
    <v>27.94</v>
    <v>27.92</v>
    <v>28.06</v>
    <v>28.18</v>
    <v>28.23</v>
    <v>28.18</v>
    <v>28.42</v>
    <v>28.83</v>
    <v>29.03</v>
    <v>29.24</v>
    <v>29.29</v>
    <v>28.79</v>
    <v>28.89</v>
    <v>28.54</v>
    <v>28.82</v>
    <v>28.87</v>
    <v>28.92</v>
    <v>28.43</v>
    <v>28.28</v>
    <v>28.46</v>
    <v>28.59</v>
    <v>28.28</v>
    <v>28.85</v>
    <v>29.04</v>
    <v>29.02</v>
    <v>29.08</v>
    <v>28.59</v>
    <v>27.92</v>
    <v>27.59</v>
    <v>27.53</v>
    <v>27.35</v>
    <v>27.49</v>
    <v>27.7</v>
    <v>27.62</v>
    <v>27.2</v>
    <v>27.32</v>
    <v>27.06</v>
    <v>27.02</v>
    <v>26.53</v>
    <v>26.07</v>
    <v>26.86</v>
    <v>26.98</v>
    <v>27.18</v>
    <v>27.56</v>
    <v>27.07</v>
    <v>26.73</v>
    <v>27.39</v>
    <v>27.37</v>
    <v>27.73</v>
    <v>27.79</v>
    <v>27.99</v>
    <v>27.78</v>
    <v>27.86</v>
    <v>27.92</v>
    <v>28.32</v>
    <v>28.18</v>
    <v>28.64</v>
    <v>28.32</v>
    <v>28.43</v>
    <v>28.31</v>
    <v>28.2</v>
    <v>27.96</v>
    <v>26.75</v>
    <v>26.76</v>
    <v>27.16</v>
    <v>27.87</v>
    <v>27.88</v>
    <v>28.05</v>
    <v>27.94</v>
    <v>27.81</v>
    <v>27.83</v>
    <v>28.13</v>
    <v>28.47</v>
    <v>28.45</v>
    <v>28.48</v>
    <v>29.06</v>
    <v>29.12</v>
    <v>29.44</v>
    <v>29.44</v>
    <v>29.51</v>
    <v>29.51</v>
    <v>29.2</v>
    <v>29.34</v>
    <v>29.62</v>
    <v>29.87</v>
    <v>29.87</v>
    <v>29.44</v>
    <v>29.29</v>
    <v>29.07</v>
    <v>28.87</v>
    <v>29.17</v>
    <v>29.13</v>
    <v>29.17</v>
    <v>29.16</v>
    <v>29.46</v>
    <v>29.47</v>
    <v>29.08</v>
    <v>28.71</v>
    <v>29.11</v>
    <v>28.88</v>
    <v>29.01</v>
    <v>29.21</v>
    <v>29.29</v>
    <v>29.41</v>
    <v>29.51</v>
    <v>29.8</v>
    <v>29.66</v>
    <v>29.75</v>
    <v>29.94</v>
    <v>29.93</v>
    <v>29.9</v>
    <v>29.7</v>
    <v>29.97</v>
    <v>30.27</v>
    <v>30.51</v>
    <v>30.68</v>
    <v>30.73</v>
    <v>30.41</v>
    <v>30.57</v>
    <v>30.51</v>
    <v>31.57</v>
    <v>31.46</v>
    <v>31.5</v>
    <v>31.68</v>
    <v>31.55</v>
    <v>31.75</v>
    <v>31.33</v>
    <v>31.81</v>
    <v>32.340000000000003</v>
    <v>32.46</v>
    <v>32.04</v>
    <v>31.95</v>
    <v>31.67</v>
    <v>32.19</v>
    <v>31.4</v>
    <v>31.36</v>
    <v>31.72</v>
    <v>32</v>
    <v>31.69</v>
    <v>31.49</v>
    <v>31.91</v>
    <v>32.03</v>
    <v>31.81</v>
    <v>31.85</v>
    <v>31.59</v>
    <v>31.65</v>
    <v>31.66</v>
    <v>31.57</v>
    <v>31.94</v>
    <v>32.06</v>
    <v>32.58</v>
    <v>32.520000000000003</v>
    <v>32.869999999999997</v>
    <v>32.69</v>
    <v>32.590000000000003</v>
    <v>32.85</v>
    <v>32.69</v>
    <v>32.82</v>
    <v>32.68</v>
    <v>32.74</v>
    <v>33.159999999999997</v>
    <v>33.4</v>
    <v>32.9</v>
    <v>33.22</v>
    <v>33.17</v>
    <v>32.54</v>
    <v>33.15</v>
    <v>33.5</v>
    <v>34.020000000000003</v>
    <v>34.33</v>
    <v>34.729999999999997</v>
    <v>34.76</v>
    <v>34.53</v>
    <v>34.76</v>
    <v>34.78</v>
    <v>34.86</v>
    <v>34.99</v>
    <v>34.92</v>
    <v>35.020000000000003</v>
    <v>34.92</v>
    <v>35.130000000000003</v>
    <v>34.700000000000003</v>
    <v>34.65</v>
    <v>35.57</v>
    <v>36.15</v>
    <v>36</v>
    <v>36.39</v>
    <v>36.32</v>
    <v>36.409999999999997</v>
    <v>35.93</v>
    <v>35.89</v>
    <v>35.85</v>
    <v>35.28</v>
    <v>35.99</v>
    <v>36.14</v>
    <v>36.81</v>
    <v>36.74</v>
    <v>36.200000000000003</v>
    <v>36.5</v>
    <v>35.42</v>
    <v>35.659999999999997</v>
    <v>36.08</v>
    <v>36.39</v>
    <v>35.83</v>
    <v>36.04</v>
    <v>36.22</v>
    <v>35.42</v>
    <v>35.700000000000003</v>
    <v>35.46</v>
    <v>35.64</v>
    <v>36.22</v>
    <v>36.89</v>
    <v>36.53</v>
    <v>36.700000000000003</v>
    <v>36.840000000000003</v>
    <v>36.81</v>
    <v>36.5</v>
    <v>34.869999999999997</v>
    <v>35.58</v>
    <v>35.96</v>
    <v>35.979999999999997</v>
    <v>35.83</v>
    <v>36.4</v>
    <v>36.36</v>
    <v>36.51</v>
    <v>36.229999999999997</v>
    <v>36.28</v>
    <v>35.96</v>
    <v>36.130000000000003</v>
    <v>36.090000000000003</v>
    <v>35.79</v>
    <v>36.06</v>
    <v>35.42</v>
    <v>35.119999999999997</v>
    <v>35.619999999999997</v>
    <v>36.409999999999997</v>
    <v>36.18</v>
    <v>35.31</v>
    <v>35.590000000000003</v>
    <v>35.94</v>
    <v>36.04</v>
    <v>36.1</v>
    <v>36.03</v>
    <v>36.08</v>
    <v>36.299999999999997</v>
    <v>36.32</v>
    <v>36.619999999999997</v>
    <v>36.380000000000003</v>
    <v>36.32</v>
    <v>36.840000000000003</v>
    <v>35.96</v>
    <v>35.86</v>
    <v>37.31</v>
    <v>37.69</v>
    <v>37.68</v>
    <v>37.630000000000003</v>
    <v>37.17</v>
    <v>37.090000000000003</v>
    <v>37.75</v>
    <v>37.64</v>
    <v>37.75</v>
    <v>37.880000000000003</v>
    <v>37.840000000000003</v>
    <v>38.06</v>
    <v>37.89</v>
    <v>37.869999999999997</v>
    <v>37.81</v>
    <v>37.97</v>
    <v>38.090000000000003</v>
    <v>37.729999999999997</v>
    <v>37.85</v>
    <v>37.96</v>
    <v>37.89</v>
    <v>37.96</v>
    <v>37.74</v>
    <v>37.630000000000003</v>
    <v>37.6</v>
    <v>37.64</v>
    <v>38.14</v>
    <v>38.369999999999997</v>
    <v>38.22</v>
    <v>37.96</v>
    <v>38.25</v>
    <v>38.630000000000003</v>
    <v>38.86</v>
    <v>38.979999999999997</v>
    <v>39.54</v>
    <v>39.380000000000003</v>
    <v>39.520000000000003</v>
    <v>40.25</v>
    <v>39.33</v>
    <v>39.17</v>
    <v>39.369999999999997</v>
    <v>39.299999999999997</v>
    <v>39.36</v>
    <v>39.479999999999997</v>
    <v>39.61</v>
    <v>39.65</v>
    <v>39.619999999999997</v>
    <v>39.5</v>
    <v>39.79</v>
    <v>40.33</v>
    <v>40.4</v>
    <v>40.380000000000003</v>
    <v>40.21</v>
    <v>40.590000000000003</v>
    <v>41.12</v>
    <v>41.41</v>
    <v>41.2</v>
    <v>41.5</v>
    <v>41.79</v>
    <v>41.83</v>
    <v>41.66</v>
    <v>44.65</v>
    <v>45.01</v>
    <v>45.36</v>
    <v>44.9</v>
    <v>45.61</v>
    <v>46.17</v>
    <v>46.45</v>
    <v>46.74</v>
    <v>46.75</v>
    <v>47.38</v>
    <v>47.3</v>
    <v>46.82</v>
    <v>47.49</v>
    <v>47.85</v>
    <v>48.11</v>
    <v>48.46</v>
    <v>48.51</v>
    <v>48.36</v>
    <v>47.31</v>
    <v>46.16</v>
    <v>46.23</v>
    <v>44.01</v>
    <v>43.01</v>
    <v>45.44</v>
    <v>44.52</v>
    <v>47.05</v>
    <v>45.91</v>
    <v>45.16</v>
    <v>42.19</v>
    <v>43.65</v>
    <v>41.6</v>
    <v>37.590000000000003</v>
    <v>39.840000000000003</v>
    <v>37.01</v>
    <v>39.92</v>
    <v>36.79</v>
    <v>34.72</v>
    <v>33.619999999999997</v>
    <v>31.66</v>
    <v>35.54</v>
    <v>34.130000000000003</v>
    <v>35.9</v>
    <v>35.93</v>
    <v>37.299999999999997</v>
    <v>36.22</v>
    <v>34.44</v>
    <v>34.86</v>
    <v>33.409999999999997</v>
    <v>35.97</v>
    <v>35.96</v>
    <v>37.200000000000003</v>
    <v>39.03</v>
    <v>38.17</v>
    <v>39.630000000000003</v>
    <v>37.92</v>
    <v>37.450000000000003</v>
    <v>38.1</v>
    <v>37.32</v>
    <v>35.5</v>
    <v>35.700000000000003</v>
    <v>34.590000000000003</v>
    <v>34.76</v>
    <v>35.74</v>
    <v>35.6</v>
    <v>36.64</v>
    <v>35.909999999999997</v>
    <v>35.06</v>
    <v>35.57</v>
    <v>36.56</v>
    <v>35.64</v>
    <v>37.130000000000003</v>
    <v>37.6</v>
    <v>37.950000000000003</v>
    <v>37.51</v>
    <v>36.729999999999997</v>
    <v>36.909999999999997</v>
    <v>37</v>
    <v>38.56</v>
    <v>38.39</v>
    <v>38.35</v>
    <v>38.729999999999997</v>
    <v>38.42</v>
    <v>39.04</v>
    <v>39.96</v>
    <v>40.25</v>
    <v>40.200000000000003</v>
    <v>40.24</v>
    <v>40.9</v>
    <v>42.3</v>
    <v>42.04</v>
    <v>42.73</v>
    <v>43.04</v>
    <v>43.05</v>
    <v>42.85</v>
    <v>40.64</v>
    <v>40.67</v>
    <v>41.34</v>
    <v>41.55</v>
    <v>41.98</v>
    <v>41.86</v>
    <v>41.13</v>
    <v>41.43</v>
    <v>41.22</v>
    <v>40.049999999999997</v>
    <v>41</v>
    <v>40.08</v>
    <v>39.97</v>
    <v>40.76</v>
    <v>41.09</v>
    <v>40.85</v>
    <v>40.64</v>
    <v>40.75</v>
    <v>41.07</v>
    <v>40.9</v>
    <v>41.42</v>
    <v>40.950000000000003</v>
    <v>41.95</v>
    <v>42.31</v>
    <v>43.43</v>
    <v>43.7</v>
    <v>43.76</v>
    <v>44.29</v>
    <v>44.96</v>
    <v>45.11</v>
    <v>45.4</v>
    <v>45.49</v>
    <v>44.48</v>
    <v>44.96</v>
    <v>44.76</v>
    <v>45.47</v>
    <v>45.53</v>
    <v>45.46</v>
    <v>45.63</v>
    <v>45.62</v>
    <v>46.06</v>
    <v>45.93</v>
    <v>45.66</v>
    <v>45.8</v>
    <v>45.82</v>
    <v>45.82</v>
    <v>46</v>
    <v>46.09</v>
    <v>45.96</v>
    <v>45.79</v>
    <v>45.52</v>
    <v>45.72</v>
    <v>46.01</v>
    <v>45.66</v>
    <v>46.06</v>
    <v>46.21</v>
    <v>46.4</v>
    <v>46.69</v>
    <v>47.18</v>
    <v>45.88</v>
    <v>45.25</v>
    <v>44.19</v>
    <v>45.4</v>
    <v>44.86</v>
    <v>44.64</v>
    <v>45.17</v>
    <v>45.16</v>
    <v>45.18</v>
    <v>44.76</v>
    <v>44.8</v>
    <v>44.02</v>
    <v>44.51</v>
    <v>43.34</v>
    <v>43.56</v>
    <v>43.94</v>
    <v>44.87</v>
    <v>45.17</v>
    <v>45.27</v>
    <v>44.94</v>
    <v>45.36</v>
    <v>45.73</v>
    <v>45.73</v>
    <v>46.27</v>
    <v>46.71</v>
    <v>47.22</v>
    <v>48.31</v>
    <v>47.37</v>
    <v>46.98</v>
    <v>47.32</v>
    <v>47.45</v>
    <v>46.46</v>
    <v>46.41</v>
    <v>46.55</v>
    <v>46.64</v>
    <v>46.72</v>
    <v>46.59</v>
    <v>45.22</v>
    <v>44.17</v>
    <v>43.46</v>
    <v>43.51</v>
    <v>44.5</v>
    <v>44.32</v>
    <v>45.89</v>
    <v>45.5</v>
    <v>45.73</v>
    <v>45.92</v>
    <v>47.19</v>
    <v>46.97</v>
    <v>46.35</v>
    <v>47.16</v>
    <v>47.66</v>
    <v>47.39</v>
    <v>46.99</v>
    <v>47.44</v>
    <v>47.18</v>
    <v>46.51</v>
    <v>46.45</v>
    <v>45.86</v>
    <v>45.62</v>
    <v>45.03</v>
    <v>45.61</v>
    <v>45.07</v>
    <v>44.61</v>
    <v>44.81</v>
    <v>44.61</v>
    <v>45.33</v>
    <v>45.23</v>
    <v>44.88</v>
    <v>45.01</v>
    <v>45.45</v>
    <v>46.63</v>
    <v>45.97</v>
    <v>46.69</v>
    <v>45.97</v>
    <v>46</v>
    <v>45.69</v>
    <v>45.69</v>
    <v>46.31</v>
    <v>45.88</v>
    <v>46.03</v>
    <v>46.25</v>
    <v>47.41</v>
    <v>46.35</v>
    <v>46.32</v>
    <v>47.23</v>
    <v>47.88</v>
    <v>48.02</v>
    <v>46.98</v>
    <v>46.85</v>
    <v>46.28</v>
    <v>45.75</v>
    <v>46.3</v>
    <v>46.73</v>
    <v>47.61</v>
    <v>47.46</v>
    <v>47.49</v>
    <v>47.73</v>
    <v>45.67</v>
    <v>44.08</v>
    <v>43.9</v>
    <v>43.09</v>
    <v>42.96</v>
    <v>44.69</v>
    <v>43.73</v>
    <v>43.91</v>
    <v>44.77</v>
    <v>45.5</v>
    <v>45.33</v>
    <v>45.08</v>
    <v>45.3</v>
    <v>44.8</v>
    <v>44.47</v>
    <v>44.25</v>
    <v>44.32</v>
    <v>45.59</v>
    <v>46.18</v>
    <v>46.93</v>
    <v>47.79</v>
    <v>46.74</v>
    <v>45.9</v>
    <v>46.84</v>
    <v>46.38</v>
    <v>45.55</v>
    <v>44.93</v>
    <v>46.04</v>
    <v>46.35</v>
    <v>46.07</v>
    <v>46.51</v>
    <v>46.41</v>
    <v>46.82</v>
    <v>47.15</v>
    <v>46.95</v>
    <v>46.37</v>
    <v>45.71</v>
    <v>44.76</v>
    <v>45.34</v>
    <v>45.62</v>
    <v>45.88</v>
    <v>45.9</v>
    <v>46.19</v>
    <v>46.25</v>
    <v>46.01</v>
    <v>45.71</v>
    <v>46.52</v>
    <v>46.68</v>
    <v>46.95</v>
    <v>47.12</v>
    <v>47.34</v>
    <v>47.83</v>
    <v>47.86</v>
    <v>48.47</v>
    <v>48.23</v>
    <v>48.97</v>
    <v>49.55</v>
    <v>49.48</v>
    <v>49.37</v>
    <v>49.8</v>
    <v>49.97</v>
    <v>50.48</v>
    <v>49.8</v>
    <v>51.87</v>
    <v>52.43</v>
    <v>52.81</v>
    <v>53.18</v>
    <v>53.1</v>
    <v>53.38</v>
    <v>53.16</v>
    <v>53.55</v>
    <v>53.69</v>
    <v>53.37</v>
    <v>51.98</v>
    <v>50.9</v>
    <v>52.15</v>
    <v>52.51</v>
    <v>52.23</v>
    <v>52.06</v>
    <v>52.02</v>
    <v>52.26</v>
    <v>52.09</v>
    <v>52.16</v>
    <v>51.82</v>
    <v>51.66</v>
    <v>52.41</v>
    <v>52.52</v>
    <v>52.55</v>
    <v>52.37</v>
    <v>52.27</v>
    <v>52.37</v>
    <v>51.71</v>
    <v>52.06</v>
    <v>51.72</v>
    <v>51.81</v>
    <v>52.17</v>
    <v>52.12</v>
    <v>52.94</v>
    <v>52.71</v>
    <v>52.63</v>
    <v>51.81</v>
    <v>52.46</v>
    <v>52.85</v>
    <v>52.92</v>
    <v>53.22</v>
    <v>53.49</v>
    <v>52.97</v>
    <v>53.52</v>
    <v>53.14</v>
    <v>53.52</v>
    <v>53.67</v>
    <v>53.56</v>
    <v>53.6</v>
    <v>52.31</v>
    <v>52.95</v>
    <v>53.28</v>
    <v>52.61</v>
    <v>52.78</v>
    <v>53.53</v>
    <v>53.74</v>
    <v>52.67</v>
    <v>53.39</v>
    <v>53.27</v>
    <v>53.57</v>
    <v>54.35</v>
    <v>54.4</v>
    <v>54.78</v>
    <v>54.1</v>
    <v>54.84</v>
    <v>54.4</v>
    <v>54.24</v>
    <v>54.12</v>
    <v>53.7</v>
    <v>54.2</v>
    <v>54.48</v>
    <v>54.79</v>
    <v>54.87</v>
    <v>55.38</v>
    <v>55.38</v>
    <v>55.75</v>
    <v>56.38</v>
    <v>56.57</v>
    <v>56.72</v>
    <v>56.86</v>
    <v>57.76</v>
    <v>57.72</v>
    <v>57.68</v>
    <v>57.86</v>
    <v>57.61</v>
    <v>58.15</v>
    <v>58.03</v>
    <v>58.05</v>
    <v>58.46</v>
    <v>58.73</v>
    <v>58.94</v>
    <v>58.13</v>
    <v>58.57</v>
    <v>58.43</v>
    <v>57.77</v>
    <v>57.45</v>
    <v>56.1</v>
    <v>57.48</v>
    <v>57.46</v>
    <v>57.01</v>
    <v>56.34</v>
    <v>56.63</v>
    <v>57.4</v>
    <v>57.48</v>
    <v>58.1</v>
    <v>57.32</v>
    <v>55.79</v>
    <v>56.23</v>
    <v>55.45</v>
    <v>57.6</v>
    <v>57.18</v>
    <v>58.13</v>
    <v>58.8</v>
    <v>59.45</v>
    <v>59.99</v>
    <v>60.25</v>
    <v>60.75</v>
    <v>61.63</v>
    <v>63.13</v>
    <v>64.319999999999993</v>
    <v>64.010000000000005</v>
    <v>64.09</v>
    <v>64.569999999999993</v>
    <v>65.63</v>
    <v>66.489999999999995</v>
    <v>66.459999999999994</v>
    <v>63.9</v>
    <v>62.65</v>
    <v>62.95</v>
    <v>63.11</v>
    <v>61.87</v>
    <v>62.73</v>
    <v>61.82</v>
    <v>61.53</v>
    <v>61.97</v>
    <v>62.71</v>
    <v>63.01</v>
    <v>63.19</v>
    <v>63.69</v>
    <v>64.52</v>
    <v>64.3</v>
    <v>64.930000000000007</v>
    <v>64.72</v>
    <v>64.14</v>
    <v>64.540000000000006</v>
    <v>65.28</v>
    <v>65.81</v>
    <v>66.34</v>
    <v>64.760000000000005</v>
    <v>65.41</v>
    <v>64.41</v>
    <v>63.69</v>
    <v>65.87</v>
    <v>65.209999999999994</v>
    <v>65.89</v>
    <v>67.05</v>
    <v>67.680000000000007</v>
    <v>67.06</v>
    <v>67.209999999999994</v>
    <v>66.95</v>
    <v>66.959999999999994</v>
    <v>68.06</v>
    <v>67.239999999999995</v>
    <v>65.87</v>
    <v>65.95</v>
    <v>66.489999999999995</v>
    <v>67.569999999999993</v>
    <v>68.03</v>
    <v>69.459999999999994</v>
    <v>69.34</v>
    <v>69.83</v>
    <v>69.81</v>
    <v>70.28</v>
    <v>68.790000000000006</v>
    <v>69.12</v>
    <v>67.45</v>
    <v>68.540000000000006</v>
    <v>68.599999999999994</v>
    <v>68.08</v>
    <v>68.349999999999994</v>
    <v>69.430000000000007</v>
    <v>68.58</v>
    <v>67.05</v>
    <v>65.959999999999994</v>
    <v>64.63</v>
    <v>64.239999999999995</v>
    <v>63.13</v>
    <v>64.61</v>
    <v>64.42</v>
    <v>63.25</v>
    <v>61.97</v>
    <v>64.38</v>
    <v>66.28</v>
    <v>66.67</v>
    <v>68.08</v>
    <v>66.64</v>
    <v>67.53</v>
    <v>67.599999999999994</v>
    <v>68.03</v>
    <v>70.02</v>
    <v>69.099999999999994</v>
    <v>66.91</v>
    <v>65.98</v>
    <v>66.58</v>
    <v>66.61</v>
    <v>65.63</v>
    <v>66.14</v>
    <v>65.680000000000007</v>
    <v>64.23</v>
    <v>66.150000000000006</v>
    <v>67.59</v>
    <v>67.61</v>
    <v>66.87</v>
    <v>67.709999999999994</v>
    <v>68.11</v>
    <v>68.41</v>
    <v>66.23</v>
    <v>61.13</v>
    <v>63.54</v>
    <v>63.18</v>
    <v>62.71</v>
    <v>63.56</v>
    <v>65.98</v>
    <v>66.88</v>
    <v>68.03</v>
    <v>69.59</v>
    <v>69.510000000000005</v>
    <v>69.209999999999994</v>
    <v>68.680000000000007</v>
    <v>68.989999999999995</v>
    <v>70.37</v>
    <v>72.11</v>
    <v>72.48</v>
    <v>72.709999999999994</v>
    <v>72.27</v>
    <v>72.56</v>
    <v>72.2</v>
    <v>72.36</v>
    <v>72.88</v>
    <v>73.400000000000006</v>
    <v>72.959999999999994</v>
    <v>72.510000000000005</v>
    <v>71.94</v>
    <v>71.849999999999994</v>
    <v>71.260000000000005</v>
    <v>69.92</v>
    <v>70.16</v>
    <v>71.06</v>
    <v>70.680000000000007</v>
    <v>67.73</v>
    <v>68.45</v>
    <v>65.680000000000007</v>
    <v>64.709999999999994</v>
    <v>65.77</v>
    <v>61.98</v>
    <v>60.08</v>
    <v>59.96</v>
    <v>61.51</v>
    <v>58.96</v>
    <v>58.24</v>
    <v>56.58</v>
    <v>57.55</v>
    <v>56.09</v>
    <v>56.06</v>
    <v>57.9</v>
    <v>57.46</v>
    <v>58.28</v>
    <v>55.26</v>
    <v>54.71</v>
    <v>55</v>
    <v>55.97</v>
    <v>55.96</v>
    <v>56.18</v>
    <v>58.1</v>
    <v>59.95</v>
    <v>59.37</v>
    <v>58.01</v>
    <v>59.61</v>
    <v>58.74</v>
    <v>58.92</v>
    <v>59.25</v>
    <v>58.44</v>
    <v>56.84</v>
    <v>55.75</v>
    <v>54.49</v>
    <v>54.66</v>
    <v>54.94</v>
    <v>53.28</v>
    <v>53.5</v>
    <v>54.87</v>
    <v>55.49</v>
    <v>57.29</v>
    <v>59.06</v>
    <v>59.02</v>
    <v>57.71</v>
    <v>58</v>
    <v>58.34</v>
    <v>59.33</v>
    <v>59.9</v>
    <v>60.42</v>
    <v>60.45</v>
    <v>60.08</v>
    <v>59.65</v>
    <v>59.04</v>
    <v>58.89</v>
    <v>58.3</v>
    <v>59.31</v>
    <v>58.76</v>
    <v>60.85</v>
    <v>60.68</v>
    <v>62.36</v>
    <v>61.97</v>
    <v>62.39</v>
    <v>61.69</v>
    <v>63.08</v>
    <v>64.38</v>
    <v>65.099999999999994</v>
    <v>63.18</v>
    <v>62.88</v>
    <v>64.290000000000006</v>
    <v>64.31</v>
    <v>64.900000000000006</v>
    <v>65.28</v>
    <v>65.52</v>
    <v>66.37</v>
    <v>66.540000000000006</v>
    <v>67.55</v>
    <v>67.989999999999995</v>
    <v>68.14</v>
    <v>67.94</v>
    <v>67.81</v>
    <v>67.27</v>
    <v>65.930000000000007</v>
    <v>65.05</v>
    <v>65.349999999999994</v>
    <v>66.569999999999993</v>
    <v>65.09</v>
    <v>64.37</v>
    <v>63.8</v>
    <v>63.04</v>
    <v>63.66</v>
    <v>62.89</v>
    <v>63.36</v>
    <v>65.260000000000005</v>
    <v>65.55</v>
    <v>65.41</v>
    <v>65.3</v>
    <v>62.76</v>
    <v>62.52</v>
    <v>61.49</v>
    <v>61.54</v>
    <v>61.75</v>
    <v>61.44</v>
    <v>60.4</v>
    <v>59.24</v>
    <v>58.92</v>
    <v>58.62</v>
    <v>59.45</v>
    <v>60.24</v>
    <v>60.89</v>
    <v>60.48</v>
    <v>62.04</v>
    <v>63.3</v>
    <v>63.71</v>
    <v>62.65</v>
    <v>61.22</v>
    <v>62.07</v>
    <v>61.96</v>
    <v>60.68</v>
    <v>62.56</v>
    <v>59.48</v>
    <v>61.29</v>
    <v>62.16</v>
    <v>62.9</v>
    <v>60.89</v>
    <v>61.53</v>
    <v>63.08</v>
    <v>55.1</v>
    <v>55.95</v>
    <v>56.7</v>
    <v>58.64</v>
    <v>58.79</v>
    <v>58.65</v>
    <v>57.14</v>
    <v>56.54</v>
    <v>55.77</v>
    <v>56.02</v>
    <v>56.45</v>
    <v>55.73</v>
    <v>58.69</v>
    <v>56.67</v>
    <v>55.64</v>
    <v>55.8</v>
    <v>56.85</v>
    <v>56.39</v>
    <v>56.94</v>
    <v>58</v>
    <v>57.93</v>
    <v>58.63</v>
    <v>59.26</v>
    <v>57.89</v>
    <v>57.36</v>
    <v>59.59</v>
    <v>58.92</v>
    <v>59.52</v>
    <v>59.05</v>
    <v>57.97</v>
    <v>57.32</v>
    <v>57.77</v>
    <v>57.5</v>
    <v>58.01</v>
    <v>58.91</v>
    <v>58.17</v>
    <v>56.58</v>
    <v>55.5</v>
    <v>55.41</v>
    <v>55.53</v>
    <v>56.98</v>
    <v>56.65</v>
    <v>56.94</v>
    <v>57.36</v>
    <v>56.57</v>
    <v>57.65</v>
    <v>56.97</v>
    <v>56.65</v>
    <v>57.6</v>
    <v>57.08</v>
    <v>58.83</v>
    <v>58.84</v>
    <v>59.87</v>
    <v>61.69</v>
    <v>61.66</v>
    <v>61.27</v>
    <v>61.18</v>
    <v>60.63</v>
    <v>60.25</v>
    <v>61.72</v>
    <v>61.96</v>
    <v>58.71</v>
    <v>58.96</v>
    <v>58.36</v>
    <v>57.6</v>
    <v>57.46</v>
    <v>58.56</v>
    <v>58.4</v>
    <v>58.66</v>
    <v>58.39</v>
    <v>59.01</v>
    <v>59.97</v>
    <v>58.96</v>
    <v>58.31</v>
    <v>58.25</v>
    <v>58.47</v>
    <v>57.26</v>
    <v>57.92</v>
    <v>57.37</v>
    <v>57.67</v>
    <v>56.25</v>
    <v>56.48</v>
    <v>56.46</v>
    <v>56.47</v>
    <v>55.96</v>
    <v>56.07</v>
    <v>56.01</v>
    <v>56.15</v>
    <v>56.76</v>
    <v>57</v>
    <v>56.02</v>
    <v>56.88</v>
    <v>55.43</v>
    <v>54.92</v>
    <v>54.07</v>
    <v>55.04</v>
    <v>53.43</v>
    <v>55.11</v>
    <v>53.8</v>
    <v>54.35</v>
    <v>55.79</v>
    <v>54.88</v>
    <v>55.06</v>
    <v>55.36</v>
    <v>55.79</v>
    <v>55.78</v>
    <v>56.42</v>
    <v>56.62</v>
    <v>57.42</v>
    <v>57.65</v>
    <v>57.79</v>
    <v>58.84</v>
    <v>59.14</v>
    <v>58.42</v>
    <v>58.91</v>
    <v>58.48</v>
    <v>58.96</v>
    <v>58.77</v>
    <v>59.81</v>
    <v>60.35</v>
    <v>60.39</v>
    <v>60.85</v>
    <v>61.4</v>
    <v>61.06</v>
    <v>63.01</v>
    <v>62.82</v>
    <v>64.040000000000006</v>
    <v>64.39</v>
    <v>65.83</v>
    <v>64.92</v>
    <v>64.7</v>
    <v>64.11</v>
    <v>65.31</v>
    <v>65.75</v>
    <v>65.569999999999993</v>
    <v>65.59</v>
    <v>65.66</v>
    <v>65.680000000000007</v>
    <v>65.87</v>
    <v>65.709999999999994</v>
    <v>65.36</v>
    <v>66.27</v>
    <v>66.36</v>
    <v>65.709999999999994</v>
    <v>63.2</v>
    <v>63.09</v>
    <v>63.09</v>
    <v>62.87</v>
    <v>62.98</v>
    <v>62.33</v>
    <v>62.75</v>
    <v>63.79</v>
    <v>63.68</v>
    <v>63.79</v>
    <v>63.44</v>
    <v>63.86</v>
    <v>64.03</v>
    <v>64.31</v>
    <v>64.5</v>
    <v>64.599999999999994</v>
    <v>66.05</v>
    <v>66.25</v>
    <v>66.05</v>
    <v>66.400000000000006</v>
    <v>66.010000000000005</v>
    <v>66.430000000000007</v>
    <v>66.41</v>
    <v>66.819999999999993</v>
    <v>66.8</v>
    <v>67.69</v>
    <v>68.84</v>
    <v>67.42</v>
    <v>67.42</v>
    <v>67.349999999999994</v>
    <v>67.8</v>
    <v>68.67</v>
    <v>69.44</v>
    <v>68.66</v>
    <v>68.53</v>
    <v>68.72</v>
    <v>69.89</v>
    <v>69.73</v>
    <v>69.63</v>
    <v>71.03</v>
    <v>71.2</v>
    <v>70.63</v>
    <v>72.47</v>
    <v>71.650000000000006</v>
    <v>70.56</v>
    <v>70.59</v>
    <v>70.45</v>
    <v>70</v>
    <v>70.72</v>
    <v>70.62</v>
    <v>70</v>
    <v>71.14</v>
    <v>70.239999999999995</v>
    <v>70.64</v>
    <v>70.44</v>
    <v>70.78</v>
    <v>71.25</v>
    <v>70.59</v>
    <v>72.33</v>
    <v>71.260000000000005</v>
    <v>71.39</v>
    <v>71.64</v>
    <v>71.709999999999994</v>
    <v>72.91</v>
    <v>72.3</v>
    <v>73.069999999999993</v>
    <v>73.23</v>
    <v>73.72</v>
    <v>74.12</v>
    <v>74.099999999999994</v>
    <v>74.2</v>
    <v>72.5</v>
    <v>72.73</v>
    <v>73.989999999999995</v>
    <v>73.12</v>
    <v>73.400000000000006</v>
    <v>73.55</v>
    <v>73.14</v>
    <v>73.28</v>
    <v>72.63</v>
    <v>73.33</v>
    <v>73.83</v>
    <v>73.84</v>
    <v>72.37</v>
    <v>72.27</v>
    <v>72.099999999999994</v>
    <v>71.08</v>
    <v>70.959999999999994</v>
    <v>70.87</v>
    <v>69.84</v>
    <v>69.52</v>
    <v>69.28</v>
    <v>70.38</v>
    <v>70.760000000000005</v>
    <v>71.02</v>
    <v>71.64</v>
    <v>70.94</v>
    <v>71.459999999999994</v>
    <v>70.2</v>
    <v>69.709999999999994</v>
    <v>69.81</v>
    <v>69.010000000000005</v>
    <v>68.849999999999994</v>
    <v>68.27</v>
    <v>67.17</v>
    <v>66.78</v>
    <v>69.7</v>
    <v>69.02</v>
    <v>68.45</v>
    <v>67.63</v>
    <v>68.87</v>
    <v>69.42</v>
    <v>69.3</v>
    <v>70.91</v>
    <v>70.53</v>
    <v>70.91</v>
    <v>71.14</v>
    <v>71.61</v>
    <v>71.83</v>
    <v>72.849999999999994</v>
    <v>73.52</v>
    <v>73.2</v>
    <v>72.31</v>
    <v>73.2</v>
    <v>73.010000000000005</v>
    <v>73.44</v>
    <v>74.11</v>
    <v>74.540000000000006</v>
    <v>74.53</v>
    <v>74.97</v>
    <v>73.42</v>
    <v>72.97</v>
    <v>74.739999999999995</v>
    <v>74.14</v>
    <v>74.5</v>
    <v>74.05</v>
    <v>73.92</v>
    <v>73.78</v>
    <v>74.150000000000006</v>
    <v>74.989999999999995</v>
    <v>75.75</v>
    <v>75.77</v>
    <v>71.959999999999994</v>
    <v>69.47</v>
    <v>71.03</v>
    <v>70.930000000000007</v>
    <v>69.67</v>
    <v>70.41</v>
    <v>70.48</v>
    <v>70.36</v>
    <v>70.599999999999994</v>
    <v>70.92</v>
    <v>71.11</v>
    <v>70.75</v>
    <v>69.45</v>
    <v>70.48</v>
    <v>69.599999999999994</v>
    <v>72.19</v>
    <v>71.87</v>
    <v>72.94</v>
    <v>72.849999999999994</v>
    <v>74.48</v>
    <v>74.55</v>
    <v>74.47</v>
    <v>74.150000000000006</v>
    <v>74.83</v>
    <v>75.290000000000006</v>
    <v>78.91</v>
    <v>77.599999999999994</v>
    <v>77.19</v>
    <v>76.88</v>
    <v>77.08</v>
    <v>78.3</v>
    <v>77.56</v>
    <v>77.790000000000006</v>
    <v>77.69</v>
    <v>77.59</v>
    <v>78.41</v>
    <v>78.930000000000007</v>
    <v>79.95</v>
    <v>81</v>
    <v>80.94</v>
    <v>80.95</v>
    <v>82.2</v>
    <v>82.73</v>
    <v>82.69</v>
    <v>82.7</v>
    <v>82.84</v>
    <v>84.12</v>
    <v>84.24</v>
    <v>84.05</v>
    <v>84.11</v>
    <v>84.78</v>
    <v>84.21</v>
    <v>83.74</v>
    <v>83.95</v>
    <v>84.1</v>
    <v>85.11</v>
    <v>85.85</v>
    <v>85.19</v>
    <v>84.88</v>
    <v>85.9</v>
    <v>85.51</v>
    <v>84.99</v>
    <v>84.94</v>
    <v>85.01</v>
    <v>85.48</v>
    <v>86.7</v>
    <v>86.04</v>
    <v>86</v>
    <v>85.9</v>
    <v>86.42</v>
    <v>87.26</v>
    <v>87.54</v>
    <v>86.32</v>
    <v>85.51</v>
    <v>85.49</v>
    <v>83.94</v>
    <v>85.15</v>
    <v>85.51</v>
    <v>84.56</v>
    <v>83.6</v>
    <v>82.65</v>
    <v>81.900000000000006</v>
    <v>81.03</v>
    <v>80.92</v>
    <v>80.62</v>
    <v>81.13</v>
    <v>82.17</v>
    <v>82.5</v>
    <v>82.93</v>
    <v>82.13</v>
    <v>82.28</v>
    <v>81.459999999999994</v>
    <v>81.540000000000006</v>
    <v>81.540000000000006</v>
    <v>82.7</v>
    <v>82.85</v>
    <v>83.5</v>
    <v>84.21</v>
    <v>85.24</v>
    <v>84.81</v>
    <v>85.61</v>
    <v>87.07</v>
    <v>87.47</v>
    <v>88.45</v>
    <v>88.7</v>
    <v>89.4</v>
    <v>89.83</v>
    <v>89.86</v>
    <v>89.85</v>
    <v>91.16</v>
    <v>89.11</v>
    <v>89.36</v>
    <v>87.58</v>
    <v>86.32</v>
    <v>87.75</v>
    <v>89.51</v>
    <v>88.89</v>
    <v>89.9</v>
    <v>90</v>
    <v>89.53</v>
    <v>90.28</v>
    <v>89.64</v>
    <v>89.62</v>
    <v>90.47</v>
    <v>90.52</v>
    <v>90.08</v>
    <v>92</v>
    <v>92.41</v>
    <v>92.89</v>
    <v>93.02</v>
    <v>93.34</v>
    <v>91.14</v>
    <v>90.58</v>
    <v>90.16</v>
    <v>89.41</v>
    <v>89.11</v>
    <v>89.65</v>
    <v>90.04</v>
    <v>90.52</v>
    <v>90.57</v>
    <v>90.08</v>
    <v>90.93</v>
    <v>91.97</v>
    <v>93.74</v>
    <v>93.23</v>
    <v>93.31</v>
    <v>93.54</v>
    <v>93.23</v>
    <v>92.46</v>
    <v>93.16</v>
    <v>98.05</v>
    <v>97.56</v>
    <v>97.43</v>
    <v>99.17</v>
    <v>98.66</v>
    <v>99.84</v>
    <v>99.43</v>
    <v>100.8</v>
    <v>101.22</v>
    <v>98.38</v>
    <v>99.37</v>
    <v>98.79</v>
    <v>100.31</v>
    <v>100.32</v>
    <v>99.56</v>
    <v>99.94</v>
    <v>101.3</v>
    <v>101.19</v>
    <v>101.87</v>
    <v>102.52</v>
    <v>102.89</v>
    <v>103.46</v>
    <v>103.67</v>
    <v>102</v>
    <v>102.23</v>
    <v>103</v>
    <v>103.88</v>
    <v>104.65</v>
    <v>105.13</v>
    <v>104.96</v>
    <v>105.82</v>
    <v>104.63</v>
    <v>103.94</v>
    <v>103.72</v>
    <v>103.13</v>
    <v>100.7</v>
    <v>102.17</v>
    <v>103.13</v>
    <v>104.11</v>
    <v>103.2</v>
    <v>102.51</v>
    <v>101.45</v>
    <v>101.01</v>
    <v>102.21</v>
    <v>103.36</v>
    <v>103.35</v>
    <v>103.01</v>
    <v>102.65</v>
    <v>103.6</v>
    <v>105.01</v>
    <v>105.04</v>
    <v>104.63</v>
    <v>105.65</v>
    <v>102.13</v>
    <v>105.25</v>
    <v>105.86</v>
    <v>103.67</v>
    <v>104.75</v>
    <v>105.94</v>
    <v>105.86</v>
    <v>106.33</v>
    <v>106.93</v>
    <v>106.39</v>
    <v>106.05</v>
    <v>105.45</v>
    <v>106.02</v>
    <v>105.28</v>
    <v>103.98</v>
    <v>103.35</v>
    <v>105.04</v>
    <v>105.83</v>
    <v>104.64</v>
    <v>104.17</v>
    <v>105.45</v>
    <v>107.6</v>
    <v>110.81</v>
    <v>110.35</v>
    <v>112.43</v>
    <v>111.85</v>
    <v>112.42</v>
    <v>111.91</v>
    <v>109.53</v>
    <v>110.05</v>
    <v>109.78</v>
    <v>109.35</v>
    <v>109.61</v>
    <v>110.75</v>
    <v>112.05</v>
    <v>111.74</v>
    <v>113.42</v>
    <v>113.2</v>
    <v>113.1</v>
    <v>111.63</v>
    <v>111.38</v>
    <v>111.14</v>
    <v>110.55</v>
    <v>109.18</v>
    <v>105.68</v>
    <v>102.93</v>
    <v>104.11</v>
    <v>103.66</v>
    <v>104.19</v>
    <v>104.39</v>
    <v>103.18</v>
    <v>100.93</v>
    <v>102.3</v>
    <v>102.93</v>
    <v>102.8</v>
    <v>103.85</v>
    <v>103.74</v>
    <v>102.89</v>
    <v>101.99</v>
    <v>102.02</v>
    <v>100.54</v>
    <v>101.59</v>
    <v>100.92</v>
    <v>101.07</v>
    <v>102.53</v>
    <v>101.95</v>
    <v>102.55</v>
    <v>103.63</v>
    <v>103.68</v>
    <v>105.95</v>
    <v>105.55</v>
    <v>105.69</v>
    <v>105.19</v>
    <v>105.23</v>
    <v>106</v>
    <v>107.84</v>
    <v>105.02</v>
    <v>103.17</v>
    <v>105.46</v>
    <v>104.66</v>
    <v>105.54</v>
    <v>105.91</v>
    <v>106.79</v>
    <v>107.77</v>
    <v>108.58</v>
    <v>108.91</v>
    <v>108.75</v>
    <v>109.29</v>
    <v>110.93</v>
    <v>110.6</v>
  </a>
  <a r="1" c="261">
    <v t="i">2</v>
    <v t="i">8</v>
    <v t="i">15</v>
    <v t="i">22</v>
    <v t="i">29</v>
    <v t="i">36</v>
    <v t="i">43</v>
    <v t="i">50</v>
    <v t="i">57</v>
    <v t="i">64</v>
    <v t="i">71</v>
    <v t="i">78</v>
    <v t="i">85</v>
    <v t="i">92</v>
    <v t="i">100</v>
    <v t="i">106</v>
    <v t="i">113</v>
    <v t="i">120</v>
    <v t="i">127</v>
    <v t="i">134</v>
    <v t="i">141</v>
    <v t="i">148</v>
    <v t="i">155</v>
    <v t="i">162</v>
    <v t="i">169</v>
    <v t="i">176</v>
    <v t="i">183</v>
    <v t="i">190</v>
    <v t="i">197</v>
    <v t="i">205</v>
    <v t="i">211</v>
    <v t="i">218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338</v>
    <v t="i">344</v>
    <v t="i">351</v>
    <v t="i">358</v>
    <v t="i">366</v>
    <v t="i">372</v>
    <v t="i">379</v>
    <v t="i">386</v>
    <v t="i">393</v>
    <v t="i">400</v>
    <v t="i">407</v>
    <v t="i">414</v>
    <v t="i">421</v>
    <v t="i">428</v>
    <v t="i">435</v>
    <v t="i">442</v>
    <v t="i">449</v>
    <v t="i">456</v>
    <v t="i">463</v>
    <v t="i">471</v>
    <v t="i">477</v>
    <v t="i">484</v>
    <v t="i">491</v>
    <v t="i">498</v>
    <v t="i">506</v>
    <v t="i">512</v>
    <v t="i">519</v>
    <v t="i">526</v>
    <v t="i">533</v>
    <v t="i">540</v>
    <v t="i">547</v>
    <v t="i">554</v>
    <v t="i">561</v>
    <v t="i">569</v>
    <v t="i">575</v>
    <v t="i">582</v>
    <v t="i">589</v>
    <v t="i">596</v>
    <v t="i">603</v>
    <v t="i">610</v>
    <v t="i">617</v>
    <v t="i">624</v>
    <v t="i">631</v>
    <v t="i">638</v>
    <v t="i">645</v>
    <v t="i">652</v>
    <v t="i">659</v>
    <v t="i">666</v>
    <v t="i">673</v>
    <v t="i">680</v>
    <v t="i">687</v>
    <v t="i">694</v>
    <v t="i">702</v>
    <v t="i">708</v>
    <v t="i">715</v>
    <v t="i">722</v>
    <v t="i">729</v>
    <v t="i">737</v>
    <v t="i">743</v>
    <v t="i">750</v>
    <v t="i">757</v>
    <v t="i">764</v>
    <v t="i">771</v>
    <v t="i">778</v>
    <v t="i">785</v>
    <v t="i">792</v>
    <v t="i">799</v>
    <v t="i">806</v>
    <v t="i">813</v>
    <v t="i">820</v>
    <v t="i">827</v>
    <v t="i">835</v>
    <v t="i">841</v>
    <v t="i">848</v>
    <v t="i">856</v>
    <v t="i">862</v>
    <v t="i">870</v>
    <v t="i">876</v>
    <v t="i">883</v>
    <v t="i">890</v>
    <v t="i">897</v>
    <v t="i">904</v>
    <v t="i">911</v>
    <v t="i">918</v>
    <v t="i">925</v>
    <v t="i">933</v>
    <v t="i">939</v>
    <v t="i">946</v>
    <v t="i">953</v>
    <v t="i">960</v>
    <v t="i">967</v>
    <v t="i">974</v>
    <v t="i">981</v>
    <v t="i">988</v>
    <v t="i">995</v>
    <v t="i">1002</v>
    <v t="i">1009</v>
    <v t="i">1016</v>
    <v t="i">1023</v>
    <v t="i">1030</v>
    <v t="i">1037</v>
    <v t="i">1045</v>
    <v t="i">1052</v>
    <v t="i">1058</v>
    <v t="i">1066</v>
    <v t="i">1072</v>
    <v t="i">1079</v>
    <v t="i">1086</v>
    <v t="i">1093</v>
    <v t="i">1101</v>
    <v t="i">1107</v>
    <v t="i">1114</v>
    <v t="i">1121</v>
    <v t="i">1128</v>
    <v t="i">1135</v>
    <v t="i">1142</v>
    <v t="i">1149</v>
    <v t="i">1156</v>
    <v t="i">1163</v>
    <v t="i">1170</v>
    <v t="i">1177</v>
    <v t="i">1184</v>
    <v t="i">1191</v>
    <v t="i">1199</v>
    <v t="i">1205</v>
    <v t="i">1212</v>
    <v t="i">1220</v>
    <v t="i">1226</v>
    <v t="i">1233</v>
    <v t="i">1240</v>
    <v t="i">1247</v>
    <v t="i">1254</v>
    <v t="i">1261</v>
    <v t="i">1268</v>
    <v t="i">1275</v>
    <v t="i">1282</v>
    <v t="i">1289</v>
    <v t="i">1297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1394</v>
    <v t="i">1401</v>
    <v t="i">1409</v>
    <v t="i">1416</v>
    <v t="i">1422</v>
    <v t="i">1430</v>
    <v t="i">1436</v>
    <v t="i">1443</v>
    <v t="i">1450</v>
    <v t="i">1457</v>
    <v t="i">1465</v>
    <v t="i">1471</v>
    <v t="i">1478</v>
    <v t="i">1485</v>
    <v t="i">1492</v>
    <v t="i">1499</v>
    <v t="i">1506</v>
    <v t="i">1513</v>
    <v t="i">1520</v>
    <v t="i">1527</v>
    <v t="i">1534</v>
    <v t="i">1541</v>
    <v t="i">1548</v>
    <v t="i">1555</v>
    <v t="i">1563</v>
    <v t="i">1569</v>
    <v t="i">1576</v>
    <v t="i">1583</v>
    <v t="i">1590</v>
    <v t="i">1597</v>
    <v t="i">1604</v>
    <v t="i">1611</v>
    <v t="i">1618</v>
    <v t="i">1625</v>
    <v t="i">1632</v>
    <v t="i">1639</v>
    <v t="i">1646</v>
    <v t="i">1653</v>
    <v t="i">1661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1786</v>
    <v t="i">1793</v>
    <v t="i">1801</v>
    <v t="i">1807</v>
    <v t="i">1814</v>
    <v t="i">1821</v>
  </a>
  <a r="1" c="261">
    <v>28992.405200000001</v>
    <v>25409.356899999999</v>
    <v>25864.778900000001</v>
    <v>23185.622800000001</v>
    <v>19173.975999999999</v>
    <v>21636.781200000001</v>
    <v>21052.534800000001</v>
    <v>23719.373</v>
    <v>24242.493600000002</v>
    <v>23775.272199999999</v>
    <v>23723.694</v>
    <v>24331.314999999999</v>
    <v>23685.421900000001</v>
    <v>24465.164499999999</v>
    <v>25383.1119</v>
    <v>27110.980500000001</v>
    <v>25605.542700000002</v>
    <v>25871.458299999998</v>
    <v>25015.5488</v>
    <v>25827.356299999999</v>
    <v>26075.301800000001</v>
    <v>26671.948799999998</v>
    <v>26469.888599999998</v>
    <v>26428.324199999999</v>
    <v>27433.481199999998</v>
    <v>27931.018499999998</v>
    <v>27930.332600000002</v>
    <v>28653.867300000002</v>
    <v>28133.313200000001</v>
    <v>27665.641800000001</v>
    <v>27657.4175</v>
    <v>27173.955300000001</v>
    <v>27682.814399999999</v>
    <v>28586.904399999999</v>
    <v>28606.313900000001</v>
    <v>28335.567200000001</v>
    <v>26501.595499999999</v>
    <v>28323.395100000002</v>
    <v>29479.809300000001</v>
    <v>29263.4751</v>
    <v>29910.372200000002</v>
    <v>30218.260200000001</v>
    <v>30046.370599999998</v>
    <v>30179.046300000002</v>
    <v>30199.870500000001</v>
    <v>30606.484</v>
    <v>31097.9732</v>
    <v>30814.264800000001</v>
    <v>30996.977699999999</v>
    <v>29982.6152</v>
    <v>31148.240600000001</v>
    <v>31458.3986</v>
    <v>31494.322700000001</v>
    <v>30932.366999999998</v>
    <v>31496.2965</v>
    <v>32778.642399999997</v>
    <v>32627.971699999998</v>
    <v>33072.877899999999</v>
    <v>33153.2137</v>
    <v>33800.604299999999</v>
    <v>34200.671199999997</v>
    <v>34043.486799999999</v>
    <v>33874.853999999999</v>
    <v>34777.759700000002</v>
    <v>34382.133999999998</v>
    <v>34207.842900000003</v>
    <v>34529.449200000003</v>
    <v>34756.388800000001</v>
    <v>34479.6008</v>
    <v>33290.083700000003</v>
    <v>34433.842499999999</v>
    <v>34786.345699999998</v>
    <v>34870.159</v>
    <v>34687.850200000001</v>
    <v>35061.553599999999</v>
    <v>34935.4715</v>
    <v>35208.506699999998</v>
    <v>35515.383300000001</v>
    <v>35120.084600000002</v>
    <v>35455.798799999997</v>
    <v>35369.088600000003</v>
    <v>34607.723899999997</v>
    <v>34584.877699999997</v>
    <v>34797.999199999998</v>
    <v>34326.4588</v>
    <v>34746.249600000003</v>
    <v>35294.756099999999</v>
    <v>35677.018499999998</v>
    <v>35819.560400000002</v>
    <v>36327.950199999999</v>
    <v>36100.305200000003</v>
    <v>35601.977700000003</v>
    <v>34899.336600000002</v>
    <v>34580.080099999999</v>
    <v>35970.994500000001</v>
    <v>35365.435299999997</v>
    <v>35950.563099999999</v>
    <v>36338.297700000003</v>
    <v>36231.659099999997</v>
    <v>35911.809500000003</v>
    <v>34265.371200000001</v>
    <v>34725.472300000001</v>
    <v>35089.743699999999</v>
    <v>34738.060700000002</v>
    <v>34079.182200000003</v>
    <v>34058.750800000002</v>
    <v>33614.797100000003</v>
    <v>32944.187100000003</v>
    <v>34754.932999999997</v>
    <v>34861.241999999998</v>
    <v>34818.270199999999</v>
    <v>34721.1224</v>
    <v>34451.2307</v>
    <v>33811.3995</v>
    <v>32977.2068</v>
    <v>32899.369899999998</v>
    <v>32196.662899999999</v>
    <v>31261.895100000002</v>
    <v>33212.958400000003</v>
    <v>32899.699399999998</v>
    <v>31392.7876</v>
    <v>29888.775799999999</v>
    <v>31500.678400000001</v>
    <v>31097.257900000001</v>
    <v>31338.1502</v>
    <v>31288.2582</v>
    <v>31899.287700000001</v>
    <v>32845.127899999999</v>
    <v>32803.474300000002</v>
    <v>33761.0461</v>
    <v>33706.7382</v>
    <v>32283.397300000001</v>
    <v>31318.443800000001</v>
    <v>32151.713899999999</v>
    <v>30822.4231</v>
    <v>29590.412</v>
    <v>28725.506300000001</v>
    <v>29296.7935</v>
    <v>29634.833699999999</v>
    <v>31082.5605</v>
    <v>32861.802600000003</v>
    <v>32403.2173</v>
    <v>33747.864600000001</v>
    <v>33745.689599999998</v>
    <v>34347.0308</v>
    <v>34429.876600000003</v>
    <v>33476.457000000002</v>
    <v>32920.460299999999</v>
    <v>33203.928999999996</v>
    <v>33147.248500000002</v>
    <v>33630.6149</v>
    <v>34302.608999999997</v>
    <v>33375.486499999999</v>
    <v>33978.079899999997</v>
    <v>33926.012900000002</v>
    <v>33869.2664</v>
    <v>33826.6901</v>
    <v>32816.919500000004</v>
    <v>33390.974800000004</v>
    <v>31909.635200000001</v>
    <v>31861.984</v>
    <v>32237.525600000001</v>
    <v>33274.153599999998</v>
    <v>33485.2886</v>
    <v>33886.4683</v>
    <v>33808.961000000003</v>
    <v>34098.1636</v>
    <v>33674.3776</v>
    <v>33300.6155</v>
    <v>33426.630899999996</v>
    <v>33093.336000000003</v>
    <v>33762.759700000002</v>
    <v>33876.779900000001</v>
    <v>34299.115899999997</v>
    <v>33727.433199999999</v>
    <v>34407.599900000001</v>
    <v>33734.880799999999</v>
    <v>34509.0317</v>
    <v>35227.688399999999</v>
    <v>35459.287700000001</v>
    <v>35065.621500000001</v>
    <v>35281.403100000003</v>
    <v>34500.661399999997</v>
    <v>34346.8989</v>
    <v>34837.713000000003</v>
    <v>34576.587</v>
    <v>34618.240599999997</v>
    <v>33963.8439</v>
    <v>33507.499499999998</v>
    <v>33407.583599999998</v>
    <v>33670.291299999997</v>
    <v>33127.278400000003</v>
    <v>32417.585200000001</v>
    <v>34061.321199999998</v>
    <v>34283.100400000003</v>
    <v>34947.284399999997</v>
    <v>35390.150600000001</v>
    <v>36245.4997</v>
    <v>36247.8724</v>
    <v>37305.162400000001</v>
    <v>37385.965199999999</v>
    <v>37689.5357</v>
    <v>37466.108800000002</v>
    <v>37592.981</v>
    <v>37863.795400000003</v>
    <v>38109.433100000002</v>
    <v>38654.423199999997</v>
    <v>38671.690999999999</v>
    <v>38627.994299999998</v>
    <v>39131.5285</v>
    <v>39087.376100000001</v>
    <v>38722.693099999997</v>
    <v>38714.766600000003</v>
    <v>39475.904000000002</v>
    <v>39807.374499999998</v>
    <v>38904.038399999998</v>
    <v>37983.243600000002</v>
    <v>37986.396999999997</v>
    <v>38239.654999999999</v>
    <v>38675.679199999999</v>
    <v>39512.843000000001</v>
    <v>40003.591899999999</v>
    <v>39069.592299999997</v>
    <v>38686.321900000003</v>
    <v>38798.9905</v>
    <v>38589.157599999999</v>
    <v>39150.332600000002</v>
    <v>39118.864200000004</v>
    <v>39375.866900000001</v>
    <v>40000.898399999998</v>
    <v>40287.529900000001</v>
    <v>40589.337200000002</v>
    <v>39737.260399999999</v>
    <v>39497.54</v>
    <v>40659.760000000002</v>
    <v>41175.08</v>
    <v>41563.08</v>
    <v>40345.410000000003</v>
    <v>41393.78</v>
    <v>42063.360000000001</v>
    <v>42313</v>
    <v>42352.75</v>
    <v>42863.86</v>
    <v>43275.91</v>
    <v>42114.400000000001</v>
    <v>42052.19</v>
    <v>43988.99</v>
    <v>43444.99</v>
    <v>44296.51</v>
    <v>44910.65</v>
    <v>44642.52</v>
    <v>43828.06</v>
    <v>42840.26</v>
    <v>42992.21</v>
    <v>42732.13</v>
    <v>41938.449999999997</v>
    <v>43487.83</v>
    <v>44424.25</v>
    <v>44544.66</v>
    <v>44303.4</v>
    <v>44546.080000000002</v>
  </a>
  <a r="1" c="783">
    <v t="i">0</v>
    <v t="i">7</v>
    <v t="i">14</v>
    <v t="i">21</v>
    <v t="i">28</v>
    <v t="i">35</v>
    <v t="i">42</v>
    <v t="i">49</v>
    <v t="i">56</v>
    <v t="i">63</v>
    <v t="i">70</v>
    <v t="i">77</v>
    <v t="i">84</v>
    <v t="i">91</v>
    <v t="i">98</v>
    <v t="i">105</v>
    <v t="i">112</v>
    <v t="i">119</v>
    <v t="i">126</v>
    <v t="i">133</v>
    <v t="i">140</v>
    <v t="i">147</v>
    <v t="i">154</v>
    <v t="i">161</v>
    <v t="i">168</v>
    <v t="i">175</v>
    <v t="i">182</v>
    <v t="i">189</v>
    <v t="i">196</v>
    <v t="i">203</v>
    <v t="i">210</v>
    <v t="i">217</v>
    <v t="i">224</v>
    <v t="i">231</v>
    <v t="i">238</v>
    <v t="i">245</v>
    <v t="i">252</v>
    <v t="i">259</v>
    <v t="i">266</v>
    <v t="i">273</v>
    <v t="i">280</v>
    <v t="i">287</v>
    <v t="i">294</v>
    <v t="i">301</v>
    <v t="i">308</v>
    <v t="i">315</v>
    <v t="i">322</v>
    <v t="i">329</v>
    <v t="i">336</v>
    <v t="i">343</v>
    <v t="i">350</v>
    <v t="i">357</v>
    <v t="i">364</v>
    <v t="i">371</v>
    <v t="i">378</v>
    <v t="i">385</v>
    <v t="i">392</v>
    <v t="i">399</v>
    <v t="i">406</v>
    <v t="i">413</v>
    <v t="i">420</v>
    <v t="i">427</v>
    <v t="i">434</v>
    <v t="i">441</v>
    <v t="i">448</v>
    <v t="i">455</v>
    <v t="i">462</v>
    <v t="i">469</v>
    <v t="i">476</v>
    <v t="i">483</v>
    <v t="i">490</v>
    <v t="i">497</v>
    <v t="i">504</v>
    <v t="i">511</v>
    <v t="i">518</v>
    <v t="i">525</v>
    <v t="i">532</v>
    <v t="i">539</v>
    <v t="i">546</v>
    <v t="i">553</v>
    <v t="i">560</v>
    <v t="i">567</v>
    <v t="i">574</v>
    <v t="i">581</v>
    <v t="i">588</v>
    <v t="i">595</v>
    <v t="i">602</v>
    <v t="i">609</v>
    <v t="i">616</v>
    <v t="i">623</v>
    <v t="i">630</v>
    <v t="i">637</v>
    <v t="i">644</v>
    <v t="i">651</v>
    <v t="i">658</v>
    <v t="i">665</v>
    <v t="i">672</v>
    <v t="i">679</v>
    <v t="i">686</v>
    <v t="i">693</v>
    <v t="i">700</v>
    <v t="i">707</v>
    <v t="i">714</v>
    <v t="i">721</v>
    <v t="i">728</v>
    <v t="i">735</v>
    <v t="i">742</v>
    <v t="i">749</v>
    <v t="i">756</v>
    <v t="i">763</v>
    <v t="i">770</v>
    <v t="i">777</v>
    <v t="i">784</v>
    <v t="i">791</v>
    <v t="i">798</v>
    <v t="i">805</v>
    <v t="i">812</v>
    <v t="i">819</v>
    <v t="i">826</v>
    <v t="i">833</v>
    <v t="i">840</v>
    <v t="i">847</v>
    <v t="i">854</v>
    <v t="i">861</v>
    <v t="i">868</v>
    <v t="i">876</v>
    <v t="i">883</v>
    <v t="i">890</v>
    <v t="i">897</v>
    <v t="i">904</v>
    <v t="i">911</v>
    <v t="i">918</v>
    <v t="i">925</v>
    <v t="i">933</v>
    <v t="i">939</v>
    <v t="i">946</v>
    <v t="i">953</v>
    <v t="i">960</v>
    <v t="i">967</v>
    <v t="i">974</v>
    <v t="i">981</v>
    <v t="i">989</v>
    <v t="i">995</v>
    <v t="i">1002</v>
    <v t="i">1009</v>
    <v t="i">1016</v>
    <v t="i">1023</v>
    <v t="i">1030</v>
    <v t="i">1037</v>
    <v t="i">1044</v>
    <v t="i">1051</v>
    <v t="i">1058</v>
    <v t="i">1065</v>
    <v t="i">1073</v>
    <v t="i">1079</v>
    <v t="i">1086</v>
    <v t="i">1093</v>
    <v t="i">1101</v>
    <v t="i">1107</v>
    <v t="i">1114</v>
    <v t="i">1121</v>
    <v t="i">1128</v>
    <v t="i">1135</v>
    <v t="i">1142</v>
    <v t="i">1149</v>
    <v t="i">1156</v>
    <v t="i">1163</v>
    <v t="i">1170</v>
    <v t="i">1177</v>
    <v t="i">1184</v>
    <v t="i">1191</v>
    <v t="i">1199</v>
    <v t="i">1205</v>
    <v t="i">1212</v>
    <v t="i">1219</v>
    <v t="i">1226</v>
    <v t="i">1233</v>
    <v t="i">1240</v>
    <v t="i">1247</v>
    <v t="i">1254</v>
    <v t="i">1261</v>
    <v t="i">1268</v>
    <v t="i">1275</v>
    <v t="i">1282</v>
    <v t="i">1289</v>
    <v t="i">1297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1394</v>
    <v t="i">1401</v>
    <v t="i">1408</v>
    <v t="i">1415</v>
    <v t="i">1422</v>
    <v t="i">1429</v>
    <v t="i">1437</v>
    <v t="i">1443</v>
    <v t="i">1450</v>
    <v t="i">1457</v>
    <v t="i">1465</v>
    <v t="i">1471</v>
    <v t="i">1478</v>
    <v t="i">1485</v>
    <v t="i">1492</v>
    <v t="i">1499</v>
    <v t="i">1506</v>
    <v t="i">1513</v>
    <v t="i">1520</v>
    <v t="i">1527</v>
    <v t="i">1534</v>
    <v t="i">1541</v>
    <v t="i">1548</v>
    <v t="i">1555</v>
    <v t="i">1563</v>
    <v t="i">1569</v>
    <v t="i">1576</v>
    <v t="i">1583</v>
    <v t="i">1590</v>
    <v t="i">1597</v>
    <v t="i">1604</v>
    <v t="i">1611</v>
    <v t="i">1618</v>
    <v t="i">1625</v>
    <v t="i">1632</v>
    <v t="i">1639</v>
    <v t="i">1646</v>
    <v t="i">1653</v>
    <v t="i">1661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1786</v>
    <v t="i">1793</v>
    <v t="i">1801</v>
    <v t="i">1807</v>
    <v t="i">1814</v>
    <v t="i">1821</v>
    <v t="i">1829</v>
    <v t="i">1835</v>
    <v t="i">1842</v>
    <v t="i">1849</v>
    <v t="i">1856</v>
    <v t="i">1863</v>
    <v t="i">1870</v>
    <v t="i">1877</v>
    <v t="i">1884</v>
    <v t="i">1891</v>
    <v t="i">1898</v>
    <v t="i">1905</v>
    <v t="i">1912</v>
    <v t="i">1919</v>
    <v t="i">1927</v>
    <v t="i">1933</v>
    <v t="i">1940</v>
    <v t="i">1947</v>
    <v t="i">1954</v>
    <v t="i">1961</v>
    <v t="i">1968</v>
    <v t="i">1975</v>
    <v t="i">1982</v>
    <v t="i">1989</v>
    <v t="i">1996</v>
    <v t="i">2003</v>
    <v t="i">2010</v>
    <v t="i">2017</v>
    <v t="i">2024</v>
    <v t="i">2032</v>
    <v t="i">2038</v>
    <v t="i">2045</v>
    <v t="i">2052</v>
    <v t="i">2059</v>
    <v t="i">2066</v>
    <v t="i">2073</v>
    <v t="i">2080</v>
    <v t="i">2087</v>
    <v t="i">2094</v>
    <v t="i">2101</v>
    <v t="i">2108</v>
    <v t="i">2115</v>
    <v t="i">2122</v>
    <v t="i">2129</v>
    <v t="i">2136</v>
    <v t="i">2143</v>
    <v t="i">2150</v>
    <v t="i">2157</v>
    <v t="i">2165</v>
    <v t="i">2171</v>
    <v t="i">2178</v>
    <v t="i">2185</v>
    <v t="i">2193</v>
    <v t="i">2199</v>
    <v t="i">2206</v>
    <v t="i">2213</v>
    <v t="i">2220</v>
    <v t="i">2227</v>
    <v t="i">2234</v>
    <v t="i">2241</v>
    <v t="i">2248</v>
    <v t="i">2255</v>
    <v t="i">2262</v>
    <v t="i">2269</v>
    <v t="i">2276</v>
    <v t="i">2283</v>
    <v t="i">2290</v>
    <v t="i">2298</v>
    <v t="i">2304</v>
    <v t="i">2311</v>
    <v t="i">2318</v>
    <v t="i">2325</v>
    <v t="i">2333</v>
    <v t="i">2339</v>
    <v t="i">2346</v>
    <v t="i">2353</v>
    <v t="i">2360</v>
    <v t="i">2367</v>
    <v t="i">2374</v>
    <v t="i">2381</v>
    <v t="i">2388</v>
    <v t="i">2396</v>
    <v t="i">2402</v>
    <v t="i">2409</v>
    <v t="i">2416</v>
    <v t="i">2423</v>
    <v t="i">2430</v>
    <v t="i">2437</v>
    <v t="i">2444</v>
    <v t="i">2451</v>
    <v t="i">2458</v>
    <v t="i">2465</v>
    <v t="i">2472</v>
    <v t="i">2479</v>
    <v t="i">2486</v>
    <v t="i">2493</v>
    <v t="i">2500</v>
    <v t="i">2508</v>
    <v t="i">2515</v>
    <v t="i">2521</v>
    <v t="i">2529</v>
    <v t="i">2535</v>
    <v t="i">2542</v>
    <v t="i">2549</v>
    <v t="i">2556</v>
    <v t="i">2564</v>
    <v t="i">2570</v>
    <v t="i">2577</v>
    <v t="i">2584</v>
    <v t="i">2591</v>
    <v t="i">2598</v>
    <v t="i">2605</v>
    <v t="i">2612</v>
    <v t="i">2619</v>
    <v t="i">2626</v>
    <v t="i">2633</v>
    <v t="i">2640</v>
    <v t="i">2647</v>
    <v t="i">2654</v>
    <v t="i">2662</v>
    <v t="i">2668</v>
    <v t="i">2675</v>
    <v t="i">2682</v>
    <v t="i">2689</v>
    <v t="i">2696</v>
    <v t="i">2703</v>
    <v t="i">2710</v>
    <v t="i">2717</v>
    <v t="i">2724</v>
    <v t="i">2731</v>
    <v t="i">2738</v>
    <v t="i">2745</v>
    <v t="i">2752</v>
    <v t="i">2760</v>
    <v t="i">2766</v>
    <v t="i">2773</v>
    <v t="i">2780</v>
    <v t="i">2787</v>
    <v t="i">2794</v>
    <v t="i">2801</v>
    <v t="i">2808</v>
    <v t="i">2815</v>
    <v t="i">2822</v>
    <v t="i">2829</v>
    <v t="i">2836</v>
    <v t="i">2843</v>
    <v t="i">2850</v>
    <v t="i">2857</v>
    <v t="i">2864</v>
    <v t="i">2872</v>
    <v t="i">2879</v>
    <v t="i">2885</v>
    <v t="i">2893</v>
    <v t="i">2899</v>
    <v t="i">2906</v>
    <v t="i">2913</v>
    <v t="i">2920</v>
    <v t="i">2928</v>
    <v t="i">2934</v>
    <v t="i">2941</v>
    <v t="i">2948</v>
    <v t="i">2955</v>
    <v t="i">2962</v>
    <v t="i">2969</v>
    <v t="i">2976</v>
    <v t="i">2983</v>
    <v t="i">2990</v>
    <v t="i">2997</v>
    <v t="i">3004</v>
    <v t="i">3011</v>
    <v t="i">3018</v>
    <v t="i">3026</v>
    <v t="i">3032</v>
    <v t="i">3039</v>
    <v t="i">3046</v>
    <v t="i">3053</v>
    <v t="i">3060</v>
    <v t="i">3067</v>
    <v t="i">3074</v>
    <v t="i">3081</v>
    <v t="i">3088</v>
    <v t="i">3095</v>
    <v t="i">3102</v>
    <v t="i">3109</v>
    <v t="i">3116</v>
    <v t="i">3124</v>
    <v t="i">3130</v>
    <v t="i">3137</v>
    <v t="i">3144</v>
    <v t="i">3151</v>
    <v t="i">3158</v>
    <v t="i">3165</v>
    <v t="i">3172</v>
    <v t="i">3179</v>
    <v t="i">3186</v>
    <v t="i">3193</v>
    <v t="i">3200</v>
    <v t="i">3207</v>
    <v t="i">3214</v>
    <v t="i">3221</v>
    <v t="i">3228</v>
    <v t="i">3235</v>
    <v t="i">3242</v>
    <v t="i">3249</v>
    <v t="i">3256</v>
    <v t="i">3264</v>
    <v t="i">3270</v>
    <v t="i">3277</v>
    <v t="i">3284</v>
    <v t="i">3292</v>
    <v t="i">3298</v>
    <v t="i">3305</v>
    <v t="i">3312</v>
    <v t="i">3319</v>
    <v t="i">3326</v>
    <v t="i">3333</v>
    <v t="i">3340</v>
    <v t="i">3347</v>
    <v t="i">3354</v>
    <v t="i">3361</v>
    <v t="i">3368</v>
    <v t="i">3375</v>
    <v t="i">3382</v>
    <v t="i">3390</v>
    <v t="i">3396</v>
    <v t="i">3403</v>
    <v t="i">3410</v>
    <v t="i">3417</v>
    <v t="i">3424</v>
    <v t="i">3431</v>
    <v t="i">3438</v>
    <v t="i">3445</v>
    <v t="i">3452</v>
    <v t="i">3459</v>
    <v t="i">3466</v>
    <v t="i">3473</v>
    <v t="i">3480</v>
    <v t="i">3488</v>
    <v t="i">3494</v>
    <v t="i">3501</v>
    <v t="i">3508</v>
    <v t="i">3515</v>
    <v t="i">3522</v>
    <v t="i">3529</v>
    <v t="i">3536</v>
    <v t="i">3543</v>
    <v t="i">3550</v>
    <v t="i">3557</v>
    <v t="i">3564</v>
    <v t="i">3571</v>
    <v t="i">3578</v>
    <v t="i">3585</v>
    <v t="i">3592</v>
    <v t="i">3599</v>
    <v t="i">3606</v>
    <v t="i">3613</v>
    <v t="i">3620</v>
    <v t="i">3628</v>
    <v t="i">3634</v>
    <v t="i">3641</v>
    <v t="i">3648</v>
    <v t="i">3656</v>
    <v t="i">3662</v>
    <v t="i">3669</v>
    <v t="i">3676</v>
    <v t="i">3683</v>
    <v t="i">3690</v>
    <v t="i">3697</v>
    <v t="i">3704</v>
    <v t="i">3711</v>
    <v t="i">3718</v>
    <v t="i">3725</v>
    <v t="i">3732</v>
    <v t="i">3739</v>
    <v t="i">3746</v>
    <v t="i">3754</v>
    <v t="i">3760</v>
    <v t="i">3767</v>
    <v t="i">3774</v>
    <v t="i">3781</v>
    <v t="i">3788</v>
    <v t="i">3795</v>
    <v t="i">3802</v>
    <v t="i">3809</v>
    <v t="i">3816</v>
    <v t="i">3823</v>
    <v t="i">3830</v>
    <v t="i">3837</v>
    <v t="i">3844</v>
    <v t="i">3851</v>
    <v t="i">3859</v>
    <v t="i">3865</v>
    <v t="i">3872</v>
    <v t="i">3879</v>
    <v t="i">3886</v>
    <v t="i">3893</v>
    <v t="i">3900</v>
    <v t="i">3907</v>
    <v t="i">3914</v>
    <v t="i">3921</v>
    <v t="i">3928</v>
    <v t="i">3935</v>
    <v t="i">3942</v>
    <v t="i">3949</v>
    <v t="i">3956</v>
    <v t="i">3963</v>
    <v t="i">3970</v>
    <v t="i">3977</v>
    <v t="i">3984</v>
    <v t="i">3992</v>
    <v t="i">3998</v>
    <v t="i">4005</v>
    <v t="i">4012</v>
    <v t="i">4020</v>
    <v t="i">4026</v>
    <v t="i">4033</v>
    <v t="i">4040</v>
    <v t="i">4047</v>
    <v t="i">4054</v>
    <v t="i">4061</v>
    <v t="i">4068</v>
    <v t="i">4075</v>
    <v t="i">4082</v>
    <v t="i">4089</v>
    <v t="i">4096</v>
    <v t="i">4103</v>
    <v t="i">4110</v>
    <v t="i">4117</v>
    <v t="i">4125</v>
    <v t="i">4131</v>
    <v t="i">4138</v>
    <v t="i">4145</v>
    <v t="i">4152</v>
    <v t="i">4160</v>
    <v t="i">4166</v>
    <v t="i">4173</v>
    <v t="i">4180</v>
    <v t="i">4187</v>
    <v t="i">4194</v>
    <v t="i">4201</v>
    <v t="i">4208</v>
    <v t="i">4215</v>
    <v t="i">4223</v>
    <v t="i">4229</v>
    <v t="i">4236</v>
    <v t="i">4243</v>
    <v t="i">4250</v>
    <v t="i">4257</v>
    <v t="i">4264</v>
    <v t="i">4271</v>
    <v t="i">4278</v>
    <v t="i">4285</v>
    <v t="i">4292</v>
    <v t="i">4299</v>
    <v t="i">4306</v>
    <v t="i">4313</v>
    <v t="i">4320</v>
    <v t="i">4327</v>
    <v t="i">4334</v>
    <v t="i">4341</v>
    <v t="i">4348</v>
    <v t="i">4356</v>
    <v t="i">4362</v>
    <v t="i">4369</v>
    <v t="i">4376</v>
    <v t="i">4383</v>
    <v t="i">4391</v>
    <v t="i">4397</v>
    <v t="i">4404</v>
    <v t="i">4411</v>
    <v t="i">4418</v>
    <v t="i">4425</v>
    <v t="i">4432</v>
    <v t="i">4439</v>
    <v t="i">4446</v>
    <v t="i">4453</v>
    <v t="i">4460</v>
    <v t="i">4467</v>
    <v t="i">4474</v>
    <v t="i">4481</v>
    <v t="i">4489</v>
    <v t="i">4495</v>
    <v t="i">4502</v>
    <v t="i">4510</v>
    <v t="i">4516</v>
    <v t="i">4524</v>
    <v t="i">4530</v>
    <v t="i">4537</v>
    <v t="i">4544</v>
    <v t="i">4551</v>
    <v t="i">4558</v>
    <v t="i">4565</v>
    <v t="i">4572</v>
    <v t="i">4579</v>
    <v t="i">4587</v>
    <v t="i">4593</v>
    <v t="i">4600</v>
    <v t="i">4607</v>
    <v t="i">4614</v>
    <v t="i">4621</v>
    <v t="i">4628</v>
    <v t="i">4635</v>
    <v t="i">4642</v>
    <v t="i">4649</v>
    <v t="i">4656</v>
    <v t="i">4663</v>
    <v t="i">4670</v>
    <v t="i">4677</v>
    <v t="i">4684</v>
    <v t="i">4691</v>
    <v t="i">4699</v>
    <v t="i">4706</v>
    <v t="i">4712</v>
    <v t="i">4720</v>
    <v t="i">4726</v>
    <v t="i">4733</v>
    <v t="i">4740</v>
    <v t="i">4747</v>
    <v t="i">4755</v>
    <v t="i">4761</v>
    <v t="i">4768</v>
    <v t="i">4775</v>
    <v t="i">4782</v>
    <v t="i">4789</v>
    <v t="i">4796</v>
    <v t="i">4803</v>
    <v t="i">4810</v>
    <v t="i">4817</v>
    <v t="i">4824</v>
    <v t="i">4831</v>
    <v t="i">4838</v>
    <v t="i">4845</v>
    <v t="i">4853</v>
    <v t="i">4859</v>
    <v t="i">4866</v>
    <v t="i">4874</v>
    <v t="i">4880</v>
    <v t="i">4887</v>
    <v t="i">4894</v>
    <v t="i">4901</v>
    <v t="i">4908</v>
    <v t="i">4915</v>
    <v t="i">4922</v>
    <v t="i">4929</v>
    <v t="i">4936</v>
    <v t="i">4943</v>
    <v t="i">4951</v>
    <v t="i">4957</v>
    <v t="i">4964</v>
    <v t="i">4971</v>
    <v t="i">4978</v>
    <v t="i">4985</v>
    <v t="i">4992</v>
    <v t="i">4999</v>
    <v t="i">5006</v>
    <v t="i">5013</v>
    <v t="i">5020</v>
    <v t="i">5027</v>
    <v t="i">5034</v>
    <v t="i">5041</v>
    <v t="i">5048</v>
    <v t="i">5055</v>
    <v t="i">5063</v>
    <v t="i">5070</v>
    <v t="i">5076</v>
    <v t="i">5084</v>
    <v t="i">5090</v>
    <v t="i">5097</v>
    <v t="i">5104</v>
    <v t="i">5111</v>
    <v t="i">5119</v>
    <v t="i">5125</v>
    <v t="i">5132</v>
    <v t="i">5139</v>
    <v t="i">5146</v>
    <v t="i">5153</v>
    <v t="i">5160</v>
    <v t="i">5167</v>
    <v t="i">5174</v>
    <v t="i">5181</v>
    <v t="i">5188</v>
    <v t="i">5195</v>
    <v t="i">5202</v>
    <v t="i">5209</v>
    <v t="i">5217</v>
    <v t="i">5223</v>
    <v t="i">5230</v>
    <v t="i">5237</v>
    <v t="i">5244</v>
    <v t="i">5251</v>
    <v t="i">5258</v>
    <v t="i">5265</v>
    <v t="i">5272</v>
    <v t="i">5279</v>
    <v t="i">5286</v>
    <v t="i">5293</v>
    <v t="i">5300</v>
    <v t="i">5307</v>
    <v t="i">5315</v>
    <v t="i">5321</v>
    <v t="i">5328</v>
    <v t="i">5335</v>
    <v t="i">5342</v>
    <v t="i">5349</v>
    <v t="i">5356</v>
    <v t="i">5363</v>
    <v t="i">5370</v>
    <v t="i">5377</v>
    <v t="i">5384</v>
    <v t="i">5391</v>
    <v t="i">5398</v>
    <v t="i">5405</v>
    <v t="i">5412</v>
    <v t="i">5419</v>
    <v t="i">5426</v>
    <v t="i">5433</v>
    <v t="i">5440</v>
    <v t="i">5447</v>
    <v t="i">5455</v>
    <v t="i">5461</v>
    <v t="i">5468</v>
    <v t="i">5475</v>
  </a>
  <a r="1" c="783">
    <v>10402.3511</v>
    <v>10325.264800000001</v>
    <v>10566.197399999999</v>
    <v>10624.6924</v>
    <v>10741.9846</v>
    <v>10850.358899999999</v>
    <v>10927.0674</v>
    <v>10997.3521</v>
    <v>11018.664199999999</v>
    <v>11204.276</v>
    <v>11008.6127</v>
    <v>10380.4344</v>
    <v>10620.1579</v>
    <v>10193.3866</v>
    <v>10136.6299</v>
    <v>9931.9732000000004</v>
    <v>10211.0712</v>
    <v>10450.6435</v>
    <v>10143.809499999999</v>
    <v>9686.4822999999997</v>
    <v>10198.026</v>
    <v>10097.8969</v>
    <v>10424.6219</v>
    <v>10465.9449</v>
    <v>10653.563899999999</v>
    <v>10303.150100000001</v>
    <v>10213.6167</v>
    <v>10150.6482</v>
    <v>10447.9323</v>
    <v>10462.766299999999</v>
    <v>10607.851199999999</v>
    <v>10860.2551</v>
    <v>10829.679</v>
    <v>11006.4753</v>
    <v>11062.7837</v>
    <v>11132.563700000001</v>
    <v>11118.4866</v>
    <v>11444.076300000001</v>
    <v>11192.580599999999</v>
    <v>11203.554700000001</v>
    <v>11091.997499999999</v>
    <v>11382.091700000001</v>
    <v>11410.3215</v>
    <v>11491.9082</v>
    <v>11573.4948</v>
    <v>11577.505999999999</v>
    <v>11674.759099999999</v>
    <v>11787.375899999999</v>
    <v>11871.8385</v>
    <v>11823.7039</v>
    <v>12092.152700000001</v>
    <v>12273.2629</v>
    <v>12391.253199999999</v>
    <v>12130.448399999999</v>
    <v>12169.8794</v>
    <v>12044.396500000001</v>
    <v>11858.5182</v>
    <v>12220.587299999999</v>
    <v>12376.722</v>
    <v>12380.052</v>
    <v>12341.832</v>
    <v>12505.989100000001</v>
    <v>12810.5388</v>
    <v>12638.7377</v>
    <v>12595.7495</v>
    <v>12512.043799999999</v>
    <v>12441.5826</v>
    <v>12151.2613</v>
    <v>11951.9115</v>
    <v>12004.36</v>
    <v>11934.58</v>
    <v>12582.7698</v>
    <v>12657.204400000001</v>
    <v>12479.727000000001</v>
    <v>12681.1582</v>
    <v>12143.2389</v>
    <v>11444.606100000001</v>
    <v>11269.0208</v>
    <v>10817.645399999999</v>
    <v>11284.535900000001</v>
    <v>11240.2611</v>
    <v>10992.1333</v>
    <v>11509.088299999999</v>
    <v>10771.4786</v>
    <v>10913.3848</v>
    <v>11103.1229</v>
    <v>11644.4858</v>
    <v>11808.7943</v>
    <v>12231.1072</v>
    <v>11983.2444</v>
    <v>12153.683199999999</v>
    <v>11796.155199999999</v>
    <v>11231.784600000001</v>
    <v>12019.421</v>
    <v>12184.2593</v>
    <v>11866.389300000001</v>
    <v>12294.000099999999</v>
    <v>12217.5599</v>
    <v>12359.9203</v>
    <v>12422.0563</v>
    <v>12720.475700000001</v>
    <v>12660.4588</v>
    <v>12862.2305</v>
    <v>12801.229799999999</v>
    <v>12949.871800000001</v>
    <v>12982.9455</v>
    <v>12977.571900000001</v>
    <v>12922.020399999999</v>
    <v>13232.6248</v>
    <v>13080.728300000001</v>
    <v>13212.0389</v>
    <v>13060.1425</v>
    <v>12849.591399999999</v>
    <v>13029.2637</v>
    <v>13228.310799999999</v>
    <v>13038.27</v>
    <v>12820.6047</v>
    <v>12369.3807</v>
    <v>12454.8272</v>
    <v>12118.5661</v>
    <v>12554.1994</v>
    <v>12767.1723</v>
    <v>12640.7811</v>
    <v>12880.0918</v>
    <v>12772.4701</v>
    <v>12777.086799999999</v>
    <v>12822.5725</v>
    <v>13075.657499999999</v>
    <v>13096.1677</v>
    <v>13207.951999999999</v>
    <v>13275.2011</v>
    <v>13157.9701</v>
    <v>13090.8372</v>
    <v>13306.6381</v>
    <v>13593.366099999999</v>
    <v>13579.467199999999</v>
    <v>13437.126899999999</v>
    <v>13610.147000000001</v>
    <v>13328.845300000001</v>
    <v>13343.513199999999</v>
    <v>13107.2137</v>
    <v>13093.160099999999</v>
    <v>12815.391100000001</v>
    <v>12588.307000000001</v>
    <v>13009.683499999999</v>
    <v>13025.5802</v>
    <v>13155.134</v>
    <v>13135.0136</v>
    <v>13190.8439</v>
    <v>12938.110199999999</v>
    <v>13435.207</v>
    <v>13488.4262</v>
    <v>13649.696599999999</v>
    <v>13895.979600000001</v>
    <v>14009.7904</v>
    <v>13992.9722</v>
    <v>13981.7601</v>
    <v>14000.5749</v>
    <v>14089.6576</v>
    <v>14397.0697</v>
    <v>14514.106</v>
    <v>14512.032499999999</v>
    <v>14578.537399999999</v>
    <v>14565.251700000001</v>
    <v>14865.061100000001</v>
    <v>14547.512000000001</v>
    <v>14712.545400000001</v>
    <v>14973.957</v>
    <v>15118.486000000001</v>
    <v>15354.401599999999</v>
    <v>15303.102199999999</v>
    <v>15115.567800000001</v>
    <v>15248.1167</v>
    <v>15070.181699999999</v>
    <v>14799.401</v>
    <v>14909.602500000001</v>
    <v>15135.8418</v>
    <v>15464.2958</v>
    <v>15543.7407</v>
    <v>15558.831</v>
    <v>15658.357900000001</v>
    <v>15425.5142</v>
    <v>15081.470600000001</v>
    <v>15010.5116</v>
    <v>14810.306</v>
    <v>14922.5041</v>
    <v>15376.0579</v>
    <v>15451.087</v>
    <v>15258.2358</v>
    <v>15072.5772</v>
    <v>15237.107599999999</v>
    <v>15399.647199999999</v>
    <v>15570.2785</v>
    <v>15615.5532</v>
    <v>15761.781000000001</v>
    <v>15961.696400000001</v>
    <v>16064.768700000001</v>
    <v>16086.4107</v>
    <v>16020.2004</v>
    <v>15755.3591</v>
    <v>16221.1432</v>
    <v>16478.406599999998</v>
    <v>16469.993900000001</v>
    <v>16437.049299999999</v>
    <v>16458.5628</v>
    <v>15879.1101</v>
    <v>15698.8459</v>
    <v>15794.083500000001</v>
    <v>16154.3871</v>
    <v>16103.3004</v>
    <v>16321.710999999999</v>
    <v>16452.718799999999</v>
    <v>16065.667799999999</v>
    <v>16302.7662</v>
    <v>16323.059600000001</v>
    <v>16412.7101</v>
    <v>16026.7508</v>
    <v>16408.535800000001</v>
    <v>16361.4629</v>
    <v>16512.892500000002</v>
    <v>16583.3413</v>
    <v>16491.314699999999</v>
    <v>16606.2677</v>
    <v>16717.174800000001</v>
    <v>16924.2827</v>
    <v>16775.742999999999</v>
    <v>16947.080699999999</v>
    <v>16851.843099999998</v>
    <v>17068.262900000002</v>
    <v>16943.805499999999</v>
    <v>17100.18</v>
    <v>16960.566699999999</v>
    <v>16493.3698</v>
    <v>16553.928800000002</v>
    <v>16662.909299999999</v>
    <v>17001.217700000001</v>
    <v>17098.446</v>
    <v>17137.363099999999</v>
    <v>16987.506799999999</v>
    <v>17279.737700000001</v>
    <v>17113.152300000002</v>
    <v>17009.6947</v>
    <v>16544.103200000001</v>
    <v>16380.4076</v>
    <v>16805.412400000001</v>
    <v>17390.5164</v>
    <v>17573.927299999999</v>
    <v>17634.743200000001</v>
    <v>17810.0625</v>
    <v>17828.2366</v>
    <v>17958.794900000001</v>
    <v>17280.8295</v>
    <v>17804.7965</v>
    <v>18053.711299999999</v>
    <v>17832.9889</v>
    <v>17737.366000000002</v>
    <v>17511.570199999998</v>
    <v>17672.600600000002</v>
    <v>17164.945400000001</v>
    <v>17824.287100000001</v>
    <v>18019.353899999998</v>
    <v>18140.4398</v>
    <v>18132.701300000001</v>
    <v>17856.782200000001</v>
    <v>17749.310799999999</v>
    <v>18127.653300000002</v>
    <v>17712.662899999999</v>
    <v>17763.2438</v>
    <v>18057.6541</v>
    <v>17826.303100000001</v>
    <v>18080.141899999999</v>
    <v>18024.055799999998</v>
    <v>18191.113000000001</v>
    <v>18272.556199999999</v>
    <v>18232.018100000001</v>
    <v>18010.676500000001</v>
    <v>17849.458200000001</v>
    <v>17898.838</v>
    <v>18015.948199999999</v>
    <v>17946.683000000001</v>
    <v>17730.1132</v>
    <v>17760.411700000001</v>
    <v>18086.446499999998</v>
    <v>17568.532200000001</v>
    <v>17689.859899999999</v>
    <v>17373.379000000001</v>
    <v>17477.4028</v>
    <v>16459.7467</v>
    <v>16643.007600000001</v>
    <v>16102.3778</v>
    <v>16433.0893</v>
    <v>16384.584900000002</v>
    <v>16314.6679</v>
    <v>16472.373800000001</v>
    <v>17084.4908</v>
    <v>17215.973699999999</v>
    <v>17646.700400000002</v>
    <v>17663.536599999999</v>
    <v>17910.334299999999</v>
    <v>17245.2366</v>
    <v>17823.8148</v>
    <v>17798.493699999999</v>
    <v>17847.632699999998</v>
    <v>17265.213</v>
    <v>17128.552299999999</v>
    <v>17552.167700000002</v>
    <v>17425.028699999999</v>
    <v>16346.453</v>
    <v>15988.080599999999</v>
    <v>16093.510399999999</v>
    <v>16466.298599999998</v>
    <v>16204.9668</v>
    <v>15973.8361</v>
    <v>16391.994299999998</v>
    <v>16639.9719</v>
    <v>17006.7677</v>
    <v>17213.312999999998</v>
    <v>17602.297399999999</v>
    <v>17515.7346</v>
    <v>17792.749</v>
    <v>17576.958600000002</v>
    <v>17897.459800000001</v>
    <v>18003.745699999999</v>
    <v>17773.642199999998</v>
    <v>17740.633399999999</v>
    <v>17535.320800000001</v>
    <v>17500.942299999999</v>
    <v>17873.216799999998</v>
    <v>17807.062000000002</v>
    <v>17865.341199999999</v>
    <v>17675.163400000001</v>
    <v>17400.751400000001</v>
    <v>17949.3701</v>
    <v>18146.738499999999</v>
    <v>18516.547699999999</v>
    <v>18570.854800000001</v>
    <v>18432.244900000002</v>
    <v>18543.53</v>
    <v>18576.470399999998</v>
    <v>18552.569800000001</v>
    <v>18395.400900000001</v>
    <v>18491.962200000002</v>
    <v>18085.446100000001</v>
    <v>18123.796699999999</v>
    <v>18261.447899999999</v>
    <v>18308.153399999999</v>
    <v>18240.491999999998</v>
    <v>18138.383600000001</v>
    <v>18145.711299999999</v>
    <v>18161.1885</v>
    <v>17888.283100000001</v>
    <v>18847.663799999998</v>
    <v>18867.934799999999</v>
    <v>19152.139899999998</v>
    <v>19170.424999999999</v>
    <v>19756.846300000001</v>
    <v>19843.409</v>
    <v>19933.806799999998</v>
    <v>19762.598900000001</v>
    <v>19963.802500000002</v>
    <v>19885.731599999999</v>
    <v>19827.246999999999</v>
    <v>20093.783500000001</v>
    <v>20071.457999999999</v>
    <v>20269.374400000001</v>
    <v>20624.048699999999</v>
    <v>20821.759600000001</v>
    <v>21005.705399999999</v>
    <v>20902.980599999999</v>
    <v>20914.622800000001</v>
    <v>20596.723900000001</v>
    <v>20663.221099999999</v>
    <v>20656.0988</v>
    <v>20453.251700000001</v>
    <v>20547.758399999999</v>
    <v>20940.509399999999</v>
    <v>21006.938099999999</v>
    <v>20896.611700000001</v>
    <v>20804.8442</v>
    <v>21080.283599999999</v>
    <v>21206.292600000001</v>
    <v>21271.9679</v>
    <v>21384.280299999999</v>
    <v>21394.758300000001</v>
    <v>21349.627899999999</v>
    <v>21414.344499999999</v>
    <v>21637.7366</v>
    <v>21580.073700000001</v>
    <v>21830.3112</v>
    <v>22092.807199999999</v>
    <v>21858.320800000001</v>
    <v>21674.511999999999</v>
    <v>21813.6698</v>
    <v>21987.555899999999</v>
    <v>21797.793099999999</v>
    <v>22268.3442</v>
    <v>22349.592400000001</v>
    <v>22405.089</v>
    <v>22773.666700000002</v>
    <v>22871.715400000001</v>
    <v>23328.633300000001</v>
    <v>23434.187099999999</v>
    <v>23539.1901</v>
    <v>23422.2065</v>
    <v>23358.240699999998</v>
    <v>23557.987400000002</v>
    <v>24231.590100000001</v>
    <v>24329.156800000001</v>
    <v>24651.739699999998</v>
    <v>24754.057400000002</v>
    <v>24719.217100000002</v>
    <v>25295.872800000001</v>
    <v>25803.1921</v>
    <v>26071.724399999999</v>
    <v>26616.7071</v>
    <v>25520.957900000001</v>
    <v>24190.897099999998</v>
    <v>25219.375499999998</v>
    <v>25309.988000000001</v>
    <v>24538.061099999999</v>
    <v>25335.7395</v>
    <v>24946.505499999999</v>
    <v>23533.199799999999</v>
    <v>24103.107800000002</v>
    <v>23932.761900000001</v>
    <v>24360.141299999999</v>
    <v>24462.940900000001</v>
    <v>24311.185799999999</v>
    <v>24262.505700000002</v>
    <v>24831.1744</v>
    <v>24715.085800000001</v>
    <v>24753.093400000002</v>
    <v>24635.2147</v>
    <v>25316.5291</v>
    <v>25090.480100000001</v>
    <v>24580.888599999998</v>
    <v>24271.409899999999</v>
    <v>24456.484899999999</v>
    <v>25019.405900000002</v>
    <v>25058.122899999998</v>
    <v>25451.0556</v>
    <v>25462.5825</v>
    <v>25313.139299999999</v>
    <v>25669.321400000001</v>
    <v>25790.354200000002</v>
    <v>25964.8177</v>
    <v>25916.540199999999</v>
    <v>26154.672999999999</v>
    <v>26743.495699999999</v>
    <v>26458.305899999999</v>
    <v>26447.050200000001</v>
    <v>25339.9902</v>
    <v>25444.342799999999</v>
    <v>24688.311799999999</v>
    <v>25270.828600000001</v>
    <v>25989.295399999999</v>
    <v>25413.220099999999</v>
    <v>24285.954099999999</v>
    <v>25538.4568</v>
    <v>24388.950700000001</v>
    <v>24100.5062</v>
    <v>22445.374599999999</v>
    <v>23062.404399999999</v>
    <v>23433.164700000001</v>
    <v>23995.950099999998</v>
    <v>24706.348099999999</v>
    <v>24737.1996</v>
    <v>25063.886299999998</v>
    <v>25106.332600000002</v>
    <v>25883.2477</v>
    <v>26031.809499999999</v>
    <v>26026.317200000001</v>
    <v>25450.241900000001</v>
    <v>25848.870299999999</v>
    <v>25502.316500000001</v>
    <v>25928.677299999999</v>
    <v>26424.985199999999</v>
    <v>26412.302500000002</v>
    <v>26559.5432</v>
    <v>26543.3338</v>
    <v>26504.946800000002</v>
    <v>25942.3668</v>
    <v>25763.995999999999</v>
    <v>25585.6931</v>
    <v>24815.036400000001</v>
    <v>25983.9414</v>
    <v>26089.607400000001</v>
    <v>26719.127400000001</v>
    <v>26599.964899999999</v>
    <v>26922.117399999999</v>
    <v>27332.0311</v>
    <v>27154.2029</v>
    <v>27192.4542</v>
    <v>26485.007300000001</v>
    <v>26287.442999999999</v>
    <v>25886.007000000001</v>
    <v>25628.895400000001</v>
    <v>26403.282299999999</v>
    <v>26797.461299999999</v>
    <v>27219.514999999999</v>
    <v>26935.0713</v>
    <v>26820.249400000001</v>
    <v>26573.7179</v>
    <v>26816.587</v>
    <v>26770.197</v>
    <v>26958.0628</v>
    <v>27347.358700000001</v>
    <v>27681.2444</v>
    <v>28004.888999999999</v>
    <v>27875.6211</v>
    <v>28051.4146</v>
    <v>28015.0622</v>
    <v>28135.377700000001</v>
    <v>28455.0887</v>
    <v>28645.260399999999</v>
    <v>28634.883699999998</v>
    <v>28823.766800000001</v>
    <v>29348.095499999999</v>
    <v>28989.726200000001</v>
    <v>28256.032299999999</v>
    <v>29102.513500000001</v>
    <v>29398.080000000002</v>
    <v>28992.405200000001</v>
    <v>25409.356899999999</v>
    <v>25864.778900000001</v>
    <v>23185.622800000001</v>
    <v>19173.975999999999</v>
    <v>21636.781200000001</v>
    <v>21052.534800000001</v>
    <v>23719.373</v>
    <v>24242.493600000002</v>
    <v>23775.272199999999</v>
    <v>23723.694</v>
    <v>24331.314999999999</v>
    <v>23685.421900000001</v>
    <v>24465.164499999999</v>
    <v>25383.1119</v>
    <v>27110.980500000001</v>
    <v>25605.542700000002</v>
    <v>25871.458299999998</v>
    <v>25015.5488</v>
    <v>25827.356299999999</v>
    <v>26075.301800000001</v>
    <v>26671.948799999998</v>
    <v>26469.888599999998</v>
    <v>26428.324199999999</v>
    <v>27433.481199999998</v>
    <v>27931.018499999998</v>
    <v>27930.332600000002</v>
    <v>28653.867300000002</v>
    <v>28133.313200000001</v>
    <v>27665.641800000001</v>
    <v>27657.4175</v>
    <v>27173.955300000001</v>
    <v>27682.814399999999</v>
    <v>28586.904399999999</v>
    <v>28606.313900000001</v>
    <v>28335.567200000001</v>
    <v>26501.595499999999</v>
    <v>28323.395100000002</v>
    <v>29479.809300000001</v>
    <v>29263.4751</v>
    <v>29910.372200000002</v>
    <v>30218.260200000001</v>
    <v>30046.370599999998</v>
    <v>30179.046300000002</v>
    <v>30199.870500000001</v>
    <v>30606.484</v>
    <v>31097.9732</v>
    <v>30814.264800000001</v>
    <v>30996.977699999999</v>
    <v>29982.6152</v>
    <v>31148.240600000001</v>
    <v>31458.3986</v>
    <v>31494.322700000001</v>
    <v>30932.366999999998</v>
    <v>31496.2965</v>
    <v>32778.642399999997</v>
    <v>32627.971699999998</v>
    <v>33072.877899999999</v>
    <v>33153.2137</v>
    <v>33800.604299999999</v>
    <v>34200.671199999997</v>
    <v>34043.486799999999</v>
    <v>33874.853999999999</v>
    <v>34777.759700000002</v>
    <v>34382.133999999998</v>
    <v>34207.842900000003</v>
    <v>34529.449200000003</v>
    <v>34756.388800000001</v>
    <v>34479.6008</v>
    <v>33290.083700000003</v>
    <v>34433.842499999999</v>
    <v>34786.345699999998</v>
    <v>34870.159</v>
    <v>34687.850200000001</v>
    <v>35061.553599999999</v>
    <v>34935.4715</v>
    <v>35208.506699999998</v>
    <v>35515.383300000001</v>
    <v>35120.084600000002</v>
    <v>35455.798799999997</v>
    <v>35369.088600000003</v>
    <v>34607.723899999997</v>
    <v>34584.877699999997</v>
    <v>34797.999199999998</v>
    <v>34326.4588</v>
    <v>34746.249600000003</v>
    <v>35294.756099999999</v>
    <v>35677.018499999998</v>
    <v>35819.560400000002</v>
    <v>36327.950199999999</v>
    <v>36100.305200000003</v>
    <v>35601.977700000003</v>
    <v>34899.336600000002</v>
    <v>34580.080099999999</v>
    <v>35970.994500000001</v>
    <v>35365.435299999997</v>
    <v>35950.563099999999</v>
    <v>36338.297700000003</v>
    <v>36231.659099999997</v>
    <v>35911.809500000003</v>
    <v>34265.371200000001</v>
    <v>34725.472300000001</v>
    <v>35089.743699999999</v>
    <v>34738.060700000002</v>
    <v>34079.182200000003</v>
    <v>34058.750800000002</v>
    <v>33614.797100000003</v>
    <v>32944.187100000003</v>
    <v>34754.932999999997</v>
    <v>34861.241999999998</v>
    <v>34818.270199999999</v>
    <v>34721.1224</v>
    <v>34451.2307</v>
    <v>33811.3995</v>
    <v>32977.2068</v>
    <v>32899.369899999998</v>
    <v>32196.662899999999</v>
    <v>31261.895100000002</v>
    <v>33212.958400000003</v>
    <v>32899.699399999998</v>
    <v>31392.7876</v>
    <v>29888.775799999999</v>
    <v>31500.678400000001</v>
    <v>31097.257900000001</v>
    <v>31338.1502</v>
    <v>31288.2582</v>
    <v>31899.287700000001</v>
    <v>32845.127899999999</v>
    <v>32803.474300000002</v>
    <v>33761.0461</v>
    <v>33706.7382</v>
    <v>32283.397300000001</v>
    <v>31318.443800000001</v>
    <v>32151.713899999999</v>
    <v>30822.4231</v>
    <v>29590.412</v>
    <v>28725.506300000001</v>
    <v>29296.7935</v>
    <v>29634.833699999999</v>
    <v>31082.5605</v>
    <v>32861.802600000003</v>
    <v>32403.2173</v>
    <v>33747.864600000001</v>
    <v>33745.689599999998</v>
    <v>34347.0308</v>
    <v>34429.876600000003</v>
    <v>33476.457000000002</v>
    <v>32920.460299999999</v>
    <v>33203.928999999996</v>
    <v>33147.248500000002</v>
    <v>33630.6149</v>
    <v>34302.608999999997</v>
    <v>33375.486499999999</v>
    <v>33978.079899999997</v>
    <v>33926.012900000002</v>
    <v>33869.2664</v>
    <v>33826.6901</v>
    <v>32816.919500000004</v>
    <v>33390.974800000004</v>
    <v>31909.635200000001</v>
    <v>31861.984</v>
    <v>32237.525600000001</v>
    <v>33274.153599999998</v>
    <v>33485.2886</v>
    <v>33886.4683</v>
    <v>33808.961000000003</v>
    <v>34098.1636</v>
    <v>33674.3776</v>
    <v>33300.6155</v>
    <v>33426.630899999996</v>
    <v>33093.336000000003</v>
    <v>33762.759700000002</v>
    <v>33876.779900000001</v>
    <v>34299.115899999997</v>
    <v>33727.433199999999</v>
    <v>34407.599900000001</v>
    <v>33734.880799999999</v>
    <v>34509.0317</v>
    <v>35227.688399999999</v>
    <v>35459.287700000001</v>
    <v>35065.621500000001</v>
    <v>35281.403100000003</v>
    <v>34500.661399999997</v>
    <v>34346.8989</v>
    <v>34837.713000000003</v>
    <v>34576.587</v>
    <v>34618.240599999997</v>
    <v>33963.8439</v>
    <v>33507.499499999998</v>
    <v>33407.583599999998</v>
    <v>33670.291299999997</v>
    <v>33127.278400000003</v>
    <v>32417.585200000001</v>
    <v>34061.321199999998</v>
    <v>34283.100400000003</v>
    <v>34947.284399999997</v>
    <v>35390.150600000001</v>
    <v>36245.4997</v>
    <v>36247.8724</v>
    <v>37305.162400000001</v>
    <v>37385.965199999999</v>
    <v>37689.5357</v>
    <v>37466.108800000002</v>
    <v>37592.981</v>
    <v>37863.795400000003</v>
    <v>38109.433100000002</v>
    <v>38654.423199999997</v>
    <v>38671.690999999999</v>
    <v>38627.994299999998</v>
    <v>39131.5285</v>
    <v>39087.376100000001</v>
    <v>38722.693099999997</v>
    <v>38714.766600000003</v>
    <v>39475.904000000002</v>
    <v>39807.374499999998</v>
    <v>38904.038399999998</v>
    <v>37983.243600000002</v>
    <v>37986.396999999997</v>
    <v>38239.654999999999</v>
    <v>38675.679199999999</v>
    <v>39512.843000000001</v>
    <v>40003.591899999999</v>
    <v>39069.592299999997</v>
    <v>38686.321900000003</v>
    <v>38798.9905</v>
    <v>38589.157599999999</v>
    <v>39150.332600000002</v>
    <v>39118.864200000004</v>
    <v>39375.866900000001</v>
    <v>40000.898399999998</v>
    <v>40287.529900000001</v>
    <v>40589.337200000002</v>
    <v>39737.260399999999</v>
    <v>39497.54</v>
    <v>40659.760000000002</v>
    <v>41175.08</v>
    <v>41563.08</v>
    <v>40345.410000000003</v>
    <v>41393.78</v>
    <v>42063.360000000001</v>
    <v>42313</v>
    <v>42352.75</v>
    <v>42863.86</v>
    <v>43275.91</v>
    <v>42114.400000000001</v>
    <v>42052.19</v>
    <v>43988.99</v>
    <v>43444.99</v>
    <v>44296.51</v>
    <v>44910.65</v>
    <v>44642.52</v>
    <v>43828.06</v>
    <v>42840.26</v>
    <v>42992.21</v>
    <v>42732.13</v>
    <v>41938.449999999997</v>
    <v>43487.83</v>
    <v>44424.25</v>
    <v>44544.66</v>
    <v>44303.4</v>
    <v>44546.080000000002</v>
  </a>
  <a r="1" c="783">
    <v t="i">2</v>
    <v t="i">8</v>
    <v t="i">15</v>
    <v t="i">22</v>
    <v t="i">29</v>
    <v t="i">36</v>
    <v t="i">43</v>
    <v t="i">50</v>
    <v t="i">57</v>
    <v t="i">64</v>
    <v t="i">71</v>
    <v t="i">78</v>
    <v t="i">85</v>
    <v t="i">92</v>
    <v t="i">99</v>
    <v t="i">107</v>
    <v t="i">113</v>
    <v t="i">120</v>
    <v t="i">127</v>
    <v t="i">134</v>
    <v t="i">142</v>
    <v t="i">148</v>
    <v t="i">155</v>
    <v t="i">162</v>
    <v t="i">169</v>
    <v t="i">176</v>
    <v t="i">183</v>
    <v t="i">190</v>
    <v t="i">197</v>
    <v t="i">205</v>
    <v t="i">211</v>
    <v t="i">218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338</v>
    <v t="i">344</v>
    <v t="i">351</v>
    <v t="i">358</v>
    <v t="i">365</v>
    <v t="i">373</v>
    <v t="i">379</v>
    <v t="i">386</v>
    <v t="i">393</v>
    <v t="i">400</v>
    <v t="i">407</v>
    <v t="i">414</v>
    <v t="i">421</v>
    <v t="i">428</v>
    <v t="i">435</v>
    <v t="i">442</v>
    <v t="i">449</v>
    <v t="i">456</v>
    <v t="i">463</v>
    <v t="i">471</v>
    <v t="i">477</v>
    <v t="i">484</v>
    <v t="i">491</v>
    <v t="i">498</v>
    <v t="i">506</v>
    <v t="i">512</v>
    <v t="i">519</v>
    <v t="i">526</v>
    <v t="i">533</v>
    <v t="i">540</v>
    <v t="i">547</v>
    <v t="i">554</v>
    <v t="i">561</v>
    <v t="i">569</v>
    <v t="i">575</v>
    <v t="i">582</v>
    <v t="i">589</v>
    <v t="i">596</v>
    <v t="i">603</v>
    <v t="i">610</v>
    <v t="i">617</v>
    <v t="i">624</v>
    <v t="i">631</v>
    <v t="i">638</v>
    <v t="i">645</v>
    <v t="i">652</v>
    <v t="i">659</v>
    <v t="i">666</v>
    <v t="i">673</v>
    <v t="i">681</v>
    <v t="i">688</v>
    <v t="i">694</v>
    <v t="i">702</v>
    <v t="i">708</v>
    <v t="i">715</v>
    <v t="i">722</v>
    <v t="i">729</v>
    <v t="i">737</v>
    <v t="i">743</v>
    <v t="i">750</v>
    <v t="i">757</v>
    <v t="i">764</v>
    <v t="i">771</v>
    <v t="i">778</v>
    <v t="i">785</v>
    <v t="i">792</v>
    <v t="i">799</v>
    <v t="i">806</v>
    <v t="i">813</v>
    <v t="i">820</v>
    <v t="i">827</v>
    <v t="i">835</v>
    <v t="i">841</v>
    <v t="i">848</v>
    <v t="i">855</v>
    <v t="i">862</v>
    <v t="i">869</v>
    <v t="i">876</v>
    <v t="i">883</v>
    <v t="i">890</v>
    <v t="i">897</v>
    <v t="i">904</v>
    <v t="i">911</v>
    <v t="i">918</v>
    <v t="i">925</v>
    <v t="i">933</v>
    <v t="i">939</v>
    <v t="i">946</v>
    <v t="i">953</v>
    <v t="i">960</v>
    <v t="i">967</v>
    <v t="i">974</v>
    <v t="i">981</v>
    <v t="i">990</v>
    <v t="i">995</v>
    <v t="i">1002</v>
    <v t="i">1009</v>
    <v t="i">1016</v>
    <v t="i">1023</v>
    <v t="i">1030</v>
    <v t="i">1037</v>
    <v t="i">1044</v>
    <v t="i">1051</v>
    <v t="i">1058</v>
    <v t="i">1065</v>
    <v t="i">1073</v>
    <v t="i">1079</v>
    <v t="i">1086</v>
    <v t="i">1093</v>
    <v t="i">1101</v>
    <v t="i">1107</v>
    <v t="i">1114</v>
    <v t="i">1121</v>
    <v t="i">1128</v>
    <v t="i">1135</v>
    <v t="i">1142</v>
    <v t="i">1149</v>
    <v t="i">1156</v>
    <v t="i">1163</v>
    <v t="i">1170</v>
    <v t="i">1177</v>
    <v t="i">1184</v>
    <v t="i">1191</v>
    <v t="i">1199</v>
    <v t="i">1205</v>
    <v t="i">1212</v>
    <v t="i">1219</v>
    <v t="i">1226</v>
    <v t="i">1233</v>
    <v t="i">1240</v>
    <v t="i">1247</v>
    <v t="i">1254</v>
    <v t="i">1261</v>
    <v t="i">1268</v>
    <v t="i">1275</v>
    <v t="i">1282</v>
    <v t="i">1289</v>
    <v t="i">1297</v>
    <v t="i">1303</v>
    <v t="i">1310</v>
    <v t="i">1317</v>
    <v t="i">1324</v>
    <v t="i">1331</v>
    <v t="i">1338</v>
    <v t="i">1345</v>
    <v t="i">1352</v>
    <v t="i">1359</v>
    <v t="i">1366</v>
    <v t="i">1373</v>
    <v t="i">1380</v>
    <v t="i">1387</v>
    <v t="i">1394</v>
    <v t="i">1401</v>
    <v t="i">1408</v>
    <v t="i">1415</v>
    <v t="i">1422</v>
    <v t="i">1429</v>
    <v t="i">1437</v>
    <v t="i">1443</v>
    <v t="i">1450</v>
    <v t="i">1457</v>
    <v t="i">1465</v>
    <v t="i">1471</v>
    <v t="i">1478</v>
    <v t="i">1485</v>
    <v t="i">1492</v>
    <v t="i">1499</v>
    <v t="i">1506</v>
    <v t="i">1513</v>
    <v t="i">1520</v>
    <v t="i">1527</v>
    <v t="i">1534</v>
    <v t="i">1541</v>
    <v t="i">1548</v>
    <v t="i">1555</v>
    <v t="i">1563</v>
    <v t="i">1569</v>
    <v t="i">1576</v>
    <v t="i">1583</v>
    <v t="i">1590</v>
    <v t="i">1597</v>
    <v t="i">1604</v>
    <v t="i">1611</v>
    <v t="i">1618</v>
    <v t="i">1625</v>
    <v t="i">1632</v>
    <v t="i">1639</v>
    <v t="i">1646</v>
    <v t="i">1653</v>
    <v t="i">1661</v>
    <v t="i">1667</v>
    <v t="i">1674</v>
    <v t="i">1681</v>
    <v t="i">1688</v>
    <v t="i">1695</v>
    <v t="i">1702</v>
    <v t="i">1709</v>
    <v t="i">1716</v>
    <v t="i">1723</v>
    <v t="i">1730</v>
    <v t="i">1737</v>
    <v t="i">1744</v>
    <v t="i">1751</v>
    <v t="i">1758</v>
    <v t="i">1765</v>
    <v t="i">1772</v>
    <v t="i">1779</v>
    <v t="i">1786</v>
    <v t="i">1793</v>
    <v t="i">1801</v>
    <v t="i">1807</v>
    <v t="i">1814</v>
    <v t="i">1821</v>
    <v t="i">1829</v>
    <v t="i">1835</v>
    <v t="i">1842</v>
    <v t="i">1849</v>
    <v t="i">1856</v>
    <v t="i">1863</v>
    <v t="i">1870</v>
    <v t="i">1877</v>
    <v t="i">1884</v>
    <v t="i">1891</v>
    <v t="i">1898</v>
    <v t="i">1905</v>
    <v t="i">1912</v>
    <v t="i">1919</v>
    <v t="i">1927</v>
    <v t="i">1933</v>
    <v t="i">1940</v>
    <v t="i">1947</v>
    <v t="i">1954</v>
    <v t="i">1961</v>
    <v t="i">1968</v>
    <v t="i">1975</v>
    <v t="i">1982</v>
    <v t="i">1989</v>
    <v t="i">1996</v>
    <v t="i">2003</v>
    <v t="i">2010</v>
    <v t="i">2017</v>
    <v t="i">2024</v>
    <v t="i">2032</v>
    <v t="i">2038</v>
    <v t="i">2045</v>
    <v t="i">2052</v>
    <v t="i">2059</v>
    <v t="i">2066</v>
    <v t="i">2073</v>
    <v t="i">2080</v>
    <v t="i">2087</v>
    <v t="i">2094</v>
    <v t="i">2101</v>
    <v t="i">2108</v>
    <v t="i">2115</v>
    <v t="i">2122</v>
    <v t="i">2129</v>
    <v t="i">2136</v>
    <v t="i">2143</v>
    <v t="i">2150</v>
    <v t="i">2157</v>
    <v t="i">2165</v>
    <v t="i">2171</v>
    <v t="i">2178</v>
    <v t="i">2185</v>
    <v t="i">2193</v>
    <v t="i">2199</v>
    <v t="i">2206</v>
    <v t="i">2213</v>
    <v t="i">2220</v>
    <v t="i">2227</v>
    <v t="i">2234</v>
    <v t="i">2241</v>
    <v t="i">2248</v>
    <v t="i">2255</v>
    <v t="i">2262</v>
    <v t="i">2269</v>
    <v t="i">2276</v>
    <v t="i">2283</v>
    <v t="i">2290</v>
    <v t="i">2298</v>
    <v t="i">2304</v>
    <v t="i">2311</v>
    <v t="i">2318</v>
    <v t="i">2325</v>
    <v t="i">2333</v>
    <v t="i">2339</v>
    <v t="i">2346</v>
    <v t="i">2353</v>
    <v t="i">2360</v>
    <v t="i">2367</v>
    <v t="i">2374</v>
    <v t="i">2381</v>
    <v t="i">2388</v>
    <v t="i">2396</v>
    <v t="i">2402</v>
    <v t="i">2409</v>
    <v t="i">2416</v>
    <v t="i">2423</v>
    <v t="i">2430</v>
    <v t="i">2437</v>
    <v t="i">2444</v>
    <v t="i">2451</v>
    <v t="i">2458</v>
    <v t="i">2465</v>
    <v t="i">2472</v>
    <v t="i">2479</v>
    <v t="i">2486</v>
    <v t="i">2493</v>
    <v t="i">2500</v>
    <v t="i">2508</v>
    <v t="i">2515</v>
    <v t="i">2521</v>
    <v t="i">2529</v>
    <v t="i">2535</v>
    <v t="i">2542</v>
    <v t="i">2549</v>
    <v t="i">2556</v>
    <v t="i">2564</v>
    <v t="i">2570</v>
    <v t="i">2577</v>
    <v t="i">2584</v>
    <v t="i">2591</v>
    <v t="i">2598</v>
    <v t="i">2605</v>
    <v t="i">2612</v>
    <v t="i">2619</v>
    <v t="i">2626</v>
    <v t="i">2633</v>
    <v t="i">2640</v>
    <v t="i">2647</v>
    <v t="i">2654</v>
    <v t="i">2662</v>
    <v t="i">2668</v>
    <v t="i">2675</v>
    <v t="i">2682</v>
    <v t="i">2689</v>
    <v t="i">2696</v>
    <v t="i">2703</v>
    <v t="i">2710</v>
    <v t="i">2717</v>
    <v t="i">2724</v>
    <v t="i">2731</v>
    <v t="i">2738</v>
    <v t="i">2745</v>
    <v t="i">2752</v>
    <v t="i">2760</v>
    <v t="i">2766</v>
    <v t="i">2773</v>
    <v t="i">2780</v>
    <v t="i">2787</v>
    <v t="i">2794</v>
    <v t="i">2801</v>
    <v t="i">2808</v>
    <v t="i">2815</v>
    <v t="i">2822</v>
    <v t="i">2829</v>
    <v t="i">2836</v>
    <v t="i">2843</v>
    <v t="i">2850</v>
    <v t="i">2857</v>
    <v t="i">2864</v>
    <v t="i">2872</v>
    <v t="i">2879</v>
    <v t="i">2885</v>
    <v t="i">2893</v>
    <v t="i">2899</v>
    <v t="i">2906</v>
    <v t="i">2913</v>
    <v t="i">2920</v>
    <v t="i">2928</v>
    <v t="i">2934</v>
    <v t="i">2941</v>
    <v t="i">2948</v>
    <v t="i">2955</v>
    <v t="i">2962</v>
    <v t="i">2969</v>
    <v t="i">2976</v>
    <v t="i">2983</v>
    <v t="i">2990</v>
    <v t="i">2997</v>
    <v t="i">3004</v>
    <v t="i">3011</v>
    <v t="i">3018</v>
    <v t="i">3026</v>
    <v t="i">3032</v>
    <v t="i">3039</v>
    <v t="i">3046</v>
    <v t="i">3053</v>
    <v t="i">3060</v>
    <v t="i">3067</v>
    <v t="i">3074</v>
    <v t="i">3081</v>
    <v t="i">3088</v>
    <v t="i">3095</v>
    <v t="i">3102</v>
    <v t="i">3109</v>
    <v t="i">3116</v>
    <v t="i">3124</v>
    <v t="i">3130</v>
    <v t="i">3137</v>
    <v t="i">3144</v>
    <v t="i">3151</v>
    <v t="i">3158</v>
    <v t="i">3165</v>
    <v t="i">3172</v>
    <v t="i">3179</v>
    <v t="i">3186</v>
    <v t="i">3193</v>
    <v t="i">3200</v>
    <v t="i">3207</v>
    <v t="i">3214</v>
    <v t="i">3221</v>
    <v t="i">3228</v>
    <v t="i">3235</v>
    <v t="i">3242</v>
    <v t="i">3249</v>
    <v t="i">3256</v>
    <v t="i">3264</v>
    <v t="i">3270</v>
    <v t="i">3277</v>
    <v t="i">3284</v>
    <v t="i">3292</v>
    <v t="i">3298</v>
    <v t="i">3305</v>
    <v t="i">3312</v>
    <v t="i">3319</v>
    <v t="i">3326</v>
    <v t="i">3333</v>
    <v t="i">3340</v>
    <v t="i">3347</v>
    <v t="i">3354</v>
    <v t="i">3361</v>
    <v t="i">3368</v>
    <v t="i">3375</v>
    <v t="i">3382</v>
    <v t="i">3390</v>
    <v t="i">3396</v>
    <v t="i">3403</v>
    <v t="i">3410</v>
    <v t="i">3417</v>
    <v t="i">3424</v>
    <v t="i">3431</v>
    <v t="i">3438</v>
    <v t="i">3445</v>
    <v t="i">3452</v>
    <v t="i">3459</v>
    <v t="i">3466</v>
    <v t="i">3473</v>
    <v t="i">3480</v>
    <v t="i">3488</v>
    <v t="i">3494</v>
    <v t="i">3501</v>
    <v t="i">3508</v>
    <v t="i">3515</v>
    <v t="i">3522</v>
    <v t="i">3529</v>
    <v t="i">3536</v>
    <v t="i">3543</v>
    <v t="i">3550</v>
    <v t="i">3557</v>
    <v t="i">3564</v>
    <v t="i">3571</v>
    <v t="i">3578</v>
    <v t="i">3585</v>
    <v t="i">3592</v>
    <v t="i">3599</v>
    <v t="i">3606</v>
    <v t="i">3613</v>
    <v t="i">3620</v>
    <v t="i">3628</v>
    <v t="i">3634</v>
    <v t="i">3641</v>
    <v t="i">3648</v>
    <v t="i">3656</v>
    <v t="i">3662</v>
    <v t="i">3669</v>
    <v t="i">3676</v>
    <v t="i">3683</v>
    <v t="i">3690</v>
    <v t="i">3697</v>
    <v t="i">3704</v>
    <v t="i">3711</v>
    <v t="i">3718</v>
    <v t="i">3725</v>
    <v t="i">3732</v>
    <v t="i">3739</v>
    <v t="i">3746</v>
    <v t="i">3754</v>
    <v t="i">3760</v>
    <v t="i">3767</v>
    <v t="i">3774</v>
    <v t="i">3781</v>
    <v t="i">3788</v>
    <v t="i">3795</v>
    <v t="i">3802</v>
    <v t="i">3809</v>
    <v t="i">3816</v>
    <v t="i">3823</v>
    <v t="i">3830</v>
    <v t="i">3837</v>
    <v t="i">3844</v>
    <v t="i">3851</v>
    <v t="i">3859</v>
    <v t="i">3865</v>
    <v t="i">3872</v>
    <v t="i">3879</v>
    <v t="i">3886</v>
    <v t="i">3893</v>
    <v t="i">3900</v>
    <v t="i">3907</v>
    <v t="i">3914</v>
    <v t="i">3921</v>
    <v t="i">3928</v>
    <v t="i">3935</v>
    <v t="i">3942</v>
    <v t="i">3949</v>
    <v t="i">3956</v>
    <v t="i">3963</v>
    <v t="i">3970</v>
    <v t="i">3977</v>
    <v t="i">3984</v>
    <v t="i">3992</v>
    <v t="i">3998</v>
    <v t="i">4005</v>
    <v t="i">4012</v>
    <v t="i">4020</v>
    <v t="i">4026</v>
    <v t="i">4033</v>
    <v t="i">4040</v>
    <v t="i">4047</v>
    <v t="i">4054</v>
    <v t="i">4061</v>
    <v t="i">4068</v>
    <v t="i">4075</v>
    <v t="i">4082</v>
    <v t="i">4089</v>
    <v t="i">4096</v>
    <v t="i">4103</v>
    <v t="i">4110</v>
    <v t="i">4117</v>
    <v t="i">4125</v>
    <v t="i">4131</v>
    <v t="i">4138</v>
    <v t="i">4145</v>
    <v t="i">4152</v>
    <v t="i">4160</v>
    <v t="i">4166</v>
    <v t="i">4173</v>
    <v t="i">4180</v>
    <v t="i">4187</v>
    <v t="i">4194</v>
    <v t="i">4201</v>
    <v t="i">4208</v>
    <v t="i">4215</v>
    <v t="i">4223</v>
    <v t="i">4229</v>
    <v t="i">4236</v>
    <v t="i">4243</v>
    <v t="i">4250</v>
    <v t="i">4257</v>
    <v t="i">4264</v>
    <v t="i">4271</v>
    <v t="i">4278</v>
    <v t="i">4285</v>
    <v t="i">4292</v>
    <v t="i">4299</v>
    <v t="i">4306</v>
    <v t="i">4313</v>
    <v t="i">4320</v>
    <v t="i">4327</v>
    <v t="i">4334</v>
    <v t="i">4341</v>
    <v t="i">4348</v>
    <v t="i">4356</v>
    <v t="i">4362</v>
    <v t="i">4369</v>
    <v t="i">4376</v>
    <v t="i">4383</v>
    <v t="i">4391</v>
    <v t="i">4397</v>
    <v t="i">4404</v>
    <v t="i">4411</v>
    <v t="i">4418</v>
    <v t="i">4425</v>
    <v t="i">4432</v>
    <v t="i">4439</v>
    <v t="i">4446</v>
    <v t="i">4453</v>
    <v t="i">4460</v>
    <v t="i">4467</v>
    <v t="i">4474</v>
    <v t="i">4481</v>
    <v t="i">4489</v>
    <v t="i">4495</v>
    <v t="i">4502</v>
    <v t="i">4510</v>
    <v t="i">4516</v>
    <v t="i">4524</v>
    <v t="i">4530</v>
    <v t="i">4537</v>
    <v t="i">4544</v>
    <v t="i">4551</v>
    <v t="i">4558</v>
    <v t="i">4565</v>
    <v t="i">4572</v>
    <v t="i">4579</v>
    <v t="i">4587</v>
    <v t="i">4593</v>
    <v t="i">4600</v>
    <v t="i">4607</v>
    <v t="i">4614</v>
    <v t="i">4621</v>
    <v t="i">4628</v>
    <v t="i">4635</v>
    <v t="i">4642</v>
    <v t="i">4649</v>
    <v t="i">4656</v>
    <v t="i">4663</v>
    <v t="i">4670</v>
    <v t="i">4677</v>
    <v t="i">4684</v>
    <v t="i">4691</v>
    <v t="i">4699</v>
    <v t="i">4706</v>
    <v t="i">4712</v>
    <v t="i">4720</v>
    <v t="i">4726</v>
    <v t="i">4733</v>
    <v t="i">4740</v>
    <v t="i">4747</v>
    <v t="i">4755</v>
    <v t="i">4761</v>
    <v t="i">4768</v>
    <v t="i">4775</v>
    <v t="i">4782</v>
    <v t="i">4789</v>
    <v t="i">4796</v>
    <v t="i">4803</v>
    <v t="i">4810</v>
    <v t="i">4817</v>
    <v t="i">4824</v>
    <v t="i">4831</v>
    <v t="i">4838</v>
    <v t="i">4845</v>
    <v t="i">4853</v>
    <v t="i">4859</v>
    <v t="i">4866</v>
    <v t="i">4874</v>
    <v t="i">4880</v>
    <v t="i">4887</v>
    <v t="i">4894</v>
    <v t="i">4901</v>
    <v t="i">4908</v>
    <v t="i">4915</v>
    <v t="i">4922</v>
    <v t="i">4929</v>
    <v t="i">4936</v>
    <v t="i">4943</v>
    <v t="i">4951</v>
    <v t="i">4957</v>
    <v t="i">4964</v>
    <v t="i">4971</v>
    <v t="i">4978</v>
    <v t="i">4985</v>
    <v t="i">4992</v>
    <v t="i">4999</v>
    <v t="i">5006</v>
    <v t="i">5013</v>
    <v t="i">5020</v>
    <v t="i">5027</v>
    <v t="i">5034</v>
    <v t="i">5041</v>
    <v t="i">5048</v>
    <v t="i">5055</v>
    <v t="i">5063</v>
    <v t="i">5070</v>
    <v t="i">5076</v>
    <v t="i">5084</v>
    <v t="i">5090</v>
    <v t="i">5097</v>
    <v t="i">5104</v>
    <v t="i">5111</v>
    <v t="i">5119</v>
    <v t="i">5125</v>
    <v t="i">5132</v>
    <v t="i">5139</v>
    <v t="i">5146</v>
    <v t="i">5153</v>
    <v t="i">5160</v>
    <v t="i">5167</v>
    <v t="i">5174</v>
    <v t="i">5181</v>
    <v t="i">5188</v>
    <v t="i">5195</v>
    <v t="i">5202</v>
    <v t="i">5209</v>
    <v t="i">5217</v>
    <v t="i">5223</v>
    <v t="i">5230</v>
    <v t="i">5237</v>
    <v t="i">5244</v>
    <v t="i">5251</v>
    <v t="i">5258</v>
    <v t="i">5265</v>
    <v t="i">5272</v>
    <v t="i">5279</v>
    <v t="i">5286</v>
    <v t="i">5293</v>
    <v t="i">5300</v>
    <v t="i">5307</v>
    <v t="i">5315</v>
    <v t="i">5321</v>
    <v t="i">5328</v>
    <v t="i">5335</v>
    <v t="i">5342</v>
    <v t="i">5349</v>
    <v t="i">5356</v>
    <v t="i">5363</v>
    <v t="i">5370</v>
    <v t="i">5377</v>
    <v t="i">5384</v>
    <v t="i">5391</v>
    <v t="i">5398</v>
    <v t="i">5405</v>
    <v t="i">5412</v>
    <v t="i">5419</v>
    <v t="i">5426</v>
    <v t="i">5433</v>
    <v t="i">5440</v>
    <v t="i">5447</v>
    <v t="i">5455</v>
    <v t="i">5461</v>
    <v t="i">5468</v>
    <v t="i">5475</v>
  </a>
  <a r="1" c="783">
    <v>8.36</v>
    <v>8.39</v>
    <v>8.68</v>
    <v>8.8350000000000009</v>
    <v>8.99</v>
    <v>8.9049999999999994</v>
    <v>8.8650000000000002</v>
    <v>9.15</v>
    <v>9.2949999999999999</v>
    <v>10.015000000000001</v>
    <v>10.07</v>
    <v>9.5050000000000008</v>
    <v>9.76</v>
    <v>9.5500000000000007</v>
    <v>9.8000000000000007</v>
    <v>9.65</v>
    <v>9.8550000000000004</v>
    <v>10.105</v>
    <v>9.8949999999999996</v>
    <v>9.4499999999999993</v>
    <v>9.7349999999999994</v>
    <v>9.4749999999999996</v>
    <v>10.095000000000001</v>
    <v>10.01</v>
    <v>10.035</v>
    <v>9.6999999999999993</v>
    <v>9.74</v>
    <v>9.7650000000000006</v>
    <v>9.92</v>
    <v>9.9749999999999996</v>
    <v>10.14</v>
    <v>10.08</v>
    <v>10.085000000000001</v>
    <v>10.154999999999999</v>
    <v>10.37</v>
    <v>11.045</v>
    <v>11.145</v>
    <v>11.515000000000001</v>
    <v>11.28</v>
    <v>11.265000000000001</v>
    <v>11.36</v>
    <v>11.72</v>
    <v>11.865</v>
    <v>11.975</v>
    <v>12.035</v>
    <v>11.97</v>
    <v>12.07</v>
    <v>12.324999999999999</v>
    <v>12.18</v>
    <v>12.35</v>
    <v>12.33</v>
    <v>12.62</v>
    <v>13.255000000000001</v>
    <v>13.11</v>
    <v>12.67</v>
    <v>12.71</v>
    <v>12.44</v>
    <v>12.545</v>
    <v>13.15</v>
    <v>13.265000000000001</v>
    <v>13.07</v>
    <v>12.574999999999999</v>
    <v>12.925000000000001</v>
    <v>12.7</v>
    <v>12.805</v>
    <v>12.955</v>
    <v>13.04</v>
    <v>12.98</v>
    <v>12.545</v>
    <v>12.51</v>
    <v>12.59</v>
    <v>12.94</v>
    <v>12.94</v>
    <v>12.21</v>
    <v>10.9</v>
    <v>10.904999999999999</v>
    <v>10.095000000000001</v>
    <v>9.7249999999999996</v>
    <v>9.58</v>
    <v>10.215</v>
    <v>9.9849999999999994</v>
    <v>9.7949999999999999</v>
    <v>9.5050000000000008</v>
    <v>8.7750000000000004</v>
    <v>8.9</v>
    <v>8.8249999999999993</v>
    <v>9.2200000000000006</v>
    <v>10.75</v>
    <v>11.32</v>
    <v>10.955</v>
    <v>11.085000000000001</v>
    <v>10.535</v>
    <v>9.875</v>
    <v>10.61</v>
    <v>10.895</v>
    <v>10.935</v>
    <v>11.255000000000001</v>
    <v>11.315</v>
    <v>11.2</v>
    <v>11.4</v>
    <v>11.57</v>
    <v>11.57</v>
    <v>11.675000000000001</v>
    <v>12.38</v>
    <v>12.13</v>
    <v>11.994999999999999</v>
    <v>11.935</v>
    <v>11.93</v>
    <v>12.135</v>
    <v>11.805</v>
    <v>11.89</v>
    <v>12.265000000000001</v>
    <v>11.744999999999999</v>
    <v>13.03</v>
    <v>13.61</v>
    <v>13.265000000000001</v>
    <v>13.24</v>
    <v>12.615</v>
    <v>12.845000000000001</v>
    <v>12.685</v>
    <v>12.99</v>
    <v>13.225</v>
    <v>13.345000000000001</v>
    <v>13.635</v>
    <v>13.64</v>
    <v>13.645</v>
    <v>12.935</v>
    <v>12.904999999999999</v>
    <v>12.76</v>
    <v>12.515000000000001</v>
    <v>12.83</v>
    <v>12.91</v>
    <v>13.12</v>
    <v>13.13</v>
    <v>13.335000000000001</v>
    <v>13.19</v>
    <v>13.035</v>
    <v>13.484999999999999</v>
    <v>13.125</v>
    <v>12.62</v>
    <v>12.65</v>
    <v>12.824999999999999</v>
    <v>13.04</v>
    <v>12.96</v>
    <v>13.46</v>
    <v>13.42</v>
    <v>13.145</v>
    <v>12.885</v>
    <v>12.82</v>
    <v>12.66</v>
    <v>13.35</v>
    <v>13.14</v>
    <v>13.39</v>
    <v>13.565</v>
    <v>13.744999999999999</v>
    <v>14.535</v>
    <v>14.685</v>
    <v>14.835000000000001</v>
    <v>14.904999999999999</v>
    <v>15.34</v>
    <v>15.295</v>
    <v>15.78</v>
    <v>16.02</v>
    <v>15.335000000000001</v>
    <v>15.66</v>
    <v>15.25</v>
    <v>15.225</v>
    <v>15.725</v>
    <v>15.93</v>
    <v>16.16</v>
    <v>16.27</v>
    <v>16.135000000000002</v>
    <v>16.14</v>
    <v>16.195</v>
    <v>15.76</v>
    <v>16.12</v>
    <v>16.395</v>
    <v>16.88</v>
    <v>17.059999999999999</v>
    <v>16.5</v>
    <v>16.86</v>
    <v>16.645</v>
    <v>16.164999999999999</v>
    <v>16.190000000000001</v>
    <v>15.57</v>
    <v>15.73</v>
    <v>16.105</v>
    <v>16.375</v>
    <v>16.094999999999999</v>
    <v>16.445</v>
    <v>16.495000000000001</v>
    <v>16.62</v>
    <v>16.34</v>
    <v>15.935</v>
    <v>15.685</v>
    <v>16.02</v>
    <v>15.824999999999999</v>
    <v>15.81</v>
    <v>15.49</v>
    <v>14.94</v>
    <v>15.215</v>
    <v>15.45</v>
    <v>15.55</v>
    <v>15.845000000000001</v>
    <v>16.204999999999998</v>
    <v>15.7</v>
    <v>15.744999999999999</v>
    <v>14.59</v>
    <v>14.8</v>
    <v>14.98</v>
    <v>15.05</v>
    <v>15.445</v>
    <v>15.54</v>
    <v>15.494999999999999</v>
    <v>15.225</v>
    <v>15.265000000000001</v>
    <v>14.505000000000001</v>
    <v>15.055</v>
    <v>14.795</v>
    <v>14.83</v>
    <v>14.81</v>
    <v>14.79</v>
    <v>15.035</v>
    <v>15.095000000000001</v>
    <v>15.385</v>
    <v>15.285</v>
    <v>15.27</v>
    <v>15.24</v>
    <v>15.385</v>
    <v>15.14</v>
    <v>15.185</v>
    <v>15.81</v>
    <v>15.27</v>
    <v>15.305</v>
    <v>15.725</v>
    <v>16.114999999999998</v>
    <v>16.309999999999999</v>
    <v>16.434999999999999</v>
    <v>16.445</v>
    <v>16.420000000000002</v>
    <v>16.265000000000001</v>
    <v>16.145</v>
    <v>15.734999999999999</v>
    <v>16.03</v>
    <v>15.74</v>
    <v>15.93</v>
    <v>16.149999999999999</v>
    <v>15.994999999999999</v>
    <v>16.004999999999999</v>
    <v>16.100000000000001</v>
    <v>16.399999999999999</v>
    <v>15.96</v>
    <v>16.215</v>
    <v>16.309999999999999</v>
    <v>16.28</v>
    <v>16.234999999999999</v>
    <v>15.914999999999999</v>
    <v>15.875</v>
    <v>15.425000000000001</v>
    <v>16.055</v>
    <v>16.504999999999999</v>
    <v>16.545000000000002</v>
    <v>16.07</v>
    <v>15.92</v>
    <v>16.190000000000001</v>
    <v>16.565000000000001</v>
    <v>16.38</v>
    <v>16.565000000000001</v>
    <v>16.605</v>
    <v>16.285</v>
    <v>16.215</v>
    <v>15.925000000000001</v>
    <v>15.955</v>
    <v>16.024999999999999</v>
    <v>16.149999999999999</v>
    <v>16.195</v>
    <v>16.465</v>
    <v>16.690000000000001</v>
    <v>16.77</v>
    <v>16.565000000000001</v>
    <v>16.565000000000001</v>
    <v>16.824999999999999</v>
    <v>17.145</v>
    <v>16.690000000000001</v>
    <v>16.725000000000001</v>
    <v>16.79</v>
    <v>17.195</v>
    <v>16.335000000000001</v>
    <v>16.195</v>
    <v>15.57</v>
    <v>15.895</v>
    <v>15.695</v>
    <v>15.64</v>
    <v>15.545</v>
    <v>15.984999999999999</v>
    <v>15.66</v>
    <v>16.024999999999999</v>
    <v>16.135000000000002</v>
    <v>16.055</v>
    <v>15.67</v>
    <v>16.29</v>
    <v>16.2</v>
    <v>16.510000000000002</v>
    <v>16.010000000000002</v>
    <v>15.625</v>
    <v>16.04</v>
    <v>16.05</v>
    <v>15.1</v>
    <v>14.935</v>
    <v>14.7</v>
    <v>15.125</v>
    <v>15.75</v>
    <v>15.685</v>
    <v>15.74</v>
    <v>16.225000000000001</v>
    <v>16.815000000000001</v>
    <v>17.18</v>
    <v>17.600000000000001</v>
    <v>17.61</v>
    <v>17.805</v>
    <v>17.32</v>
    <v>17.760000000000002</v>
    <v>17.344999999999999</v>
    <v>17.555</v>
    <v>17.445</v>
    <v>17.565000000000001</v>
    <v>17.600000000000001</v>
    <v>17.984999999999999</v>
    <v>17.989999999999998</v>
    <v>18.204999999999998</v>
    <v>17.805</v>
    <v>17.805</v>
    <v>18.55</v>
    <v>18.670000000000002</v>
    <v>18.02</v>
    <v>18.535</v>
    <v>18.329999999999998</v>
    <v>18.425000000000001</v>
    <v>18.254999999999999</v>
    <v>18.285</v>
    <v>18.440000000000001</v>
    <v>19</v>
    <v>18.414999999999999</v>
    <v>18.47</v>
    <v>18.745000000000001</v>
    <v>18.855</v>
    <v>19.105</v>
    <v>18.72</v>
    <v>18.809999999999999</v>
    <v>18.38</v>
    <v>18.14</v>
    <v>19.574999999999999</v>
    <v>21.17</v>
    <v>21.59</v>
    <v>21.61</v>
    <v>22.21</v>
    <v>22.44</v>
    <v>22.445</v>
    <v>22.43</v>
    <v>22.454999999999998</v>
    <v>22.13</v>
    <v>21.914999999999999</v>
    <v>21.63</v>
    <v>21.265000000000001</v>
    <v>21.49</v>
    <v>21.934999999999999</v>
    <v>21.71</v>
    <v>21.8</v>
    <v>21.605</v>
    <v>21.88</v>
    <v>21.305</v>
    <v>20.86</v>
    <v>20.905000000000001</v>
    <v>20.66</v>
    <v>21.25</v>
    <v>21.45</v>
    <v>21.54</v>
    <v>21.145</v>
    <v>21.035</v>
    <v>21.434999999999999</v>
    <v>21.905000000000001</v>
    <v>21.925000000000001</v>
    <v>22.164999999999999</v>
    <v>21.465</v>
    <v>21.535</v>
    <v>21.58</v>
    <v>21.65</v>
    <v>22.035</v>
    <v>22.29</v>
    <v>22.03</v>
    <v>21.77</v>
    <v>21.815000000000001</v>
    <v>22.145</v>
    <v>22.524999999999999</v>
    <v>24.065000000000001</v>
    <v>23.21</v>
    <v>23.71</v>
    <v>24.094999999999999</v>
    <v>24.364999999999998</v>
    <v>24.695</v>
    <v>24.66</v>
    <v>24.84</v>
    <v>25.195</v>
    <v>24.74</v>
    <v>24.94</v>
    <v>25.024999999999999</v>
    <v>25.875</v>
    <v>25.965</v>
    <v>25.59</v>
    <v>25.555</v>
    <v>25.73</v>
    <v>26.145</v>
    <v>26.21</v>
    <v>26.25</v>
    <v>26.885000000000002</v>
    <v>26.49</v>
    <v>25.245000000000001</v>
    <v>26.35</v>
    <v>26.44</v>
    <v>26.135000000000002</v>
    <v>26.815000000000001</v>
    <v>26.375</v>
    <v>24.97</v>
    <v>25.44</v>
    <v>25.09</v>
    <v>25.72</v>
    <v>25.95</v>
    <v>27.73</v>
    <v>27.51</v>
    <v>27.45</v>
    <v>27.61</v>
    <v>27.81</v>
    <v>28.04</v>
    <v>28.48</v>
    <v>28.26</v>
    <v>28.22</v>
    <v>27.73</v>
    <v>28.3</v>
    <v>28.75</v>
    <v>29.67</v>
    <v>29.28</v>
    <v>29.29</v>
    <v>29.65</v>
    <v>29.82</v>
    <v>30.38</v>
    <v>30.48</v>
    <v>30.82</v>
    <v>31.07</v>
    <v>30.27</v>
    <v>29.57</v>
    <v>29.32</v>
    <v>27.91</v>
    <v>28.85</v>
    <v>27.94</v>
    <v>28.18</v>
    <v>29.29</v>
    <v>28.87</v>
    <v>28.46</v>
    <v>29.02</v>
    <v>27.59</v>
    <v>27.62</v>
    <v>26.53</v>
    <v>27.18</v>
    <v>27.39</v>
    <v>27.78</v>
    <v>28.64</v>
    <v>28.2</v>
    <v>27.87</v>
    <v>27.83</v>
    <v>29.06</v>
    <v>29.51</v>
    <v>29.87</v>
    <v>28.87</v>
    <v>29.46</v>
    <v>28.88</v>
    <v>29.51</v>
    <v>29.93</v>
    <v>30.51</v>
    <v>30.57</v>
    <v>31.68</v>
    <v>32.340000000000003</v>
    <v>32.19</v>
    <v>31.69</v>
    <v>31.85</v>
    <v>31.57</v>
    <v>32.869999999999997</v>
    <v>32.82</v>
    <v>32.9</v>
    <v>33.5</v>
    <v>34.76</v>
    <v>34.99</v>
    <v>34.700000000000003</v>
    <v>36.39</v>
    <v>35.85</v>
    <v>36.74</v>
    <v>36.08</v>
    <v>35.42</v>
    <v>36.89</v>
    <v>36.81</v>
    <v>35.979999999999997</v>
    <v>36.229999999999997</v>
    <v>35.79</v>
    <v>36.409999999999997</v>
    <v>36.04</v>
    <v>36.32</v>
    <v>35.96</v>
    <v>37.630000000000003</v>
    <v>37.75</v>
    <v>37.869999999999997</v>
    <v>37.85</v>
    <v>37.74</v>
    <v>38.369999999999997</v>
    <v>38.86</v>
    <v>40.25</v>
    <v>39.299999999999997</v>
    <v>39.65</v>
    <v>40.4</v>
    <v>41.41</v>
    <v>41.83</v>
    <v>44.9</v>
    <v>46.75</v>
    <v>47.85</v>
    <v>48.36</v>
    <v>43.01</v>
    <v>45.16</v>
    <v>39.840000000000003</v>
    <v>33.619999999999997</v>
    <v>35.93</v>
    <v>33.409999999999997</v>
    <v>39.03</v>
    <v>38.1</v>
    <v>34.76</v>
    <v>35.06</v>
    <v>37.6</v>
    <v>37</v>
    <v>38.42</v>
    <v>40.200000000000003</v>
    <v>42.73</v>
    <v>40.67</v>
    <v>41.13</v>
    <v>40.08</v>
    <v>40.85</v>
    <v>41.42</v>
    <v>43.7</v>
    <v>45.4</v>
    <v>45.47</v>
    <v>46.06</v>
    <v>45.82</v>
    <v>45.52</v>
    <v>46.21</v>
    <v>45.25</v>
    <v>44.64</v>
    <v>44.8</v>
    <v>43.94</v>
    <v>45.36</v>
    <v>47.22</v>
    <v>47.45</v>
    <v>46.72</v>
    <v>43.51</v>
    <v>45.73</v>
    <v>47.16</v>
    <v>47.18</v>
    <v>45.62</v>
    <v>44.81</v>
    <v>45.01</v>
    <v>45.97</v>
    <v>46.31</v>
    <v>47.41</v>
    <v>48.02</v>
    <v>46.3</v>
    <v>47.49</v>
    <v>43.09</v>
    <v>44.77</v>
    <v>44.8</v>
    <v>45.59</v>
    <v>45.9</v>
    <v>46.04</v>
    <v>46.82</v>
    <v>44.76</v>
    <v>46.19</v>
    <v>46.52</v>
    <v>47.83</v>
    <v>49.55</v>
    <v>50.48</v>
    <v>53.18</v>
    <v>53.69</v>
    <v>52.51</v>
    <v>52.09</v>
    <v>52.52</v>
    <v>52.37</v>
    <v>52.17</v>
    <v>51.81</v>
    <v>53.49</v>
    <v>53.67</v>
    <v>52.95</v>
    <v>53.74</v>
    <v>54.35</v>
    <v>54.4</v>
    <v>54.48</v>
    <v>55.75</v>
    <v>57.76</v>
    <v>58.15</v>
    <v>58.94</v>
    <v>57.77</v>
    <v>57.01</v>
    <v>58.1</v>
    <v>57.6</v>
    <v>59.99</v>
    <v>64.319999999999993</v>
    <v>66.489999999999995</v>
    <v>63.11</v>
    <v>61.97</v>
    <v>64.52</v>
    <v>64.540000000000006</v>
    <v>64.760000000000005</v>
    <v>65.209999999999994</v>
    <v>67.209999999999994</v>
    <v>65.87</v>
    <v>68.03</v>
    <v>70.28</v>
    <v>68.599999999999994</v>
    <v>67.05</v>
    <v>63.13</v>
    <v>64.38</v>
    <v>67.53</v>
    <v>66.91</v>
    <v>66.14</v>
    <v>67.59</v>
    <v>68.41</v>
    <v>62.71</v>
    <v>69.59</v>
    <v>70.37</v>
    <v>72.56</v>
    <v>72.959999999999994</v>
    <v>71.260000000000005</v>
    <v>67.73</v>
    <v>61.98</v>
    <v>58.24</v>
    <v>57.9</v>
    <v>55</v>
    <v>59.95</v>
    <v>58.74</v>
    <v>55.75</v>
    <v>53.5</v>
    <v>59.06</v>
    <v>59.33</v>
    <v>60.08</v>
    <v>59.31</v>
    <v>61.97</v>
    <v>65.099999999999994</v>
    <v>64.900000000000006</v>
    <v>67.55</v>
    <v>67.27</v>
    <v>65.09</v>
    <v>62.89</v>
    <v>65.41</v>
    <v>61.54</v>
    <v>58.92</v>
    <v>60.48</v>
    <v>61.22</v>
    <v>59.48</v>
    <v>61.53</v>
    <v>58.64</v>
    <v>55.77</v>
    <v>56.67</v>
    <v>56.94</v>
    <v>59.26</v>
    <v>59.52</v>
    <v>57.5</v>
    <v>55.5</v>
    <v>56.94</v>
    <v>56.97</v>
    <v>58.83</v>
    <v>61.27</v>
    <v>61.72</v>
    <v>57.6</v>
    <v>58.39</v>
    <v>58.25</v>
    <v>57.67</v>
    <v>56.47</v>
    <v>56.76</v>
    <v>54.92</v>
    <v>53.8</v>
    <v>55.36</v>
    <v>57.42</v>
    <v>59.14</v>
    <v>58.77</v>
    <v>61.4</v>
    <v>64.39</v>
    <v>65.31</v>
    <v>65.680000000000007</v>
    <v>66.36</v>
    <v>62.87</v>
    <v>63.79</v>
    <v>64.03</v>
    <v>66.25</v>
    <v>66.430000000000007</v>
    <v>68.84</v>
    <v>67.8</v>
    <v>68.72</v>
    <v>71.2</v>
    <v>70.59</v>
    <v>70</v>
    <v>70.78</v>
    <v>71.39</v>
    <v>73.069999999999993</v>
    <v>74.2</v>
    <v>73.12</v>
    <v>72.63</v>
    <v>72.27</v>
    <v>69.84</v>
    <v>71.02</v>
    <v>69.709999999999994</v>
    <v>67.17</v>
    <v>67.63</v>
    <v>70.53</v>
    <v>72.849999999999994</v>
    <v>73.010000000000005</v>
    <v>74.53</v>
    <v>74.14</v>
    <v>74.150000000000006</v>
    <v>69.47</v>
    <v>70.48</v>
    <v>71.11</v>
    <v>69.599999999999994</v>
    <v>74.48</v>
    <v>74.83</v>
    <v>76.88</v>
    <v>77.69</v>
    <v>81</v>
    <v>82.69</v>
    <v>84.24</v>
    <v>83.74</v>
    <v>85.19</v>
    <v>84.94</v>
    <v>86</v>
    <v>87.54</v>
    <v>85.15</v>
    <v>81.900000000000006</v>
    <v>82.17</v>
    <v>81.459999999999994</v>
    <v>83.5</v>
    <v>87.07</v>
    <v>89.83</v>
    <v>89.36</v>
    <v>89.51</v>
    <v>90.28</v>
    <v>90.08</v>
    <v>93.02</v>
    <v>89.41</v>
    <v>90.52</v>
    <v>93.74</v>
    <v>92.46</v>
    <v>99.17</v>
    <v>101.22</v>
    <v>100.32</v>
    <v>101.87</v>
    <v>102</v>
    <v>105.13</v>
    <v>103.94</v>
    <v>103.13</v>
    <v>101.01</v>
    <v>102.65</v>
    <v>105.65</v>
    <v>104.75</v>
    <v>106.39</v>
    <v>103.98</v>
    <v>104.17</v>
    <v>112.43</v>
    <v>110.05</v>
    <v>112.05</v>
    <v>113.1</v>
    <v>109.18</v>
    <v>104.19</v>
    <v>102.93</v>
    <v>102.89</v>
    <v>101.59</v>
    <v>101.95</v>
    <v>105.55</v>
    <v>106</v>
    <v>104.66</v>
    <v>108.58</v>
    <v>110.6</v>
  </a>
</arrayData>
</file>

<file path=xl/richData/rdrichvalue.xml><?xml version="1.0" encoding="utf-8"?>
<rvData xmlns="http://schemas.microsoft.com/office/spreadsheetml/2017/richdata" count="2310">
  <rv s="0">
    <fb>44424.25</fb>
    <v>0</v>
  </rv>
  <rv s="0">
    <fb>44303.4</fb>
    <v>0</v>
  </rv>
  <rv s="0">
    <fb>40225</fb>
    <v>1</v>
  </rv>
  <rv s="0">
    <fb>44296.51</fb>
    <v>0</v>
  </rv>
  <rv s="0">
    <fb>40231</fb>
    <v>1</v>
  </rv>
  <rv s="0">
    <fb>43988.99</fb>
    <v>0</v>
  </rv>
  <rv s="0">
    <fb>40238</fb>
    <v>1</v>
  </rv>
  <rv s="0">
    <fb>43828.06</fb>
    <v>0</v>
  </rv>
  <rv s="0">
    <fb>40245</fb>
    <v>1</v>
  </rv>
  <rv s="0">
    <fb>43487.83</fb>
    <v>0</v>
  </rv>
  <rv s="0">
    <fb>40252</fb>
    <v>1</v>
  </rv>
  <rv s="0">
    <fb>43444.99</fb>
    <v>0</v>
  </rv>
  <rv s="0">
    <fb>40259</fb>
    <v>1</v>
  </rv>
  <rv s="0">
    <fb>43275.91</fb>
    <v>0</v>
  </rv>
  <rv s="0">
    <fb>40266</fb>
    <v>1</v>
  </rv>
  <rv s="0">
    <fb>42992.21</fb>
    <v>0</v>
  </rv>
  <rv s="0">
    <fb>40273</fb>
    <v>1</v>
  </rv>
  <rv s="0">
    <fb>42863.86</fb>
    <v>0</v>
  </rv>
  <rv s="0">
    <fb>40280</fb>
    <v>1</v>
  </rv>
  <rv s="0">
    <fb>42840.26</fb>
    <v>0</v>
  </rv>
  <rv s="0">
    <fb>40287</fb>
    <v>1</v>
  </rv>
  <rv s="0">
    <fb>42732.13</fb>
    <v>0</v>
  </rv>
  <rv s="0">
    <fb>40294</fb>
    <v>1</v>
  </rv>
  <rv s="0">
    <fb>42352.75</fb>
    <v>0</v>
  </rv>
  <rv s="0">
    <fb>40301</fb>
    <v>1</v>
  </rv>
  <rv s="0">
    <fb>42313</fb>
    <v>0</v>
  </rv>
  <rv s="0">
    <fb>40308</fb>
    <v>1</v>
  </rv>
  <rv s="0">
    <fb>42114.400000000001</fb>
    <v>0</v>
  </rv>
  <rv s="0">
    <fb>40315</fb>
    <v>1</v>
  </rv>
  <rv s="0">
    <fb>42063.360000000001</fb>
    <v>0</v>
  </rv>
  <rv s="0">
    <fb>40322</fb>
    <v>1</v>
  </rv>
  <rv s="0">
    <fb>42052.19</fb>
    <v>0</v>
  </rv>
  <rv s="0">
    <fb>40330</fb>
    <v>1</v>
  </rv>
  <rv s="0">
    <fb>41938.449999999997</fb>
    <v>0</v>
  </rv>
  <rv s="0">
    <fb>40336</fb>
    <v>1</v>
  </rv>
  <rv s="0">
    <fb>41563.08</fb>
    <v>0</v>
  </rv>
  <rv s="0">
    <fb>40343</fb>
    <v>1</v>
  </rv>
  <rv s="0">
    <fb>41393.78</fb>
    <v>0</v>
  </rv>
  <rv s="0">
    <fb>40350</fb>
    <v>1</v>
  </rv>
  <rv s="0">
    <fb>41175.08</fb>
    <v>0</v>
  </rv>
  <rv s="0">
    <fb>40357</fb>
    <v>1</v>
  </rv>
  <rv s="0">
    <fb>40659.760000000002</fb>
    <v>0</v>
  </rv>
  <rv s="0">
    <fb>40365</fb>
    <v>1</v>
  </rv>
  <rv s="0">
    <fb>40589.337200000002</fb>
    <v>0</v>
  </rv>
  <rv s="0">
    <fb>40371</fb>
    <v>1</v>
  </rv>
  <rv s="0">
    <fb>40345.410000000003</fb>
    <v>0</v>
  </rv>
  <rv s="0">
    <fb>40378</fb>
    <v>1</v>
  </rv>
  <rv s="0">
    <fb>40287.529900000001</fb>
    <v>0</v>
  </rv>
  <rv s="0">
    <fb>40385</fb>
    <v>1</v>
  </rv>
  <rv s="0">
    <fb>40003.591899999999</fb>
    <v>0</v>
  </rv>
  <rv s="0">
    <fb>40392</fb>
    <v>1</v>
  </rv>
  <rv s="0">
    <fb>40000.898399999998</fb>
    <v>0</v>
  </rv>
  <rv s="0">
    <fb>40399</fb>
    <v>1</v>
  </rv>
  <rv s="0">
    <fb>39807.374499999998</fb>
    <v>0</v>
  </rv>
  <rv s="0">
    <fb>40406</fb>
    <v>1</v>
  </rv>
  <rv s="0">
    <fb>39737.260399999999</fb>
    <v>0</v>
  </rv>
  <rv s="0">
    <fb>40413</fb>
    <v>1</v>
  </rv>
  <rv s="0">
    <fb>39512.843000000001</fb>
    <v>0</v>
  </rv>
  <rv s="0">
    <fb>40420</fb>
    <v>1</v>
  </rv>
  <rv s="0">
    <fb>39497.54</fb>
    <v>0</v>
  </rv>
  <rv s="0">
    <fb>40428</fb>
    <v>1</v>
  </rv>
  <rv s="0">
    <fb>39475.904000000002</fb>
    <v>0</v>
  </rv>
  <rv s="0">
    <fb>40434</fb>
    <v>1</v>
  </rv>
  <rv s="0">
    <fb>39375.866900000001</fb>
    <v>0</v>
  </rv>
  <rv s="0">
    <fb>40441</fb>
    <v>1</v>
  </rv>
  <rv s="0">
    <fb>39150.332600000002</fb>
    <v>0</v>
  </rv>
  <rv s="0">
    <fb>40448</fb>
    <v>1</v>
  </rv>
  <rv s="0">
    <fb>39131.5285</fb>
    <v>0</v>
  </rv>
  <rv s="0">
    <fb>40455</fb>
    <v>1</v>
  </rv>
  <rv s="0">
    <fb>39118.864200000004</fb>
    <v>0</v>
  </rv>
  <rv s="0">
    <fb>40462</fb>
    <v>1</v>
  </rv>
  <rv s="0">
    <fb>39087.376100000001</fb>
    <v>0</v>
  </rv>
  <rv s="0">
    <fb>40469</fb>
    <v>1</v>
  </rv>
  <rv s="0">
    <fb>39069.592299999997</fb>
    <v>0</v>
  </rv>
  <rv s="0">
    <fb>40476</fb>
    <v>1</v>
  </rv>
  <rv s="0">
    <fb>38904.038399999998</fb>
    <v>0</v>
  </rv>
  <rv s="0">
    <fb>40483</fb>
    <v>1</v>
  </rv>
  <rv s="0">
    <fb>38798.9905</fb>
    <v>0</v>
  </rv>
  <rv s="0">
    <fb>40490</fb>
    <v>1</v>
  </rv>
  <rv s="0">
    <fb>38722.693099999997</fb>
    <v>0</v>
  </rv>
  <rv s="0">
    <fb>40497</fb>
    <v>1</v>
  </rv>
  <rv s="0">
    <fb>38714.766600000003</fb>
    <v>0</v>
  </rv>
  <rv s="0">
    <fb>40504</fb>
    <v>1</v>
  </rv>
  <rv s="0">
    <fb>38686.321900000003</fb>
    <v>0</v>
  </rv>
  <rv s="0">
    <fb>40511</fb>
    <v>1</v>
  </rv>
  <rv s="0">
    <fb>38675.679199999999</fb>
    <v>0</v>
  </rv>
  <rv s="0">
    <fb>40518</fb>
    <v>1</v>
  </rv>
  <rv s="0">
    <fb>38671.690999999999</fb>
    <v>0</v>
  </rv>
  <rv s="0">
    <fb>40525</fb>
    <v>1</v>
  </rv>
  <rv s="0">
    <fb>38654.423199999997</fb>
    <v>0</v>
  </rv>
  <rv s="0">
    <fb>40532</fb>
    <v>1</v>
  </rv>
  <rv s="0">
    <fb>38627.994299999998</fb>
    <v>0</v>
  </rv>
  <rv s="0">
    <fb>40539</fb>
    <v>1</v>
  </rv>
  <rv s="0">
    <fb>38589.157599999999</fb>
    <v>0</v>
  </rv>
  <rv s="0">
    <fb>40546</fb>
    <v>1</v>
  </rv>
  <rv s="0">
    <fb>38239.654999999999</fb>
    <v>0</v>
  </rv>
  <rv s="0">
    <fb>40553</fb>
    <v>1</v>
  </rv>
  <rv s="0">
    <fb>38109.433100000002</fb>
    <v>0</v>
  </rv>
  <rv s="0">
    <fb>40561</fb>
    <v>1</v>
  </rv>
  <rv s="0">
    <fb>37986.396999999997</fb>
    <v>0</v>
  </rv>
  <rv s="0">
    <fb>40567</fb>
    <v>1</v>
  </rv>
  <rv s="0">
    <fb>37983.243600000002</fb>
    <v>0</v>
  </rv>
  <rv s="0">
    <fb>40574</fb>
    <v>1</v>
  </rv>
  <rv s="0">
    <fb>37863.795400000003</fb>
    <v>0</v>
  </rv>
  <rv s="0">
    <fb>40581</fb>
    <v>1</v>
  </rv>
  <rv s="0">
    <fb>37689.5357</fb>
    <v>0</v>
  </rv>
  <rv s="0">
    <fb>40588</fb>
    <v>1</v>
  </rv>
  <rv s="0">
    <fb>37592.981</fb>
    <v>0</v>
  </rv>
  <rv s="0">
    <fb>40596</fb>
    <v>1</v>
  </rv>
  <rv s="0">
    <fb>37466.108800000002</fb>
    <v>0</v>
  </rv>
  <rv s="0">
    <fb>40602</fb>
    <v>1</v>
  </rv>
  <rv s="0">
    <fb>37385.965199999999</fb>
    <v>0</v>
  </rv>
  <rv s="0">
    <fb>40609</fb>
    <v>1</v>
  </rv>
  <rv s="0">
    <fb>37305.162400000001</fb>
    <v>0</v>
  </rv>
  <rv s="0">
    <fb>40616</fb>
    <v>1</v>
  </rv>
  <rv s="0">
    <fb>36338.297700000003</fb>
    <v>0</v>
  </rv>
  <rv s="0">
    <fb>40623</fb>
    <v>1</v>
  </rv>
  <rv s="0">
    <fb>36327.950199999999</fb>
    <v>0</v>
  </rv>
  <rv s="0">
    <fb>40630</fb>
    <v>1</v>
  </rv>
  <rv s="0">
    <fb>36247.8724</fb>
    <v>0</v>
  </rv>
  <rv s="0">
    <fb>40637</fb>
    <v>1</v>
  </rv>
  <rv s="0">
    <fb>36245.4997</fb>
    <v>0</v>
  </rv>
  <rv s="0">
    <fb>40644</fb>
    <v>1</v>
  </rv>
  <rv s="0">
    <fb>36231.659099999997</fb>
    <v>0</v>
  </rv>
  <rv s="0">
    <fb>40651</fb>
    <v>1</v>
  </rv>
  <rv s="0">
    <fb>36100.305200000003</fb>
    <v>0</v>
  </rv>
  <rv s="0">
    <fb>40658</fb>
    <v>1</v>
  </rv>
  <rv s="0">
    <fb>35970.994500000001</fb>
    <v>0</v>
  </rv>
  <rv s="0">
    <fb>40665</fb>
    <v>1</v>
  </rv>
  <rv s="0">
    <fb>35950.563099999999</fb>
    <v>0</v>
  </rv>
  <rv s="0">
    <fb>40672</fb>
    <v>1</v>
  </rv>
  <rv s="0">
    <fb>35911.809500000003</fb>
    <v>0</v>
  </rv>
  <rv s="0">
    <fb>40679</fb>
    <v>1</v>
  </rv>
  <rv s="0">
    <fb>35819.560400000002</fb>
    <v>0</v>
  </rv>
  <rv s="0">
    <fb>40686</fb>
    <v>1</v>
  </rv>
  <rv s="0">
    <fb>35677.018499999998</fb>
    <v>0</v>
  </rv>
  <rv s="0">
    <fb>40694</fb>
    <v>1</v>
  </rv>
  <rv s="0">
    <fb>35601.977700000003</fb>
    <v>0</v>
  </rv>
  <rv s="0">
    <fb>40700</fb>
    <v>1</v>
  </rv>
  <rv s="0">
    <fb>35515.383300000001</fb>
    <v>0</v>
  </rv>
  <rv s="0">
    <fb>40707</fb>
    <v>1</v>
  </rv>
  <rv s="0">
    <fb>35459.287700000001</fb>
    <v>0</v>
  </rv>
  <rv s="0">
    <fb>40714</fb>
    <v>1</v>
  </rv>
  <rv s="0">
    <fb>35455.798799999997</fb>
    <v>0</v>
  </rv>
  <rv s="0">
    <fb>40721</fb>
    <v>1</v>
  </rv>
  <rv s="0">
    <fb>35390.150600000001</fb>
    <v>0</v>
  </rv>
  <rv s="0">
    <fb>40729</fb>
    <v>1</v>
  </rv>
  <rv s="0">
    <fb>35369.088600000003</fb>
    <v>0</v>
  </rv>
  <rv s="0">
    <fb>40735</fb>
    <v>1</v>
  </rv>
  <rv s="0">
    <fb>35365.435299999997</fb>
    <v>0</v>
  </rv>
  <rv s="0">
    <fb>40742</fb>
    <v>1</v>
  </rv>
  <rv s="0">
    <fb>35294.756099999999</fb>
    <v>0</v>
  </rv>
  <rv s="0">
    <fb>40749</fb>
    <v>1</v>
  </rv>
  <rv s="0">
    <fb>35281.403100000003</fb>
    <v>0</v>
  </rv>
  <rv s="0">
    <fb>40756</fb>
    <v>1</v>
  </rv>
  <rv s="0">
    <fb>35227.688399999999</fb>
    <v>0</v>
  </rv>
  <rv s="0">
    <fb>40763</fb>
    <v>1</v>
  </rv>
  <rv s="0">
    <fb>35208.506699999998</fb>
    <v>0</v>
  </rv>
  <rv s="0">
    <fb>40770</fb>
    <v>1</v>
  </rv>
  <rv s="0">
    <fb>35120.084600000002</fb>
    <v>0</v>
  </rv>
  <rv s="0">
    <fb>40777</fb>
    <v>1</v>
  </rv>
  <rv s="0">
    <fb>35089.743699999999</fb>
    <v>0</v>
  </rv>
  <rv s="0">
    <fb>40784</fb>
    <v>1</v>
  </rv>
  <rv s="0">
    <fb>35065.621500000001</fb>
    <v>0</v>
  </rv>
  <rv s="0">
    <fb>40792</fb>
    <v>1</v>
  </rv>
  <rv s="0">
    <fb>35061.553599999999</fb>
    <v>0</v>
  </rv>
  <rv s="0">
    <fb>40798</fb>
    <v>1</v>
  </rv>
  <rv s="0">
    <fb>34947.284399999997</fb>
    <v>0</v>
  </rv>
  <rv s="0">
    <fb>40805</fb>
    <v>1</v>
  </rv>
  <rv s="0">
    <fb>34935.4715</fb>
    <v>0</v>
  </rv>
  <rv s="0">
    <fb>40812</fb>
    <v>1</v>
  </rv>
  <rv s="0">
    <fb>34899.336600000002</fb>
    <v>0</v>
  </rv>
  <rv s="0">
    <fb>40819</fb>
    <v>1</v>
  </rv>
  <rv s="0">
    <fb>34870.159</fb>
    <v>0</v>
  </rv>
  <rv s="0">
    <fb>40826</fb>
    <v>1</v>
  </rv>
  <rv s="0">
    <fb>34861.241999999998</fb>
    <v>0</v>
  </rv>
  <rv s="0">
    <fb>40833</fb>
    <v>1</v>
  </rv>
  <rv s="0">
    <fb>34837.713000000003</fb>
    <v>0</v>
  </rv>
  <rv s="0">
    <fb>40840</fb>
    <v>1</v>
  </rv>
  <rv s="0">
    <fb>34818.270199999999</fb>
    <v>0</v>
  </rv>
  <rv s="0">
    <fb>40847</fb>
    <v>1</v>
  </rv>
  <rv s="0">
    <fb>34797.999199999998</fb>
    <v>0</v>
  </rv>
  <rv s="0">
    <fb>40854</fb>
    <v>1</v>
  </rv>
  <rv s="0">
    <fb>34786.345699999998</fb>
    <v>0</v>
  </rv>
  <rv s="0">
    <fb>40861</fb>
    <v>1</v>
  </rv>
  <rv s="0">
    <fb>34777.759700000002</fb>
    <v>0</v>
  </rv>
  <rv s="0">
    <fb>40868</fb>
    <v>1</v>
  </rv>
  <rv s="0">
    <fb>34756.388800000001</fb>
    <v>0</v>
  </rv>
  <rv s="0">
    <fb>40875</fb>
    <v>1</v>
  </rv>
  <rv s="0">
    <fb>34754.932999999997</fb>
    <v>0</v>
  </rv>
  <rv s="0">
    <fb>40882</fb>
    <v>1</v>
  </rv>
  <rv s="0">
    <fb>34746.249600000003</fb>
    <v>0</v>
  </rv>
  <rv s="0">
    <fb>40889</fb>
    <v>1</v>
  </rv>
  <rv s="0">
    <fb>34738.060700000002</fb>
    <v>0</v>
  </rv>
  <rv s="0">
    <fb>40896</fb>
    <v>1</v>
  </rv>
  <rv s="0">
    <fb>34725.472300000001</fb>
    <v>0</v>
  </rv>
  <rv s="0">
    <fb>40904</fb>
    <v>1</v>
  </rv>
  <rv s="0">
    <fb>34721.1224</fb>
    <v>0</v>
  </rv>
  <rv s="0">
    <fb>40911</fb>
    <v>1</v>
  </rv>
  <rv s="0">
    <fb>34687.850200000001</fb>
    <v>0</v>
  </rv>
  <rv s="0">
    <fb>40917</fb>
    <v>1</v>
  </rv>
  <rv s="0">
    <fb>34618.240599999997</fb>
    <v>0</v>
  </rv>
  <rv s="0">
    <fb>40925</fb>
    <v>1</v>
  </rv>
  <rv s="0">
    <fb>34607.723899999997</fb>
    <v>0</v>
  </rv>
  <rv s="0">
    <fb>40931</fb>
    <v>1</v>
  </rv>
  <rv s="0">
    <fb>34584.877699999997</fb>
    <v>0</v>
  </rv>
  <rv s="0">
    <fb>40938</fb>
    <v>1</v>
  </rv>
  <rv s="0">
    <fb>34580.080099999999</fb>
    <v>0</v>
  </rv>
  <rv s="0">
    <fb>40945</fb>
    <v>1</v>
  </rv>
  <rv s="0">
    <fb>34576.587</fb>
    <v>0</v>
  </rv>
  <rv s="0">
    <fb>40952</fb>
    <v>1</v>
  </rv>
  <rv s="0">
    <fb>34529.449200000003</fb>
    <v>0</v>
  </rv>
  <rv s="0">
    <fb>40960</fb>
    <v>1</v>
  </rv>
  <rv s="0">
    <fb>34509.0317</fb>
    <v>0</v>
  </rv>
  <rv s="0">
    <fb>40966</fb>
    <v>1</v>
  </rv>
  <rv s="0">
    <fb>34500.661399999997</fb>
    <v>0</v>
  </rv>
  <rv s="0">
    <fb>40973</fb>
    <v>1</v>
  </rv>
  <rv s="0">
    <fb>34479.6008</fb>
    <v>0</v>
  </rv>
  <rv s="0">
    <fb>40980</fb>
    <v>1</v>
  </rv>
  <rv s="0">
    <fb>34451.2307</fb>
    <v>0</v>
  </rv>
  <rv s="0">
    <fb>40987</fb>
    <v>1</v>
  </rv>
  <rv s="0">
    <fb>34433.842499999999</fb>
    <v>0</v>
  </rv>
  <rv s="0">
    <fb>40994</fb>
    <v>1</v>
  </rv>
  <rv s="0">
    <fb>34429.876600000003</fb>
    <v>0</v>
  </rv>
  <rv s="0">
    <fb>41001</fb>
    <v>1</v>
  </rv>
  <rv s="0">
    <fb>34407.599900000001</fb>
    <v>0</v>
  </rv>
  <rv s="0">
    <fb>41008</fb>
    <v>1</v>
  </rv>
  <rv s="0">
    <fb>34382.133999999998</fb>
    <v>0</v>
  </rv>
  <rv s="0">
    <fb>41015</fb>
    <v>1</v>
  </rv>
  <rv s="0">
    <fb>34347.0308</fb>
    <v>0</v>
  </rv>
  <rv s="0">
    <fb>41022</fb>
    <v>1</v>
  </rv>
  <rv s="0">
    <fb>34346.8989</fb>
    <v>0</v>
  </rv>
  <rv s="0">
    <fb>41029</fb>
    <v>1</v>
  </rv>
  <rv s="0">
    <fb>34326.4588</fb>
    <v>0</v>
  </rv>
  <rv s="0">
    <fb>41036</fb>
    <v>1</v>
  </rv>
  <rv s="0">
    <fb>34302.608999999997</fb>
    <v>0</v>
  </rv>
  <rv s="0">
    <fb>41043</fb>
    <v>1</v>
  </rv>
  <rv s="0">
    <fb>34299.115899999997</fb>
    <v>0</v>
  </rv>
  <rv s="0">
    <fb>41050</fb>
    <v>1</v>
  </rv>
  <rv s="0">
    <fb>34283.100400000003</fb>
    <v>0</v>
  </rv>
  <rv s="0">
    <fb>41058</fb>
    <v>1</v>
  </rv>
  <rv s="0">
    <fb>34265.371200000001</fb>
    <v>0</v>
  </rv>
  <rv s="0">
    <fb>41064</fb>
    <v>1</v>
  </rv>
  <rv s="0">
    <fb>34207.842900000003</fb>
    <v>0</v>
  </rv>
  <rv s="0">
    <fb>41071</fb>
    <v>1</v>
  </rv>
  <rv s="0">
    <fb>34200.671199999997</fb>
    <v>0</v>
  </rv>
  <rv s="0">
    <fb>41078</fb>
    <v>1</v>
  </rv>
  <rv s="0">
    <fb>34098.1636</fb>
    <v>0</v>
  </rv>
  <rv s="0">
    <fb>41085</fb>
    <v>1</v>
  </rv>
  <rv s="0">
    <fb>34079.182200000003</fb>
    <v>0</v>
  </rv>
  <rv s="0">
    <fb>41092</fb>
    <v>1</v>
  </rv>
  <rv s="0">
    <fb>34061.321199999998</fb>
    <v>0</v>
  </rv>
  <rv s="0">
    <fb>41099</fb>
    <v>1</v>
  </rv>
  <rv s="0">
    <fb>34058.750800000002</fb>
    <v>0</v>
  </rv>
  <rv s="0">
    <fb>41106</fb>
    <v>1</v>
  </rv>
  <rv s="0">
    <fb>34043.486799999999</fb>
    <v>0</v>
  </rv>
  <rv s="0">
    <fb>41113</fb>
    <v>1</v>
  </rv>
  <rv s="0">
    <fb>33978.079899999997</fb>
    <v>0</v>
  </rv>
  <rv s="0">
    <fb>41120</fb>
    <v>1</v>
  </rv>
  <rv s="0">
    <fb>33963.8439</fb>
    <v>0</v>
  </rv>
  <rv s="0">
    <fb>41127</fb>
    <v>1</v>
  </rv>
  <rv s="0">
    <fb>33926.012900000002</fb>
    <v>0</v>
  </rv>
  <rv s="0">
    <fb>41134</fb>
    <v>1</v>
  </rv>
  <rv s="0">
    <fb>33886.4683</fb>
    <v>0</v>
  </rv>
  <rv s="0">
    <fb>41141</fb>
    <v>1</v>
  </rv>
  <rv s="0">
    <fb>33876.779900000001</fb>
    <v>0</v>
  </rv>
  <rv s="0">
    <fb>41148</fb>
    <v>1</v>
  </rv>
  <rv s="0">
    <fb>33874.853999999999</fb>
    <v>0</v>
  </rv>
  <rv s="0">
    <fb>41156</fb>
    <v>1</v>
  </rv>
  <rv s="0">
    <fb>33869.2664</fb>
    <v>0</v>
  </rv>
  <rv s="0">
    <fb>41162</fb>
    <v>1</v>
  </rv>
  <rv s="0">
    <fb>33826.6901</fb>
    <v>0</v>
  </rv>
  <rv s="0">
    <fb>41169</fb>
    <v>1</v>
  </rv>
  <rv s="0">
    <fb>33811.3995</fb>
    <v>0</v>
  </rv>
  <rv s="0">
    <fb>41176</fb>
    <v>1</v>
  </rv>
  <rv s="0">
    <fb>33808.961000000003</fb>
    <v>0</v>
  </rv>
  <rv s="0">
    <fb>41183</fb>
    <v>1</v>
  </rv>
  <rv s="0">
    <fb>33800.604299999999</fb>
    <v>0</v>
  </rv>
  <rv s="0">
    <fb>41190</fb>
    <v>1</v>
  </rv>
  <rv s="0">
    <fb>33762.759700000002</fb>
    <v>0</v>
  </rv>
  <rv s="0">
    <fb>41197</fb>
    <v>1</v>
  </rv>
  <rv s="0">
    <fb>33761.0461</fb>
    <v>0</v>
  </rv>
  <rv s="0">
    <fb>41204</fb>
    <v>1</v>
  </rv>
  <rv s="0">
    <fb>33747.864600000001</fb>
    <v>0</v>
  </rv>
  <rv s="0">
    <fb>41213</fb>
    <v>1</v>
  </rv>
  <rv s="0">
    <fb>33745.689599999998</fb>
    <v>0</v>
  </rv>
  <rv s="0">
    <fb>41218</fb>
    <v>1</v>
  </rv>
  <rv s="0">
    <fb>33734.880799999999</fb>
    <v>0</v>
  </rv>
  <rv s="0">
    <fb>41225</fb>
    <v>1</v>
  </rv>
  <rv s="0">
    <fb>33727.433199999999</fb>
    <v>0</v>
  </rv>
  <rv s="0">
    <fb>41232</fb>
    <v>1</v>
  </rv>
  <rv s="0">
    <fb>33706.7382</fb>
    <v>0</v>
  </rv>
  <rv s="0">
    <fb>41239</fb>
    <v>1</v>
  </rv>
  <rv s="0">
    <fb>33674.3776</fb>
    <v>0</v>
  </rv>
  <rv s="0">
    <fb>41246</fb>
    <v>1</v>
  </rv>
  <rv s="0">
    <fb>33670.291299999997</fb>
    <v>0</v>
  </rv>
  <rv s="0">
    <fb>41253</fb>
    <v>1</v>
  </rv>
  <rv s="0">
    <fb>33630.6149</fb>
    <v>0</v>
  </rv>
  <rv s="0">
    <fb>41260</fb>
    <v>1</v>
  </rv>
  <rv s="0">
    <fb>33614.797100000003</fb>
    <v>0</v>
  </rv>
  <rv s="0">
    <fb>41267</fb>
    <v>1</v>
  </rv>
  <rv s="0">
    <fb>33507.499499999998</fb>
    <v>0</v>
  </rv>
  <rv s="0">
    <fb>41274</fb>
    <v>1</v>
  </rv>
  <rv s="0">
    <fb>33485.2886</fb>
    <v>0</v>
  </rv>
  <rv s="0">
    <fb>41281</fb>
    <v>1</v>
  </rv>
  <rv s="0">
    <fb>33476.457000000002</fb>
    <v>0</v>
  </rv>
  <rv s="0">
    <fb>41288</fb>
    <v>1</v>
  </rv>
  <rv s="0">
    <fb>33426.630899999996</fb>
    <v>0</v>
  </rv>
  <rv s="0">
    <fb>41296</fb>
    <v>1</v>
  </rv>
  <rv s="0">
    <fb>33407.583599999998</fb>
    <v>0</v>
  </rv>
  <rv s="0">
    <fb>41302</fb>
    <v>1</v>
  </rv>
  <rv s="0">
    <fb>33390.974800000004</fb>
    <v>0</v>
  </rv>
  <rv s="0">
    <fb>41309</fb>
    <v>1</v>
  </rv>
  <rv s="0">
    <fb>33375.486499999999</fb>
    <v>0</v>
  </rv>
  <rv s="0">
    <fb>41316</fb>
    <v>1</v>
  </rv>
  <rv s="0">
    <fb>33300.6155</fb>
    <v>0</v>
  </rv>
  <rv s="0">
    <fb>41324</fb>
    <v>1</v>
  </rv>
  <rv s="0">
    <fb>33290.083700000003</fb>
    <v>0</v>
  </rv>
  <rv s="0">
    <fb>41330</fb>
    <v>1</v>
  </rv>
  <rv s="0">
    <fb>33274.153599999998</fb>
    <v>0</v>
  </rv>
  <rv s="0">
    <fb>41337</fb>
    <v>1</v>
  </rv>
  <rv s="0">
    <fb>33212.958400000003</fb>
    <v>0</v>
  </rv>
  <rv s="0">
    <fb>41344</fb>
    <v>1</v>
  </rv>
  <rv s="0">
    <fb>33203.928999999996</fb>
    <v>0</v>
  </rv>
  <rv s="0">
    <fb>41351</fb>
    <v>1</v>
  </rv>
  <rv s="0">
    <fb>33153.2137</fb>
    <v>0</v>
  </rv>
  <rv s="0">
    <fb>41358</fb>
    <v>1</v>
  </rv>
  <rv s="0">
    <fb>33147.248500000002</fb>
    <v>0</v>
  </rv>
  <rv s="0">
    <fb>41365</fb>
    <v>1</v>
  </rv>
  <rv s="0">
    <fb>33127.278400000003</fb>
    <v>0</v>
  </rv>
  <rv s="0">
    <fb>41372</fb>
    <v>1</v>
  </rv>
  <rv s="0">
    <fb>33093.336000000003</fb>
    <v>0</v>
  </rv>
  <rv s="0">
    <fb>41379</fb>
    <v>1</v>
  </rv>
  <rv s="0">
    <fb>33072.877899999999</fb>
    <v>0</v>
  </rv>
  <rv s="0">
    <fb>41386</fb>
    <v>1</v>
  </rv>
  <rv s="0">
    <fb>32977.2068</fb>
    <v>0</v>
  </rv>
  <rv s="0">
    <fb>41393</fb>
    <v>1</v>
  </rv>
  <rv s="0">
    <fb>32944.187100000003</fb>
    <v>0</v>
  </rv>
  <rv s="0">
    <fb>41400</fb>
    <v>1</v>
  </rv>
  <rv s="0">
    <fb>32920.460299999999</fb>
    <v>0</v>
  </rv>
  <rv s="0">
    <fb>41407</fb>
    <v>1</v>
  </rv>
  <rv s="0">
    <fb>32899.699399999998</fb>
    <v>0</v>
  </rv>
  <rv s="0">
    <fb>41414</fb>
    <v>1</v>
  </rv>
  <rv s="0">
    <fb>32899.369899999998</fb>
    <v>0</v>
  </rv>
  <rv s="0">
    <fb>41422</fb>
    <v>1</v>
  </rv>
  <rv s="0">
    <fb>32861.802600000003</fb>
    <v>0</v>
  </rv>
  <rv s="0">
    <fb>41428</fb>
    <v>1</v>
  </rv>
  <rv s="0">
    <fb>32845.127899999999</fb>
    <v>0</v>
  </rv>
  <rv s="0">
    <fb>41435</fb>
    <v>1</v>
  </rv>
  <rv s="0">
    <fb>32816.919500000004</fb>
    <v>0</v>
  </rv>
  <rv s="0">
    <fb>41442</fb>
    <v>1</v>
  </rv>
  <rv s="0">
    <fb>32803.474300000002</fb>
    <v>0</v>
  </rv>
  <rv s="0">
    <fb>41449</fb>
    <v>1</v>
  </rv>
  <rv s="0">
    <fb>32778.642399999997</fb>
    <v>0</v>
  </rv>
  <rv s="0">
    <fb>41456</fb>
    <v>1</v>
  </rv>
  <rv s="0">
    <fb>32627.971699999998</fb>
    <v>0</v>
  </rv>
  <rv s="0">
    <fb>41463</fb>
    <v>1</v>
  </rv>
  <rv s="0">
    <fb>32417.585200000001</fb>
    <v>0</v>
  </rv>
  <rv s="0">
    <fb>41470</fb>
    <v>1</v>
  </rv>
  <rv s="0">
    <fb>32403.2173</fb>
    <v>0</v>
  </rv>
  <rv s="0">
    <fb>41477</fb>
    <v>1</v>
  </rv>
  <rv s="0">
    <fb>32283.397300000001</fb>
    <v>0</v>
  </rv>
  <rv s="0">
    <fb>41484</fb>
    <v>1</v>
  </rv>
  <rv s="0">
    <fb>32237.525600000001</fb>
    <v>0</v>
  </rv>
  <rv s="0">
    <fb>41491</fb>
    <v>1</v>
  </rv>
  <rv s="0">
    <fb>32196.662899999999</fb>
    <v>0</v>
  </rv>
  <rv s="0">
    <fb>41498</fb>
    <v>1</v>
  </rv>
  <rv s="0">
    <fb>32151.713899999999</fb>
    <v>0</v>
  </rv>
  <rv s="0">
    <fb>41505</fb>
    <v>1</v>
  </rv>
  <rv s="0">
    <fb>31909.635200000001</fb>
    <v>0</v>
  </rv>
  <rv s="0">
    <fb>41512</fb>
    <v>1</v>
  </rv>
  <rv s="0">
    <fb>31899.287700000001</fb>
    <v>0</v>
  </rv>
  <rv s="0">
    <fb>41520</fb>
    <v>1</v>
  </rv>
  <rv s="0">
    <fb>31861.984</fb>
    <v>0</v>
  </rv>
  <rv s="0">
    <fb>41526</fb>
    <v>1</v>
  </rv>
  <rv s="0">
    <fb>31500.678400000001</fb>
    <v>0</v>
  </rv>
  <rv s="0">
    <fb>41533</fb>
    <v>1</v>
  </rv>
  <rv s="0">
    <fb>31496.2965</fb>
    <v>0</v>
  </rv>
  <rv s="0">
    <fb>41540</fb>
    <v>1</v>
  </rv>
  <rv s="0">
    <fb>31494.322700000001</fb>
    <v>0</v>
  </rv>
  <rv s="0">
    <fb>41547</fb>
    <v>1</v>
  </rv>
  <rv s="0">
    <fb>31458.3986</fb>
    <v>0</v>
  </rv>
  <rv s="0">
    <fb>41554</fb>
    <v>1</v>
  </rv>
  <rv s="0">
    <fb>31392.7876</fb>
    <v>0</v>
  </rv>
  <rv s="0">
    <fb>41561</fb>
    <v>1</v>
  </rv>
  <rv s="0">
    <fb>31338.1502</fb>
    <v>0</v>
  </rv>
  <rv s="0">
    <fb>41568</fb>
    <v>1</v>
  </rv>
  <rv s="0">
    <fb>31318.443800000001</fb>
    <v>0</v>
  </rv>
  <rv s="0">
    <fb>41575</fb>
    <v>1</v>
  </rv>
  <rv s="0">
    <fb>31288.2582</fb>
    <v>0</v>
  </rv>
  <rv s="0">
    <fb>41582</fb>
    <v>1</v>
  </rv>
  <rv s="0">
    <fb>31261.895100000002</fb>
    <v>0</v>
  </rv>
  <rv s="0">
    <fb>41589</fb>
    <v>1</v>
  </rv>
  <rv s="0">
    <fb>31148.240600000001</fb>
    <v>0</v>
  </rv>
  <rv s="0">
    <fb>41596</fb>
    <v>1</v>
  </rv>
  <rv s="0">
    <fb>31097.9732</fb>
    <v>0</v>
  </rv>
  <rv s="0">
    <fb>41603</fb>
    <v>1</v>
  </rv>
  <rv s="0">
    <fb>31097.257900000001</fb>
    <v>0</v>
  </rv>
  <rv s="0">
    <fb>41610</fb>
    <v>1</v>
  </rv>
  <rv s="0">
    <fb>31082.5605</fb>
    <v>0</v>
  </rv>
  <rv s="0">
    <fb>41617</fb>
    <v>1</v>
  </rv>
  <rv s="0">
    <fb>30996.977699999999</fb>
    <v>0</v>
  </rv>
  <rv s="0">
    <fb>41624</fb>
    <v>1</v>
  </rv>
  <rv s="0">
    <fb>30932.366999999998</fb>
    <v>0</v>
  </rv>
  <rv s="0">
    <fb>41631</fb>
    <v>1</v>
  </rv>
  <rv s="0">
    <fb>30822.4231</fb>
    <v>0</v>
  </rv>
  <rv s="0">
    <fb>41638</fb>
    <v>1</v>
  </rv>
  <rv s="0">
    <fb>30814.264800000001</fb>
    <v>0</v>
  </rv>
  <rv s="0">
    <fb>41645</fb>
    <v>1</v>
  </rv>
  <rv s="0">
    <fb>30606.484</fb>
    <v>0</v>
  </rv>
  <rv s="0">
    <fb>41652</fb>
    <v>1</v>
  </rv>
  <rv s="0">
    <fb>30218.260200000001</fb>
    <v>0</v>
  </rv>
  <rv s="0">
    <fb>41660</fb>
    <v>1</v>
  </rv>
  <rv s="0">
    <fb>30199.870500000001</fb>
    <v>0</v>
  </rv>
  <rv s="0">
    <fb>41666</fb>
    <v>1</v>
  </rv>
  <rv s="0">
    <fb>30179.046300000002</fb>
    <v>0</v>
  </rv>
  <rv s="0">
    <fb>41673</fb>
    <v>1</v>
  </rv>
  <rv s="0">
    <fb>30046.370599999998</fb>
    <v>0</v>
  </rv>
  <rv s="0">
    <fb>41680</fb>
    <v>1</v>
  </rv>
  <rv s="0">
    <fb>29982.6152</fb>
    <v>0</v>
  </rv>
  <rv s="0">
    <fb>41688</fb>
    <v>1</v>
  </rv>
  <rv s="0">
    <fb>29910.372200000002</fb>
    <v>0</v>
  </rv>
  <rv s="0">
    <fb>41694</fb>
    <v>1</v>
  </rv>
  <rv s="0">
    <fb>29888.775799999999</fb>
    <v>0</v>
  </rv>
  <rv s="0">
    <fb>41701</fb>
    <v>1</v>
  </rv>
  <rv s="0">
    <fb>29634.833699999999</fb>
    <v>0</v>
  </rv>
  <rv s="0">
    <fb>41708</fb>
    <v>1</v>
  </rv>
  <rv s="0">
    <fb>29590.412</fb>
    <v>0</v>
  </rv>
  <rv s="0">
    <fb>41715</fb>
    <v>1</v>
  </rv>
  <rv s="0">
    <fb>29479.809300000001</fb>
    <v>0</v>
  </rv>
  <rv s="0">
    <fb>41722</fb>
    <v>1</v>
  </rv>
  <rv s="0">
    <fb>29296.7935</fb>
    <v>0</v>
  </rv>
  <rv s="0">
    <fb>41729</fb>
    <v>1</v>
  </rv>
  <rv s="0">
    <fb>29263.4751</fb>
    <v>0</v>
  </rv>
  <rv s="0">
    <fb>41736</fb>
    <v>1</v>
  </rv>
  <rv s="0">
    <fb>28992.405200000001</fb>
    <v>0</v>
  </rv>
  <rv s="0">
    <fb>41743</fb>
    <v>1</v>
  </rv>
  <rv s="0">
    <fb>28725.506300000001</fb>
    <v>0</v>
  </rv>
  <rv s="0">
    <fb>41750</fb>
    <v>1</v>
  </rv>
  <rv s="0">
    <fb>28653.867300000002</fb>
    <v>0</v>
  </rv>
  <rv s="0">
    <fb>41757</fb>
    <v>1</v>
  </rv>
  <rv s="0">
    <fb>28606.313900000001</fb>
    <v>0</v>
  </rv>
  <rv s="0">
    <fb>41764</fb>
    <v>1</v>
  </rv>
  <rv s="0">
    <fb>28586.904399999999</fb>
    <v>0</v>
  </rv>
  <rv s="0">
    <fb>41771</fb>
    <v>1</v>
  </rv>
  <rv s="0">
    <fb>28335.567200000001</fb>
    <v>0</v>
  </rv>
  <rv s="0">
    <fb>41778</fb>
    <v>1</v>
  </rv>
  <rv s="0">
    <fb>28323.395100000002</fb>
    <v>0</v>
  </rv>
  <rv s="0">
    <fb>41786</fb>
    <v>1</v>
  </rv>
  <rv s="0">
    <fb>28133.313200000001</fb>
    <v>0</v>
  </rv>
  <rv s="0">
    <fb>41792</fb>
    <v>1</v>
  </rv>
  <rv s="0">
    <fb>27931.018499999998</fb>
    <v>0</v>
  </rv>
  <rv s="0">
    <fb>41799</fb>
    <v>1</v>
  </rv>
  <rv s="0">
    <fb>27930.332600000002</fb>
    <v>0</v>
  </rv>
  <rv s="0">
    <fb>41806</fb>
    <v>1</v>
  </rv>
  <rv s="0">
    <fb>27682.814399999999</fb>
    <v>0</v>
  </rv>
  <rv s="0">
    <fb>41813</fb>
    <v>1</v>
  </rv>
  <rv s="0">
    <fb>27665.641800000001</fb>
    <v>0</v>
  </rv>
  <rv s="0">
    <fb>41820</fb>
    <v>1</v>
  </rv>
  <rv s="0">
    <fb>27657.4175</fb>
    <v>0</v>
  </rv>
  <rv s="0">
    <fb>41827</fb>
    <v>1</v>
  </rv>
  <rv s="0">
    <fb>27433.481199999998</fb>
    <v>0</v>
  </rv>
  <rv s="0">
    <fb>41834</fb>
    <v>1</v>
  </rv>
  <rv s="0">
    <fb>27173.955300000001</fb>
    <v>0</v>
  </rv>
  <rv s="0">
    <fb>41841</fb>
    <v>1</v>
  </rv>
  <rv s="0">
    <fb>27110.980500000001</fb>
    <v>0</v>
  </rv>
  <rv s="0">
    <fb>41848</fb>
    <v>1</v>
  </rv>
  <rv s="0">
    <fb>26671.948799999998</fb>
    <v>0</v>
  </rv>
  <rv s="0">
    <fb>41855</fb>
    <v>1</v>
  </rv>
  <rv s="0">
    <fb>26501.595499999999</fb>
    <v>0</v>
  </rv>
  <rv s="0">
    <fb>41862</fb>
    <v>1</v>
  </rv>
  <rv s="0">
    <fb>26469.888599999998</fb>
    <v>0</v>
  </rv>
  <rv s="0">
    <fb>41869</fb>
    <v>1</v>
  </rv>
  <rv s="0">
    <fb>26428.324199999999</fb>
    <v>0</v>
  </rv>
  <rv s="0">
    <fb>41876</fb>
    <v>1</v>
  </rv>
  <rv s="0">
    <fb>26075.301800000001</fb>
    <v>0</v>
  </rv>
  <rv s="0">
    <fb>41884</fb>
    <v>1</v>
  </rv>
  <rv s="0">
    <fb>25871.458299999998</fb>
    <v>0</v>
  </rv>
  <rv s="0">
    <fb>41890</fb>
    <v>1</v>
  </rv>
  <rv s="0">
    <fb>25864.778900000001</fb>
    <v>0</v>
  </rv>
  <rv s="0">
    <fb>41897</fb>
    <v>1</v>
  </rv>
  <rv s="0">
    <fb>25827.356299999999</fb>
    <v>0</v>
  </rv>
  <rv s="0">
    <fb>41904</fb>
    <v>1</v>
  </rv>
  <rv s="0">
    <fb>25605.542700000002</fb>
    <v>0</v>
  </rv>
  <rv s="0">
    <fb>41911</fb>
    <v>1</v>
  </rv>
  <rv s="0">
    <fb>25409.356899999999</fb>
    <v>0</v>
  </rv>
  <rv s="0">
    <fb>41918</fb>
    <v>1</v>
  </rv>
  <rv s="0">
    <fb>25383.1119</fb>
    <v>0</v>
  </rv>
  <rv s="0">
    <fb>41925</fb>
    <v>1</v>
  </rv>
  <rv s="0">
    <fb>25015.5488</fb>
    <v>0</v>
  </rv>
  <rv s="0">
    <fb>41932</fb>
    <v>1</v>
  </rv>
  <rv s="0">
    <fb>24465.164499999999</fb>
    <v>0</v>
  </rv>
  <rv s="0">
    <fb>41939</fb>
    <v>1</v>
  </rv>
  <rv s="0">
    <fb>24331.314999999999</fb>
    <v>0</v>
  </rv>
  <rv s="0">
    <fb>41946</fb>
    <v>1</v>
  </rv>
  <rv s="0">
    <fb>24242.493600000002</fb>
    <v>0</v>
  </rv>
  <rv s="0">
    <fb>41953</fb>
    <v>1</v>
  </rv>
  <rv s="0">
    <fb>23775.272199999999</fb>
    <v>0</v>
  </rv>
  <rv s="0">
    <fb>41960</fb>
    <v>1</v>
  </rv>
  <rv s="0">
    <fb>23723.694</fb>
    <v>0</v>
  </rv>
  <rv s="0">
    <fb>41967</fb>
    <v>1</v>
  </rv>
  <rv s="0">
    <fb>23719.373</fb>
    <v>0</v>
  </rv>
  <rv s="0">
    <fb>41974</fb>
    <v>1</v>
  </rv>
  <rv s="0">
    <fb>23685.421900000001</fb>
    <v>0</v>
  </rv>
  <rv s="0">
    <fb>41981</fb>
    <v>1</v>
  </rv>
  <rv s="0">
    <fb>23185.622800000001</fb>
    <v>0</v>
  </rv>
  <rv s="0">
    <fb>41988</fb>
    <v>1</v>
  </rv>
  <rv s="0">
    <fb>42009</fb>
    <v>1</v>
  </rv>
  <rv s="0">
    <fb>42052</fb>
    <v>1</v>
  </rv>
  <rv s="0">
    <fb>42058</fb>
    <v>1</v>
  </rv>
  <rv s="0">
    <fb>42065</fb>
    <v>1</v>
  </rv>
  <rv s="0">
    <fb>42072</fb>
    <v>1</v>
  </rv>
  <rv s="0">
    <fb>42079</fb>
    <v>1</v>
  </rv>
  <rv s="0">
    <fb>42086</fb>
    <v>1</v>
  </rv>
  <rv s="0">
    <fb>42093</fb>
    <v>1</v>
  </rv>
  <rv s="0">
    <fb>42100</fb>
    <v>1</v>
  </rv>
  <rv s="0">
    <fb>42107</fb>
    <v>1</v>
  </rv>
  <rv s="0">
    <fb>42114</fb>
    <v>1</v>
  </rv>
  <rv s="0">
    <fb>42121</fb>
    <v>1</v>
  </rv>
  <rv s="0">
    <fb>42128</fb>
    <v>1</v>
  </rv>
  <rv s="0">
    <fb>42135</fb>
    <v>1</v>
  </rv>
  <rv s="0">
    <fb>42142</fb>
    <v>1</v>
  </rv>
  <rv s="0">
    <fb>42150</fb>
    <v>1</v>
  </rv>
  <rv s="0">
    <fb>42156</fb>
    <v>1</v>
  </rv>
  <rv s="0">
    <fb>42163</fb>
    <v>1</v>
  </rv>
  <rv s="0">
    <fb>42170</fb>
    <v>1</v>
  </rv>
  <rv s="0">
    <fb>42177</fb>
    <v>1</v>
  </rv>
  <rv s="0">
    <fb>42184</fb>
    <v>1</v>
  </rv>
  <rv s="0">
    <fb>42191</fb>
    <v>1</v>
  </rv>
  <rv s="0">
    <fb>42198</fb>
    <v>1</v>
  </rv>
  <rv s="0">
    <fb>42205</fb>
    <v>1</v>
  </rv>
  <rv s="0">
    <fb>42212</fb>
    <v>1</v>
  </rv>
  <rv s="0">
    <fb>42219</fb>
    <v>1</v>
  </rv>
  <rv s="0">
    <fb>42226</fb>
    <v>1</v>
  </rv>
  <rv s="0">
    <fb>42233</fb>
    <v>1</v>
  </rv>
  <rv s="0">
    <fb>42240</fb>
    <v>1</v>
  </rv>
  <rv s="0">
    <fb>42247</fb>
    <v>1</v>
  </rv>
  <rv s="0">
    <fb>42255</fb>
    <v>1</v>
  </rv>
  <rv s="0">
    <fb>42261</fb>
    <v>1</v>
  </rv>
  <rv s="0">
    <fb>42268</fb>
    <v>1</v>
  </rv>
  <rv s="0">
    <fb>42275</fb>
    <v>1</v>
  </rv>
  <rv s="0">
    <fb>42282</fb>
    <v>1</v>
  </rv>
  <rv s="0">
    <fb>42310</fb>
    <v>1</v>
  </rv>
  <rv s="0">
    <fb>42317</fb>
    <v>1</v>
  </rv>
  <rv s="0">
    <fb>42324</fb>
    <v>1</v>
  </rv>
  <rv s="0">
    <fb>42331</fb>
    <v>1</v>
  </rv>
  <rv s="0">
    <fb>42338</fb>
    <v>1</v>
  </rv>
  <rv s="0">
    <fb>42345</fb>
    <v>1</v>
  </rv>
  <rv s="0">
    <fb>42352</fb>
    <v>1</v>
  </rv>
  <rv s="0">
    <fb>42359</fb>
    <v>1</v>
  </rv>
  <rv s="0">
    <fb>42366</fb>
    <v>1</v>
  </rv>
  <rv s="0">
    <fb>42373</fb>
    <v>1</v>
  </rv>
  <rv s="0">
    <fb>42380</fb>
    <v>1</v>
  </rv>
  <rv s="0">
    <fb>42388</fb>
    <v>1</v>
  </rv>
  <rv s="0">
    <fb>42394</fb>
    <v>1</v>
  </rv>
  <rv s="0">
    <fb>42401</fb>
    <v>1</v>
  </rv>
  <rv s="0">
    <fb>42408</fb>
    <v>1</v>
  </rv>
  <rv s="0">
    <fb>42416</fb>
    <v>1</v>
  </rv>
  <rv s="0">
    <fb>42422</fb>
    <v>1</v>
  </rv>
  <rv s="0">
    <fb>42429</fb>
    <v>1</v>
  </rv>
  <rv s="0">
    <fb>42436</fb>
    <v>1</v>
  </rv>
  <rv s="0">
    <fb>42443</fb>
    <v>1</v>
  </rv>
  <rv s="0">
    <fb>42450</fb>
    <v>1</v>
  </rv>
  <rv s="0">
    <fb>42457</fb>
    <v>1</v>
  </rv>
  <rv s="0">
    <fb>42464</fb>
    <v>1</v>
  </rv>
  <rv s="0">
    <fb>42471</fb>
    <v>1</v>
  </rv>
  <rv s="0">
    <fb>42478</fb>
    <v>1</v>
  </rv>
  <rv s="0">
    <fb>42485</fb>
    <v>1</v>
  </rv>
  <rv s="0">
    <fb>42492</fb>
    <v>1</v>
  </rv>
  <rv s="0">
    <fb>42499</fb>
    <v>1</v>
  </rv>
  <rv s="0">
    <fb>42506</fb>
    <v>1</v>
  </rv>
  <rv s="0">
    <fb>42513</fb>
    <v>1</v>
  </rv>
  <rv s="0">
    <fb>42521</fb>
    <v>1</v>
  </rv>
  <rv s="0">
    <fb>42527</fb>
    <v>1</v>
  </rv>
  <rv s="0">
    <fb>42534</fb>
    <v>1</v>
  </rv>
  <rv s="0">
    <fb>42541</fb>
    <v>1</v>
  </rv>
  <rv s="0">
    <fb>42548</fb>
    <v>1</v>
  </rv>
  <rv s="0">
    <fb>42556</fb>
    <v>1</v>
  </rv>
  <rv s="0">
    <fb>42562</fb>
    <v>1</v>
  </rv>
  <rv s="0">
    <fb>42569</fb>
    <v>1</v>
  </rv>
  <rv s="0">
    <fb>42576</fb>
    <v>1</v>
  </rv>
  <rv s="0">
    <fb>42583</fb>
    <v>1</v>
  </rv>
  <rv s="0">
    <fb>42590</fb>
    <v>1</v>
  </rv>
  <rv s="0">
    <fb>42597</fb>
    <v>1</v>
  </rv>
  <rv s="0">
    <fb>42604</fb>
    <v>1</v>
  </rv>
  <rv s="0">
    <fb>42611</fb>
    <v>1</v>
  </rv>
  <rv s="0">
    <fb>42619</fb>
    <v>1</v>
  </rv>
  <rv s="0">
    <fb>42625</fb>
    <v>1</v>
  </rv>
  <rv s="0">
    <fb>42632</fb>
    <v>1</v>
  </rv>
  <rv s="0">
    <fb>42639</fb>
    <v>1</v>
  </rv>
  <rv s="0">
    <fb>42646</fb>
    <v>1</v>
  </rv>
  <rv s="0">
    <fb>42653</fb>
    <v>1</v>
  </rv>
  <rv s="0">
    <fb>42660</fb>
    <v>1</v>
  </rv>
  <rv s="0">
    <fb>42667</fb>
    <v>1</v>
  </rv>
  <rv s="0">
    <fb>42674</fb>
    <v>1</v>
  </rv>
  <rv s="0">
    <fb>42681</fb>
    <v>1</v>
  </rv>
  <rv s="0">
    <fb>42688</fb>
    <v>1</v>
  </rv>
  <rv s="0">
    <fb>42695</fb>
    <v>1</v>
  </rv>
  <rv s="0">
    <fb>42702</fb>
    <v>1</v>
  </rv>
  <rv s="0">
    <fb>42709</fb>
    <v>1</v>
  </rv>
  <rv s="0">
    <fb>42716</fb>
    <v>1</v>
  </rv>
  <rv s="0">
    <fb>42723</fb>
    <v>1</v>
  </rv>
  <rv s="0">
    <fb>42731</fb>
    <v>1</v>
  </rv>
  <rv s="0">
    <fb>42738</fb>
    <v>1</v>
  </rv>
  <rv s="0">
    <fb>42744</fb>
    <v>1</v>
  </rv>
  <rv s="0">
    <fb>42752</fb>
    <v>1</v>
  </rv>
  <rv s="0">
    <fb>42758</fb>
    <v>1</v>
  </rv>
  <rv s="0">
    <fb>42765</fb>
    <v>1</v>
  </rv>
  <rv s="0">
    <fb>42772</fb>
    <v>1</v>
  </rv>
  <rv s="0">
    <fb>42779</fb>
    <v>1</v>
  </rv>
  <rv s="0">
    <fb>42787</fb>
    <v>1</v>
  </rv>
  <rv s="0">
    <fb>42793</fb>
    <v>1</v>
  </rv>
  <rv s="0">
    <fb>42800</fb>
    <v>1</v>
  </rv>
  <rv s="0">
    <fb>42807</fb>
    <v>1</v>
  </rv>
  <rv s="0">
    <fb>42814</fb>
    <v>1</v>
  </rv>
  <rv s="0">
    <fb>42821</fb>
    <v>1</v>
  </rv>
  <rv s="0">
    <fb>42828</fb>
    <v>1</v>
  </rv>
  <rv s="0">
    <fb>42835</fb>
    <v>1</v>
  </rv>
  <rv s="0">
    <fb>42842</fb>
    <v>1</v>
  </rv>
  <rv s="0">
    <fb>42849</fb>
    <v>1</v>
  </rv>
  <rv s="0">
    <fb>42856</fb>
    <v>1</v>
  </rv>
  <rv s="0">
    <fb>42863</fb>
    <v>1</v>
  </rv>
  <rv s="0">
    <fb>42870</fb>
    <v>1</v>
  </rv>
  <rv s="0">
    <fb>42877</fb>
    <v>1</v>
  </rv>
  <rv s="0">
    <fb>42885</fb>
    <v>1</v>
  </rv>
  <rv s="0">
    <fb>42891</fb>
    <v>1</v>
  </rv>
  <rv s="0">
    <fb>42898</fb>
    <v>1</v>
  </rv>
  <rv s="0">
    <fb>42905</fb>
    <v>1</v>
  </rv>
  <rv s="0">
    <fb>42912</fb>
    <v>1</v>
  </rv>
  <rv s="0">
    <fb>42919</fb>
    <v>1</v>
  </rv>
  <rv s="0">
    <fb>42926</fb>
    <v>1</v>
  </rv>
  <rv s="0">
    <fb>42933</fb>
    <v>1</v>
  </rv>
  <rv s="0">
    <fb>42940</fb>
    <v>1</v>
  </rv>
  <rv s="0">
    <fb>42947</fb>
    <v>1</v>
  </rv>
  <rv s="0">
    <fb>42954</fb>
    <v>1</v>
  </rv>
  <rv s="0">
    <fb>42961</fb>
    <v>1</v>
  </rv>
  <rv s="0">
    <fb>42968</fb>
    <v>1</v>
  </rv>
  <rv s="0">
    <fb>42975</fb>
    <v>1</v>
  </rv>
  <rv s="0">
    <fb>42983</fb>
    <v>1</v>
  </rv>
  <rv s="0">
    <fb>42989</fb>
    <v>1</v>
  </rv>
  <rv s="0">
    <fb>42996</fb>
    <v>1</v>
  </rv>
  <rv s="0">
    <fb>43003</fb>
    <v>1</v>
  </rv>
  <rv s="0">
    <fb>43010</fb>
    <v>1</v>
  </rv>
  <rv s="0">
    <fb>43017</fb>
    <v>1</v>
  </rv>
  <rv s="0">
    <fb>43024</fb>
    <v>1</v>
  </rv>
  <rv s="0">
    <fb>43031</fb>
    <v>1</v>
  </rv>
  <rv s="0">
    <fb>43038</fb>
    <v>1</v>
  </rv>
  <rv s="0">
    <fb>43045</fb>
    <v>1</v>
  </rv>
  <rv s="0">
    <fb>43052</fb>
    <v>1</v>
  </rv>
  <rv s="0">
    <fb>43059</fb>
    <v>1</v>
  </rv>
  <rv s="0">
    <fb>43066</fb>
    <v>1</v>
  </rv>
  <rv s="0">
    <fb>43073</fb>
    <v>1</v>
  </rv>
  <rv s="0">
    <fb>43080</fb>
    <v>1</v>
  </rv>
  <rv s="0">
    <fb>43087</fb>
    <v>1</v>
  </rv>
  <rv s="0">
    <fb>43095</fb>
    <v>1</v>
  </rv>
  <rv s="0">
    <fb>43102</fb>
    <v>1</v>
  </rv>
  <rv s="0">
    <fb>43108</fb>
    <v>1</v>
  </rv>
  <rv s="0">
    <fb>43116</fb>
    <v>1</v>
  </rv>
  <rv s="0">
    <fb>43122</fb>
    <v>1</v>
  </rv>
  <rv s="0">
    <fb>43129</fb>
    <v>1</v>
  </rv>
  <rv s="0">
    <fb>43136</fb>
    <v>1</v>
  </rv>
  <rv s="0">
    <fb>43143</fb>
    <v>1</v>
  </rv>
  <rv s="0">
    <fb>43151</fb>
    <v>1</v>
  </rv>
  <rv s="0">
    <fb>43157</fb>
    <v>1</v>
  </rv>
  <rv s="0">
    <fb>43164</fb>
    <v>1</v>
  </rv>
  <rv s="0">
    <fb>43171</fb>
    <v>1</v>
  </rv>
  <rv s="0">
    <fb>43178</fb>
    <v>1</v>
  </rv>
  <rv s="0">
    <fb>43185</fb>
    <v>1</v>
  </rv>
  <rv s="0">
    <fb>43192</fb>
    <v>1</v>
  </rv>
  <rv s="0">
    <fb>43199</fb>
    <v>1</v>
  </rv>
  <rv s="0">
    <fb>43206</fb>
    <v>1</v>
  </rv>
  <rv s="0">
    <fb>43213</fb>
    <v>1</v>
  </rv>
  <rv s="0">
    <fb>43220</fb>
    <v>1</v>
  </rv>
  <rv s="0">
    <fb>43227</fb>
    <v>1</v>
  </rv>
  <rv s="0">
    <fb>43234</fb>
    <v>1</v>
  </rv>
  <rv s="0">
    <fb>43241</fb>
    <v>1</v>
  </rv>
  <rv s="0">
    <fb>43249</fb>
    <v>1</v>
  </rv>
  <rv s="0">
    <fb>43255</fb>
    <v>1</v>
  </rv>
  <rv s="0">
    <fb>43262</fb>
    <v>1</v>
  </rv>
  <rv s="0">
    <fb>43269</fb>
    <v>1</v>
  </rv>
  <rv s="0">
    <fb>43276</fb>
    <v>1</v>
  </rv>
  <rv s="0">
    <fb>43283</fb>
    <v>1</v>
  </rv>
  <rv s="0">
    <fb>43290</fb>
    <v>1</v>
  </rv>
  <rv s="0">
    <fb>43297</fb>
    <v>1</v>
  </rv>
  <rv s="0">
    <fb>43304</fb>
    <v>1</v>
  </rv>
  <rv s="0">
    <fb>43311</fb>
    <v>1</v>
  </rv>
  <rv s="0">
    <fb>43318</fb>
    <v>1</v>
  </rv>
  <rv s="0">
    <fb>43325</fb>
    <v>1</v>
  </rv>
  <rv s="0">
    <fb>43332</fb>
    <v>1</v>
  </rv>
  <rv s="0">
    <fb>43339</fb>
    <v>1</v>
  </rv>
  <rv s="0">
    <fb>43347</fb>
    <v>1</v>
  </rv>
  <rv s="0">
    <fb>43353</fb>
    <v>1</v>
  </rv>
  <rv s="0">
    <fb>43360</fb>
    <v>1</v>
  </rv>
  <rv s="0">
    <fb>43367</fb>
    <v>1</v>
  </rv>
  <rv s="0">
    <fb>43374</fb>
    <v>1</v>
  </rv>
  <rv s="0">
    <fb>43381</fb>
    <v>1</v>
  </rv>
  <rv s="0">
    <fb>43388</fb>
    <v>1</v>
  </rv>
  <rv s="0">
    <fb>43395</fb>
    <v>1</v>
  </rv>
  <rv s="0">
    <fb>43402</fb>
    <v>1</v>
  </rv>
  <rv s="0">
    <fb>43409</fb>
    <v>1</v>
  </rv>
  <rv s="0">
    <fb>43416</fb>
    <v>1</v>
  </rv>
  <rv s="0">
    <fb>43423</fb>
    <v>1</v>
  </rv>
  <rv s="0">
    <fb>43430</fb>
    <v>1</v>
  </rv>
  <rv s="0">
    <fb>43437</fb>
    <v>1</v>
  </rv>
  <rv s="0">
    <fb>43444</fb>
    <v>1</v>
  </rv>
  <rv s="0">
    <fb>43451</fb>
    <v>1</v>
  </rv>
  <rv s="0">
    <fb>43458</fb>
    <v>1</v>
  </rv>
  <rv s="0">
    <fb>43465</fb>
    <v>1</v>
  </rv>
  <rv s="0">
    <fb>43472</fb>
    <v>1</v>
  </rv>
  <rv s="0">
    <fb>43479</fb>
    <v>1</v>
  </rv>
  <rv s="0">
    <fb>43487</fb>
    <v>1</v>
  </rv>
  <rv s="0">
    <fb>43493</fb>
    <v>1</v>
  </rv>
  <rv s="0">
    <fb>43500</fb>
    <v>1</v>
  </rv>
  <rv s="0">
    <fb>43507</fb>
    <v>1</v>
  </rv>
  <rv s="0">
    <fb>43515</fb>
    <v>1</v>
  </rv>
  <rv s="0">
    <fb>43521</fb>
    <v>1</v>
  </rv>
  <rv s="0">
    <fb>43528</fb>
    <v>1</v>
  </rv>
  <rv s="0">
    <fb>43535</fb>
    <v>1</v>
  </rv>
  <rv s="0">
    <fb>43542</fb>
    <v>1</v>
  </rv>
  <rv s="0">
    <fb>43549</fb>
    <v>1</v>
  </rv>
  <rv s="0">
    <fb>43556</fb>
    <v>1</v>
  </rv>
  <rv s="0">
    <fb>43563</fb>
    <v>1</v>
  </rv>
  <rv s="0">
    <fb>43570</fb>
    <v>1</v>
  </rv>
  <rv s="0">
    <fb>43577</fb>
    <v>1</v>
  </rv>
  <rv s="0">
    <fb>43584</fb>
    <v>1</v>
  </rv>
  <rv s="0">
    <fb>43591</fb>
    <v>1</v>
  </rv>
  <rv s="0">
    <fb>43598</fb>
    <v>1</v>
  </rv>
  <rv s="0">
    <fb>43605</fb>
    <v>1</v>
  </rv>
  <rv s="0">
    <fb>43613</fb>
    <v>1</v>
  </rv>
  <rv s="0">
    <fb>43619</fb>
    <v>1</v>
  </rv>
  <rv s="0">
    <fb>43626</fb>
    <v>1</v>
  </rv>
  <rv s="0">
    <fb>43633</fb>
    <v>1</v>
  </rv>
  <rv s="0">
    <fb>43640</fb>
    <v>1</v>
  </rv>
  <rv s="0">
    <fb>43647</fb>
    <v>1</v>
  </rv>
  <rv s="0">
    <fb>43654</fb>
    <v>1</v>
  </rv>
  <rv s="0">
    <fb>43661</fb>
    <v>1</v>
  </rv>
  <rv s="0">
    <fb>43668</fb>
    <v>1</v>
  </rv>
  <rv s="0">
    <fb>43675</fb>
    <v>1</v>
  </rv>
  <rv s="0">
    <fb>43682</fb>
    <v>1</v>
  </rv>
  <rv s="0">
    <fb>43689</fb>
    <v>1</v>
  </rv>
  <rv s="0">
    <fb>43696</fb>
    <v>1</v>
  </rv>
  <rv s="0">
    <fb>43703</fb>
    <v>1</v>
  </rv>
  <rv s="0">
    <fb>43711</fb>
    <v>1</v>
  </rv>
  <rv s="0">
    <fb>43717</fb>
    <v>1</v>
  </rv>
  <rv s="0">
    <fb>43724</fb>
    <v>1</v>
  </rv>
  <rv s="0">
    <fb>43731</fb>
    <v>1</v>
  </rv>
  <rv s="0">
    <fb>43738</fb>
    <v>1</v>
  </rv>
  <rv s="0">
    <fb>43745</fb>
    <v>1</v>
  </rv>
  <rv s="0">
    <fb>43752</fb>
    <v>1</v>
  </rv>
  <rv s="0">
    <fb>43759</fb>
    <v>1</v>
  </rv>
  <rv s="0">
    <fb>43766</fb>
    <v>1</v>
  </rv>
  <rv s="0">
    <fb>43773</fb>
    <v>1</v>
  </rv>
  <rv s="0">
    <fb>43780</fb>
    <v>1</v>
  </rv>
  <rv s="0">
    <fb>43787</fb>
    <v>1</v>
  </rv>
  <rv s="0">
    <fb>43794</fb>
    <v>1</v>
  </rv>
  <rv s="0">
    <fb>43801</fb>
    <v>1</v>
  </rv>
  <rv s="0">
    <fb>43808</fb>
    <v>1</v>
  </rv>
  <rv s="0">
    <fb>43815</fb>
    <v>1</v>
  </rv>
  <rv s="0">
    <fb>43822</fb>
    <v>1</v>
  </rv>
  <rv s="0">
    <fb>43829</fb>
    <v>1</v>
  </rv>
  <rv s="0">
    <fb>43836</fb>
    <v>1</v>
  </rv>
  <rv s="0">
    <fb>43843</fb>
    <v>1</v>
  </rv>
  <rv s="0">
    <fb>43851</fb>
    <v>1</v>
  </rv>
  <rv s="0">
    <fb>43857</fb>
    <v>1</v>
  </rv>
  <rv s="0">
    <fb>43864</fb>
    <v>1</v>
  </rv>
  <rv s="0">
    <fb>43871</fb>
    <v>1</v>
  </rv>
  <rv s="0">
    <fb>43879</fb>
    <v>1</v>
  </rv>
  <rv s="0">
    <fb>43885</fb>
    <v>1</v>
  </rv>
  <rv s="0">
    <fb>43892</fb>
    <v>1</v>
  </rv>
  <rv s="0">
    <fb>43899</fb>
    <v>1</v>
  </rv>
  <rv s="0">
    <fb>43906</fb>
    <v>1</v>
  </rv>
  <rv s="0">
    <fb>43913</fb>
    <v>1</v>
  </rv>
  <rv s="0">
    <fb>43920</fb>
    <v>1</v>
  </rv>
  <rv s="0">
    <fb>43927</fb>
    <v>1</v>
  </rv>
  <rv s="0">
    <fb>43934</fb>
    <v>1</v>
  </rv>
  <rv s="0">
    <fb>43941</fb>
    <v>1</v>
  </rv>
  <rv s="0">
    <fb>43948</fb>
    <v>1</v>
  </rv>
  <rv s="0">
    <fb>43955</fb>
    <v>1</v>
  </rv>
  <rv s="0">
    <fb>43962</fb>
    <v>1</v>
  </rv>
  <rv s="0">
    <fb>43969</fb>
    <v>1</v>
  </rv>
  <rv s="0">
    <fb>43977</fb>
    <v>1</v>
  </rv>
  <rv s="0">
    <fb>43983</fb>
    <v>1</v>
  </rv>
  <rv s="0">
    <fb>43990</fb>
    <v>1</v>
  </rv>
  <rv s="0">
    <fb>43997</fb>
    <v>1</v>
  </rv>
  <rv s="0">
    <fb>44004</fb>
    <v>1</v>
  </rv>
  <rv s="0">
    <fb>44011</fb>
    <v>1</v>
  </rv>
  <rv s="0">
    <fb>44018</fb>
    <v>1</v>
  </rv>
  <rv s="0">
    <fb>44025</fb>
    <v>1</v>
  </rv>
  <rv s="0">
    <fb>44032</fb>
    <v>1</v>
  </rv>
  <rv s="0">
    <fb>44039</fb>
    <v>1</v>
  </rv>
  <rv s="0">
    <fb>44046</fb>
    <v>1</v>
  </rv>
  <rv s="0">
    <fb>44053</fb>
    <v>1</v>
  </rv>
  <rv s="0">
    <fb>44060</fb>
    <v>1</v>
  </rv>
  <rv s="0">
    <fb>44067</fb>
    <v>1</v>
  </rv>
  <rv s="0">
    <fb>44074</fb>
    <v>1</v>
  </rv>
  <rv s="0">
    <fb>44082</fb>
    <v>1</v>
  </rv>
  <rv s="0">
    <fb>44088</fb>
    <v>1</v>
  </rv>
  <rv s="0">
    <fb>44095</fb>
    <v>1</v>
  </rv>
  <rv s="0">
    <fb>44102</fb>
    <v>1</v>
  </rv>
  <rv s="0">
    <fb>44109</fb>
    <v>1</v>
  </rv>
  <rv s="0">
    <fb>44116</fb>
    <v>1</v>
  </rv>
  <rv s="0">
    <fb>44123</fb>
    <v>1</v>
  </rv>
  <rv s="0">
    <fb>44130</fb>
    <v>1</v>
  </rv>
  <rv s="0">
    <fb>44137</fb>
    <v>1</v>
  </rv>
  <rv s="0">
    <fb>44144</fb>
    <v>1</v>
  </rv>
  <rv s="0">
    <fb>44151</fb>
    <v>1</v>
  </rv>
  <rv s="0">
    <fb>44158</fb>
    <v>1</v>
  </rv>
  <rv s="0">
    <fb>44165</fb>
    <v>1</v>
  </rv>
  <rv s="0">
    <fb>44172</fb>
    <v>1</v>
  </rv>
  <rv s="0">
    <fb>44179</fb>
    <v>1</v>
  </rv>
  <rv s="0">
    <fb>44186</fb>
    <v>1</v>
  </rv>
  <rv s="0">
    <fb>44193</fb>
    <v>1</v>
  </rv>
  <rv s="0">
    <fb>44200</fb>
    <v>1</v>
  </rv>
  <rv s="0">
    <fb>44207</fb>
    <v>1</v>
  </rv>
  <rv s="0">
    <fb>44215</fb>
    <v>1</v>
  </rv>
  <rv s="0">
    <fb>44221</fb>
    <v>1</v>
  </rv>
  <rv s="0">
    <fb>44228</fb>
    <v>1</v>
  </rv>
  <rv s="0">
    <fb>44235</fb>
    <v>1</v>
  </rv>
  <rv s="0">
    <fb>44243</fb>
    <v>1</v>
  </rv>
  <rv s="0">
    <fb>44249</fb>
    <v>1</v>
  </rv>
  <rv s="0">
    <fb>44256</fb>
    <v>1</v>
  </rv>
  <rv s="0">
    <fb>44263</fb>
    <v>1</v>
  </rv>
  <rv s="0">
    <fb>44270</fb>
    <v>1</v>
  </rv>
  <rv s="0">
    <fb>44277</fb>
    <v>1</v>
  </rv>
  <rv s="0">
    <fb>44284</fb>
    <v>1</v>
  </rv>
  <rv s="0">
    <fb>44291</fb>
    <v>1</v>
  </rv>
  <rv s="0">
    <fb>44298</fb>
    <v>1</v>
  </rv>
  <rv s="0">
    <fb>44305</fb>
    <v>1</v>
  </rv>
  <rv s="0">
    <fb>44312</fb>
    <v>1</v>
  </rv>
  <rv s="0">
    <fb>44319</fb>
    <v>1</v>
  </rv>
  <rv s="0">
    <fb>44326</fb>
    <v>1</v>
  </rv>
  <rv s="0">
    <fb>44333</fb>
    <v>1</v>
  </rv>
  <rv s="0">
    <fb>44340</fb>
    <v>1</v>
  </rv>
  <rv s="0">
    <fb>44348</fb>
    <v>1</v>
  </rv>
  <rv s="0">
    <fb>44354</fb>
    <v>1</v>
  </rv>
  <rv s="0">
    <fb>44361</fb>
    <v>1</v>
  </rv>
  <rv s="0">
    <fb>44368</fb>
    <v>1</v>
  </rv>
  <rv s="0">
    <fb>44375</fb>
    <v>1</v>
  </rv>
  <rv s="0">
    <fb>44383</fb>
    <v>1</v>
  </rv>
  <rv s="0">
    <fb>44389</fb>
    <v>1</v>
  </rv>
  <rv s="0">
    <fb>44396</fb>
    <v>1</v>
  </rv>
  <rv s="0">
    <fb>44403</fb>
    <v>1</v>
  </rv>
  <rv s="0">
    <fb>44410</fb>
    <v>1</v>
  </rv>
  <rv s="0">
    <fb>44417</fb>
    <v>1</v>
  </rv>
  <rv s="0">
    <fb>44424</fb>
    <v>1</v>
  </rv>
  <rv s="0">
    <fb>44431</fb>
    <v>1</v>
  </rv>
  <rv s="0">
    <fb>44438</fb>
    <v>1</v>
  </rv>
  <rv s="0">
    <fb>44446</fb>
    <v>1</v>
  </rv>
  <rv s="0">
    <fb>44452</fb>
    <v>1</v>
  </rv>
  <rv s="0">
    <fb>44459</fb>
    <v>1</v>
  </rv>
  <rv s="0">
    <fb>44466</fb>
    <v>1</v>
  </rv>
  <rv s="0">
    <fb>44473</fb>
    <v>1</v>
  </rv>
  <rv s="0">
    <fb>44480</fb>
    <v>1</v>
  </rv>
  <rv s="0">
    <fb>44487</fb>
    <v>1</v>
  </rv>
  <rv s="0">
    <fb>44494</fb>
    <v>1</v>
  </rv>
  <rv s="0">
    <fb>44501</fb>
    <v>1</v>
  </rv>
  <rv s="0">
    <fb>44508</fb>
    <v>1</v>
  </rv>
  <rv s="0">
    <fb>44515</fb>
    <v>1</v>
  </rv>
  <rv s="0">
    <fb>44522</fb>
    <v>1</v>
  </rv>
  <rv s="0">
    <fb>44529</fb>
    <v>1</v>
  </rv>
  <rv s="0">
    <fb>44536</fb>
    <v>1</v>
  </rv>
  <rv s="0">
    <fb>44543</fb>
    <v>1</v>
  </rv>
  <rv s="0">
    <fb>44550</fb>
    <v>1</v>
  </rv>
  <rv s="0">
    <fb>44557</fb>
    <v>1</v>
  </rv>
  <rv s="0">
    <fb>44564</fb>
    <v>1</v>
  </rv>
  <rv s="0">
    <fb>44571</fb>
    <v>1</v>
  </rv>
  <rv s="0">
    <fb>44579</fb>
    <v>1</v>
  </rv>
  <rv s="0">
    <fb>44585</fb>
    <v>1</v>
  </rv>
  <rv s="0">
    <fb>44592</fb>
    <v>1</v>
  </rv>
  <rv s="0">
    <fb>44599</fb>
    <v>1</v>
  </rv>
  <rv s="0">
    <fb>44606</fb>
    <v>1</v>
  </rv>
  <rv s="0">
    <fb>44614</fb>
    <v>1</v>
  </rv>
  <rv s="0">
    <fb>44620</fb>
    <v>1</v>
  </rv>
  <rv s="0">
    <fb>44627</fb>
    <v>1</v>
  </rv>
  <rv s="0">
    <fb>44634</fb>
    <v>1</v>
  </rv>
  <rv s="0">
    <fb>44641</fb>
    <v>1</v>
  </rv>
  <rv s="0">
    <fb>44648</fb>
    <v>1</v>
  </rv>
  <rv s="0">
    <fb>44655</fb>
    <v>1</v>
  </rv>
  <rv s="0">
    <fb>44662</fb>
    <v>1</v>
  </rv>
  <rv s="0">
    <fb>44669</fb>
    <v>1</v>
  </rv>
  <rv s="0">
    <fb>44676</fb>
    <v>1</v>
  </rv>
  <rv s="0">
    <fb>44683</fb>
    <v>1</v>
  </rv>
  <rv s="0">
    <fb>44690</fb>
    <v>1</v>
  </rv>
  <rv s="0">
    <fb>44697</fb>
    <v>1</v>
  </rv>
  <rv s="0">
    <fb>44704</fb>
    <v>1</v>
  </rv>
  <rv s="0">
    <fb>44712</fb>
    <v>1</v>
  </rv>
  <rv s="0">
    <fb>44718</fb>
    <v>1</v>
  </rv>
  <rv s="0">
    <fb>44725</fb>
    <v>1</v>
  </rv>
  <rv s="0">
    <fb>44733</fb>
    <v>1</v>
  </rv>
  <rv s="0">
    <fb>44739</fb>
    <v>1</v>
  </rv>
  <rv s="0">
    <fb>44747</fb>
    <v>1</v>
  </rv>
  <rv s="0">
    <fb>44753</fb>
    <v>1</v>
  </rv>
  <rv s="0">
    <fb>44760</fb>
    <v>1</v>
  </rv>
  <rv s="0">
    <fb>44767</fb>
    <v>1</v>
  </rv>
  <rv s="0">
    <fb>44774</fb>
    <v>1</v>
  </rv>
  <rv s="0">
    <fb>44781</fb>
    <v>1</v>
  </rv>
  <rv s="0">
    <fb>44788</fb>
    <v>1</v>
  </rv>
  <rv s="0">
    <fb>44795</fb>
    <v>1</v>
  </rv>
  <rv s="0">
    <fb>44802</fb>
    <v>1</v>
  </rv>
  <rv s="0">
    <fb>44810</fb>
    <v>1</v>
  </rv>
  <rv s="0">
    <fb>44816</fb>
    <v>1</v>
  </rv>
  <rv s="0">
    <fb>44823</fb>
    <v>1</v>
  </rv>
  <rv s="0">
    <fb>44830</fb>
    <v>1</v>
  </rv>
  <rv s="0">
    <fb>44837</fb>
    <v>1</v>
  </rv>
  <rv s="0">
    <fb>44844</fb>
    <v>1</v>
  </rv>
  <rv s="0">
    <fb>44851</fb>
    <v>1</v>
  </rv>
  <rv s="0">
    <fb>44858</fb>
    <v>1</v>
  </rv>
  <rv s="0">
    <fb>44865</fb>
    <v>1</v>
  </rv>
  <rv s="0">
    <fb>44872</fb>
    <v>1</v>
  </rv>
  <rv s="0">
    <fb>44879</fb>
    <v>1</v>
  </rv>
  <rv s="0">
    <fb>44886</fb>
    <v>1</v>
  </rv>
  <rv s="0">
    <fb>44893</fb>
    <v>1</v>
  </rv>
  <rv s="0">
    <fb>44900</fb>
    <v>1</v>
  </rv>
  <rv s="0">
    <fb>44907</fb>
    <v>1</v>
  </rv>
  <rv s="0">
    <fb>44914</fb>
    <v>1</v>
  </rv>
  <rv s="0">
    <fb>44922</fb>
    <v>1</v>
  </rv>
  <rv s="0">
    <fb>44929</fb>
    <v>1</v>
  </rv>
  <rv s="0">
    <fb>44935</fb>
    <v>1</v>
  </rv>
  <rv s="0">
    <fb>44943</fb>
    <v>1</v>
  </rv>
  <rv s="0">
    <fb>44949</fb>
    <v>1</v>
  </rv>
  <rv s="0">
    <fb>44956</fb>
    <v>1</v>
  </rv>
  <rv s="0">
    <fb>44963</fb>
    <v>1</v>
  </rv>
  <rv s="0">
    <fb>44970</fb>
    <v>1</v>
  </rv>
  <rv s="0">
    <fb>44978</fb>
    <v>1</v>
  </rv>
  <rv s="0">
    <fb>44984</fb>
    <v>1</v>
  </rv>
  <rv s="0">
    <fb>44991</fb>
    <v>1</v>
  </rv>
  <rv s="0">
    <fb>44998</fb>
    <v>1</v>
  </rv>
  <rv s="0">
    <fb>45005</fb>
    <v>1</v>
  </rv>
  <rv s="0">
    <fb>45012</fb>
    <v>1</v>
  </rv>
  <rv s="0">
    <fb>45019</fb>
    <v>1</v>
  </rv>
  <rv s="0">
    <fb>45026</fb>
    <v>1</v>
  </rv>
  <rv s="0">
    <fb>45033</fb>
    <v>1</v>
  </rv>
  <rv s="0">
    <fb>45040</fb>
    <v>1</v>
  </rv>
  <rv s="0">
    <fb>45047</fb>
    <v>1</v>
  </rv>
  <rv s="0">
    <fb>45054</fb>
    <v>1</v>
  </rv>
  <rv s="0">
    <fb>45061</fb>
    <v>1</v>
  </rv>
  <rv s="0">
    <fb>45068</fb>
    <v>1</v>
  </rv>
  <rv s="0">
    <fb>45076</fb>
    <v>1</v>
  </rv>
  <rv s="0">
    <fb>45082</fb>
    <v>1</v>
  </rv>
  <rv s="0">
    <fb>45089</fb>
    <v>1</v>
  </rv>
  <rv s="0">
    <fb>45097</fb>
    <v>1</v>
  </rv>
  <rv s="0">
    <fb>45103</fb>
    <v>1</v>
  </rv>
  <rv s="0">
    <fb>45110</fb>
    <v>1</v>
  </rv>
  <rv s="0">
    <fb>45117</fb>
    <v>1</v>
  </rv>
  <rv s="0">
    <fb>45124</fb>
    <v>1</v>
  </rv>
  <rv s="0">
    <fb>45131</fb>
    <v>1</v>
  </rv>
  <rv s="0">
    <fb>45138</fb>
    <v>1</v>
  </rv>
  <rv s="0">
    <fb>45145</fb>
    <v>1</v>
  </rv>
  <rv s="0">
    <fb>45152</fb>
    <v>1</v>
  </rv>
  <rv s="0">
    <fb>45159</fb>
    <v>1</v>
  </rv>
  <rv s="0">
    <fb>45166</fb>
    <v>1</v>
  </rv>
  <rv s="0">
    <fb>45174</fb>
    <v>1</v>
  </rv>
  <rv s="0">
    <fb>45180</fb>
    <v>1</v>
  </rv>
  <rv s="0">
    <fb>45187</fb>
    <v>1</v>
  </rv>
  <rv s="0">
    <fb>45194</fb>
    <v>1</v>
  </rv>
  <rv s="0">
    <fb>45201</fb>
    <v>1</v>
  </rv>
  <rv s="0">
    <fb>45208</fb>
    <v>1</v>
  </rv>
  <rv s="0">
    <fb>45215</fb>
    <v>1</v>
  </rv>
  <rv s="0">
    <fb>45222</fb>
    <v>1</v>
  </rv>
  <rv s="0">
    <fb>45229</fb>
    <v>1</v>
  </rv>
  <rv s="0">
    <fb>45236</fb>
    <v>1</v>
  </rv>
  <rv s="0">
    <fb>45243</fb>
    <v>1</v>
  </rv>
  <rv s="0">
    <fb>45250</fb>
    <v>1</v>
  </rv>
  <rv s="0">
    <fb>45257</fb>
    <v>1</v>
  </rv>
  <rv s="0">
    <fb>45264</fb>
    <v>1</v>
  </rv>
  <rv s="0">
    <fb>45271</fb>
    <v>1</v>
  </rv>
  <rv s="0">
    <fb>45278</fb>
    <v>1</v>
  </rv>
  <rv s="0">
    <fb>45286</fb>
    <v>1</v>
  </rv>
  <rv s="0">
    <fb>45293</fb>
    <v>1</v>
  </rv>
  <rv s="0">
    <fb>45299</fb>
    <v>1</v>
  </rv>
  <rv s="0">
    <fb>45307</fb>
    <v>1</v>
  </rv>
  <rv s="0">
    <fb>45313</fb>
    <v>1</v>
  </rv>
  <rv s="0">
    <fb>45320</fb>
    <v>1</v>
  </rv>
  <rv s="0">
    <fb>45327</fb>
    <v>1</v>
  </rv>
  <rv s="0">
    <fb>45334</fb>
    <v>1</v>
  </rv>
  <rv s="0">
    <fb>45342</fb>
    <v>1</v>
  </rv>
  <rv s="0">
    <fb>45348</fb>
    <v>1</v>
  </rv>
  <rv s="0">
    <fb>45355</fb>
    <v>1</v>
  </rv>
  <rv s="0">
    <fb>45362</fb>
    <v>1</v>
  </rv>
  <rv s="0">
    <fb>45369</fb>
    <v>1</v>
  </rv>
  <rv s="0">
    <fb>45376</fb>
    <v>1</v>
  </rv>
  <rv s="0">
    <fb>45383</fb>
    <v>1</v>
  </rv>
  <rv s="0">
    <fb>45390</fb>
    <v>1</v>
  </rv>
  <rv s="0">
    <fb>45397</fb>
    <v>1</v>
  </rv>
  <rv s="0">
    <fb>45404</fb>
    <v>1</v>
  </rv>
  <rv s="0">
    <fb>45411</fb>
    <v>1</v>
  </rv>
  <rv s="0">
    <fb>45418</fb>
    <v>1</v>
  </rv>
  <rv s="0">
    <fb>45425</fb>
    <v>1</v>
  </rv>
  <rv s="0">
    <fb>45432</fb>
    <v>1</v>
  </rv>
  <rv s="0">
    <fb>45440</fb>
    <v>1</v>
  </rv>
  <rv s="0">
    <fb>45446</fb>
    <v>1</v>
  </rv>
  <rv s="0">
    <fb>45453</fb>
    <v>1</v>
  </rv>
  <rv s="0">
    <fb>45460</fb>
    <v>1</v>
  </rv>
  <rv s="0">
    <fb>45467</fb>
    <v>1</v>
  </rv>
  <rv s="0">
    <fb>45474</fb>
    <v>1</v>
  </rv>
  <rv s="0">
    <fb>45481</fb>
    <v>1</v>
  </rv>
  <rv s="0">
    <fb>45488</fb>
    <v>1</v>
  </rv>
  <rv s="0">
    <fb>45495</fb>
    <v>1</v>
  </rv>
  <rv s="0">
    <fb>45502</fb>
    <v>1</v>
  </rv>
  <rv s="0">
    <fb>45509</fb>
    <v>1</v>
  </rv>
  <rv s="0">
    <fb>45516</fb>
    <v>1</v>
  </rv>
  <rv s="0">
    <fb>45523</fb>
    <v>1</v>
  </rv>
  <rv s="0">
    <fb>45530</fb>
    <v>1</v>
  </rv>
  <rv s="0">
    <fb>45538</fb>
    <v>1</v>
  </rv>
  <rv s="0">
    <fb>45544</fb>
    <v>1</v>
  </rv>
  <rv s="0">
    <fb>45551</fb>
    <v>1</v>
  </rv>
  <rv s="0">
    <fb>45558</fb>
    <v>1</v>
  </rv>
  <rv s="0">
    <fb>45565</fb>
    <v>1</v>
  </rv>
  <rv s="0">
    <fb>45572</fb>
    <v>1</v>
  </rv>
  <rv s="0">
    <fb>45579</fb>
    <v>1</v>
  </rv>
  <rv s="0">
    <fb>45586</fb>
    <v>1</v>
  </rv>
  <rv s="0">
    <fb>45593</fb>
    <v>1</v>
  </rv>
  <rv s="0">
    <fb>45600</fb>
    <v>1</v>
  </rv>
  <rv s="0">
    <fb>45607</fb>
    <v>1</v>
  </rv>
  <rv s="0">
    <fb>45614</fb>
    <v>1</v>
  </rv>
  <rv s="0">
    <fb>45621</fb>
    <v>1</v>
  </rv>
  <rv s="0">
    <fb>45628</fb>
    <v>1</v>
  </rv>
  <rv s="0">
    <fb>45635</fb>
    <v>1</v>
  </rv>
  <rv s="0">
    <fb>45642</fb>
    <v>1</v>
  </rv>
  <rv s="0">
    <fb>45649</fb>
    <v>1</v>
  </rv>
  <rv s="0">
    <fb>45656</fb>
    <v>1</v>
  </rv>
  <rv s="0">
    <fb>45663</fb>
    <v>1</v>
  </rv>
  <rv s="0">
    <fb>45670</fb>
    <v>1</v>
  </rv>
  <rv s="0">
    <fb>45678</fb>
    <v>1</v>
  </rv>
  <rv s="0">
    <fb>45684</fb>
    <v>1</v>
  </rv>
  <rv s="0">
    <fb>45691</fb>
    <v>1</v>
  </rv>
  <rv s="0">
    <fb>8.36</fb>
    <v>0</v>
  </rv>
  <rv s="0">
    <fb>10402.3511</fb>
    <v>0</v>
  </rv>
  <rv s="0">
    <fb>8.39</fb>
    <v>0</v>
  </rv>
  <rv s="0">
    <fb>10325.264800000001</fb>
    <v>0</v>
  </rv>
  <rv s="0">
    <fb>110.6</fb>
    <v>0</v>
  </rv>
  <rv s="0">
    <fb>8.68</fb>
    <v>0</v>
  </rv>
  <rv s="0">
    <fb>10566.197399999999</fb>
    <v>0</v>
  </rv>
  <rv s="0">
    <fb>8.8350000000000009</fb>
    <v>0</v>
  </rv>
  <rv s="0">
    <fb>10624.6924</fb>
    <v>0</v>
  </rv>
  <rv s="0">
    <fb>8.99</fb>
    <v>0</v>
  </rv>
  <rv s="0">
    <fb>10741.9846</fb>
    <v>0</v>
  </rv>
  <rv s="0">
    <fb>8.9049999999999994</fb>
    <v>0</v>
  </rv>
  <rv s="0">
    <fb>10850.358899999999</fb>
    <v>0</v>
  </rv>
  <rv s="0">
    <fb>8.8650000000000002</fb>
    <v>0</v>
  </rv>
  <rv s="0">
    <fb>10927.0674</fb>
    <v>0</v>
  </rv>
  <rv s="0">
    <fb>9.15</fb>
    <v>0</v>
  </rv>
  <rv s="0">
    <fb>10997.3521</fb>
    <v>0</v>
  </rv>
  <rv s="0">
    <fb>9.2949999999999999</fb>
    <v>0</v>
  </rv>
  <rv s="0">
    <fb>11018.664199999999</fb>
    <v>0</v>
  </rv>
  <rv s="0">
    <fb>10.015000000000001</fb>
    <v>0</v>
  </rv>
  <rv s="0">
    <fb>11204.276</fb>
    <v>0</v>
  </rv>
  <rv s="0">
    <fb>10.07</fb>
    <v>0</v>
  </rv>
  <rv s="0">
    <fb>11008.6127</fb>
    <v>0</v>
  </rv>
  <rv s="0">
    <fb>9.5050000000000008</fb>
    <v>0</v>
  </rv>
  <rv s="0">
    <fb>10380.4344</fb>
    <v>0</v>
  </rv>
  <rv s="0">
    <fb>9.76</fb>
    <v>0</v>
  </rv>
  <rv s="0">
    <fb>10620.1579</fb>
    <v>0</v>
  </rv>
  <rv s="0">
    <fb>9.5500000000000007</fb>
    <v>0</v>
  </rv>
  <rv s="0">
    <fb>10193.3866</fb>
    <v>0</v>
  </rv>
  <rv s="0">
    <fb>9.8000000000000007</fb>
    <v>0</v>
  </rv>
  <rv s="0">
    <fb>10136.6299</fb>
    <v>0</v>
  </rv>
  <rv s="0">
    <fb>9.65</fb>
    <v>0</v>
  </rv>
  <rv s="0">
    <fb>9931.9732000000004</fb>
    <v>0</v>
  </rv>
  <rv s="0">
    <fb>9.8550000000000004</fb>
    <v>0</v>
  </rv>
  <rv s="0">
    <fb>10211.0712</fb>
    <v>0</v>
  </rv>
  <rv s="0">
    <fb>10.105</fb>
    <v>0</v>
  </rv>
  <rv s="0">
    <fb>10450.6435</fb>
    <v>0</v>
  </rv>
  <rv s="0">
    <fb>9.8949999999999996</fb>
    <v>0</v>
  </rv>
  <rv s="0">
    <fb>10143.809499999999</fb>
    <v>0</v>
  </rv>
  <rv s="0">
    <fb>9.4499999999999993</fb>
    <v>0</v>
  </rv>
  <rv s="0">
    <fb>9686.4822999999997</fb>
    <v>0</v>
  </rv>
  <rv s="0">
    <fb>9.7349999999999994</fb>
    <v>0</v>
  </rv>
  <rv s="0">
    <fb>10198.026</fb>
    <v>0</v>
  </rv>
  <rv s="0">
    <fb>9.4749999999999996</fb>
    <v>0</v>
  </rv>
  <rv s="0">
    <fb>10097.8969</fb>
    <v>0</v>
  </rv>
  <rv s="0">
    <fb>10.095000000000001</fb>
    <v>0</v>
  </rv>
  <rv s="0">
    <fb>10424.6219</fb>
    <v>0</v>
  </rv>
  <rv s="0">
    <fb>10.01</fb>
    <v>0</v>
  </rv>
  <rv s="0">
    <fb>10465.9449</fb>
    <v>0</v>
  </rv>
  <rv s="0">
    <fb>10.035</fb>
    <v>0</v>
  </rv>
  <rv s="0">
    <fb>10653.563899999999</fb>
    <v>0</v>
  </rv>
  <rv s="0">
    <fb>9.6999999999999993</fb>
    <v>0</v>
  </rv>
  <rv s="0">
    <fb>10303.150100000001</fb>
    <v>0</v>
  </rv>
  <rv s="0">
    <fb>9.74</fb>
    <v>0</v>
  </rv>
  <rv s="0">
    <fb>10213.6167</fb>
    <v>0</v>
  </rv>
  <rv s="0">
    <fb>9.7650000000000006</fb>
    <v>0</v>
  </rv>
  <rv s="0">
    <fb>10150.6482</fb>
    <v>0</v>
  </rv>
  <rv s="0">
    <fb>9.92</fb>
    <v>0</v>
  </rv>
  <rv s="0">
    <fb>10447.9323</fb>
    <v>0</v>
  </rv>
  <rv s="0">
    <fb>9.9749999999999996</fb>
    <v>0</v>
  </rv>
  <rv s="0">
    <fb>10462.766299999999</fb>
    <v>0</v>
  </rv>
  <rv s="0">
    <fb>10.14</fb>
    <v>0</v>
  </rv>
  <rv s="0">
    <fb>10607.851199999999</fb>
    <v>0</v>
  </rv>
  <rv s="0">
    <fb>10.08</fb>
    <v>0</v>
  </rv>
  <rv s="0">
    <fb>10860.2551</fb>
    <v>0</v>
  </rv>
  <rv s="0">
    <fb>10.085000000000001</fb>
    <v>0</v>
  </rv>
  <rv s="0">
    <fb>10829.679</fb>
    <v>0</v>
  </rv>
  <rv s="0">
    <fb>10.154999999999999</fb>
    <v>0</v>
  </rv>
  <rv s="0">
    <fb>11006.4753</fb>
    <v>0</v>
  </rv>
  <rv s="0">
    <fb>10.37</fb>
    <v>0</v>
  </rv>
  <rv s="0">
    <fb>11062.7837</fb>
    <v>0</v>
  </rv>
  <rv s="0">
    <fb>11.045</fb>
    <v>0</v>
  </rv>
  <rv s="0">
    <fb>11132.563700000001</fb>
    <v>0</v>
  </rv>
  <rv s="0">
    <fb>11.145</fb>
    <v>0</v>
  </rv>
  <rv s="0">
    <fb>11118.4866</fb>
    <v>0</v>
  </rv>
  <rv s="0">
    <fb>11.515000000000001</fb>
    <v>0</v>
  </rv>
  <rv s="0">
    <fb>11444.076300000001</fb>
    <v>0</v>
  </rv>
  <rv s="0">
    <fb>11.28</fb>
    <v>0</v>
  </rv>
  <rv s="0">
    <fb>11192.580599999999</fb>
    <v>0</v>
  </rv>
  <rv s="0">
    <fb>11.265000000000001</fb>
    <v>0</v>
  </rv>
  <rv s="0">
    <fb>11203.554700000001</fb>
    <v>0</v>
  </rv>
  <rv s="0">
    <fb>11.36</fb>
    <v>0</v>
  </rv>
  <rv s="0">
    <fb>11091.997499999999</fb>
    <v>0</v>
  </rv>
  <rv s="0">
    <fb>11.72</fb>
    <v>0</v>
  </rv>
  <rv s="0">
    <fb>11382.091700000001</fb>
    <v>0</v>
  </rv>
  <rv s="0">
    <fb>11.865</fb>
    <v>0</v>
  </rv>
  <rv s="0">
    <fb>11410.3215</fb>
    <v>0</v>
  </rv>
  <rv s="0">
    <fb>11.975</fb>
    <v>0</v>
  </rv>
  <rv s="0">
    <fb>11491.9082</fb>
    <v>0</v>
  </rv>
  <rv s="0">
    <fb>12.035</fb>
    <v>0</v>
  </rv>
  <rv s="0">
    <fb>11573.4948</fb>
    <v>0</v>
  </rv>
  <rv s="0">
    <fb>11.97</fb>
    <v>0</v>
  </rv>
  <rv s="0">
    <fb>11577.505999999999</fb>
    <v>0</v>
  </rv>
  <rv s="0">
    <fb>12.07</fb>
    <v>0</v>
  </rv>
  <rv s="0">
    <fb>11674.759099999999</fb>
    <v>0</v>
  </rv>
  <rv s="0">
    <fb>12.324999999999999</fb>
    <v>0</v>
  </rv>
  <rv s="0">
    <fb>11787.375899999999</fb>
    <v>0</v>
  </rv>
  <rv s="0">
    <fb>12.18</fb>
    <v>0</v>
  </rv>
  <rv s="0">
    <fb>11871.8385</fb>
    <v>0</v>
  </rv>
  <rv s="0">
    <fb>12.35</fb>
    <v>0</v>
  </rv>
  <rv s="0">
    <fb>11823.7039</fb>
    <v>0</v>
  </rv>
  <rv s="0">
    <fb>12.33</fb>
    <v>0</v>
  </rv>
  <rv s="0">
    <fb>12092.152700000001</fb>
    <v>0</v>
  </rv>
  <rv s="0">
    <fb>12.62</fb>
    <v>0</v>
  </rv>
  <rv s="0">
    <fb>12273.2629</fb>
    <v>0</v>
  </rv>
  <rv s="0">
    <fb>13.255000000000001</fb>
    <v>0</v>
  </rv>
  <rv s="0">
    <fb>12391.253199999999</fb>
    <v>0</v>
  </rv>
  <rv s="0">
    <fb>13.11</fb>
    <v>0</v>
  </rv>
  <rv s="0">
    <fb>12130.448399999999</fb>
    <v>0</v>
  </rv>
  <rv s="0">
    <fb>12.67</fb>
    <v>0</v>
  </rv>
  <rv s="0">
    <fb>12169.8794</fb>
    <v>0</v>
  </rv>
  <rv s="0">
    <fb>12.71</fb>
    <v>0</v>
  </rv>
  <rv s="0">
    <fb>12044.396500000001</fb>
    <v>0</v>
  </rv>
  <rv s="0">
    <fb>12.44</fb>
    <v>0</v>
  </rv>
  <rv s="0">
    <fb>11858.5182</fb>
    <v>0</v>
  </rv>
  <rv s="0">
    <fb>12.545</fb>
    <v>0</v>
  </rv>
  <rv s="0">
    <fb>12220.587299999999</fb>
    <v>0</v>
  </rv>
  <rv s="0">
    <fb>13.15</fb>
    <v>0</v>
  </rv>
  <rv s="0">
    <fb>12376.722</fb>
    <v>0</v>
  </rv>
  <rv s="0">
    <fb>13.265000000000001</fb>
    <v>0</v>
  </rv>
  <rv s="0">
    <fb>12380.052</fb>
    <v>0</v>
  </rv>
  <rv s="0">
    <fb>13.07</fb>
    <v>0</v>
  </rv>
  <rv s="0">
    <fb>12341.832</fb>
    <v>0</v>
  </rv>
  <rv s="0">
    <fb>12.574999999999999</fb>
    <v>0</v>
  </rv>
  <rv s="0">
    <fb>12505.989100000001</fb>
    <v>0</v>
  </rv>
  <rv s="0">
    <fb>12.925000000000001</fb>
    <v>0</v>
  </rv>
  <rv s="0">
    <fb>12810.5388</fb>
    <v>0</v>
  </rv>
  <rv s="0">
    <fb>12.7</fb>
    <v>0</v>
  </rv>
  <rv s="0">
    <fb>12638.7377</fb>
    <v>0</v>
  </rv>
  <rv s="0">
    <fb>12.805</fb>
    <v>0</v>
  </rv>
  <rv s="0">
    <fb>12595.7495</fb>
    <v>0</v>
  </rv>
  <rv s="0">
    <fb>12.955</fb>
    <v>0</v>
  </rv>
  <rv s="0">
    <fb>12512.043799999999</fb>
    <v>0</v>
  </rv>
  <rv s="0">
    <fb>13.04</fb>
    <v>0</v>
  </rv>
  <rv s="0">
    <fb>12441.5826</fb>
    <v>0</v>
  </rv>
  <rv s="0">
    <fb>12.98</fb>
    <v>0</v>
  </rv>
  <rv s="0">
    <fb>12151.2613</fb>
    <v>0</v>
  </rv>
  <rv s="0">
    <fb>11951.9115</fb>
    <v>0</v>
  </rv>
  <rv s="0">
    <fb>12.51</fb>
    <v>0</v>
  </rv>
  <rv s="0">
    <fb>12004.36</fb>
    <v>0</v>
  </rv>
  <rv s="0">
    <fb>12.59</fb>
    <v>0</v>
  </rv>
  <rv s="0">
    <fb>11934.58</fb>
    <v>0</v>
  </rv>
  <rv s="0">
    <fb>12.94</fb>
    <v>0</v>
  </rv>
  <rv s="0">
    <fb>12582.7698</fb>
    <v>0</v>
  </rv>
  <rv s="0">
    <fb>12657.204400000001</fb>
    <v>0</v>
  </rv>
  <rv s="0">
    <fb>12.21</fb>
    <v>0</v>
  </rv>
  <rv s="0">
    <fb>12479.727000000001</fb>
    <v>0</v>
  </rv>
  <rv s="0">
    <fb>10.9</fb>
    <v>0</v>
  </rv>
  <rv s="0">
    <fb>12681.1582</fb>
    <v>0</v>
  </rv>
  <rv s="0">
    <fb>10.904999999999999</fb>
    <v>0</v>
  </rv>
  <rv s="0">
    <fb>12143.2389</fb>
    <v>0</v>
  </rv>
  <rv s="0">
    <fb>11444.606100000001</fb>
    <v>0</v>
  </rv>
  <rv s="0">
    <fb>9.7249999999999996</fb>
    <v>0</v>
  </rv>
  <rv s="0">
    <fb>11269.0208</fb>
    <v>0</v>
  </rv>
  <rv s="0">
    <fb>9.58</fb>
    <v>0</v>
  </rv>
  <rv s="0">
    <fb>10817.645399999999</fb>
    <v>0</v>
  </rv>
  <rv s="0">
    <fb>10.215</fb>
    <v>0</v>
  </rv>
  <rv s="0">
    <fb>11284.535900000001</fb>
    <v>0</v>
  </rv>
  <rv s="0">
    <fb>9.9849999999999994</fb>
    <v>0</v>
  </rv>
  <rv s="0">
    <fb>11240.2611</fb>
    <v>0</v>
  </rv>
  <rv s="0">
    <fb>9.7949999999999999</fb>
    <v>0</v>
  </rv>
  <rv s="0">
    <fb>10992.1333</fb>
    <v>0</v>
  </rv>
  <rv s="0">
    <fb>11509.088299999999</fb>
    <v>0</v>
  </rv>
  <rv s="0">
    <fb>8.7750000000000004</fb>
    <v>0</v>
  </rv>
  <rv s="0">
    <fb>10771.4786</fb>
    <v>0</v>
  </rv>
  <rv s="0">
    <fb>8.9</fb>
    <v>0</v>
  </rv>
  <rv s="0">
    <fb>10913.3848</fb>
    <v>0</v>
  </rv>
  <rv s="0">
    <fb>8.8249999999999993</fb>
    <v>0</v>
  </rv>
  <rv s="0">
    <fb>11103.1229</fb>
    <v>0</v>
  </rv>
  <rv s="0">
    <fb>9.2200000000000006</fb>
    <v>0</v>
  </rv>
  <rv s="0">
    <fb>11644.4858</fb>
    <v>0</v>
  </rv>
  <rv s="0">
    <fb>10.75</fb>
    <v>0</v>
  </rv>
  <rv s="0">
    <fb>11808.7943</fb>
    <v>0</v>
  </rv>
  <rv s="0">
    <fb>11.32</fb>
    <v>0</v>
  </rv>
  <rv s="0">
    <fb>12231.1072</fb>
    <v>0</v>
  </rv>
  <rv s="0">
    <fb>10.955</fb>
    <v>0</v>
  </rv>
  <rv s="0">
    <fb>11983.2444</fb>
    <v>0</v>
  </rv>
  <rv s="0">
    <fb>11.085000000000001</fb>
    <v>0</v>
  </rv>
  <rv s="0">
    <fb>12153.683199999999</fb>
    <v>0</v>
  </rv>
  <rv s="0">
    <fb>10.535</fb>
    <v>0</v>
  </rv>
  <rv s="0">
    <fb>11796.155199999999</fb>
    <v>0</v>
  </rv>
  <rv s="0">
    <fb>9.875</fb>
    <v>0</v>
  </rv>
  <rv s="0">
    <fb>11231.784600000001</fb>
    <v>0</v>
  </rv>
  <rv s="0">
    <fb>10.61</fb>
    <v>0</v>
  </rv>
  <rv s="0">
    <fb>12019.421</fb>
    <v>0</v>
  </rv>
  <rv s="0">
    <fb>10.895</fb>
    <v>0</v>
  </rv>
  <rv s="0">
    <fb>12184.2593</fb>
    <v>0</v>
  </rv>
  <rv s="0">
    <fb>10.935</fb>
    <v>0</v>
  </rv>
  <rv s="0">
    <fb>11866.389300000001</fb>
    <v>0</v>
  </rv>
  <rv s="0">
    <fb>11.255000000000001</fb>
    <v>0</v>
  </rv>
  <rv s="0">
    <fb>12294.000099999999</fb>
    <v>0</v>
  </rv>
  <rv s="0">
    <fb>11.315</fb>
    <v>0</v>
  </rv>
  <rv s="0">
    <fb>12217.5599</fb>
    <v>0</v>
  </rv>
  <rv s="0">
    <fb>11.2</fb>
    <v>0</v>
  </rv>
  <rv s="0">
    <fb>12359.9203</fb>
    <v>0</v>
  </rv>
  <rv s="0">
    <fb>11.4</fb>
    <v>0</v>
  </rv>
  <rv s="0">
    <fb>12422.0563</fb>
    <v>0</v>
  </rv>
  <rv s="0">
    <fb>11.57</fb>
    <v>0</v>
  </rv>
  <rv s="0">
    <fb>12720.475700000001</fb>
    <v>0</v>
  </rv>
  <rv s="0">
    <fb>12660.4588</fb>
    <v>0</v>
  </rv>
  <rv s="0">
    <fb>11.675000000000001</fb>
    <v>0</v>
  </rv>
  <rv s="0">
    <fb>12862.2305</fb>
    <v>0</v>
  </rv>
  <rv s="0">
    <fb>12.38</fb>
    <v>0</v>
  </rv>
  <rv s="0">
    <fb>12801.229799999999</fb>
    <v>0</v>
  </rv>
  <rv s="0">
    <fb>12.13</fb>
    <v>0</v>
  </rv>
  <rv s="0">
    <fb>12949.871800000001</fb>
    <v>0</v>
  </rv>
  <rv s="0">
    <fb>11.994999999999999</fb>
    <v>0</v>
  </rv>
  <rv s="0">
    <fb>12982.9455</fb>
    <v>0</v>
  </rv>
  <rv s="0">
    <fb>11.935</fb>
    <v>0</v>
  </rv>
  <rv s="0">
    <fb>12977.571900000001</fb>
    <v>0</v>
  </rv>
  <rv s="0">
    <fb>11.93</fb>
    <v>0</v>
  </rv>
  <rv s="0">
    <fb>12922.020399999999</fb>
    <v>0</v>
  </rv>
  <rv s="0">
    <fb>12.135</fb>
    <v>0</v>
  </rv>
  <rv s="0">
    <fb>13232.6248</fb>
    <v>0</v>
  </rv>
  <rv s="0">
    <fb>11.805</fb>
    <v>0</v>
  </rv>
  <rv s="0">
    <fb>13080.728300000001</fb>
    <v>0</v>
  </rv>
  <rv s="0">
    <fb>11.89</fb>
    <v>0</v>
  </rv>
  <rv s="0">
    <fb>13212.0389</fb>
    <v>0</v>
  </rv>
  <rv s="0">
    <fb>12.265000000000001</fb>
    <v>0</v>
  </rv>
  <rv s="0">
    <fb>13060.1425</fb>
    <v>0</v>
  </rv>
  <rv s="0">
    <fb>11.744999999999999</fb>
    <v>0</v>
  </rv>
  <rv s="0">
    <fb>12849.591399999999</fb>
    <v>0</v>
  </rv>
  <rv s="0">
    <fb>13.03</fb>
    <v>0</v>
  </rv>
  <rv s="0">
    <fb>13029.2637</fb>
    <v>0</v>
  </rv>
  <rv s="0">
    <fb>13.61</fb>
    <v>0</v>
  </rv>
  <rv s="0">
    <fb>13228.310799999999</fb>
    <v>0</v>
  </rv>
  <rv s="0">
    <fb>13038.27</fb>
    <v>0</v>
  </rv>
  <rv s="0">
    <fb>13.24</fb>
    <v>0</v>
  </rv>
  <rv s="0">
    <fb>12820.6047</fb>
    <v>0</v>
  </rv>
  <rv s="0">
    <fb>12.615</fb>
    <v>0</v>
  </rv>
  <rv s="0">
    <fb>12369.3807</fb>
    <v>0</v>
  </rv>
  <rv s="0">
    <fb>12.845000000000001</fb>
    <v>0</v>
  </rv>
  <rv s="0">
    <fb>12454.8272</fb>
    <v>0</v>
  </rv>
  <rv s="0">
    <fb>12.685</fb>
    <v>0</v>
  </rv>
  <rv s="0">
    <fb>12118.5661</fb>
    <v>0</v>
  </rv>
  <rv s="0">
    <fb>12.99</fb>
    <v>0</v>
  </rv>
  <rv s="0">
    <fb>12554.1994</fb>
    <v>0</v>
  </rv>
  <rv s="0">
    <fb>13.225</fb>
    <v>0</v>
  </rv>
  <rv s="0">
    <fb>12767.1723</fb>
    <v>0</v>
  </rv>
  <rv s="0">
    <fb>13.345000000000001</fb>
    <v>0</v>
  </rv>
  <rv s="0">
    <fb>12640.7811</fb>
    <v>0</v>
  </rv>
  <rv s="0">
    <fb>13.635</fb>
    <v>0</v>
  </rv>
  <rv s="0">
    <fb>12880.0918</fb>
    <v>0</v>
  </rv>
  <rv s="0">
    <fb>13.64</fb>
    <v>0</v>
  </rv>
  <rv s="0">
    <fb>12772.4701</fb>
    <v>0</v>
  </rv>
  <rv s="0">
    <fb>13.645</fb>
    <v>0</v>
  </rv>
  <rv s="0">
    <fb>12777.086799999999</fb>
    <v>0</v>
  </rv>
  <rv s="0">
    <fb>12.935</fb>
    <v>0</v>
  </rv>
  <rv s="0">
    <fb>12822.5725</fb>
    <v>0</v>
  </rv>
  <rv s="0">
    <fb>12.904999999999999</fb>
    <v>0</v>
  </rv>
  <rv s="0">
    <fb>13075.657499999999</fb>
    <v>0</v>
  </rv>
  <rv s="0">
    <fb>12.76</fb>
    <v>0</v>
  </rv>
  <rv s="0">
    <fb>13096.1677</fb>
    <v>0</v>
  </rv>
  <rv s="0">
    <fb>12.515000000000001</fb>
    <v>0</v>
  </rv>
  <rv s="0">
    <fb>13207.951999999999</fb>
    <v>0</v>
  </rv>
  <rv s="0">
    <fb>12.83</fb>
    <v>0</v>
  </rv>
  <rv s="0">
    <fb>13275.2011</fb>
    <v>0</v>
  </rv>
  <rv s="0">
    <fb>12.91</fb>
    <v>0</v>
  </rv>
  <rv s="0">
    <fb>13157.9701</fb>
    <v>0</v>
  </rv>
  <rv s="0">
    <fb>13.12</fb>
    <v>0</v>
  </rv>
  <rv s="0">
    <fb>13090.8372</fb>
    <v>0</v>
  </rv>
  <rv s="0">
    <fb>13.13</fb>
    <v>0</v>
  </rv>
  <rv s="0">
    <fb>13306.6381</fb>
    <v>0</v>
  </rv>
  <rv s="0">
    <fb>13.335000000000001</fb>
    <v>0</v>
  </rv>
  <rv s="0">
    <fb>13593.366099999999</fb>
    <v>0</v>
  </rv>
  <rv s="0">
    <fb>13.19</fb>
    <v>0</v>
  </rv>
  <rv s="0">
    <fb>13579.467199999999</fb>
    <v>0</v>
  </rv>
  <rv s="0">
    <fb>13.035</fb>
    <v>0</v>
  </rv>
  <rv s="0">
    <fb>13437.126899999999</fb>
    <v>0</v>
  </rv>
  <rv s="0">
    <fb>13.484999999999999</fb>
    <v>0</v>
  </rv>
  <rv s="0">
    <fb>13610.147000000001</fb>
    <v>0</v>
  </rv>
  <rv s="0">
    <fb>13.125</fb>
    <v>0</v>
  </rv>
  <rv s="0">
    <fb>13328.845300000001</fb>
    <v>0</v>
  </rv>
  <rv s="0">
    <fb>13343.513199999999</fb>
    <v>0</v>
  </rv>
  <rv s="0">
    <fb>12.65</fb>
    <v>0</v>
  </rv>
  <rv s="0">
    <fb>13107.2137</fb>
    <v>0</v>
  </rv>
  <rv s="0">
    <fb>12.824999999999999</fb>
    <v>0</v>
  </rv>
  <rv s="0">
    <fb>13093.160099999999</fb>
    <v>0</v>
  </rv>
  <rv s="0">
    <fb>12815.391100000001</fb>
    <v>0</v>
  </rv>
  <rv s="0">
    <fb>12.96</fb>
    <v>0</v>
  </rv>
  <rv s="0">
    <fb>12588.307000000001</fb>
    <v>0</v>
  </rv>
  <rv s="0">
    <fb>13.46</fb>
    <v>0</v>
  </rv>
  <rv s="0">
    <fb>13009.683499999999</fb>
    <v>0</v>
  </rv>
  <rv s="0">
    <fb>13.42</fb>
    <v>0</v>
  </rv>
  <rv s="0">
    <fb>13025.5802</fb>
    <v>0</v>
  </rv>
  <rv s="0">
    <fb>13.145</fb>
    <v>0</v>
  </rv>
  <rv s="0">
    <fb>13155.134</fb>
    <v>0</v>
  </rv>
  <rv s="0">
    <fb>12.885</fb>
    <v>0</v>
  </rv>
  <rv s="0">
    <fb>13135.0136</fb>
    <v>0</v>
  </rv>
  <rv s="0">
    <fb>12.82</fb>
    <v>0</v>
  </rv>
  <rv s="0">
    <fb>13190.8439</fb>
    <v>0</v>
  </rv>
  <rv s="0">
    <fb>12.66</fb>
    <v>0</v>
  </rv>
  <rv s="0">
    <fb>12938.110199999999</fb>
    <v>0</v>
  </rv>
  <rv s="0">
    <fb>13.35</fb>
    <v>0</v>
  </rv>
  <rv s="0">
    <fb>13435.207</fb>
    <v>0</v>
  </rv>
  <rv s="0">
    <fb>13.14</fb>
    <v>0</v>
  </rv>
  <rv s="0">
    <fb>13488.4262</fb>
    <v>0</v>
  </rv>
  <rv s="0">
    <fb>13.39</fb>
    <v>0</v>
  </rv>
  <rv s="0">
    <fb>13649.696599999999</fb>
    <v>0</v>
  </rv>
  <rv s="0">
    <fb>13.565</fb>
    <v>0</v>
  </rv>
  <rv s="0">
    <fb>13895.979600000001</fb>
    <v>0</v>
  </rv>
  <rv s="0">
    <fb>13.744999999999999</fb>
    <v>0</v>
  </rv>
  <rv s="0">
    <fb>14009.7904</fb>
    <v>0</v>
  </rv>
  <rv s="0">
    <fb>14.535</fb>
    <v>0</v>
  </rv>
  <rv s="0">
    <fb>13992.9722</fb>
    <v>0</v>
  </rv>
  <rv s="0">
    <fb>14.685</fb>
    <v>0</v>
  </rv>
  <rv s="0">
    <fb>13981.7601</fb>
    <v>0</v>
  </rv>
  <rv s="0">
    <fb>14.835000000000001</fb>
    <v>0</v>
  </rv>
  <rv s="0">
    <fb>14000.5749</fb>
    <v>0</v>
  </rv>
  <rv s="0">
    <fb>14.904999999999999</fb>
    <v>0</v>
  </rv>
  <rv s="0">
    <fb>14089.6576</fb>
    <v>0</v>
  </rv>
  <rv s="0">
    <fb>15.34</fb>
    <v>0</v>
  </rv>
  <rv s="0">
    <fb>14397.0697</fb>
    <v>0</v>
  </rv>
  <rv s="0">
    <fb>15.295</fb>
    <v>0</v>
  </rv>
  <rv s="0">
    <fb>14514.106</fb>
    <v>0</v>
  </rv>
  <rv s="0">
    <fb>15.78</fb>
    <v>0</v>
  </rv>
  <rv s="0">
    <fb>14512.032499999999</fb>
    <v>0</v>
  </rv>
  <rv s="0">
    <fb>16.02</fb>
    <v>0</v>
  </rv>
  <rv s="0">
    <fb>14578.537399999999</fb>
    <v>0</v>
  </rv>
  <rv s="0">
    <fb>15.335000000000001</fb>
    <v>0</v>
  </rv>
  <rv s="0">
    <fb>14565.251700000001</fb>
    <v>0</v>
  </rv>
  <rv s="0">
    <fb>15.66</fb>
    <v>0</v>
  </rv>
  <rv s="0">
    <fb>14865.061100000001</fb>
    <v>0</v>
  </rv>
  <rv s="0">
    <fb>15.25</fb>
    <v>0</v>
  </rv>
  <rv s="0">
    <fb>14547.512000000001</fb>
    <v>0</v>
  </rv>
  <rv s="0">
    <fb>15.225</fb>
    <v>0</v>
  </rv>
  <rv s="0">
    <fb>14712.545400000001</fb>
    <v>0</v>
  </rv>
  <rv s="0">
    <fb>15.725</fb>
    <v>0</v>
  </rv>
  <rv s="0">
    <fb>14973.957</fb>
    <v>0</v>
  </rv>
  <rv s="0">
    <fb>15.93</fb>
    <v>0</v>
  </rv>
  <rv s="0">
    <fb>15118.486000000001</fb>
    <v>0</v>
  </rv>
  <rv s="0">
    <fb>16.16</fb>
    <v>0</v>
  </rv>
  <rv s="0">
    <fb>15354.401599999999</fb>
    <v>0</v>
  </rv>
  <rv s="0">
    <fb>16.27</fb>
    <v>0</v>
  </rv>
  <rv s="0">
    <fb>15303.102199999999</fb>
    <v>0</v>
  </rv>
  <rv s="0">
    <fb>16.135000000000002</fb>
    <v>0</v>
  </rv>
  <rv s="0">
    <fb>15115.567800000001</fb>
    <v>0</v>
  </rv>
  <rv s="0">
    <fb>16.14</fb>
    <v>0</v>
  </rv>
  <rv s="0">
    <fb>15248.1167</fb>
    <v>0</v>
  </rv>
  <rv s="0">
    <fb>16.195</fb>
    <v>0</v>
  </rv>
  <rv s="0">
    <fb>15070.181699999999</fb>
    <v>0</v>
  </rv>
  <rv s="0">
    <fb>15.76</fb>
    <v>0</v>
  </rv>
  <rv s="0">
    <fb>14799.401</fb>
    <v>0</v>
  </rv>
  <rv s="0">
    <fb>16.12</fb>
    <v>0</v>
  </rv>
  <rv s="0">
    <fb>14909.602500000001</fb>
    <v>0</v>
  </rv>
  <rv s="0">
    <fb>16.395</fb>
    <v>0</v>
  </rv>
  <rv s="0">
    <fb>15135.8418</fb>
    <v>0</v>
  </rv>
  <rv s="0">
    <fb>16.88</fb>
    <v>0</v>
  </rv>
  <rv s="0">
    <fb>15464.2958</fb>
    <v>0</v>
  </rv>
  <rv s="0">
    <fb>17.059999999999999</fb>
    <v>0</v>
  </rv>
  <rv s="0">
    <fb>15543.7407</fb>
    <v>0</v>
  </rv>
  <rv s="0">
    <fb>16.5</fb>
    <v>0</v>
  </rv>
  <rv s="0">
    <fb>15558.831</fb>
    <v>0</v>
  </rv>
  <rv s="0">
    <fb>16.86</fb>
    <v>0</v>
  </rv>
  <rv s="0">
    <fb>15658.357900000001</fb>
    <v>0</v>
  </rv>
  <rv s="0">
    <fb>16.645</fb>
    <v>0</v>
  </rv>
  <rv s="0">
    <fb>15425.5142</fb>
    <v>0</v>
  </rv>
  <rv s="0">
    <fb>16.164999999999999</fb>
    <v>0</v>
  </rv>
  <rv s="0">
    <fb>15081.470600000001</fb>
    <v>0</v>
  </rv>
  <rv s="0">
    <fb>16.190000000000001</fb>
    <v>0</v>
  </rv>
  <rv s="0">
    <fb>15010.5116</fb>
    <v>0</v>
  </rv>
  <rv s="0">
    <fb>15.57</fb>
    <v>0</v>
  </rv>
  <rv s="0">
    <fb>14810.306</fb>
    <v>0</v>
  </rv>
  <rv s="0">
    <fb>15.73</fb>
    <v>0</v>
  </rv>
  <rv s="0">
    <fb>14922.5041</fb>
    <v>0</v>
  </rv>
  <rv s="0">
    <fb>16.105</fb>
    <v>0</v>
  </rv>
  <rv s="0">
    <fb>15376.0579</fb>
    <v>0</v>
  </rv>
  <rv s="0">
    <fb>16.375</fb>
    <v>0</v>
  </rv>
  <rv s="0">
    <fb>15451.087</fb>
    <v>0</v>
  </rv>
  <rv s="0">
    <fb>16.094999999999999</fb>
    <v>0</v>
  </rv>
  <rv s="0">
    <fb>15258.2358</fb>
    <v>0</v>
  </rv>
  <rv s="0">
    <fb>16.445</fb>
    <v>0</v>
  </rv>
  <rv s="0">
    <fb>15072.5772</fb>
    <v>0</v>
  </rv>
  <rv s="0">
    <fb>16.495000000000001</fb>
    <v>0</v>
  </rv>
  <rv s="0">
    <fb>15237.107599999999</fb>
    <v>0</v>
  </rv>
  <rv s="0">
    <fb>16.62</fb>
    <v>0</v>
  </rv>
  <rv s="0">
    <fb>15399.647199999999</fb>
    <v>0</v>
  </rv>
  <rv s="0">
    <fb>16.34</fb>
    <v>0</v>
  </rv>
  <rv s="0">
    <fb>15570.2785</fb>
    <v>0</v>
  </rv>
  <rv s="0">
    <fb>15.935</fb>
    <v>0</v>
  </rv>
  <rv s="0">
    <fb>15615.5532</fb>
    <v>0</v>
  </rv>
  <rv s="0">
    <fb>15.685</fb>
    <v>0</v>
  </rv>
  <rv s="0">
    <fb>15761.781000000001</fb>
    <v>0</v>
  </rv>
  <rv s="0">
    <fb>15961.696400000001</fb>
    <v>0</v>
  </rv>
  <rv s="0">
    <fb>15.824999999999999</fb>
    <v>0</v>
  </rv>
  <rv s="0">
    <fb>16064.768700000001</fb>
    <v>0</v>
  </rv>
  <rv s="0">
    <fb>15.81</fb>
    <v>0</v>
  </rv>
  <rv s="0">
    <fb>16086.4107</fb>
    <v>0</v>
  </rv>
  <rv s="0">
    <fb>15.49</fb>
    <v>0</v>
  </rv>
  <rv s="0">
    <fb>16020.2004</fb>
    <v>0</v>
  </rv>
  <rv s="0">
    <fb>14.94</fb>
    <v>0</v>
  </rv>
  <rv s="0">
    <fb>15755.3591</fb>
    <v>0</v>
  </rv>
  <rv s="0">
    <fb>15.215</fb>
    <v>0</v>
  </rv>
  <rv s="0">
    <fb>16221.1432</fb>
    <v>0</v>
  </rv>
  <rv s="0">
    <fb>15.45</fb>
    <v>0</v>
  </rv>
  <rv s="0">
    <fb>16478.406599999998</fb>
    <v>0</v>
  </rv>
  <rv s="0">
    <fb>15.55</fb>
    <v>0</v>
  </rv>
  <rv s="0">
    <fb>16469.993900000001</fb>
    <v>0</v>
  </rv>
  <rv s="0">
    <fb>15.845000000000001</fb>
    <v>0</v>
  </rv>
  <rv s="0">
    <fb>16437.049299999999</fb>
    <v>0</v>
  </rv>
  <rv s="0">
    <fb>16.204999999999998</fb>
    <v>0</v>
  </rv>
  <rv s="0">
    <fb>16458.5628</fb>
    <v>0</v>
  </rv>
  <rv s="0">
    <fb>15.7</fb>
    <v>0</v>
  </rv>
  <rv s="0">
    <fb>15879.1101</fb>
    <v>0</v>
  </rv>
  <rv s="0">
    <fb>15.744999999999999</fb>
    <v>0</v>
  </rv>
  <rv s="0">
    <fb>15698.8459</fb>
    <v>0</v>
  </rv>
  <rv s="0">
    <fb>14.59</fb>
    <v>0</v>
  </rv>
  <rv s="0">
    <fb>15794.083500000001</fb>
    <v>0</v>
  </rv>
  <rv s="0">
    <fb>14.8</fb>
    <v>0</v>
  </rv>
  <rv s="0">
    <fb>16154.3871</fb>
    <v>0</v>
  </rv>
  <rv s="0">
    <fb>14.98</fb>
    <v>0</v>
  </rv>
  <rv s="0">
    <fb>16103.3004</fb>
    <v>0</v>
  </rv>
  <rv s="0">
    <fb>15.05</fb>
    <v>0</v>
  </rv>
  <rv s="0">
    <fb>16321.710999999999</fb>
    <v>0</v>
  </rv>
  <rv s="0">
    <fb>15.445</fb>
    <v>0</v>
  </rv>
  <rv s="0">
    <fb>16452.718799999999</fb>
    <v>0</v>
  </rv>
  <rv s="0">
    <fb>15.54</fb>
    <v>0</v>
  </rv>
  <rv s="0">
    <fb>16065.667799999999</fb>
    <v>0</v>
  </rv>
  <rv s="0">
    <fb>15.494999999999999</fb>
    <v>0</v>
  </rv>
  <rv s="0">
    <fb>16302.7662</fb>
    <v>0</v>
  </rv>
  <rv s="0">
    <fb>16323.059600000001</fb>
    <v>0</v>
  </rv>
  <rv s="0">
    <fb>15.265000000000001</fb>
    <v>0</v>
  </rv>
  <rv s="0">
    <fb>16412.7101</fb>
    <v>0</v>
  </rv>
  <rv s="0">
    <fb>14.505000000000001</fb>
    <v>0</v>
  </rv>
  <rv s="0">
    <fb>16026.7508</fb>
    <v>0</v>
  </rv>
  <rv s="0">
    <fb>15.055</fb>
    <v>0</v>
  </rv>
  <rv s="0">
    <fb>16408.535800000001</fb>
    <v>0</v>
  </rv>
  <rv s="0">
    <fb>14.795</fb>
    <v>0</v>
  </rv>
  <rv s="0">
    <fb>16361.4629</fb>
    <v>0</v>
  </rv>
  <rv s="0">
    <fb>14.83</fb>
    <v>0</v>
  </rv>
  <rv s="0">
    <fb>16512.892500000002</fb>
    <v>0</v>
  </rv>
  <rv s="0">
    <fb>14.81</fb>
    <v>0</v>
  </rv>
  <rv s="0">
    <fb>16583.3413</fb>
    <v>0</v>
  </rv>
  <rv s="0">
    <fb>14.79</fb>
    <v>0</v>
  </rv>
  <rv s="0">
    <fb>16491.314699999999</fb>
    <v>0</v>
  </rv>
  <rv s="0">
    <fb>15.035</fb>
    <v>0</v>
  </rv>
  <rv s="0">
    <fb>16606.2677</fb>
    <v>0</v>
  </rv>
  <rv s="0">
    <fb>15.095000000000001</fb>
    <v>0</v>
  </rv>
  <rv s="0">
    <fb>16717.174800000001</fb>
    <v>0</v>
  </rv>
  <rv s="0">
    <fb>15.385</fb>
    <v>0</v>
  </rv>
  <rv s="0">
    <fb>16924.2827</fb>
    <v>0</v>
  </rv>
  <rv s="0">
    <fb>15.285</fb>
    <v>0</v>
  </rv>
  <rv s="0">
    <fb>16775.742999999999</fb>
    <v>0</v>
  </rv>
  <rv s="0">
    <fb>15.27</fb>
    <v>0</v>
  </rv>
  <rv s="0">
    <fb>16947.080699999999</fb>
    <v>0</v>
  </rv>
  <rv s="0">
    <fb>15.24</fb>
    <v>0</v>
  </rv>
  <rv s="0">
    <fb>16851.843099999998</fb>
    <v>0</v>
  </rv>
  <rv s="0">
    <fb>17068.262900000002</fb>
    <v>0</v>
  </rv>
  <rv s="0">
    <fb>15.14</fb>
    <v>0</v>
  </rv>
  <rv s="0">
    <fb>16943.805499999999</fb>
    <v>0</v>
  </rv>
  <rv s="0">
    <fb>15.185</fb>
    <v>0</v>
  </rv>
  <rv s="0">
    <fb>17100.18</fb>
    <v>0</v>
  </rv>
  <rv s="0">
    <fb>16960.566699999999</fb>
    <v>0</v>
  </rv>
  <rv s="0">
    <fb>16493.3698</fb>
    <v>0</v>
  </rv>
  <rv s="0">
    <fb>15.305</fb>
    <v>0</v>
  </rv>
  <rv s="0">
    <fb>16553.928800000002</fb>
    <v>0</v>
  </rv>
  <rv s="0">
    <fb>16662.909299999999</fb>
    <v>0</v>
  </rv>
  <rv s="0">
    <fb>16.114999999999998</fb>
    <v>0</v>
  </rv>
  <rv s="0">
    <fb>17001.217700000001</fb>
    <v>0</v>
  </rv>
  <rv s="0">
    <fb>16.309999999999999</fb>
    <v>0</v>
  </rv>
  <rv s="0">
    <fb>17098.446</fb>
    <v>0</v>
  </rv>
  <rv s="0">
    <fb>16.434999999999999</fb>
    <v>0</v>
  </rv>
  <rv s="0">
    <fb>17137.363099999999</fb>
    <v>0</v>
  </rv>
  <rv s="0">
    <fb>16987.506799999999</fb>
    <v>0</v>
  </rv>
  <rv s="0">
    <fb>16.420000000000002</fb>
    <v>0</v>
  </rv>
  <rv s="0">
    <fb>17279.737700000001</fb>
    <v>0</v>
  </rv>
  <rv s="0">
    <fb>16.265000000000001</fb>
    <v>0</v>
  </rv>
  <rv s="0">
    <fb>17113.152300000002</fb>
    <v>0</v>
  </rv>
  <rv s="0">
    <fb>16.145</fb>
    <v>0</v>
  </rv>
  <rv s="0">
    <fb>17009.6947</fb>
    <v>0</v>
  </rv>
  <rv s="0">
    <fb>15.734999999999999</fb>
    <v>0</v>
  </rv>
  <rv s="0">
    <fb>16544.103200000001</fb>
    <v>0</v>
  </rv>
  <rv s="0">
    <fb>16.03</fb>
    <v>0</v>
  </rv>
  <rv s="0">
    <fb>16380.4076</fb>
    <v>0</v>
  </rv>
  <rv s="0">
    <fb>15.74</fb>
    <v>0</v>
  </rv>
  <rv s="0">
    <fb>16805.412400000001</fb>
    <v>0</v>
  </rv>
  <rv s="0">
    <fb>17390.5164</fb>
    <v>0</v>
  </rv>
  <rv s="0">
    <fb>16.149999999999999</fb>
    <v>0</v>
  </rv>
  <rv s="0">
    <fb>17573.927299999999</fb>
    <v>0</v>
  </rv>
  <rv s="0">
    <fb>15.994999999999999</fb>
    <v>0</v>
  </rv>
  <rv s="0">
    <fb>17634.743200000001</fb>
    <v>0</v>
  </rv>
  <rv s="0">
    <fb>16.004999999999999</fb>
    <v>0</v>
  </rv>
  <rv s="0">
    <fb>17810.0625</fb>
    <v>0</v>
  </rv>
  <rv s="0">
    <fb>16.100000000000001</fb>
    <v>0</v>
  </rv>
  <rv s="0">
    <fb>17828.2366</fb>
    <v>0</v>
  </rv>
  <rv s="0">
    <fb>16.399999999999999</fb>
    <v>0</v>
  </rv>
  <rv s="0">
    <fb>17958.794900000001</fb>
    <v>0</v>
  </rv>
  <rv s="0">
    <fb>15.96</fb>
    <v>0</v>
  </rv>
  <rv s="0">
    <fb>17280.8295</fb>
    <v>0</v>
  </rv>
  <rv s="0">
    <fb>16.215</fb>
    <v>0</v>
  </rv>
  <rv s="0">
    <fb>17804.7965</fb>
    <v>0</v>
  </rv>
  <rv s="0">
    <fb>41995</fb>
    <v>1</v>
  </rv>
  <rv s="0">
    <fb>18053.711299999999</fb>
    <v>0</v>
  </rv>
  <rv s="0">
    <fb>42002</fb>
    <v>1</v>
  </rv>
  <rv s="0">
    <fb>16.28</fb>
    <v>0</v>
  </rv>
  <rv s="0">
    <fb>17832.9889</fb>
    <v>0</v>
  </rv>
  <rv s="0">
    <fb>16.234999999999999</fb>
    <v>0</v>
  </rv>
  <rv s="0">
    <fb>17737.366000000002</fb>
    <v>0</v>
  </rv>
  <rv s="0">
    <fb>42016</fb>
    <v>1</v>
  </rv>
  <rv s="0">
    <fb>15.914999999999999</fb>
    <v>0</v>
  </rv>
  <rv s="0">
    <fb>17511.570199999998</fb>
    <v>0</v>
  </rv>
  <rv s="0">
    <fb>42024</fb>
    <v>1</v>
  </rv>
  <rv s="0">
    <fb>15.875</fb>
    <v>0</v>
  </rv>
  <rv s="0">
    <fb>17672.600600000002</fb>
    <v>0</v>
  </rv>
  <rv s="0">
    <fb>42030</fb>
    <v>1</v>
  </rv>
  <rv s="0">
    <fb>15.425000000000001</fb>
    <v>0</v>
  </rv>
  <rv s="0">
    <fb>17164.945400000001</fb>
    <v>0</v>
  </rv>
  <rv s="0">
    <fb>42037</fb>
    <v>1</v>
  </rv>
  <rv s="0">
    <fb>16.055</fb>
    <v>0</v>
  </rv>
  <rv s="0">
    <fb>17824.287100000001</fb>
    <v>0</v>
  </rv>
  <rv s="0">
    <fb>42044</fb>
    <v>1</v>
  </rv>
  <rv s="0">
    <fb>16.504999999999999</fb>
    <v>0</v>
  </rv>
  <rv s="0">
    <fb>18019.353899999998</fb>
    <v>0</v>
  </rv>
  <rv s="0">
    <fb>16.545000000000002</fb>
    <v>0</v>
  </rv>
  <rv s="0">
    <fb>18140.4398</fb>
    <v>0</v>
  </rv>
  <rv s="0">
    <fb>16.07</fb>
    <v>0</v>
  </rv>
  <rv s="0">
    <fb>18132.701300000001</fb>
    <v>0</v>
  </rv>
  <rv s="0">
    <fb>15.92</fb>
    <v>0</v>
  </rv>
  <rv s="0">
    <fb>17856.782200000001</fb>
    <v>0</v>
  </rv>
  <rv s="0">
    <fb>17749.310799999999</fb>
    <v>0</v>
  </rv>
  <rv s="0">
    <fb>16.565000000000001</fb>
    <v>0</v>
  </rv>
  <rv s="0">
    <fb>18127.653300000002</fb>
    <v>0</v>
  </rv>
  <rv s="0">
    <fb>16.38</fb>
    <v>0</v>
  </rv>
  <rv s="0">
    <fb>17712.662899999999</fb>
    <v>0</v>
  </rv>
  <rv s="0">
    <fb>17763.2438</fb>
    <v>0</v>
  </rv>
  <rv s="0">
    <fb>16.605</fb>
    <v>0</v>
  </rv>
  <rv s="0">
    <fb>18057.6541</fb>
    <v>0</v>
  </rv>
  <rv s="0">
    <fb>16.285</fb>
    <v>0</v>
  </rv>
  <rv s="0">
    <fb>17826.303100000001</fb>
    <v>0</v>
  </rv>
  <rv s="0">
    <fb>18080.141899999999</fb>
    <v>0</v>
  </rv>
  <rv s="0">
    <fb>15.925000000000001</fb>
    <v>0</v>
  </rv>
  <rv s="0">
    <fb>18024.055799999998</fb>
    <v>0</v>
  </rv>
  <rv s="0">
    <fb>15.955</fb>
    <v>0</v>
  </rv>
  <rv s="0">
    <fb>18191.113000000001</fb>
    <v>0</v>
  </rv>
  <rv s="0">
    <fb>16.024999999999999</fb>
    <v>0</v>
  </rv>
  <rv s="0">
    <fb>18272.556199999999</fb>
    <v>0</v>
  </rv>
  <rv s="0">
    <fb>18232.018100000001</fb>
    <v>0</v>
  </rv>
  <rv s="0">
    <fb>18010.676500000001</fb>
    <v>0</v>
  </rv>
  <rv s="0">
    <fb>16.465</fb>
    <v>0</v>
  </rv>
  <rv s="0">
    <fb>17849.458200000001</fb>
    <v>0</v>
  </rv>
  <rv s="0">
    <fb>16.690000000000001</fb>
    <v>0</v>
  </rv>
  <rv s="0">
    <fb>17898.838</fb>
    <v>0</v>
  </rv>
  <rv s="0">
    <fb>16.77</fb>
    <v>0</v>
  </rv>
  <rv s="0">
    <fb>18015.948199999999</fb>
    <v>0</v>
  </rv>
  <rv s="0">
    <fb>17946.683000000001</fb>
    <v>0</v>
  </rv>
  <rv s="0">
    <fb>17730.1132</fb>
    <v>0</v>
  </rv>
  <rv s="0">
    <fb>16.824999999999999</fb>
    <v>0</v>
  </rv>
  <rv s="0">
    <fb>17760.411700000001</fb>
    <v>0</v>
  </rv>
  <rv s="0">
    <fb>17.145</fb>
    <v>0</v>
  </rv>
  <rv s="0">
    <fb>18086.446499999998</fb>
    <v>0</v>
  </rv>
  <rv s="0">
    <fb>17568.532200000001</fb>
    <v>0</v>
  </rv>
  <rv s="0">
    <fb>16.725000000000001</fb>
    <v>0</v>
  </rv>
  <rv s="0">
    <fb>17689.859899999999</fb>
    <v>0</v>
  </rv>
  <rv s="0">
    <fb>16.79</fb>
    <v>0</v>
  </rv>
  <rv s="0">
    <fb>17373.379000000001</fb>
    <v>0</v>
  </rv>
  <rv s="0">
    <fb>17.195</fb>
    <v>0</v>
  </rv>
  <rv s="0">
    <fb>17477.4028</fb>
    <v>0</v>
  </rv>
  <rv s="0">
    <fb>16.335000000000001</fb>
    <v>0</v>
  </rv>
  <rv s="0">
    <fb>16459.7467</fb>
    <v>0</v>
  </rv>
  <rv s="0">
    <fb>16643.007600000001</fb>
    <v>0</v>
  </rv>
  <rv s="0">
    <fb>16102.3778</fb>
    <v>0</v>
  </rv>
  <rv s="0">
    <fb>15.895</fb>
    <v>0</v>
  </rv>
  <rv s="0">
    <fb>16433.0893</fb>
    <v>0</v>
  </rv>
  <rv s="0">
    <fb>15.695</fb>
    <v>0</v>
  </rv>
  <rv s="0">
    <fb>16384.584900000002</fb>
    <v>0</v>
  </rv>
  <rv s="0">
    <fb>15.64</fb>
    <v>0</v>
  </rv>
  <rv s="0">
    <fb>16314.6679</fb>
    <v>0</v>
  </rv>
  <rv s="0">
    <fb>15.545</fb>
    <v>0</v>
  </rv>
  <rv s="0">
    <fb>16472.373800000001</fb>
    <v>0</v>
  </rv>
  <rv s="0">
    <fb>15.984999999999999</fb>
    <v>0</v>
  </rv>
  <rv s="0">
    <fb>17084.4908</fb>
    <v>0</v>
  </rv>
  <rv s="0">
    <fb>42289</fb>
    <v>1</v>
  </rv>
  <rv s="0">
    <fb>17215.973699999999</fb>
    <v>0</v>
  </rv>
  <rv s="0">
    <fb>42296</fb>
    <v>1</v>
  </rv>
  <rv s="0">
    <fb>17646.700400000002</fb>
    <v>0</v>
  </rv>
  <rv s="0">
    <fb>42303</fb>
    <v>1</v>
  </rv>
  <rv s="0">
    <fb>17663.536599999999</fb>
    <v>0</v>
  </rv>
  <rv s="0">
    <fb>17910.334299999999</fb>
    <v>0</v>
  </rv>
  <rv s="0">
    <fb>15.67</fb>
    <v>0</v>
  </rv>
  <rv s="0">
    <fb>17245.2366</fb>
    <v>0</v>
  </rv>
  <rv s="0">
    <fb>16.29</fb>
    <v>0</v>
  </rv>
  <rv s="0">
    <fb>17823.8148</fb>
    <v>0</v>
  </rv>
  <rv s="0">
    <fb>16.2</fb>
    <v>0</v>
  </rv>
  <rv s="0">
    <fb>17798.493699999999</fb>
    <v>0</v>
  </rv>
  <rv s="0">
    <fb>16.510000000000002</fb>
    <v>0</v>
  </rv>
  <rv s="0">
    <fb>17847.632699999998</fb>
    <v>0</v>
  </rv>
  <rv s="0">
    <fb>16.010000000000002</fb>
    <v>0</v>
  </rv>
  <rv s="0">
    <fb>17265.213</fb>
    <v>0</v>
  </rv>
  <rv s="0">
    <fb>15.625</fb>
    <v>0</v>
  </rv>
  <rv s="0">
    <fb>17128.552299999999</fb>
    <v>0</v>
  </rv>
  <rv s="0">
    <fb>16.04</fb>
    <v>0</v>
  </rv>
  <rv s="0">
    <fb>17552.167700000002</fb>
    <v>0</v>
  </rv>
  <rv s="0">
    <fb>16.05</fb>
    <v>0</v>
  </rv>
  <rv s="0">
    <fb>17425.028699999999</fb>
    <v>0</v>
  </rv>
  <rv s="0">
    <fb>15.1</fb>
    <v>0</v>
  </rv>
  <rv s="0">
    <fb>16346.453</fb>
    <v>0</v>
  </rv>
  <rv s="0">
    <fb>14.935</fb>
    <v>0</v>
  </rv>
  <rv s="0">
    <fb>15988.080599999999</fb>
    <v>0</v>
  </rv>
  <rv s="0">
    <fb>14.7</fb>
    <v>0</v>
  </rv>
  <rv s="0">
    <fb>16093.510399999999</fb>
    <v>0</v>
  </rv>
  <rv s="0">
    <fb>15.125</fb>
    <v>0</v>
  </rv>
  <rv s="0">
    <fb>16466.298599999998</fb>
    <v>0</v>
  </rv>
  <rv s="0">
    <fb>15.75</fb>
    <v>0</v>
  </rv>
  <rv s="0">
    <fb>16204.9668</fb>
    <v>0</v>
  </rv>
  <rv s="0">
    <fb>15973.8361</fb>
    <v>0</v>
  </rv>
  <rv s="0">
    <fb>16391.994299999998</fb>
    <v>0</v>
  </rv>
  <rv s="0">
    <fb>16.225000000000001</fb>
    <v>0</v>
  </rv>
  <rv s="0">
    <fb>16639.9719</fb>
    <v>0</v>
  </rv>
  <rv s="0">
    <fb>16.815000000000001</fb>
    <v>0</v>
  </rv>
  <rv s="0">
    <fb>17006.7677</fb>
    <v>0</v>
  </rv>
  <rv s="0">
    <fb>17.18</fb>
    <v>0</v>
  </rv>
  <rv s="0">
    <fb>17213.312999999998</fb>
    <v>0</v>
  </rv>
  <rv s="0">
    <fb>17.600000000000001</fb>
    <v>0</v>
  </rv>
  <rv s="0">
    <fb>17602.297399999999</fb>
    <v>0</v>
  </rv>
  <rv s="0">
    <fb>17.61</fb>
    <v>0</v>
  </rv>
  <rv s="0">
    <fb>17515.7346</fb>
    <v>0</v>
  </rv>
  <rv s="0">
    <fb>17.805</fb>
    <v>0</v>
  </rv>
  <rv s="0">
    <fb>17792.749</fb>
    <v>0</v>
  </rv>
  <rv s="0">
    <fb>17.32</fb>
    <v>0</v>
  </rv>
  <rv s="0">
    <fb>17576.958600000002</fb>
    <v>0</v>
  </rv>
  <rv s="0">
    <fb>17.760000000000002</fb>
    <v>0</v>
  </rv>
  <rv s="0">
    <fb>17897.459800000001</fb>
    <v>0</v>
  </rv>
  <rv s="0">
    <fb>17.344999999999999</fb>
    <v>0</v>
  </rv>
  <rv s="0">
    <fb>18003.745699999999</fb>
    <v>0</v>
  </rv>
  <rv s="0">
    <fb>17.555</fb>
    <v>0</v>
  </rv>
  <rv s="0">
    <fb>17773.642199999998</fb>
    <v>0</v>
  </rv>
  <rv s="0">
    <fb>17.445</fb>
    <v>0</v>
  </rv>
  <rv s="0">
    <fb>17740.633399999999</fb>
    <v>0</v>
  </rv>
  <rv s="0">
    <fb>17.565000000000001</fb>
    <v>0</v>
  </rv>
  <rv s="0">
    <fb>17535.320800000001</fb>
    <v>0</v>
  </rv>
  <rv s="0">
    <fb>17500.942299999999</fb>
    <v>0</v>
  </rv>
  <rv s="0">
    <fb>17.984999999999999</fb>
    <v>0</v>
  </rv>
  <rv s="0">
    <fb>17873.216799999998</fb>
    <v>0</v>
  </rv>
  <rv s="0">
    <fb>17.989999999999998</fb>
    <v>0</v>
  </rv>
  <rv s="0">
    <fb>17807.062000000002</fb>
    <v>0</v>
  </rv>
  <rv s="0">
    <fb>18.204999999999998</fb>
    <v>0</v>
  </rv>
  <rv s="0">
    <fb>17865.341199999999</fb>
    <v>0</v>
  </rv>
  <rv s="0">
    <fb>17675.163400000001</fb>
    <v>0</v>
  </rv>
  <rv s="0">
    <fb>17400.751400000001</fb>
    <v>0</v>
  </rv>
  <rv s="0">
    <fb>18.55</fb>
    <v>0</v>
  </rv>
  <rv s="0">
    <fb>17949.3701</fb>
    <v>0</v>
  </rv>
  <rv s="0">
    <fb>18.670000000000002</fb>
    <v>0</v>
  </rv>
  <rv s="0">
    <fb>18146.738499999999</fb>
    <v>0</v>
  </rv>
  <rv s="0">
    <fb>18.02</fb>
    <v>0</v>
  </rv>
  <rv s="0">
    <fb>18516.547699999999</fb>
    <v>0</v>
  </rv>
  <rv s="0">
    <fb>18.535</fb>
    <v>0</v>
  </rv>
  <rv s="0">
    <fb>18570.854800000001</fb>
    <v>0</v>
  </rv>
  <rv s="0">
    <fb>18.329999999999998</fb>
    <v>0</v>
  </rv>
  <rv s="0">
    <fb>18432.244900000002</fb>
    <v>0</v>
  </rv>
  <rv s="0">
    <fb>18.425000000000001</fb>
    <v>0</v>
  </rv>
  <rv s="0">
    <fb>18543.53</fb>
    <v>0</v>
  </rv>
  <rv s="0">
    <fb>18.254999999999999</fb>
    <v>0</v>
  </rv>
  <rv s="0">
    <fb>18576.470399999998</fb>
    <v>0</v>
  </rv>
  <rv s="0">
    <fb>18.285</fb>
    <v>0</v>
  </rv>
  <rv s="0">
    <fb>18552.569800000001</fb>
    <v>0</v>
  </rv>
  <rv s="0">
    <fb>18.440000000000001</fb>
    <v>0</v>
  </rv>
  <rv s="0">
    <fb>18395.400900000001</fb>
    <v>0</v>
  </rv>
  <rv s="0">
    <fb>19</fb>
    <v>0</v>
  </rv>
  <rv s="0">
    <fb>18491.962200000002</fb>
    <v>0</v>
  </rv>
  <rv s="0">
    <fb>18.414999999999999</fb>
    <v>0</v>
  </rv>
  <rv s="0">
    <fb>18085.446100000001</fb>
    <v>0</v>
  </rv>
  <rv s="0">
    <fb>18.47</fb>
    <v>0</v>
  </rv>
  <rv s="0">
    <fb>18123.796699999999</fb>
    <v>0</v>
  </rv>
  <rv s="0">
    <fb>18.745000000000001</fb>
    <v>0</v>
  </rv>
  <rv s="0">
    <fb>18261.447899999999</fb>
    <v>0</v>
  </rv>
  <rv s="0">
    <fb>18.855</fb>
    <v>0</v>
  </rv>
  <rv s="0">
    <fb>18308.153399999999</fb>
    <v>0</v>
  </rv>
  <rv s="0">
    <fb>19.105</fb>
    <v>0</v>
  </rv>
  <rv s="0">
    <fb>18240.491999999998</fb>
    <v>0</v>
  </rv>
  <rv s="0">
    <fb>18.72</fb>
    <v>0</v>
  </rv>
  <rv s="0">
    <fb>18138.383600000001</fb>
    <v>0</v>
  </rv>
  <rv s="0">
    <fb>18.809999999999999</fb>
    <v>0</v>
  </rv>
  <rv s="0">
    <fb>18145.711299999999</fb>
    <v>0</v>
  </rv>
  <rv s="0">
    <fb>18.38</fb>
    <v>0</v>
  </rv>
  <rv s="0">
    <fb>18161.1885</fb>
    <v>0</v>
  </rv>
  <rv s="0">
    <fb>18.14</fb>
    <v>0</v>
  </rv>
  <rv s="0">
    <fb>17888.283100000001</fb>
    <v>0</v>
  </rv>
  <rv s="0">
    <fb>19.574999999999999</fb>
    <v>0</v>
  </rv>
  <rv s="0">
    <fb>18847.663799999998</fb>
    <v>0</v>
  </rv>
  <rv s="0">
    <fb>21.17</fb>
    <v>0</v>
  </rv>
  <rv s="0">
    <fb>18867.934799999999</fb>
    <v>0</v>
  </rv>
  <rv s="0">
    <fb>21.59</fb>
    <v>0</v>
  </rv>
  <rv s="0">
    <fb>19152.139899999998</fb>
    <v>0</v>
  </rv>
  <rv s="0">
    <fb>21.61</fb>
    <v>0</v>
  </rv>
  <rv s="0">
    <fb>19170.424999999999</fb>
    <v>0</v>
  </rv>
  <rv s="0">
    <fb>22.21</fb>
    <v>0</v>
  </rv>
  <rv s="0">
    <fb>19756.846300000001</fb>
    <v>0</v>
  </rv>
  <rv s="0">
    <fb>22.44</fb>
    <v>0</v>
  </rv>
  <rv s="0">
    <fb>19843.409</fb>
    <v>0</v>
  </rv>
  <rv s="0">
    <fb>22.445</fb>
    <v>0</v>
  </rv>
  <rv s="0">
    <fb>19933.806799999998</fb>
    <v>0</v>
  </rv>
  <rv s="0">
    <fb>22.43</fb>
    <v>0</v>
  </rv>
  <rv s="0">
    <fb>19762.598900000001</fb>
    <v>0</v>
  </rv>
  <rv s="0">
    <fb>22.454999999999998</fb>
    <v>0</v>
  </rv>
  <rv s="0">
    <fb>19963.802500000002</fb>
    <v>0</v>
  </rv>
  <rv s="0">
    <fb>22.13</fb>
    <v>0</v>
  </rv>
  <rv s="0">
    <fb>19885.731599999999</fb>
    <v>0</v>
  </rv>
  <rv s="0">
    <fb>21.914999999999999</fb>
    <v>0</v>
  </rv>
  <rv s="0">
    <fb>19827.246999999999</fb>
    <v>0</v>
  </rv>
  <rv s="0">
    <fb>21.63</fb>
    <v>0</v>
  </rv>
  <rv s="0">
    <fb>20093.783500000001</fb>
    <v>0</v>
  </rv>
  <rv s="0">
    <fb>21.265000000000001</fb>
    <v>0</v>
  </rv>
  <rv s="0">
    <fb>20071.457999999999</fb>
    <v>0</v>
  </rv>
  <rv s="0">
    <fb>21.49</fb>
    <v>0</v>
  </rv>
  <rv s="0">
    <fb>20269.374400000001</fb>
    <v>0</v>
  </rv>
  <rv s="0">
    <fb>21.934999999999999</fb>
    <v>0</v>
  </rv>
  <rv s="0">
    <fb>20624.048699999999</fb>
    <v>0</v>
  </rv>
  <rv s="0">
    <fb>21.71</fb>
    <v>0</v>
  </rv>
  <rv s="0">
    <fb>20821.759600000001</fb>
    <v>0</v>
  </rv>
  <rv s="0">
    <fb>21.8</fb>
    <v>0</v>
  </rv>
  <rv s="0">
    <fb>21005.705399999999</fb>
    <v>0</v>
  </rv>
  <rv s="0">
    <fb>21.605</fb>
    <v>0</v>
  </rv>
  <rv s="0">
    <fb>20902.980599999999</fb>
    <v>0</v>
  </rv>
  <rv s="0">
    <fb>21.88</fb>
    <v>0</v>
  </rv>
  <rv s="0">
    <fb>20914.622800000001</fb>
    <v>0</v>
  </rv>
  <rv s="0">
    <fb>21.305</fb>
    <v>0</v>
  </rv>
  <rv s="0">
    <fb>20596.723900000001</fb>
    <v>0</v>
  </rv>
  <rv s="0">
    <fb>20.86</fb>
    <v>0</v>
  </rv>
  <rv s="0">
    <fb>20663.221099999999</fb>
    <v>0</v>
  </rv>
  <rv s="0">
    <fb>20.905000000000001</fb>
    <v>0</v>
  </rv>
  <rv s="0">
    <fb>20656.0988</fb>
    <v>0</v>
  </rv>
  <rv s="0">
    <fb>20.66</fb>
    <v>0</v>
  </rv>
  <rv s="0">
    <fb>20453.251700000001</fb>
    <v>0</v>
  </rv>
  <rv s="0">
    <fb>21.25</fb>
    <v>0</v>
  </rv>
  <rv s="0">
    <fb>20547.758399999999</fb>
    <v>0</v>
  </rv>
  <rv s="0">
    <fb>21.45</fb>
    <v>0</v>
  </rv>
  <rv s="0">
    <fb>20940.509399999999</fb>
    <v>0</v>
  </rv>
  <rv s="0">
    <fb>21.54</fb>
    <v>0</v>
  </rv>
  <rv s="0">
    <fb>21006.938099999999</fb>
    <v>0</v>
  </rv>
  <rv s="0">
    <fb>21.145</fb>
    <v>0</v>
  </rv>
  <rv s="0">
    <fb>20896.611700000001</fb>
    <v>0</v>
  </rv>
  <rv s="0">
    <fb>21.035</fb>
    <v>0</v>
  </rv>
  <rv s="0">
    <fb>20804.8442</fb>
    <v>0</v>
  </rv>
  <rv s="0">
    <fb>21.434999999999999</fb>
    <v>0</v>
  </rv>
  <rv s="0">
    <fb>21080.283599999999</fb>
    <v>0</v>
  </rv>
  <rv s="0">
    <fb>21.905000000000001</fb>
    <v>0</v>
  </rv>
  <rv s="0">
    <fb>21206.292600000001</fb>
    <v>0</v>
  </rv>
  <rv s="0">
    <fb>21.925000000000001</fb>
    <v>0</v>
  </rv>
  <rv s="0">
    <fb>21271.9679</fb>
    <v>0</v>
  </rv>
  <rv s="0">
    <fb>22.164999999999999</fb>
    <v>0</v>
  </rv>
  <rv s="0">
    <fb>21384.280299999999</fb>
    <v>0</v>
  </rv>
  <rv s="0">
    <fb>21.465</fb>
    <v>0</v>
  </rv>
  <rv s="0">
    <fb>21394.758300000001</fb>
    <v>0</v>
  </rv>
  <rv s="0">
    <fb>21.535</fb>
    <v>0</v>
  </rv>
  <rv s="0">
    <fb>21349.627899999999</fb>
    <v>0</v>
  </rv>
  <rv s="0">
    <fb>21.58</fb>
    <v>0</v>
  </rv>
  <rv s="0">
    <fb>21414.344499999999</fb>
    <v>0</v>
  </rv>
  <rv s="0">
    <fb>21.65</fb>
    <v>0</v>
  </rv>
  <rv s="0">
    <fb>21637.7366</fb>
    <v>0</v>
  </rv>
  <rv s="0">
    <fb>22.035</fb>
    <v>0</v>
  </rv>
  <rv s="0">
    <fb>21580.073700000001</fb>
    <v>0</v>
  </rv>
  <rv s="0">
    <fb>22.29</fb>
    <v>0</v>
  </rv>
  <rv s="0">
    <fb>21830.3112</fb>
    <v>0</v>
  </rv>
  <rv s="0">
    <fb>22.03</fb>
    <v>0</v>
  </rv>
  <rv s="0">
    <fb>22092.807199999999</fb>
    <v>0</v>
  </rv>
  <rv s="0">
    <fb>21.77</fb>
    <v>0</v>
  </rv>
  <rv s="0">
    <fb>21858.320800000001</fb>
    <v>0</v>
  </rv>
  <rv s="0">
    <fb>21.815000000000001</fb>
    <v>0</v>
  </rv>
  <rv s="0">
    <fb>21674.511999999999</fb>
    <v>0</v>
  </rv>
  <rv s="0">
    <fb>22.145</fb>
    <v>0</v>
  </rv>
  <rv s="0">
    <fb>21813.6698</fb>
    <v>0</v>
  </rv>
  <rv s="0">
    <fb>22.524999999999999</fb>
    <v>0</v>
  </rv>
  <rv s="0">
    <fb>21987.555899999999</fb>
    <v>0</v>
  </rv>
  <rv s="0">
    <fb>24.065000000000001</fb>
    <v>0</v>
  </rv>
  <rv s="0">
    <fb>21797.793099999999</fb>
    <v>0</v>
  </rv>
  <rv s="0">
    <fb>23.21</fb>
    <v>0</v>
  </rv>
  <rv s="0">
    <fb>22268.3442</fb>
    <v>0</v>
  </rv>
  <rv s="0">
    <fb>23.71</fb>
    <v>0</v>
  </rv>
  <rv s="0">
    <fb>22349.592400000001</fb>
    <v>0</v>
  </rv>
  <rv s="0">
    <fb>24.094999999999999</fb>
    <v>0</v>
  </rv>
  <rv s="0">
    <fb>22405.089</fb>
    <v>0</v>
  </rv>
  <rv s="0">
    <fb>24.364999999999998</fb>
    <v>0</v>
  </rv>
  <rv s="0">
    <fb>22773.666700000002</fb>
    <v>0</v>
  </rv>
  <rv s="0">
    <fb>24.695</fb>
    <v>0</v>
  </rv>
  <rv s="0">
    <fb>22871.715400000001</fb>
    <v>0</v>
  </rv>
  <rv s="0">
    <fb>24.66</fb>
    <v>0</v>
  </rv>
  <rv s="0">
    <fb>23328.633300000001</fb>
    <v>0</v>
  </rv>
  <rv s="0">
    <fb>24.84</fb>
    <v>0</v>
  </rv>
  <rv s="0">
    <fb>23434.187099999999</fb>
    <v>0</v>
  </rv>
  <rv s="0">
    <fb>25.195</fb>
    <v>0</v>
  </rv>
  <rv s="0">
    <fb>23539.1901</fb>
    <v>0</v>
  </rv>
  <rv s="0">
    <fb>24.74</fb>
    <v>0</v>
  </rv>
  <rv s="0">
    <fb>23422.2065</fb>
    <v>0</v>
  </rv>
  <rv s="0">
    <fb>24.94</fb>
    <v>0</v>
  </rv>
  <rv s="0">
    <fb>23358.240699999998</fb>
    <v>0</v>
  </rv>
  <rv s="0">
    <fb>25.024999999999999</fb>
    <v>0</v>
  </rv>
  <rv s="0">
    <fb>23557.987400000002</fb>
    <v>0</v>
  </rv>
  <rv s="0">
    <fb>25.875</fb>
    <v>0</v>
  </rv>
  <rv s="0">
    <fb>24231.590100000001</fb>
    <v>0</v>
  </rv>
  <rv s="0">
    <fb>25.965</fb>
    <v>0</v>
  </rv>
  <rv s="0">
    <fb>24329.156800000001</fb>
    <v>0</v>
  </rv>
  <rv s="0">
    <fb>25.59</fb>
    <v>0</v>
  </rv>
  <rv s="0">
    <fb>24651.739699999998</fb>
    <v>0</v>
  </rv>
  <rv s="0">
    <fb>25.555</fb>
    <v>0</v>
  </rv>
  <rv s="0">
    <fb>24754.057400000002</fb>
    <v>0</v>
  </rv>
  <rv s="0">
    <fb>25.73</fb>
    <v>0</v>
  </rv>
  <rv s="0">
    <fb>24719.217100000002</fb>
    <v>0</v>
  </rv>
  <rv s="0">
    <fb>26.145</fb>
    <v>0</v>
  </rv>
  <rv s="0">
    <fb>25295.872800000001</fb>
    <v>0</v>
  </rv>
  <rv s="0">
    <fb>26.21</fb>
    <v>0</v>
  </rv>
  <rv s="0">
    <fb>25803.1921</fb>
    <v>0</v>
  </rv>
  <rv s="0">
    <fb>26.25</fb>
    <v>0</v>
  </rv>
  <rv s="0">
    <fb>26071.724399999999</fb>
    <v>0</v>
  </rv>
  <rv s="0">
    <fb>26.885000000000002</fb>
    <v>0</v>
  </rv>
  <rv s="0">
    <fb>26616.7071</fb>
    <v>0</v>
  </rv>
  <rv s="0">
    <fb>26.49</fb>
    <v>0</v>
  </rv>
  <rv s="0">
    <fb>25520.957900000001</fb>
    <v>0</v>
  </rv>
  <rv s="0">
    <fb>25.245000000000001</fb>
    <v>0</v>
  </rv>
  <rv s="0">
    <fb>24190.897099999998</fb>
    <v>0</v>
  </rv>
  <rv s="0">
    <fb>26.35</fb>
    <v>0</v>
  </rv>
  <rv s="0">
    <fb>25219.375499999998</fb>
    <v>0</v>
  </rv>
  <rv s="0">
    <fb>26.44</fb>
    <v>0</v>
  </rv>
  <rv s="0">
    <fb>25309.988000000001</fb>
    <v>0</v>
  </rv>
  <rv s="0">
    <fb>26.135000000000002</fb>
    <v>0</v>
  </rv>
  <rv s="0">
    <fb>24538.061099999999</fb>
    <v>0</v>
  </rv>
  <rv s="0">
    <fb>26.815000000000001</fb>
    <v>0</v>
  </rv>
  <rv s="0">
    <fb>25335.7395</fb>
    <v>0</v>
  </rv>
  <rv s="0">
    <fb>26.375</fb>
    <v>0</v>
  </rv>
  <rv s="0">
    <fb>24946.505499999999</fb>
    <v>0</v>
  </rv>
  <rv s="0">
    <fb>24.97</fb>
    <v>0</v>
  </rv>
  <rv s="0">
    <fb>23533.199799999999</fb>
    <v>0</v>
  </rv>
  <rv s="0">
    <fb>25.44</fb>
    <v>0</v>
  </rv>
  <rv s="0">
    <fb>24103.107800000002</fb>
    <v>0</v>
  </rv>
  <rv s="0">
    <fb>25.09</fb>
    <v>0</v>
  </rv>
  <rv s="0">
    <fb>23932.761900000001</fb>
    <v>0</v>
  </rv>
  <rv s="0">
    <fb>25.72</fb>
    <v>0</v>
  </rv>
  <rv s="0">
    <fb>24360.141299999999</fb>
    <v>0</v>
  </rv>
  <rv s="0">
    <fb>25.95</fb>
    <v>0</v>
  </rv>
  <rv s="0">
    <fb>24462.940900000001</fb>
    <v>0</v>
  </rv>
  <rv s="0">
    <fb>27.73</fb>
    <v>0</v>
  </rv>
  <rv s="0">
    <fb>24311.185799999999</fb>
    <v>0</v>
  </rv>
  <rv s="0">
    <fb>27.51</fb>
    <v>0</v>
  </rv>
  <rv s="0">
    <fb>24262.505700000002</fb>
    <v>0</v>
  </rv>
  <rv s="0">
    <fb>27.45</fb>
    <v>0</v>
  </rv>
  <rv s="0">
    <fb>24831.1744</fb>
    <v>0</v>
  </rv>
  <rv s="0">
    <fb>27.61</fb>
    <v>0</v>
  </rv>
  <rv s="0">
    <fb>24715.085800000001</fb>
    <v>0</v>
  </rv>
  <rv s="0">
    <fb>27.81</fb>
    <v>0</v>
  </rv>
  <rv s="0">
    <fb>24753.093400000002</fb>
    <v>0</v>
  </rv>
  <rv s="0">
    <fb>28.04</fb>
    <v>0</v>
  </rv>
  <rv s="0">
    <fb>24635.2147</fb>
    <v>0</v>
  </rv>
  <rv s="0">
    <fb>28.48</fb>
    <v>0</v>
  </rv>
  <rv s="0">
    <fb>25316.5291</fb>
    <v>0</v>
  </rv>
  <rv s="0">
    <fb>28.26</fb>
    <v>0</v>
  </rv>
  <rv s="0">
    <fb>25090.480100000001</fb>
    <v>0</v>
  </rv>
  <rv s="0">
    <fb>28.22</fb>
    <v>0</v>
  </rv>
  <rv s="0">
    <fb>24580.888599999998</fb>
    <v>0</v>
  </rv>
  <rv s="0">
    <fb>24271.409899999999</fb>
    <v>0</v>
  </rv>
  <rv s="0">
    <fb>28.3</fb>
    <v>0</v>
  </rv>
  <rv s="0">
    <fb>24456.484899999999</fb>
    <v>0</v>
  </rv>
  <rv s="0">
    <fb>28.75</fb>
    <v>0</v>
  </rv>
  <rv s="0">
    <fb>25019.405900000002</fb>
    <v>0</v>
  </rv>
  <rv s="0">
    <fb>29.67</fb>
    <v>0</v>
  </rv>
  <rv s="0">
    <fb>25058.122899999998</fb>
    <v>0</v>
  </rv>
  <rv s="0">
    <fb>29.28</fb>
    <v>0</v>
  </rv>
  <rv s="0">
    <fb>25451.0556</fb>
    <v>0</v>
  </rv>
  <rv s="0">
    <fb>29.29</fb>
    <v>0</v>
  </rv>
  <rv s="0">
    <fb>25462.5825</fb>
    <v>0</v>
  </rv>
  <rv s="0">
    <fb>29.65</fb>
    <v>0</v>
  </rv>
  <rv s="0">
    <fb>25313.139299999999</fb>
    <v>0</v>
  </rv>
  <rv s="0">
    <fb>29.82</fb>
    <v>0</v>
  </rv>
  <rv s="0">
    <fb>25669.321400000001</fb>
    <v>0</v>
  </rv>
  <rv s="0">
    <fb>30.38</fb>
    <v>0</v>
  </rv>
  <rv s="0">
    <fb>25790.354200000002</fb>
    <v>0</v>
  </rv>
  <rv s="0">
    <fb>30.48</fb>
    <v>0</v>
  </rv>
  <rv s="0">
    <fb>25964.8177</fb>
    <v>0</v>
  </rv>
  <rv s="0">
    <fb>30.82</fb>
    <v>0</v>
  </rv>
  <rv s="0">
    <fb>25916.540199999999</fb>
    <v>0</v>
  </rv>
  <rv s="0">
    <fb>31.07</fb>
    <v>0</v>
  </rv>
  <rv s="0">
    <fb>26154.672999999999</fb>
    <v>0</v>
  </rv>
  <rv s="0">
    <fb>30.27</fb>
    <v>0</v>
  </rv>
  <rv s="0">
    <fb>26743.495699999999</fb>
    <v>0</v>
  </rv>
  <rv s="0">
    <fb>29.57</fb>
    <v>0</v>
  </rv>
  <rv s="0">
    <fb>26458.305899999999</fb>
    <v>0</v>
  </rv>
  <rv s="0">
    <fb>29.32</fb>
    <v>0</v>
  </rv>
  <rv s="0">
    <fb>26447.050200000001</fb>
    <v>0</v>
  </rv>
  <rv s="0">
    <fb>27.91</fb>
    <v>0</v>
  </rv>
  <rv s="0">
    <fb>25339.9902</fb>
    <v>0</v>
  </rv>
  <rv s="0">
    <fb>28.85</fb>
    <v>0</v>
  </rv>
  <rv s="0">
    <fb>25444.342799999999</fb>
    <v>0</v>
  </rv>
  <rv s="0">
    <fb>27.94</fb>
    <v>0</v>
  </rv>
  <rv s="0">
    <fb>24688.311799999999</fb>
    <v>0</v>
  </rv>
  <rv s="0">
    <fb>28.18</fb>
    <v>0</v>
  </rv>
  <rv s="0">
    <fb>25270.828600000001</fb>
    <v>0</v>
  </rv>
  <rv s="0">
    <fb>25989.295399999999</fb>
    <v>0</v>
  </rv>
  <rv s="0">
    <fb>28.87</fb>
    <v>0</v>
  </rv>
  <rv s="0">
    <fb>25413.220099999999</fb>
    <v>0</v>
  </rv>
  <rv s="0">
    <fb>28.46</fb>
    <v>0</v>
  </rv>
  <rv s="0">
    <fb>24285.954099999999</fb>
    <v>0</v>
  </rv>
  <rv s="0">
    <fb>29.02</fb>
    <v>0</v>
  </rv>
  <rv s="0">
    <fb>25538.4568</fb>
    <v>0</v>
  </rv>
  <rv s="0">
    <fb>27.59</fb>
    <v>0</v>
  </rv>
  <rv s="0">
    <fb>24388.950700000001</fb>
    <v>0</v>
  </rv>
  <rv s="0">
    <fb>27.62</fb>
    <v>0</v>
  </rv>
  <rv s="0">
    <fb>24100.5062</fb>
    <v>0</v>
  </rv>
  <rv s="0">
    <fb>26.53</fb>
    <v>0</v>
  </rv>
  <rv s="0">
    <fb>22445.374599999999</fb>
    <v>0</v>
  </rv>
  <rv s="0">
    <fb>27.18</fb>
    <v>0</v>
  </rv>
  <rv s="0">
    <fb>23062.404399999999</fb>
    <v>0</v>
  </rv>
  <rv s="0">
    <fb>27.39</fb>
    <v>0</v>
  </rv>
  <rv s="0">
    <fb>23433.164700000001</fb>
    <v>0</v>
  </rv>
  <rv s="0">
    <fb>27.78</fb>
    <v>0</v>
  </rv>
  <rv s="0">
    <fb>23995.950099999998</fb>
    <v>0</v>
  </rv>
  <rv s="0">
    <fb>28.64</fb>
    <v>0</v>
  </rv>
  <rv s="0">
    <fb>24706.348099999999</fb>
    <v>0</v>
  </rv>
  <rv s="0">
    <fb>28.2</fb>
    <v>0</v>
  </rv>
  <rv s="0">
    <fb>24737.1996</fb>
    <v>0</v>
  </rv>
  <rv s="0">
    <fb>27.87</fb>
    <v>0</v>
  </rv>
  <rv s="0">
    <fb>25063.886299999998</fb>
    <v>0</v>
  </rv>
  <rv s="0">
    <fb>27.83</fb>
    <v>0</v>
  </rv>
  <rv s="0">
    <fb>25106.332600000002</fb>
    <v>0</v>
  </rv>
  <rv s="0">
    <fb>29.06</fb>
    <v>0</v>
  </rv>
  <rv s="0">
    <fb>25883.2477</fb>
    <v>0</v>
  </rv>
  <rv s="0">
    <fb>29.51</fb>
    <v>0</v>
  </rv>
  <rv s="0">
    <fb>26031.809499999999</fb>
    <v>0</v>
  </rv>
  <rv s="0">
    <fb>29.87</fb>
    <v>0</v>
  </rv>
  <rv s="0">
    <fb>26026.317200000001</fb>
    <v>0</v>
  </rv>
  <rv s="0">
    <fb>25450.241900000001</fb>
    <v>0</v>
  </rv>
  <rv s="0">
    <fb>29.46</fb>
    <v>0</v>
  </rv>
  <rv s="0">
    <fb>25848.870299999999</fb>
    <v>0</v>
  </rv>
  <rv s="0">
    <fb>28.88</fb>
    <v>0</v>
  </rv>
  <rv s="0">
    <fb>25502.316500000001</fb>
    <v>0</v>
  </rv>
  <rv s="0">
    <fb>25928.677299999999</fb>
    <v>0</v>
  </rv>
  <rv s="0">
    <fb>29.93</fb>
    <v>0</v>
  </rv>
  <rv s="0">
    <fb>26424.985199999999</fb>
    <v>0</v>
  </rv>
  <rv s="0">
    <fb>30.51</fb>
    <v>0</v>
  </rv>
  <rv s="0">
    <fb>26412.302500000002</fb>
    <v>0</v>
  </rv>
  <rv s="0">
    <fb>30.57</fb>
    <v>0</v>
  </rv>
  <rv s="0">
    <fb>26559.5432</fb>
    <v>0</v>
  </rv>
  <rv s="0">
    <fb>31.68</fb>
    <v>0</v>
  </rv>
  <rv s="0">
    <fb>26543.3338</fb>
    <v>0</v>
  </rv>
  <rv s="0">
    <fb>32.340000000000003</fb>
    <v>0</v>
  </rv>
  <rv s="0">
    <fb>26504.946800000002</fb>
    <v>0</v>
  </rv>
  <rv s="0">
    <fb>32.19</fb>
    <v>0</v>
  </rv>
  <rv s="0">
    <fb>25942.3668</fb>
    <v>0</v>
  </rv>
  <rv s="0">
    <fb>31.69</fb>
    <v>0</v>
  </rv>
  <rv s="0">
    <fb>25763.995999999999</fb>
    <v>0</v>
  </rv>
  <rv s="0">
    <fb>31.85</fb>
    <v>0</v>
  </rv>
  <rv s="0">
    <fb>25585.6931</fb>
    <v>0</v>
  </rv>
  <rv s="0">
    <fb>31.57</fb>
    <v>0</v>
  </rv>
  <rv s="0">
    <fb>24815.036400000001</fb>
    <v>0</v>
  </rv>
  <rv s="0">
    <fb>32.869999999999997</fb>
    <v>0</v>
  </rv>
  <rv s="0">
    <fb>25983.9414</fb>
    <v>0</v>
  </rv>
  <rv s="0">
    <fb>32.82</fb>
    <v>0</v>
  </rv>
  <rv s="0">
    <fb>26089.607400000001</fb>
    <v>0</v>
  </rv>
  <rv s="0">
    <fb>32.9</fb>
    <v>0</v>
  </rv>
  <rv s="0">
    <fb>26719.127400000001</fb>
    <v>0</v>
  </rv>
  <rv s="0">
    <fb>33.5</fb>
    <v>0</v>
  </rv>
  <rv s="0">
    <fb>26599.964899999999</fb>
    <v>0</v>
  </rv>
  <rv s="0">
    <fb>34.76</fb>
    <v>0</v>
  </rv>
  <rv s="0">
    <fb>26922.117399999999</fb>
    <v>0</v>
  </rv>
  <rv s="0">
    <fb>34.99</fb>
    <v>0</v>
  </rv>
  <rv s="0">
    <fb>27332.0311</fb>
    <v>0</v>
  </rv>
  <rv s="0">
    <fb>34.700000000000003</fb>
    <v>0</v>
  </rv>
  <rv s="0">
    <fb>27154.2029</fb>
    <v>0</v>
  </rv>
  <rv s="0">
    <fb>36.39</fb>
    <v>0</v>
  </rv>
  <rv s="0">
    <fb>27192.4542</fb>
    <v>0</v>
  </rv>
  <rv s="0">
    <fb>35.85</fb>
    <v>0</v>
  </rv>
  <rv s="0">
    <fb>26485.007300000001</fb>
    <v>0</v>
  </rv>
  <rv s="0">
    <fb>36.74</fb>
    <v>0</v>
  </rv>
  <rv s="0">
    <fb>26287.442999999999</fb>
    <v>0</v>
  </rv>
  <rv s="0">
    <fb>36.08</fb>
    <v>0</v>
  </rv>
  <rv s="0">
    <fb>25886.007000000001</fb>
    <v>0</v>
  </rv>
  <rv s="0">
    <fb>35.42</fb>
    <v>0</v>
  </rv>
  <rv s="0">
    <fb>25628.895400000001</fb>
    <v>0</v>
  </rv>
  <rv s="0">
    <fb>36.89</fb>
    <v>0</v>
  </rv>
  <rv s="0">
    <fb>26403.282299999999</fb>
    <v>0</v>
  </rv>
  <rv s="0">
    <fb>36.81</fb>
    <v>0</v>
  </rv>
  <rv s="0">
    <fb>26797.461299999999</fb>
    <v>0</v>
  </rv>
  <rv s="0">
    <fb>35.979999999999997</fb>
    <v>0</v>
  </rv>
  <rv s="0">
    <fb>27219.514999999999</fb>
    <v>0</v>
  </rv>
  <rv s="0">
    <fb>36.229999999999997</fb>
    <v>0</v>
  </rv>
  <rv s="0">
    <fb>26935.0713</fb>
    <v>0</v>
  </rv>
  <rv s="0">
    <fb>35.79</fb>
    <v>0</v>
  </rv>
  <rv s="0">
    <fb>26820.249400000001</fb>
    <v>0</v>
  </rv>
  <rv s="0">
    <fb>36.409999999999997</fb>
    <v>0</v>
  </rv>
  <rv s="0">
    <fb>26573.7179</fb>
    <v>0</v>
  </rv>
  <rv s="0">
    <fb>36.04</fb>
    <v>0</v>
  </rv>
  <rv s="0">
    <fb>26816.587</fb>
    <v>0</v>
  </rv>
  <rv s="0">
    <fb>36.32</fb>
    <v>0</v>
  </rv>
  <rv s="0">
    <fb>26770.197</fb>
    <v>0</v>
  </rv>
  <rv s="0">
    <fb>35.96</fb>
    <v>0</v>
  </rv>
  <rv s="0">
    <fb>26958.0628</fb>
    <v>0</v>
  </rv>
  <rv s="0">
    <fb>37.630000000000003</fb>
    <v>0</v>
  </rv>
  <rv s="0">
    <fb>27347.358700000001</fb>
    <v>0</v>
  </rv>
  <rv s="0">
    <fb>37.75</fb>
    <v>0</v>
  </rv>
  <rv s="0">
    <fb>27681.2444</fb>
    <v>0</v>
  </rv>
  <rv s="0">
    <fb>37.869999999999997</fb>
    <v>0</v>
  </rv>
  <rv s="0">
    <fb>28004.888999999999</fb>
    <v>0</v>
  </rv>
  <rv s="0">
    <fb>37.85</fb>
    <v>0</v>
  </rv>
  <rv s="0">
    <fb>27875.6211</fb>
    <v>0</v>
  </rv>
  <rv s="0">
    <fb>37.74</fb>
    <v>0</v>
  </rv>
  <rv s="0">
    <fb>28051.4146</fb>
    <v>0</v>
  </rv>
  <rv s="0">
    <fb>38.369999999999997</fb>
    <v>0</v>
  </rv>
  <rv s="0">
    <fb>28015.0622</fb>
    <v>0</v>
  </rv>
  <rv s="0">
    <fb>38.86</fb>
    <v>0</v>
  </rv>
  <rv s="0">
    <fb>28135.377700000001</fb>
    <v>0</v>
  </rv>
  <rv s="0">
    <fb>40.25</fb>
    <v>0</v>
  </rv>
  <rv s="0">
    <fb>28455.0887</fb>
    <v>0</v>
  </rv>
  <rv s="0">
    <fb>39.299999999999997</fb>
    <v>0</v>
  </rv>
  <rv s="0">
    <fb>28645.260399999999</fb>
    <v>0</v>
  </rv>
  <rv s="0">
    <fb>39.65</fb>
    <v>0</v>
  </rv>
  <rv s="0">
    <fb>28634.883699999998</fb>
    <v>0</v>
  </rv>
  <rv s="0">
    <fb>40.4</fb>
    <v>0</v>
  </rv>
  <rv s="0">
    <fb>28823.766800000001</fb>
    <v>0</v>
  </rv>
  <rv s="0">
    <fb>41.41</fb>
    <v>0</v>
  </rv>
  <rv s="0">
    <fb>29348.095499999999</fb>
    <v>0</v>
  </rv>
  <rv s="0">
    <fb>41.83</fb>
    <v>0</v>
  </rv>
  <rv s="0">
    <fb>28989.726200000001</fb>
    <v>0</v>
  </rv>
  <rv s="0">
    <fb>44.9</fb>
    <v>0</v>
  </rv>
  <rv s="0">
    <fb>28256.032299999999</fb>
    <v>0</v>
  </rv>
  <rv s="0">
    <fb>46.75</fb>
    <v>0</v>
  </rv>
  <rv s="0">
    <fb>29102.513500000001</fb>
    <v>0</v>
  </rv>
  <rv s="0">
    <fb>47.85</fb>
    <v>0</v>
  </rv>
  <rv s="0">
    <fb>29398.080000000002</fb>
    <v>0</v>
  </rv>
  <rv s="0">
    <fb>48.36</fb>
    <v>0</v>
  </rv>
  <rv s="0">
    <fb>43.01</fb>
    <v>0</v>
  </rv>
  <rv s="0">
    <fb>45.16</fb>
    <v>0</v>
  </rv>
  <rv s="0">
    <fb>39.840000000000003</fb>
    <v>0</v>
  </rv>
  <rv s="0">
    <fb>33.619999999999997</fb>
    <v>0</v>
  </rv>
  <rv s="0">
    <fb>19173.975999999999</fb>
    <v>0</v>
  </rv>
  <rv s="0">
    <fb>35.93</fb>
    <v>0</v>
  </rv>
  <rv s="0">
    <fb>21636.781200000001</fb>
    <v>0</v>
  </rv>
  <rv s="0">
    <fb>33.409999999999997</fb>
    <v>0</v>
  </rv>
  <rv s="0">
    <fb>21052.534800000001</fb>
    <v>0</v>
  </rv>
  <rv s="0">
    <fb>39.03</fb>
    <v>0</v>
  </rv>
  <rv s="0">
    <fb>38.1</fb>
    <v>0</v>
  </rv>
  <rv s="0">
    <fb>35.06</fb>
    <v>0</v>
  </rv>
  <rv s="0">
    <fb>37.6</fb>
    <v>0</v>
  </rv>
  <rv s="0">
    <fb>37</fb>
    <v>0</v>
  </rv>
  <rv s="0">
    <fb>38.42</fb>
    <v>0</v>
  </rv>
  <rv s="0">
    <fb>40.200000000000003</fb>
    <v>0</v>
  </rv>
  <rv s="0">
    <fb>42.73</fb>
    <v>0</v>
  </rv>
  <rv s="0">
    <fb>40.67</fb>
    <v>0</v>
  </rv>
  <rv s="0">
    <fb>41.13</fb>
    <v>0</v>
  </rv>
  <rv s="0">
    <fb>40.08</fb>
    <v>0</v>
  </rv>
  <rv s="0">
    <fb>40.85</fb>
    <v>0</v>
  </rv>
  <rv s="0">
    <fb>41.42</fb>
    <v>0</v>
  </rv>
  <rv s="0">
    <fb>43.7</fb>
    <v>0</v>
  </rv>
  <rv s="0">
    <fb>45.4</fb>
    <v>0</v>
  </rv>
  <rv s="0">
    <fb>45.47</fb>
    <v>0</v>
  </rv>
  <rv s="0">
    <fb>46.06</fb>
    <v>0</v>
  </rv>
  <rv s="0">
    <fb>45.82</fb>
    <v>0</v>
  </rv>
  <rv s="0">
    <fb>45.52</fb>
    <v>0</v>
  </rv>
  <rv s="0">
    <fb>46.21</fb>
    <v>0</v>
  </rv>
  <rv s="0">
    <fb>45.25</fb>
    <v>0</v>
  </rv>
  <rv s="0">
    <fb>44.64</fb>
    <v>0</v>
  </rv>
  <rv s="0">
    <fb>44.8</fb>
    <v>0</v>
  </rv>
  <rv s="0">
    <fb>43.94</fb>
    <v>0</v>
  </rv>
  <rv s="0">
    <fb>45.36</fb>
    <v>0</v>
  </rv>
  <rv s="0">
    <fb>47.22</fb>
    <v>0</v>
  </rv>
  <rv s="0">
    <fb>47.45</fb>
    <v>0</v>
  </rv>
  <rv s="0">
    <fb>46.72</fb>
    <v>0</v>
  </rv>
  <rv s="0">
    <fb>43.51</fb>
    <v>0</v>
  </rv>
  <rv s="0">
    <fb>45.73</fb>
    <v>0</v>
  </rv>
  <rv s="0">
    <fb>47.16</fb>
    <v>0</v>
  </rv>
  <rv s="0">
    <fb>47.18</fb>
    <v>0</v>
  </rv>
  <rv s="0">
    <fb>45.62</fb>
    <v>0</v>
  </rv>
  <rv s="0">
    <fb>44.81</fb>
    <v>0</v>
  </rv>
  <rv s="0">
    <fb>45.01</fb>
    <v>0</v>
  </rv>
  <rv s="0">
    <fb>45.97</fb>
    <v>0</v>
  </rv>
  <rv s="0">
    <fb>46.31</fb>
    <v>0</v>
  </rv>
  <rv s="0">
    <fb>47.41</fb>
    <v>0</v>
  </rv>
  <rv s="0">
    <fb>48.02</fb>
    <v>0</v>
  </rv>
  <rv s="0">
    <fb>46.3</fb>
    <v>0</v>
  </rv>
  <rv s="0">
    <fb>47.49</fb>
    <v>0</v>
  </rv>
  <rv s="0">
    <fb>43.09</fb>
    <v>0</v>
  </rv>
  <rv s="0">
    <fb>44.77</fb>
    <v>0</v>
  </rv>
  <rv s="0">
    <fb>45.59</fb>
    <v>0</v>
  </rv>
  <rv s="0">
    <fb>45.9</fb>
    <v>0</v>
  </rv>
  <rv s="0">
    <fb>46.04</fb>
    <v>0</v>
  </rv>
  <rv s="0">
    <fb>46.82</fb>
    <v>0</v>
  </rv>
  <rv s="0">
    <fb>44.76</fb>
    <v>0</v>
  </rv>
  <rv s="0">
    <fb>46.19</fb>
    <v>0</v>
  </rv>
  <rv s="0">
    <fb>46.52</fb>
    <v>0</v>
  </rv>
  <rv s="0">
    <fb>47.83</fb>
    <v>0</v>
  </rv>
  <rv s="0">
    <fb>49.55</fb>
    <v>0</v>
  </rv>
  <rv s="0">
    <fb>50.48</fb>
    <v>0</v>
  </rv>
  <rv s="0">
    <fb>53.18</fb>
    <v>0</v>
  </rv>
  <rv s="0">
    <fb>53.69</fb>
    <v>0</v>
  </rv>
  <rv s="0">
    <fb>52.51</fb>
    <v>0</v>
  </rv>
  <rv s="0">
    <fb>52.09</fb>
    <v>0</v>
  </rv>
  <rv s="0">
    <fb>52.52</fb>
    <v>0</v>
  </rv>
  <rv s="0">
    <fb>52.37</fb>
    <v>0</v>
  </rv>
  <rv s="0">
    <fb>52.17</fb>
    <v>0</v>
  </rv>
  <rv s="0">
    <fb>51.81</fb>
    <v>0</v>
  </rv>
  <rv s="0">
    <fb>53.49</fb>
    <v>0</v>
  </rv>
  <rv s="0">
    <fb>53.67</fb>
    <v>0</v>
  </rv>
  <rv s="0">
    <fb>52.95</fb>
    <v>0</v>
  </rv>
  <rv s="0">
    <fb>53.74</fb>
    <v>0</v>
  </rv>
  <rv s="0">
    <fb>54.35</fb>
    <v>0</v>
  </rv>
  <rv s="0">
    <fb>54.4</fb>
    <v>0</v>
  </rv>
  <rv s="0">
    <fb>54.48</fb>
    <v>0</v>
  </rv>
  <rv s="0">
    <fb>55.75</fb>
    <v>0</v>
  </rv>
  <rv s="0">
    <fb>57.76</fb>
    <v>0</v>
  </rv>
  <rv s="0">
    <fb>58.15</fb>
    <v>0</v>
  </rv>
  <rv s="0">
    <fb>58.94</fb>
    <v>0</v>
  </rv>
  <rv s="0">
    <fb>57.77</fb>
    <v>0</v>
  </rv>
  <rv s="0">
    <fb>57.01</fb>
    <v>0</v>
  </rv>
  <rv s="0">
    <fb>58.1</fb>
    <v>0</v>
  </rv>
  <rv s="0">
    <fb>57.6</fb>
    <v>0</v>
  </rv>
  <rv s="0">
    <fb>59.99</fb>
    <v>0</v>
  </rv>
  <rv s="0">
    <fb>64.319999999999993</fb>
    <v>0</v>
  </rv>
  <rv s="0">
    <fb>66.489999999999995</fb>
    <v>0</v>
  </rv>
  <rv s="0">
    <fb>63.11</fb>
    <v>0</v>
  </rv>
  <rv s="0">
    <fb>61.97</fb>
    <v>0</v>
  </rv>
  <rv s="0">
    <fb>64.52</fb>
    <v>0</v>
  </rv>
  <rv s="0">
    <fb>64.540000000000006</fb>
    <v>0</v>
  </rv>
  <rv s="0">
    <fb>64.760000000000005</fb>
    <v>0</v>
  </rv>
  <rv s="0">
    <fb>65.209999999999994</fb>
    <v>0</v>
  </rv>
  <rv s="0">
    <fb>67.209999999999994</fb>
    <v>0</v>
  </rv>
  <rv s="0">
    <fb>65.87</fb>
    <v>0</v>
  </rv>
  <rv s="0">
    <fb>68.03</fb>
    <v>0</v>
  </rv>
  <rv s="0">
    <fb>70.28</fb>
    <v>0</v>
  </rv>
  <rv s="0">
    <fb>68.599999999999994</fb>
    <v>0</v>
  </rv>
  <rv s="0">
    <fb>67.05</fb>
    <v>0</v>
  </rv>
  <rv s="0">
    <fb>63.13</fb>
    <v>0</v>
  </rv>
  <rv s="0">
    <fb>64.38</fb>
    <v>0</v>
  </rv>
  <rv s="0">
    <fb>67.53</fb>
    <v>0</v>
  </rv>
  <rv s="0">
    <fb>66.91</fb>
    <v>0</v>
  </rv>
  <rv s="0">
    <fb>66.14</fb>
    <v>0</v>
  </rv>
  <rv s="0">
    <fb>67.59</fb>
    <v>0</v>
  </rv>
  <rv s="0">
    <fb>68.41</fb>
    <v>0</v>
  </rv>
  <rv s="0">
    <fb>62.71</fb>
    <v>0</v>
  </rv>
  <rv s="0">
    <fb>69.59</fb>
    <v>0</v>
  </rv>
  <rv s="0">
    <fb>70.37</fb>
    <v>0</v>
  </rv>
  <rv s="0">
    <fb>72.56</fb>
    <v>0</v>
  </rv>
  <rv s="0">
    <fb>72.959999999999994</fb>
    <v>0</v>
  </rv>
  <rv s="0">
    <fb>71.260000000000005</fb>
    <v>0</v>
  </rv>
  <rv s="0">
    <fb>67.73</fb>
    <v>0</v>
  </rv>
  <rv s="0">
    <fb>61.98</fb>
    <v>0</v>
  </rv>
  <rv s="0">
    <fb>58.24</fb>
    <v>0</v>
  </rv>
  <rv s="0">
    <fb>57.9</fb>
    <v>0</v>
  </rv>
  <rv s="0">
    <fb>55</fb>
    <v>0</v>
  </rv>
  <rv s="0">
    <fb>59.95</fb>
    <v>0</v>
  </rv>
  <rv s="0">
    <fb>58.74</fb>
    <v>0</v>
  </rv>
  <rv s="0">
    <fb>53.5</fb>
    <v>0</v>
  </rv>
  <rv s="0">
    <fb>59.06</fb>
    <v>0</v>
  </rv>
  <rv s="0">
    <fb>59.33</fb>
    <v>0</v>
  </rv>
  <rv s="0">
    <fb>60.08</fb>
    <v>0</v>
  </rv>
  <rv s="0">
    <fb>59.31</fb>
    <v>0</v>
  </rv>
  <rv s="0">
    <fb>65.099999999999994</fb>
    <v>0</v>
  </rv>
  <rv s="0">
    <fb>64.900000000000006</fb>
    <v>0</v>
  </rv>
  <rv s="0">
    <fb>67.55</fb>
    <v>0</v>
  </rv>
  <rv s="0">
    <fb>67.27</fb>
    <v>0</v>
  </rv>
  <rv s="0">
    <fb>65.09</fb>
    <v>0</v>
  </rv>
  <rv s="0">
    <fb>62.89</fb>
    <v>0</v>
  </rv>
  <rv s="0">
    <fb>65.41</fb>
    <v>0</v>
  </rv>
  <rv s="0">
    <fb>61.54</fb>
    <v>0</v>
  </rv>
  <rv s="0">
    <fb>58.92</fb>
    <v>0</v>
  </rv>
  <rv s="0">
    <fb>60.48</fb>
    <v>0</v>
  </rv>
  <rv s="0">
    <fb>61.22</fb>
    <v>0</v>
  </rv>
  <rv s="0">
    <fb>59.48</fb>
    <v>0</v>
  </rv>
  <rv s="0">
    <fb>61.53</fb>
    <v>0</v>
  </rv>
  <rv s="0">
    <fb>58.64</fb>
    <v>0</v>
  </rv>
  <rv s="0">
    <fb>55.77</fb>
    <v>0</v>
  </rv>
  <rv s="0">
    <fb>56.67</fb>
    <v>0</v>
  </rv>
  <rv s="0">
    <fb>56.94</fb>
    <v>0</v>
  </rv>
  <rv s="0">
    <fb>59.26</fb>
    <v>0</v>
  </rv>
  <rv s="0">
    <fb>59.52</fb>
    <v>0</v>
  </rv>
  <rv s="0">
    <fb>57.5</fb>
    <v>0</v>
  </rv>
  <rv s="0">
    <fb>55.5</fb>
    <v>0</v>
  </rv>
  <rv s="0">
    <fb>56.97</fb>
    <v>0</v>
  </rv>
  <rv s="0">
    <fb>58.83</fb>
    <v>0</v>
  </rv>
  <rv s="0">
    <fb>61.27</fb>
    <v>0</v>
  </rv>
  <rv s="0">
    <fb>61.72</fb>
    <v>0</v>
  </rv>
  <rv s="0">
    <fb>58.39</fb>
    <v>0</v>
  </rv>
  <rv s="0">
    <fb>58.25</fb>
    <v>0</v>
  </rv>
  <rv s="0">
    <fb>57.67</fb>
    <v>0</v>
  </rv>
  <rv s="0">
    <fb>56.47</fb>
    <v>0</v>
  </rv>
  <rv s="0">
    <fb>56.76</fb>
    <v>0</v>
  </rv>
  <rv s="0">
    <fb>54.92</fb>
    <v>0</v>
  </rv>
  <rv s="0">
    <fb>53.8</fb>
    <v>0</v>
  </rv>
  <rv s="0">
    <fb>55.36</fb>
    <v>0</v>
  </rv>
  <rv s="0">
    <fb>57.42</fb>
    <v>0</v>
  </rv>
  <rv s="0">
    <fb>59.14</fb>
    <v>0</v>
  </rv>
  <rv s="0">
    <fb>58.77</fb>
    <v>0</v>
  </rv>
  <rv s="0">
    <fb>61.4</fb>
    <v>0</v>
  </rv>
  <rv s="0">
    <fb>64.39</fb>
    <v>0</v>
  </rv>
  <rv s="0">
    <fb>65.31</fb>
    <v>0</v>
  </rv>
  <rv s="0">
    <fb>65.680000000000007</fb>
    <v>0</v>
  </rv>
  <rv s="0">
    <fb>66.36</fb>
    <v>0</v>
  </rv>
  <rv s="0">
    <fb>62.87</fb>
    <v>0</v>
  </rv>
  <rv s="0">
    <fb>63.79</fb>
    <v>0</v>
  </rv>
  <rv s="0">
    <fb>64.03</fb>
    <v>0</v>
  </rv>
  <rv s="0">
    <fb>66.25</fb>
    <v>0</v>
  </rv>
  <rv s="0">
    <fb>66.430000000000007</fb>
    <v>0</v>
  </rv>
  <rv s="0">
    <fb>68.84</fb>
    <v>0</v>
  </rv>
  <rv s="0">
    <fb>67.8</fb>
    <v>0</v>
  </rv>
  <rv s="0">
    <fb>68.72</fb>
    <v>0</v>
  </rv>
  <rv s="0">
    <fb>71.2</fb>
    <v>0</v>
  </rv>
  <rv s="0">
    <fb>70.59</fb>
    <v>0</v>
  </rv>
  <rv s="0">
    <fb>70</fb>
    <v>0</v>
  </rv>
  <rv s="0">
    <fb>70.78</fb>
    <v>0</v>
  </rv>
  <rv s="0">
    <fb>71.39</fb>
    <v>0</v>
  </rv>
  <rv s="0">
    <fb>73.069999999999993</fb>
    <v>0</v>
  </rv>
  <rv s="0">
    <fb>74.2</fb>
    <v>0</v>
  </rv>
  <rv s="0">
    <fb>73.12</fb>
    <v>0</v>
  </rv>
  <rv s="0">
    <fb>72.63</fb>
    <v>0</v>
  </rv>
  <rv s="0">
    <fb>72.27</fb>
    <v>0</v>
  </rv>
  <rv s="0">
    <fb>69.84</fb>
    <v>0</v>
  </rv>
  <rv s="0">
    <fb>71.02</fb>
    <v>0</v>
  </rv>
  <rv s="0">
    <fb>69.709999999999994</fb>
    <v>0</v>
  </rv>
  <rv s="0">
    <fb>67.17</fb>
    <v>0</v>
  </rv>
  <rv s="0">
    <fb>67.63</fb>
    <v>0</v>
  </rv>
  <rv s="0">
    <fb>70.53</fb>
    <v>0</v>
  </rv>
  <rv s="0">
    <fb>72.849999999999994</fb>
    <v>0</v>
  </rv>
  <rv s="0">
    <fb>73.010000000000005</fb>
    <v>0</v>
  </rv>
  <rv s="0">
    <fb>74.53</fb>
    <v>0</v>
  </rv>
  <rv s="0">
    <fb>74.14</fb>
    <v>0</v>
  </rv>
  <rv s="0">
    <fb>74.150000000000006</fb>
    <v>0</v>
  </rv>
  <rv s="0">
    <fb>69.47</fb>
    <v>0</v>
  </rv>
  <rv s="0">
    <fb>70.48</fb>
    <v>0</v>
  </rv>
  <rv s="0">
    <fb>71.11</fb>
    <v>0</v>
  </rv>
  <rv s="0">
    <fb>69.599999999999994</fb>
    <v>0</v>
  </rv>
  <rv s="0">
    <fb>74.48</fb>
    <v>0</v>
  </rv>
  <rv s="0">
    <fb>74.83</fb>
    <v>0</v>
  </rv>
  <rv s="0">
    <fb>76.88</fb>
    <v>0</v>
  </rv>
  <rv s="0">
    <fb>77.69</fb>
    <v>0</v>
  </rv>
  <rv s="0">
    <fb>81</fb>
    <v>0</v>
  </rv>
  <rv s="0">
    <fb>82.69</fb>
    <v>0</v>
  </rv>
  <rv s="0">
    <fb>84.24</fb>
    <v>0</v>
  </rv>
  <rv s="0">
    <fb>83.74</fb>
    <v>0</v>
  </rv>
  <rv s="0">
    <fb>85.19</fb>
    <v>0</v>
  </rv>
  <rv s="0">
    <fb>84.94</fb>
    <v>0</v>
  </rv>
  <rv s="0">
    <fb>86</fb>
    <v>0</v>
  </rv>
  <rv s="0">
    <fb>87.54</fb>
    <v>0</v>
  </rv>
  <rv s="0">
    <fb>85.15</fb>
    <v>0</v>
  </rv>
  <rv s="0">
    <fb>81.900000000000006</fb>
    <v>0</v>
  </rv>
  <rv s="0">
    <fb>82.17</fb>
    <v>0</v>
  </rv>
  <rv s="0">
    <fb>81.459999999999994</fb>
    <v>0</v>
  </rv>
  <rv s="0">
    <fb>83.5</fb>
    <v>0</v>
  </rv>
  <rv s="0">
    <fb>87.07</fb>
    <v>0</v>
  </rv>
  <rv s="0">
    <fb>89.83</fb>
    <v>0</v>
  </rv>
  <rv s="0">
    <fb>89.36</fb>
    <v>0</v>
  </rv>
  <rv s="0">
    <fb>89.51</fb>
    <v>0</v>
  </rv>
  <rv s="0">
    <fb>90.28</fb>
    <v>0</v>
  </rv>
  <rv s="0">
    <fb>90.08</fb>
    <v>0</v>
  </rv>
  <rv s="0">
    <fb>93.02</fb>
    <v>0</v>
  </rv>
  <rv s="0">
    <fb>89.41</fb>
    <v>0</v>
  </rv>
  <rv s="0">
    <fb>90.52</fb>
    <v>0</v>
  </rv>
  <rv s="0">
    <fb>93.74</fb>
    <v>0</v>
  </rv>
  <rv s="0">
    <fb>92.46</fb>
    <v>0</v>
  </rv>
  <rv s="0">
    <fb>99.17</fb>
    <v>0</v>
  </rv>
  <rv s="0">
    <fb>101.22</fb>
    <v>0</v>
  </rv>
  <rv s="0">
    <fb>100.32</fb>
    <v>0</v>
  </rv>
  <rv s="0">
    <fb>101.87</fb>
    <v>0</v>
  </rv>
  <rv s="0">
    <fb>102</fb>
    <v>0</v>
  </rv>
  <rv s="0">
    <fb>105.13</fb>
    <v>0</v>
  </rv>
  <rv s="0">
    <fb>103.94</fb>
    <v>0</v>
  </rv>
  <rv s="0">
    <fb>103.13</fb>
    <v>0</v>
  </rv>
  <rv s="0">
    <fb>101.01</fb>
    <v>0</v>
  </rv>
  <rv s="0">
    <fb>102.65</fb>
    <v>0</v>
  </rv>
  <rv s="0">
    <fb>105.65</fb>
    <v>0</v>
  </rv>
  <rv s="0">
    <fb>104.75</fb>
    <v>0</v>
  </rv>
  <rv s="0">
    <fb>106.39</fb>
    <v>0</v>
  </rv>
  <rv s="0">
    <fb>103.98</fb>
    <v>0</v>
  </rv>
  <rv s="0">
    <fb>104.17</fb>
    <v>0</v>
  </rv>
  <rv s="0">
    <fb>112.43</fb>
    <v>0</v>
  </rv>
  <rv s="0">
    <fb>110.05</fb>
    <v>0</v>
  </rv>
  <rv s="0">
    <fb>112.05</fb>
    <v>0</v>
  </rv>
  <rv s="0">
    <fb>113.1</fb>
    <v>0</v>
  </rv>
  <rv s="0">
    <fb>44910.65</fb>
    <v>0</v>
  </rv>
  <rv s="0">
    <fb>109.18</fb>
    <v>0</v>
  </rv>
  <rv s="0">
    <fb>44642.52</fb>
    <v>0</v>
  </rv>
  <rv s="0">
    <fb>104.19</fb>
    <v>0</v>
  </rv>
  <rv s="0">
    <fb>102.93</fb>
    <v>0</v>
  </rv>
  <rv s="0">
    <fb>102.89</fb>
    <v>0</v>
  </rv>
  <rv s="0">
    <fb>101.59</fb>
    <v>0</v>
  </rv>
  <rv s="0">
    <fb>101.95</fb>
    <v>0</v>
  </rv>
  <rv s="0">
    <fb>105.55</fb>
    <v>0</v>
  </rv>
  <rv s="0">
    <fb>106</fb>
    <v>0</v>
  </rv>
  <rv s="0">
    <fb>104.66</fb>
    <v>0</v>
  </rv>
  <rv s="0">
    <fb>44544.66</fb>
    <v>0</v>
  </rv>
  <rv s="0">
    <fb>108.58</fb>
    <v>0</v>
  </rv>
  <rv s="0">
    <fb>45698</fb>
    <v>1</v>
  </rv>
  <rv s="0">
    <fb>44546.080000000002</fb>
    <v>0</v>
  </rv>
  <rv s="1">
    <v>2</v>
    <v>DJI</v>
    <v>Daily</v>
    <v>45697</v>
    <v>45704</v>
    <v>0</v>
    <v>1</v>
    <v>638750880000000000,638753211612566803,0</v>
    <v>0</v>
    <v>a6qja2</v>
    <v>DJI</v>
    <v>1</v>
  </rv>
  <rv s="1">
    <v>2</v>
    <v>DJI</v>
    <v>Daily</v>
    <v>40225</v>
    <v>45704</v>
    <v>0</v>
    <v>1</v>
    <v>638750880000000000,638753211612586727,0</v>
    <v>2</v>
    <v>a6qja2</v>
    <v>DJI</v>
    <v>3</v>
  </rv>
  <rv s="1">
    <v>2</v>
    <v>BRO</v>
    <v>Daily</v>
    <v>45697</v>
    <v>45704</v>
    <v>0</v>
    <v>1</v>
    <v>638750880000000000,638753211612477092,0</v>
    <v>0</v>
    <v>a1ou77</v>
    <v>XNYS:BRO</v>
    <v>4</v>
  </rv>
  <rv s="1">
    <v>2</v>
    <v>BRO</v>
    <v>Daily</v>
    <v>40225</v>
    <v>45704</v>
    <v>0</v>
    <v>1</v>
    <v>638750880000000000,638753211612497354,0</v>
    <v>5</v>
    <v>a1ou77</v>
    <v>XNYS:BRO</v>
    <v>6</v>
  </rv>
  <rv s="1">
    <v>2</v>
    <v>DJI</v>
    <v>Weekly</v>
    <v>43877</v>
    <v>45710</v>
    <v>0</v>
    <v>1</v>
    <v>638750880000000000,638753464043621022,0</v>
    <v>7</v>
    <v>a6qja2</v>
    <v>DJI</v>
    <v>8</v>
  </rv>
  <rv s="1">
    <v>2</v>
    <v>DJI</v>
    <v>Weekly</v>
    <v>40223</v>
    <v>45710</v>
    <v>0</v>
    <v>1</v>
    <v>638750880000000000,638753464043769143,0</v>
    <v>9</v>
    <v>a6qja2</v>
    <v>DJI</v>
    <v>10</v>
  </rv>
  <rv s="1">
    <v>2</v>
    <v>BRO</v>
    <v>Weekly</v>
    <v>40223</v>
    <v>45710</v>
    <v>0</v>
    <v>1</v>
    <v>638750880000000000,638753464043699395,0</v>
    <v>11</v>
    <v>a1ou77</v>
    <v>XNYS:BRO</v>
    <v>12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6CD41-22DF-4EAD-AC7E-DADA0AE591CA}">
  <sheetPr codeName="Sheet4">
    <tabColor theme="0" tint="-0.249977111117893"/>
  </sheetPr>
  <dimension ref="A1:DJ784"/>
  <sheetViews>
    <sheetView topLeftCell="A269" zoomScale="94" workbookViewId="0">
      <selection activeCell="H285" sqref="H285"/>
    </sheetView>
  </sheetViews>
  <sheetFormatPr defaultRowHeight="14.4" x14ac:dyDescent="0.3"/>
  <cols>
    <col min="1" max="1" width="13.6640625" style="3" bestFit="1" customWidth="1"/>
    <col min="2" max="2" width="16.44140625" style="3" bestFit="1" customWidth="1"/>
    <col min="3" max="3" width="12" style="3" bestFit="1" customWidth="1"/>
    <col min="4" max="4" width="10.6640625" style="3" bestFit="1" customWidth="1"/>
    <col min="5" max="96" width="9" style="3" bestFit="1" customWidth="1"/>
    <col min="97" max="101" width="8.88671875" style="3"/>
    <col min="102" max="102" width="8.88671875" style="46"/>
    <col min="103" max="105" width="8.88671875" style="3"/>
    <col min="106" max="106" width="21.109375" style="3" bestFit="1" customWidth="1"/>
    <col min="107" max="109" width="8.88671875" style="3"/>
    <col min="110" max="110" width="11.77734375" style="3" customWidth="1"/>
    <col min="111" max="113" width="8.88671875" style="3"/>
    <col min="114" max="114" width="10.44140625" style="3" bestFit="1" customWidth="1"/>
    <col min="115" max="16384" width="8.88671875" style="3"/>
  </cols>
  <sheetData>
    <row r="1" spans="1:114" x14ac:dyDescent="0.3">
      <c r="CX1" s="3"/>
    </row>
    <row r="2" spans="1:114" x14ac:dyDescent="0.3">
      <c r="CX2" s="3"/>
      <c r="DB2" s="8" t="s">
        <v>1319</v>
      </c>
      <c r="DC2" s="18"/>
      <c r="DD2" s="18"/>
    </row>
    <row r="3" spans="1:114" x14ac:dyDescent="0.3">
      <c r="C3" s="18" cm="1">
        <f t="array" ref="C3:CK3">TRANSPOSE('Portfolio Builder'!$C$5:$C$91)</f>
        <v>0</v>
      </c>
      <c r="D3" s="18">
        <v>0</v>
      </c>
      <c r="E3" s="18">
        <v>0</v>
      </c>
      <c r="F3" s="18">
        <v>0</v>
      </c>
      <c r="G3" s="18">
        <v>0</v>
      </c>
      <c r="H3" s="18">
        <v>0</v>
      </c>
      <c r="I3" s="18">
        <v>0</v>
      </c>
      <c r="J3" s="18">
        <v>0</v>
      </c>
      <c r="K3" s="18">
        <v>0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v>0</v>
      </c>
      <c r="R3" s="18">
        <v>0</v>
      </c>
      <c r="S3" s="18">
        <v>0</v>
      </c>
      <c r="T3" s="18">
        <v>0</v>
      </c>
      <c r="U3" s="18">
        <v>0</v>
      </c>
      <c r="V3" s="18">
        <v>0</v>
      </c>
      <c r="W3" s="18">
        <v>0</v>
      </c>
      <c r="X3" s="18">
        <v>0</v>
      </c>
      <c r="Y3" s="18">
        <v>0</v>
      </c>
      <c r="Z3" s="18">
        <v>0</v>
      </c>
      <c r="AA3" s="18">
        <v>0</v>
      </c>
      <c r="AB3" s="18">
        <v>0</v>
      </c>
      <c r="AC3" s="18">
        <v>0</v>
      </c>
      <c r="AD3" s="18">
        <v>0</v>
      </c>
      <c r="AE3" s="18">
        <v>0</v>
      </c>
      <c r="AF3" s="18">
        <v>0</v>
      </c>
      <c r="AG3" s="18">
        <v>0</v>
      </c>
      <c r="AH3" s="18">
        <v>0</v>
      </c>
      <c r="AI3" s="18">
        <v>0</v>
      </c>
      <c r="AJ3" s="18">
        <v>0</v>
      </c>
      <c r="AK3" s="18">
        <v>0</v>
      </c>
      <c r="AL3" s="18">
        <v>0</v>
      </c>
      <c r="AM3" s="18">
        <v>0</v>
      </c>
      <c r="AN3" s="18">
        <v>0</v>
      </c>
      <c r="AO3" s="18">
        <v>0</v>
      </c>
      <c r="AP3" s="18">
        <v>0</v>
      </c>
      <c r="AQ3" s="18">
        <v>0</v>
      </c>
      <c r="AR3" s="18">
        <v>0</v>
      </c>
      <c r="AS3" s="18">
        <v>0</v>
      </c>
      <c r="AT3" s="18">
        <v>0</v>
      </c>
      <c r="AU3" s="18">
        <v>0</v>
      </c>
      <c r="AV3" s="18">
        <v>0</v>
      </c>
      <c r="AW3" s="18">
        <v>0</v>
      </c>
      <c r="AX3" s="18">
        <v>0</v>
      </c>
      <c r="AY3" s="18">
        <v>0</v>
      </c>
      <c r="AZ3" s="18">
        <v>0</v>
      </c>
      <c r="BA3" s="18">
        <v>0</v>
      </c>
      <c r="BB3" s="18">
        <v>0</v>
      </c>
      <c r="BC3" s="18">
        <v>0</v>
      </c>
      <c r="BD3" s="18">
        <v>0</v>
      </c>
      <c r="BE3" s="18">
        <v>0</v>
      </c>
      <c r="BF3" s="18">
        <v>0</v>
      </c>
      <c r="BG3" s="18">
        <v>0</v>
      </c>
      <c r="BH3" s="18">
        <v>0</v>
      </c>
      <c r="BI3" s="18">
        <v>0</v>
      </c>
      <c r="BJ3" s="18">
        <v>0</v>
      </c>
      <c r="BK3" s="18">
        <v>0</v>
      </c>
      <c r="BL3" s="18">
        <v>0</v>
      </c>
      <c r="BM3" s="18">
        <v>0</v>
      </c>
      <c r="BN3" s="18">
        <v>0</v>
      </c>
      <c r="BO3" s="18">
        <v>0</v>
      </c>
      <c r="BP3" s="18">
        <v>0</v>
      </c>
      <c r="BQ3" s="18">
        <v>0</v>
      </c>
      <c r="BR3" s="18">
        <v>0</v>
      </c>
      <c r="BS3" s="18">
        <v>0</v>
      </c>
      <c r="BT3" s="18">
        <v>0</v>
      </c>
      <c r="BU3" s="18">
        <v>0</v>
      </c>
      <c r="BV3" s="18">
        <v>0</v>
      </c>
      <c r="BW3" s="18">
        <v>0</v>
      </c>
      <c r="BX3" s="18">
        <v>0</v>
      </c>
      <c r="BY3" s="18">
        <v>0</v>
      </c>
      <c r="BZ3" s="18">
        <v>0</v>
      </c>
      <c r="CA3" s="18">
        <v>0</v>
      </c>
      <c r="CB3" s="18">
        <v>0</v>
      </c>
      <c r="CC3" s="18">
        <v>0</v>
      </c>
      <c r="CD3" s="18">
        <v>0</v>
      </c>
      <c r="CE3" s="18">
        <v>0</v>
      </c>
      <c r="CF3" s="18">
        <v>0</v>
      </c>
      <c r="CG3" s="18">
        <v>0</v>
      </c>
      <c r="CH3" s="18">
        <v>0</v>
      </c>
      <c r="CI3" s="18">
        <v>0</v>
      </c>
      <c r="CJ3" s="18">
        <v>0</v>
      </c>
      <c r="CK3" s="18">
        <v>0</v>
      </c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DB3" s="9" t="s">
        <v>1320</v>
      </c>
      <c r="DF3" s="9" t="s">
        <v>1321</v>
      </c>
      <c r="DH3" s="9" t="s">
        <v>1322</v>
      </c>
    </row>
    <row r="4" spans="1:114" ht="15" thickBot="1" x14ac:dyDescent="0.35">
      <c r="B4" s="3" t="s">
        <v>1330</v>
      </c>
      <c r="C4" s="36" cm="1">
        <f t="array" ref="C4">IFERROR(_xlfn.IFS(C3="BTC","BTC/USD",C3="BCH","BCH/USD",C3="ETH","ETH/USD",C3="XRP","XRP/USD",C3="LTC","LTC/USD"),C3)</f>
        <v>0</v>
      </c>
      <c r="D4" s="36" cm="1">
        <f t="array" ref="D4">IFERROR(_xlfn.IFS(D3="BTC","BTC/USD",D3="BCH","BCH/USD",D3="ETH","ETH/USD",D3="XRP","XRP/USD",D3="LTC","LTC/USD"),D3)</f>
        <v>0</v>
      </c>
      <c r="E4" s="36" cm="1">
        <f t="array" ref="E4">IFERROR(_xlfn.IFS(E3="BTC","BTC/USD",E3="BCH","BCH/USD",E3="ETH","ETH/USD",E3="XRP","XRP/USD",E3="LTC","LTC/USD"),E3)</f>
        <v>0</v>
      </c>
      <c r="F4" s="36" cm="1">
        <f t="array" ref="F4">IFERROR(_xlfn.IFS(F3="BTC","BTC/USD",F3="BCH","BCH/USD",F3="ETH","ETH/USD",F3="XRP","XRP/USD",F3="LTC","LTC/USD"),F3)</f>
        <v>0</v>
      </c>
      <c r="G4" s="36" cm="1">
        <f t="array" ref="G4">IFERROR(_xlfn.IFS(G3="BTC","BTC/USD",G3="BCH","BCH/USD",G3="ETH","ETH/USD",G3="XRP","XRP/USD",G3="LTC","LTC/USD"),G3)</f>
        <v>0</v>
      </c>
      <c r="H4" s="36" cm="1">
        <f t="array" ref="H4">IFERROR(_xlfn.IFS(H3="BTC","BTC/USD",H3="BCH","BCH/USD",H3="ETH","ETH/USD",H3="XRP","XRP/USD",H3="LTC","LTC/USD"),H3)</f>
        <v>0</v>
      </c>
      <c r="I4" s="36" cm="1">
        <f t="array" ref="I4">IFERROR(_xlfn.IFS(I3="BTC","BTC/USD",I3="BCH","BCH/USD",I3="ETH","ETH/USD",I3="XRP","XRP/USD",I3="LTC","LTC/USD"),I3)</f>
        <v>0</v>
      </c>
      <c r="J4" s="36" cm="1">
        <f t="array" ref="J4">IFERROR(_xlfn.IFS(J3="BTC","BTC/USD",J3="BCH","BCH/USD",J3="ETH","ETH/USD",J3="XRP","XRP/USD",J3="LTC","LTC/USD"),J3)</f>
        <v>0</v>
      </c>
      <c r="K4" s="36" cm="1">
        <f t="array" ref="K4">IFERROR(_xlfn.IFS(K3="BTC","BTC/USD",K3="BCH","BCH/USD",K3="ETH","ETH/USD",K3="XRP","XRP/USD",K3="LTC","LTC/USD"),K3)</f>
        <v>0</v>
      </c>
      <c r="L4" s="36" cm="1">
        <f t="array" ref="L4">IFERROR(_xlfn.IFS(L3="BTC","BTC/USD",L3="BCH","BCH/USD",L3="ETH","ETH/USD",L3="XRP","XRP/USD",L3="LTC","LTC/USD"),L3)</f>
        <v>0</v>
      </c>
      <c r="M4" s="36" cm="1">
        <f t="array" ref="M4">IFERROR(_xlfn.IFS(M3="BTC","BTC/USD",M3="BCH","BCH/USD",M3="ETH","ETH/USD",M3="XRP","XRP/USD",M3="LTC","LTC/USD"),M3)</f>
        <v>0</v>
      </c>
      <c r="N4" s="36" cm="1">
        <f t="array" ref="N4">IFERROR(_xlfn.IFS(N3="BTC","BTC/USD",N3="BCH","BCH/USD",N3="ETH","ETH/USD",N3="XRP","XRP/USD",N3="LTC","LTC/USD"),N3)</f>
        <v>0</v>
      </c>
      <c r="O4" s="36" cm="1">
        <f t="array" ref="O4">IFERROR(_xlfn.IFS(O3="BTC","BTC/USD",O3="BCH","BCH/USD",O3="ETH","ETH/USD",O3="XRP","XRP/USD",O3="LTC","LTC/USD"),O3)</f>
        <v>0</v>
      </c>
      <c r="P4" s="36" cm="1">
        <f t="array" ref="P4">IFERROR(_xlfn.IFS(P3="BTC","BTC/USD",P3="BCH","BCH/USD",P3="ETH","ETH/USD",P3="XRP","XRP/USD",P3="LTC","LTC/USD"),P3)</f>
        <v>0</v>
      </c>
      <c r="Q4" s="36" cm="1">
        <f t="array" ref="Q4">IFERROR(_xlfn.IFS(Q3="BTC","BTC/USD",Q3="BCH","BCH/USD",Q3="ETH","ETH/USD",Q3="XRP","XRP/USD",Q3="LTC","LTC/USD"),Q3)</f>
        <v>0</v>
      </c>
      <c r="R4" s="36" cm="1">
        <f t="array" ref="R4">IFERROR(_xlfn.IFS(R3="BTC","BTC/USD",R3="BCH","BCH/USD",R3="ETH","ETH/USD",R3="XRP","XRP/USD",R3="LTC","LTC/USD"),R3)</f>
        <v>0</v>
      </c>
      <c r="S4" s="36" cm="1">
        <f t="array" ref="S4">IFERROR(_xlfn.IFS(S3="BTC","BTC/USD",S3="BCH","BCH/USD",S3="ETH","ETH/USD",S3="XRP","XRP/USD",S3="LTC","LTC/USD"),S3)</f>
        <v>0</v>
      </c>
      <c r="T4" s="36" cm="1">
        <f t="array" ref="T4">IFERROR(_xlfn.IFS(T3="BTC","BTC/USD",T3="BCH","BCH/USD",T3="ETH","ETH/USD",T3="XRP","XRP/USD",T3="LTC","LTC/USD"),T3)</f>
        <v>0</v>
      </c>
      <c r="U4" s="36" cm="1">
        <f t="array" ref="U4">IFERROR(_xlfn.IFS(U3="BTC","BTC/USD",U3="BCH","BCH/USD",U3="ETH","ETH/USD",U3="XRP","XRP/USD",U3="LTC","LTC/USD"),U3)</f>
        <v>0</v>
      </c>
      <c r="V4" s="36" cm="1">
        <f t="array" ref="V4">IFERROR(_xlfn.IFS(V3="BTC","BTC/USD",V3="BCH","BCH/USD",V3="ETH","ETH/USD",V3="XRP","XRP/USD",V3="LTC","LTC/USD"),V3)</f>
        <v>0</v>
      </c>
      <c r="W4" s="36" cm="1">
        <f t="array" ref="W4">IFERROR(_xlfn.IFS(W3="BTC","BTC/USD",W3="BCH","BCH/USD",W3="ETH","ETH/USD",W3="XRP","XRP/USD",W3="LTC","LTC/USD"),W3)</f>
        <v>0</v>
      </c>
      <c r="X4" s="36" cm="1">
        <f t="array" ref="X4">IFERROR(_xlfn.IFS(X3="BTC","BTC/USD",X3="BCH","BCH/USD",X3="ETH","ETH/USD",X3="XRP","XRP/USD",X3="LTC","LTC/USD"),X3)</f>
        <v>0</v>
      </c>
      <c r="Y4" s="36" cm="1">
        <f t="array" ref="Y4">IFERROR(_xlfn.IFS(Y3="BTC","BTC/USD",Y3="BCH","BCH/USD",Y3="ETH","ETH/USD",Y3="XRP","XRP/USD",Y3="LTC","LTC/USD"),Y3)</f>
        <v>0</v>
      </c>
      <c r="Z4" s="36" cm="1">
        <f t="array" ref="Z4">IFERROR(_xlfn.IFS(Z3="BTC","BTC/USD",Z3="BCH","BCH/USD",Z3="ETH","ETH/USD",Z3="XRP","XRP/USD",Z3="LTC","LTC/USD"),Z3)</f>
        <v>0</v>
      </c>
      <c r="AA4" s="36" cm="1">
        <f t="array" ref="AA4">IFERROR(_xlfn.IFS(AA3="BTC","BTC/USD",AA3="BCH","BCH/USD",AA3="ETH","ETH/USD",AA3="XRP","XRP/USD",AA3="LTC","LTC/USD"),AA3)</f>
        <v>0</v>
      </c>
      <c r="AB4" s="36" cm="1">
        <f t="array" ref="AB4">IFERROR(_xlfn.IFS(AB3="BTC","BTC/USD",AB3="BCH","BCH/USD",AB3="ETH","ETH/USD",AB3="XRP","XRP/USD",AB3="LTC","LTC/USD"),AB3)</f>
        <v>0</v>
      </c>
      <c r="AC4" s="36" cm="1">
        <f t="array" ref="AC4">IFERROR(_xlfn.IFS(AC3="BTC","BTC/USD",AC3="BCH","BCH/USD",AC3="ETH","ETH/USD",AC3="XRP","XRP/USD",AC3="LTC","LTC/USD"),AC3)</f>
        <v>0</v>
      </c>
      <c r="AD4" s="36" cm="1">
        <f t="array" ref="AD4">IFERROR(_xlfn.IFS(AD3="BTC","BTC/USD",AD3="BCH","BCH/USD",AD3="ETH","ETH/USD",AD3="XRP","XRP/USD",AD3="LTC","LTC/USD"),AD3)</f>
        <v>0</v>
      </c>
      <c r="AE4" s="36" cm="1">
        <f t="array" ref="AE4">IFERROR(_xlfn.IFS(AE3="BTC","BTC/USD",AE3="BCH","BCH/USD",AE3="ETH","ETH/USD",AE3="XRP","XRP/USD",AE3="LTC","LTC/USD"),AE3)</f>
        <v>0</v>
      </c>
      <c r="AF4" s="36" cm="1">
        <f t="array" ref="AF4">IFERROR(_xlfn.IFS(AF3="BTC","BTC/USD",AF3="BCH","BCH/USD",AF3="ETH","ETH/USD",AF3="XRP","XRP/USD",AF3="LTC","LTC/USD"),AF3)</f>
        <v>0</v>
      </c>
      <c r="AG4" s="36" cm="1">
        <f t="array" ref="AG4">IFERROR(_xlfn.IFS(AG3="BTC","BTC/USD",AG3="BCH","BCH/USD",AG3="ETH","ETH/USD",AG3="XRP","XRP/USD",AG3="LTC","LTC/USD"),AG3)</f>
        <v>0</v>
      </c>
      <c r="AH4" s="36" cm="1">
        <f t="array" ref="AH4">IFERROR(_xlfn.IFS(AH3="BTC","BTC/USD",AH3="BCH","BCH/USD",AH3="ETH","ETH/USD",AH3="XRP","XRP/USD",AH3="LTC","LTC/USD"),AH3)</f>
        <v>0</v>
      </c>
      <c r="AI4" s="36" cm="1">
        <f t="array" ref="AI4">IFERROR(_xlfn.IFS(AI3="BTC","BTC/USD",AI3="BCH","BCH/USD",AI3="ETH","ETH/USD",AI3="XRP","XRP/USD",AI3="LTC","LTC/USD"),AI3)</f>
        <v>0</v>
      </c>
      <c r="AJ4" s="36" cm="1">
        <f t="array" ref="AJ4">IFERROR(_xlfn.IFS(AJ3="BTC","BTC/USD",AJ3="BCH","BCH/USD",AJ3="ETH","ETH/USD",AJ3="XRP","XRP/USD",AJ3="LTC","LTC/USD"),AJ3)</f>
        <v>0</v>
      </c>
      <c r="AK4" s="36" cm="1">
        <f t="array" ref="AK4">IFERROR(_xlfn.IFS(AK3="BTC","BTC/USD",AK3="BCH","BCH/USD",AK3="ETH","ETH/USD",AK3="XRP","XRP/USD",AK3="LTC","LTC/USD"),AK3)</f>
        <v>0</v>
      </c>
      <c r="AL4" s="36" cm="1">
        <f t="array" ref="AL4">IFERROR(_xlfn.IFS(AL3="BTC","BTC/USD",AL3="BCH","BCH/USD",AL3="ETH","ETH/USD",AL3="XRP","XRP/USD",AL3="LTC","LTC/USD"),AL3)</f>
        <v>0</v>
      </c>
      <c r="AM4" s="36" cm="1">
        <f t="array" ref="AM4">IFERROR(_xlfn.IFS(AM3="BTC","BTC/USD",AM3="BCH","BCH/USD",AM3="ETH","ETH/USD",AM3="XRP","XRP/USD",AM3="LTC","LTC/USD"),AM3)</f>
        <v>0</v>
      </c>
      <c r="AN4" s="36" cm="1">
        <f t="array" ref="AN4">IFERROR(_xlfn.IFS(AN3="BTC","BTC/USD",AN3="BCH","BCH/USD",AN3="ETH","ETH/USD",AN3="XRP","XRP/USD",AN3="LTC","LTC/USD"),AN3)</f>
        <v>0</v>
      </c>
      <c r="AO4" s="36" cm="1">
        <f t="array" ref="AO4">IFERROR(_xlfn.IFS(AO3="BTC","BTC/USD",AO3="BCH","BCH/USD",AO3="ETH","ETH/USD",AO3="XRP","XRP/USD",AO3="LTC","LTC/USD"),AO3)</f>
        <v>0</v>
      </c>
      <c r="AP4" s="36" cm="1">
        <f t="array" ref="AP4">IFERROR(_xlfn.IFS(AP3="BTC","BTC/USD",AP3="BCH","BCH/USD",AP3="ETH","ETH/USD",AP3="XRP","XRP/USD",AP3="LTC","LTC/USD"),AP3)</f>
        <v>0</v>
      </c>
      <c r="AQ4" s="36" cm="1">
        <f t="array" ref="AQ4">IFERROR(_xlfn.IFS(AQ3="BTC","BTC/USD",AQ3="BCH","BCH/USD",AQ3="ETH","ETH/USD",AQ3="XRP","XRP/USD",AQ3="LTC","LTC/USD"),AQ3)</f>
        <v>0</v>
      </c>
      <c r="AR4" s="36" cm="1">
        <f t="array" ref="AR4">IFERROR(_xlfn.IFS(AR3="BTC","BTC/USD",AR3="BCH","BCH/USD",AR3="ETH","ETH/USD",AR3="XRP","XRP/USD",AR3="LTC","LTC/USD"),AR3)</f>
        <v>0</v>
      </c>
      <c r="AS4" s="36" cm="1">
        <f t="array" ref="AS4">IFERROR(_xlfn.IFS(AS3="BTC","BTC/USD",AS3="BCH","BCH/USD",AS3="ETH","ETH/USD",AS3="XRP","XRP/USD",AS3="LTC","LTC/USD"),AS3)</f>
        <v>0</v>
      </c>
      <c r="AT4" s="36" cm="1">
        <f t="array" ref="AT4">IFERROR(_xlfn.IFS(AT3="BTC","BTC/USD",AT3="BCH","BCH/USD",AT3="ETH","ETH/USD",AT3="XRP","XRP/USD",AT3="LTC","LTC/USD"),AT3)</f>
        <v>0</v>
      </c>
      <c r="AU4" s="36" cm="1">
        <f t="array" ref="AU4">IFERROR(_xlfn.IFS(AU3="BTC","BTC/USD",AU3="BCH","BCH/USD",AU3="ETH","ETH/USD",AU3="XRP","XRP/USD",AU3="LTC","LTC/USD"),AU3)</f>
        <v>0</v>
      </c>
      <c r="AV4" s="36" cm="1">
        <f t="array" ref="AV4">IFERROR(_xlfn.IFS(AV3="BTC","BTC/USD",AV3="BCH","BCH/USD",AV3="ETH","ETH/USD",AV3="XRP","XRP/USD",AV3="LTC","LTC/USD"),AV3)</f>
        <v>0</v>
      </c>
      <c r="AW4" s="36" cm="1">
        <f t="array" ref="AW4">IFERROR(_xlfn.IFS(AW3="BTC","BTC/USD",AW3="BCH","BCH/USD",AW3="ETH","ETH/USD",AW3="XRP","XRP/USD",AW3="LTC","LTC/USD"),AW3)</f>
        <v>0</v>
      </c>
      <c r="AX4" s="36" cm="1">
        <f t="array" ref="AX4">IFERROR(_xlfn.IFS(AX3="BTC","BTC/USD",AX3="BCH","BCH/USD",AX3="ETH","ETH/USD",AX3="XRP","XRP/USD",AX3="LTC","LTC/USD"),AX3)</f>
        <v>0</v>
      </c>
      <c r="AY4" s="36" cm="1">
        <f t="array" ref="AY4">IFERROR(_xlfn.IFS(AY3="BTC","BTC/USD",AY3="BCH","BCH/USD",AY3="ETH","ETH/USD",AY3="XRP","XRP/USD",AY3="LTC","LTC/USD"),AY3)</f>
        <v>0</v>
      </c>
      <c r="AZ4" s="36" cm="1">
        <f t="array" ref="AZ4">IFERROR(_xlfn.IFS(AZ3="BTC","BTC/USD",AZ3="BCH","BCH/USD",AZ3="ETH","ETH/USD",AZ3="XRP","XRP/USD",AZ3="LTC","LTC/USD"),AZ3)</f>
        <v>0</v>
      </c>
      <c r="BA4" s="36" cm="1">
        <f t="array" ref="BA4">IFERROR(_xlfn.IFS(BA3="BTC","BTC/USD",BA3="BCH","BCH/USD",BA3="ETH","ETH/USD",BA3="XRP","XRP/USD",BA3="LTC","LTC/USD"),BA3)</f>
        <v>0</v>
      </c>
      <c r="BB4" s="36" cm="1">
        <f t="array" ref="BB4">IFERROR(_xlfn.IFS(BB3="BTC","BTC/USD",BB3="BCH","BCH/USD",BB3="ETH","ETH/USD",BB3="XRP","XRP/USD",BB3="LTC","LTC/USD"),BB3)</f>
        <v>0</v>
      </c>
      <c r="BC4" s="36" cm="1">
        <f t="array" ref="BC4">IFERROR(_xlfn.IFS(BC3="BTC","BTC/USD",BC3="BCH","BCH/USD",BC3="ETH","ETH/USD",BC3="XRP","XRP/USD",BC3="LTC","LTC/USD"),BC3)</f>
        <v>0</v>
      </c>
      <c r="BD4" s="36" cm="1">
        <f t="array" ref="BD4">IFERROR(_xlfn.IFS(BD3="BTC","BTC/USD",BD3="BCH","BCH/USD",BD3="ETH","ETH/USD",BD3="XRP","XRP/USD",BD3="LTC","LTC/USD"),BD3)</f>
        <v>0</v>
      </c>
      <c r="BE4" s="36" cm="1">
        <f t="array" ref="BE4">IFERROR(_xlfn.IFS(BE3="BTC","BTC/USD",BE3="BCH","BCH/USD",BE3="ETH","ETH/USD",BE3="XRP","XRP/USD",BE3="LTC","LTC/USD"),BE3)</f>
        <v>0</v>
      </c>
      <c r="BF4" s="36" cm="1">
        <f t="array" ref="BF4">IFERROR(_xlfn.IFS(BF3="BTC","BTC/USD",BF3="BCH","BCH/USD",BF3="ETH","ETH/USD",BF3="XRP","XRP/USD",BF3="LTC","LTC/USD"),BF3)</f>
        <v>0</v>
      </c>
      <c r="BG4" s="36" cm="1">
        <f t="array" ref="BG4">IFERROR(_xlfn.IFS(BG3="BTC","BTC/USD",BG3="BCH","BCH/USD",BG3="ETH","ETH/USD",BG3="XRP","XRP/USD",BG3="LTC","LTC/USD"),BG3)</f>
        <v>0</v>
      </c>
      <c r="BH4" s="36" cm="1">
        <f t="array" ref="BH4">IFERROR(_xlfn.IFS(BH3="BTC","BTC/USD",BH3="BCH","BCH/USD",BH3="ETH","ETH/USD",BH3="XRP","XRP/USD",BH3="LTC","LTC/USD"),BH3)</f>
        <v>0</v>
      </c>
      <c r="BI4" s="36" cm="1">
        <f t="array" ref="BI4">IFERROR(_xlfn.IFS(BI3="BTC","BTC/USD",BI3="BCH","BCH/USD",BI3="ETH","ETH/USD",BI3="XRP","XRP/USD",BI3="LTC","LTC/USD"),BI3)</f>
        <v>0</v>
      </c>
      <c r="BJ4" s="36" cm="1">
        <f t="array" ref="BJ4">IFERROR(_xlfn.IFS(BJ3="BTC","BTC/USD",BJ3="BCH","BCH/USD",BJ3="ETH","ETH/USD",BJ3="XRP","XRP/USD",BJ3="LTC","LTC/USD"),BJ3)</f>
        <v>0</v>
      </c>
      <c r="BK4" s="36" cm="1">
        <f t="array" ref="BK4">IFERROR(_xlfn.IFS(BK3="BTC","BTC/USD",BK3="BCH","BCH/USD",BK3="ETH","ETH/USD",BK3="XRP","XRP/USD",BK3="LTC","LTC/USD"),BK3)</f>
        <v>0</v>
      </c>
      <c r="BL4" s="36" cm="1">
        <f t="array" ref="BL4">IFERROR(_xlfn.IFS(BL3="BTC","BTC/USD",BL3="BCH","BCH/USD",BL3="ETH","ETH/USD",BL3="XRP","XRP/USD",BL3="LTC","LTC/USD"),BL3)</f>
        <v>0</v>
      </c>
      <c r="BM4" s="36" cm="1">
        <f t="array" ref="BM4">IFERROR(_xlfn.IFS(BM3="BTC","BTC/USD",BM3="BCH","BCH/USD",BM3="ETH","ETH/USD",BM3="XRP","XRP/USD",BM3="LTC","LTC/USD"),BM3)</f>
        <v>0</v>
      </c>
      <c r="BN4" s="36" cm="1">
        <f t="array" ref="BN4">IFERROR(_xlfn.IFS(BN3="BTC","BTC/USD",BN3="BCH","BCH/USD",BN3="ETH","ETH/USD",BN3="XRP","XRP/USD",BN3="LTC","LTC/USD"),BN3)</f>
        <v>0</v>
      </c>
      <c r="BO4" s="36" cm="1">
        <f t="array" ref="BO4">IFERROR(_xlfn.IFS(BO3="BTC","BTC/USD",BO3="BCH","BCH/USD",BO3="ETH","ETH/USD",BO3="XRP","XRP/USD",BO3="LTC","LTC/USD"),BO3)</f>
        <v>0</v>
      </c>
      <c r="BP4" s="36" cm="1">
        <f t="array" ref="BP4">IFERROR(_xlfn.IFS(BP3="BTC","BTC/USD",BP3="BCH","BCH/USD",BP3="ETH","ETH/USD",BP3="XRP","XRP/USD",BP3="LTC","LTC/USD"),BP3)</f>
        <v>0</v>
      </c>
      <c r="BQ4" s="36" cm="1">
        <f t="array" ref="BQ4">IFERROR(_xlfn.IFS(BQ3="BTC","BTC/USD",BQ3="BCH","BCH/USD",BQ3="ETH","ETH/USD",BQ3="XRP","XRP/USD",BQ3="LTC","LTC/USD"),BQ3)</f>
        <v>0</v>
      </c>
      <c r="BR4" s="36" cm="1">
        <f t="array" ref="BR4">IFERROR(_xlfn.IFS(BR3="BTC","BTC/USD",BR3="BCH","BCH/USD",BR3="ETH","ETH/USD",BR3="XRP","XRP/USD",BR3="LTC","LTC/USD"),BR3)</f>
        <v>0</v>
      </c>
      <c r="BS4" s="36" cm="1">
        <f t="array" ref="BS4">IFERROR(_xlfn.IFS(BS3="BTC","BTC/USD",BS3="BCH","BCH/USD",BS3="ETH","ETH/USD",BS3="XRP","XRP/USD",BS3="LTC","LTC/USD"),BS3)</f>
        <v>0</v>
      </c>
      <c r="BT4" s="36" cm="1">
        <f t="array" ref="BT4">IFERROR(_xlfn.IFS(BT3="BTC","BTC/USD",BT3="BCH","BCH/USD",BT3="ETH","ETH/USD",BT3="XRP","XRP/USD",BT3="LTC","LTC/USD"),BT3)</f>
        <v>0</v>
      </c>
      <c r="BU4" s="36" cm="1">
        <f t="array" ref="BU4">IFERROR(_xlfn.IFS(BU3="BTC","BTC/USD",BU3="BCH","BCH/USD",BU3="ETH","ETH/USD",BU3="XRP","XRP/USD",BU3="LTC","LTC/USD"),BU3)</f>
        <v>0</v>
      </c>
      <c r="BV4" s="36" cm="1">
        <f t="array" ref="BV4">IFERROR(_xlfn.IFS(BV3="BTC","BTC/USD",BV3="BCH","BCH/USD",BV3="ETH","ETH/USD",BV3="XRP","XRP/USD",BV3="LTC","LTC/USD"),BV3)</f>
        <v>0</v>
      </c>
      <c r="BW4" s="36" cm="1">
        <f t="array" ref="BW4">IFERROR(_xlfn.IFS(BW3="BTC","BTC/USD",BW3="BCH","BCH/USD",BW3="ETH","ETH/USD",BW3="XRP","XRP/USD",BW3="LTC","LTC/USD"),BW3)</f>
        <v>0</v>
      </c>
      <c r="BX4" s="36" cm="1">
        <f t="array" ref="BX4">IFERROR(_xlfn.IFS(BX3="BTC","BTC/USD",BX3="BCH","BCH/USD",BX3="ETH","ETH/USD",BX3="XRP","XRP/USD",BX3="LTC","LTC/USD"),BX3)</f>
        <v>0</v>
      </c>
      <c r="BY4" s="36" cm="1">
        <f t="array" ref="BY4">IFERROR(_xlfn.IFS(BY3="BTC","BTC/USD",BY3="BCH","BCH/USD",BY3="ETH","ETH/USD",BY3="XRP","XRP/USD",BY3="LTC","LTC/USD"),BY3)</f>
        <v>0</v>
      </c>
      <c r="BZ4" s="36" cm="1">
        <f t="array" ref="BZ4">IFERROR(_xlfn.IFS(BZ3="BTC","BTC/USD",BZ3="BCH","BCH/USD",BZ3="ETH","ETH/USD",BZ3="XRP","XRP/USD",BZ3="LTC","LTC/USD"),BZ3)</f>
        <v>0</v>
      </c>
      <c r="CA4" s="36" cm="1">
        <f t="array" ref="CA4">IFERROR(_xlfn.IFS(CA3="BTC","BTC/USD",CA3="BCH","BCH/USD",CA3="ETH","ETH/USD",CA3="XRP","XRP/USD",CA3="LTC","LTC/USD"),CA3)</f>
        <v>0</v>
      </c>
      <c r="CB4" s="36" cm="1">
        <f t="array" ref="CB4">IFERROR(_xlfn.IFS(CB3="BTC","BTC/USD",CB3="BCH","BCH/USD",CB3="ETH","ETH/USD",CB3="XRP","XRP/USD",CB3="LTC","LTC/USD"),CB3)</f>
        <v>0</v>
      </c>
      <c r="CC4" s="36" cm="1">
        <f t="array" ref="CC4">IFERROR(_xlfn.IFS(CC3="BTC","BTC/USD",CC3="BCH","BCH/USD",CC3="ETH","ETH/USD",CC3="XRP","XRP/USD",CC3="LTC","LTC/USD"),CC3)</f>
        <v>0</v>
      </c>
      <c r="CD4" s="36" cm="1">
        <f t="array" ref="CD4">IFERROR(_xlfn.IFS(CD3="BTC","BTC/USD",CD3="BCH","BCH/USD",CD3="ETH","ETH/USD",CD3="XRP","XRP/USD",CD3="LTC","LTC/USD"),CD3)</f>
        <v>0</v>
      </c>
      <c r="CE4" s="36" cm="1">
        <f t="array" ref="CE4">IFERROR(_xlfn.IFS(CE3="BTC","BTC/USD",CE3="BCH","BCH/USD",CE3="ETH","ETH/USD",CE3="XRP","XRP/USD",CE3="LTC","LTC/USD"),CE3)</f>
        <v>0</v>
      </c>
      <c r="CF4" s="36" cm="1">
        <f t="array" ref="CF4">IFERROR(_xlfn.IFS(CF3="BTC","BTC/USD",CF3="BCH","BCH/USD",CF3="ETH","ETH/USD",CF3="XRP","XRP/USD",CF3="LTC","LTC/USD"),CF3)</f>
        <v>0</v>
      </c>
      <c r="CG4" s="36" cm="1">
        <f t="array" ref="CG4">IFERROR(_xlfn.IFS(CG3="BTC","BTC/USD",CG3="BCH","BCH/USD",CG3="ETH","ETH/USD",CG3="XRP","XRP/USD",CG3="LTC","LTC/USD"),CG3)</f>
        <v>0</v>
      </c>
      <c r="CH4" s="36" cm="1">
        <f t="array" ref="CH4">IFERROR(_xlfn.IFS(CH3="BTC","BTC/USD",CH3="BCH","BCH/USD",CH3="ETH","ETH/USD",CH3="XRP","XRP/USD",CH3="LTC","LTC/USD"),CH3)</f>
        <v>0</v>
      </c>
      <c r="CI4" s="36" cm="1">
        <f t="array" ref="CI4">IFERROR(_xlfn.IFS(CI3="BTC","BTC/USD",CI3="BCH","BCH/USD",CI3="ETH","ETH/USD",CI3="XRP","XRP/USD",CI3="LTC","LTC/USD"),CI3)</f>
        <v>0</v>
      </c>
      <c r="CJ4" s="36" cm="1">
        <f t="array" ref="CJ4">IFERROR(_xlfn.IFS(CJ3="BTC","BTC/USD",CJ3="BCH","BCH/USD",CJ3="ETH","ETH/USD",CJ3="XRP","XRP/USD",CJ3="LTC","LTC/USD"),CJ3)</f>
        <v>0</v>
      </c>
      <c r="CK4" s="36" cm="1">
        <f t="array" ref="CK4">IFERROR(_xlfn.IFS(CK3="BTC","BTC/USD",CK3="BCH","BCH/USD",CK3="ETH","ETH/USD",CK3="XRP","XRP/USD",CK3="LTC","LTC/USD"),CK3)</f>
        <v>0</v>
      </c>
      <c r="CL4" s="36" cm="1">
        <f t="array" ref="CL4">IFERROR(_xlfn.IFS(CL3="BTC","BTC/USD",CL3="BCH","BCH/USD",CL3="ETH","ETH/USD",CL3="XRP","XRP/USD",CL3="LTC","LTC/USD"),CL3)</f>
        <v>0</v>
      </c>
      <c r="CM4" s="36" cm="1">
        <f t="array" ref="CM4">IFERROR(_xlfn.IFS(CM3="BTC","BTC/USD",CM3="BCH","BCH/USD",CM3="ETH","ETH/USD",CM3="XRP","XRP/USD",CM3="LTC","LTC/USD"),CM3)</f>
        <v>0</v>
      </c>
      <c r="CN4" s="36" cm="1">
        <f t="array" ref="CN4">IFERROR(_xlfn.IFS(CN3="BTC","BTC/USD",CN3="BCH","BCH/USD",CN3="ETH","ETH/USD",CN3="XRP","XRP/USD",CN3="LTC","LTC/USD"),CN3)</f>
        <v>0</v>
      </c>
      <c r="CO4" s="36" cm="1">
        <f t="array" ref="CO4">IFERROR(_xlfn.IFS(CO3="BTC","BTC/USD",CO3="BCH","BCH/USD",CO3="ETH","ETH/USD",CO3="XRP","XRP/USD",CO3="LTC","LTC/USD"),CO3)</f>
        <v>0</v>
      </c>
      <c r="CP4" s="36" cm="1">
        <f t="array" ref="CP4">IFERROR(_xlfn.IFS(CP3="BTC","BTC/USD",CP3="BCH","BCH/USD",CP3="ETH","ETH/USD",CP3="XRP","XRP/USD",CP3="LTC","LTC/USD"),CP3)</f>
        <v>0</v>
      </c>
      <c r="CQ4" s="36" cm="1">
        <f t="array" ref="CQ4">IFERROR(_xlfn.IFS(CQ3="BTC","BTC/USD",CQ3="BCH","BCH/USD",CQ3="ETH","ETH/USD",CQ3="XRP","XRP/USD",CQ3="LTC","LTC/USD"),CQ3)</f>
        <v>0</v>
      </c>
      <c r="CR4" s="36" cm="1">
        <f t="array" ref="CR4">IFERROR(_xlfn.IFS(CR3="BTC","BTC/USD",CR3="BCH","BCH/USD",CR3="ETH","ETH/USD",CR3="XRP","XRP/USD",CR3="LTC","LTC/USD"),CR3)</f>
        <v>0</v>
      </c>
      <c r="CS4" s="36" cm="1">
        <f t="array" ref="CS4">IFERROR(_xlfn.IFS(CS3="BTC","BTC/USD",CS3="BCH","BCH/USD",CS3="ETH","ETH/USD",CS3="XRP","XRP/USD",CS3="LTC","LTC/USD"),CS3)</f>
        <v>0</v>
      </c>
      <c r="CT4" s="36" cm="1">
        <f t="array" ref="CT4">IFERROR(_xlfn.IFS(CT3="BTC","BTC/USD",CT3="BCH","BCH/USD",CT3="ETH","ETH/USD",CT3="XRP","XRP/USD",CT3="LTC","LTC/USD"),CT3)</f>
        <v>0</v>
      </c>
      <c r="CU4" s="36" cm="1">
        <f t="array" ref="CU4">IFERROR(_xlfn.IFS(CU3="BTC","BTC/USD",CU3="BCH","BCH/USD",CU3="ETH","ETH/USD",CU3="XRP","XRP/USD",CU3="LTC","LTC/USD"),CU3)</f>
        <v>0</v>
      </c>
      <c r="CV4" s="36" cm="1">
        <f t="array" ref="CV4">IFERROR(_xlfn.IFS(CV3="BTC","BTC/USD",CV3="BCH","BCH/USD",CV3="ETH","ETH/USD",CV3="XRP","XRP/USD",CV3="LTC","LTC/USD"),CV3)</f>
        <v>0</v>
      </c>
      <c r="CW4" s="36" cm="1">
        <f t="array" ref="CW4">IFERROR(_xlfn.IFS(CW3="BTC","BTC/USD",CW3="BCH","BCH/USD",CW3="ETH","ETH/USD",CW3="XRP","XRP/USD",CW3="LTC","LTC/USD"),CW3)</f>
        <v>0</v>
      </c>
      <c r="CX4" s="36" cm="1">
        <f t="array" ref="CX4">IFERROR(_xlfn.IFS(CX3="BTC","BTC/USD",CX3="BCH","BCH/USD",CX3="ETH","ETH/USD",CX3="XRP","XRP/USD",CX3="LTC","LTC/USD"),CX3)</f>
        <v>0</v>
      </c>
      <c r="CY4" s="36" cm="1">
        <f t="array" ref="CY4">IFERROR(_xlfn.IFS(CY3="BTC","BTC/USD",CY3="BCH","BCH/USD",CY3="ETH","ETH/USD",CY3="XRP","XRP/USD",CY3="LTC","LTC/USD"),CY3)</f>
        <v>0</v>
      </c>
    </row>
    <row r="5" spans="1:114" x14ac:dyDescent="0.3">
      <c r="A5" s="9" t="s">
        <v>1344</v>
      </c>
      <c r="B5" s="62" cm="1" vm="1">
        <f t="array" aca="1" ref="B5:B258" ca="1">IF(B4&lt;&gt;0,INDEX(_xlfn._xlws.SORT(_xlfn.STOCKHISTORY(B4, (TODAY()-5*365), TODAY(), 1, 0,1), 1, -1), ROW(B5:B258), 1),0)</f>
        <v>44424.25</v>
      </c>
      <c r="C5" s="3" cm="1">
        <f t="array" aca="1" ref="C5" ca="1">IF(C4&lt;&gt;0,INDEX(_xlfn._xlws.SORT(_xlfn.STOCKHISTORY(C4, (TODAY()-5*365), TODAY(), 1, 0,1), 1, -1), ROW(C5:C258), 1),0)</f>
        <v>0</v>
      </c>
      <c r="D5" s="3" cm="1">
        <f t="array" aca="1" ref="D5" ca="1">IF(D4&lt;&gt;0,INDEX(_xlfn._xlws.SORT(_xlfn.STOCKHISTORY(D4, (TODAY()-5*365), TODAY(), 1, 0,1), 1, -1), ROW(D5:D258), 1),0)</f>
        <v>0</v>
      </c>
      <c r="E5" s="3" cm="1">
        <f t="array" aca="1" ref="E5" ca="1">IF(E4&lt;&gt;0,INDEX(_xlfn._xlws.SORT(_xlfn.STOCKHISTORY(E4, (TODAY()-5*365), TODAY(), 1, 0,1), 1, -1), ROW(E5:E258), 1),0)</f>
        <v>0</v>
      </c>
      <c r="F5" s="3" cm="1">
        <f t="array" aca="1" ref="F5" ca="1">IF(F4&lt;&gt;0,INDEX(_xlfn._xlws.SORT(_xlfn.STOCKHISTORY(F4, (TODAY()-5*365), TODAY(), 1, 0,1), 1, -1), ROW(F5:F258), 1),0)</f>
        <v>0</v>
      </c>
      <c r="G5" s="3" cm="1">
        <f t="array" aca="1" ref="G5" ca="1">IF(G4&lt;&gt;0,INDEX(_xlfn._xlws.SORT(_xlfn.STOCKHISTORY(G4, (TODAY()-5*365), TODAY(), 1, 0,1), 1, -1), ROW(G5:G258), 1),0)</f>
        <v>0</v>
      </c>
      <c r="H5" s="3" cm="1">
        <f t="array" aca="1" ref="H5" ca="1">IF(H4&lt;&gt;0,INDEX(_xlfn._xlws.SORT(_xlfn.STOCKHISTORY(H4, (TODAY()-5*365), TODAY(), 1, 0,1), 1, -1), ROW(H5:H258), 1),0)</f>
        <v>0</v>
      </c>
      <c r="I5" s="3" cm="1">
        <f t="array" aca="1" ref="I5" ca="1">IF(I4&lt;&gt;0,INDEX(_xlfn._xlws.SORT(_xlfn.STOCKHISTORY(I4, (TODAY()-5*365), TODAY(), 1, 0,1), 1, -1), ROW(I5:I258), 1),0)</f>
        <v>0</v>
      </c>
      <c r="J5" s="3" cm="1">
        <f t="array" aca="1" ref="J5" ca="1">IF(J4&lt;&gt;0,INDEX(_xlfn._xlws.SORT(_xlfn.STOCKHISTORY(J4, (TODAY()-5*365), TODAY(), 1, 0,1), 1, -1), ROW(J5:J258), 1),0)</f>
        <v>0</v>
      </c>
      <c r="K5" s="3" cm="1">
        <f t="array" aca="1" ref="K5" ca="1">IF(K4&lt;&gt;0,INDEX(_xlfn._xlws.SORT(_xlfn.STOCKHISTORY(K4, (TODAY()-5*365), TODAY(), 1, 0,1), 1, -1), ROW(K5:K258), 1),0)</f>
        <v>0</v>
      </c>
      <c r="L5" s="3" cm="1">
        <f t="array" aca="1" ref="L5" ca="1">IF(L4&lt;&gt;0,INDEX(_xlfn._xlws.SORT(_xlfn.STOCKHISTORY(L4, (TODAY()-5*365), TODAY(), 1, 0,1), 1, -1), ROW(L5:L258), 1),0)</f>
        <v>0</v>
      </c>
      <c r="M5" s="3" cm="1">
        <f t="array" aca="1" ref="M5" ca="1">IF(M4&lt;&gt;0,INDEX(_xlfn._xlws.SORT(_xlfn.STOCKHISTORY(M4, (TODAY()-5*365), TODAY(), 1, 0,1), 1, -1), ROW(M5:M258), 1),0)</f>
        <v>0</v>
      </c>
      <c r="N5" s="3" cm="1">
        <f t="array" aca="1" ref="N5" ca="1">IF(N4&lt;&gt;0,INDEX(_xlfn._xlws.SORT(_xlfn.STOCKHISTORY(N4, (TODAY()-5*365), TODAY(), 1, 0,1), 1, -1), ROW(N5:N258), 1),0)</f>
        <v>0</v>
      </c>
      <c r="O5" s="3" cm="1">
        <f t="array" aca="1" ref="O5" ca="1">IF(O4&lt;&gt;0,INDEX(_xlfn._xlws.SORT(_xlfn.STOCKHISTORY(O4, (TODAY()-5*365), TODAY(), 1, 0,1), 1, -1), ROW(O5:O258), 1),0)</f>
        <v>0</v>
      </c>
      <c r="P5" s="3" cm="1">
        <f t="array" aca="1" ref="P5" ca="1">IF(P4&lt;&gt;0,INDEX(_xlfn._xlws.SORT(_xlfn.STOCKHISTORY(P4, (TODAY()-5*365), TODAY(), 1, 0,1), 1, -1), ROW(P5:P258), 1),0)</f>
        <v>0</v>
      </c>
      <c r="Q5" s="3" cm="1">
        <f t="array" aca="1" ref="Q5" ca="1">IF(Q4&lt;&gt;0,INDEX(_xlfn._xlws.SORT(_xlfn.STOCKHISTORY(Q4, (TODAY()-5*365), TODAY(), 1, 0,1), 1, -1), ROW(Q5:Q258), 1),0)</f>
        <v>0</v>
      </c>
      <c r="R5" s="3" cm="1">
        <f t="array" aca="1" ref="R5" ca="1">IF(R4&lt;&gt;0,INDEX(_xlfn._xlws.SORT(_xlfn.STOCKHISTORY(R4, (TODAY()-5*365), TODAY(), 1, 0,1), 1, -1), ROW(R5:R258), 1),0)</f>
        <v>0</v>
      </c>
      <c r="S5" s="3" cm="1">
        <f t="array" aca="1" ref="S5" ca="1">IF(S4&lt;&gt;0,INDEX(_xlfn._xlws.SORT(_xlfn.STOCKHISTORY(S4, (TODAY()-5*365), TODAY(), 1, 0,1), 1, -1), ROW(S5:S258), 1),0)</f>
        <v>0</v>
      </c>
      <c r="T5" s="3" cm="1">
        <f t="array" aca="1" ref="T5" ca="1">IF(T4&lt;&gt;0,INDEX(_xlfn._xlws.SORT(_xlfn.STOCKHISTORY(T4, (TODAY()-5*365), TODAY(), 1, 0,1), 1, -1), ROW(T5:T258), 1),0)</f>
        <v>0</v>
      </c>
      <c r="U5" s="3" cm="1">
        <f t="array" aca="1" ref="U5" ca="1">IF(U4&lt;&gt;0,INDEX(_xlfn._xlws.SORT(_xlfn.STOCKHISTORY(U4, (TODAY()-5*365), TODAY(), 1, 0,1), 1, -1), ROW(U5:U258), 1),0)</f>
        <v>0</v>
      </c>
      <c r="V5" s="3" cm="1">
        <f t="array" aca="1" ref="V5" ca="1">IF(V4&lt;&gt;0,INDEX(_xlfn._xlws.SORT(_xlfn.STOCKHISTORY(V4, (TODAY()-5*365), TODAY(), 1, 0,1), 1, -1), ROW(V5:V258), 1),0)</f>
        <v>0</v>
      </c>
      <c r="W5" s="3" cm="1">
        <f t="array" aca="1" ref="W5" ca="1">IF(W4&lt;&gt;0,INDEX(_xlfn._xlws.SORT(_xlfn.STOCKHISTORY(W4, (TODAY()-5*365), TODAY(), 1, 0,1), 1, -1), ROW(W5:W258), 1),0)</f>
        <v>0</v>
      </c>
      <c r="X5" s="3" cm="1">
        <f t="array" aca="1" ref="X5" ca="1">IF(X4&lt;&gt;0,INDEX(_xlfn._xlws.SORT(_xlfn.STOCKHISTORY(X4, (TODAY()-5*365), TODAY(), 1, 0,1), 1, -1), ROW(X5:X258), 1),0)</f>
        <v>0</v>
      </c>
      <c r="Y5" s="3" cm="1">
        <f t="array" aca="1" ref="Y5" ca="1">IF(Y4&lt;&gt;0,INDEX(_xlfn._xlws.SORT(_xlfn.STOCKHISTORY(Y4, (TODAY()-5*365), TODAY(), 1, 0,1), 1, -1), ROW(Y5:Y258), 1),0)</f>
        <v>0</v>
      </c>
      <c r="Z5" s="3" cm="1">
        <f t="array" aca="1" ref="Z5" ca="1">IF(Z4&lt;&gt;0,INDEX(_xlfn._xlws.SORT(_xlfn.STOCKHISTORY(Z4, (TODAY()-5*365), TODAY(), 1, 0,1), 1, -1), ROW(Z5:Z258), 1),0)</f>
        <v>0</v>
      </c>
      <c r="AA5" s="3" cm="1">
        <f t="array" aca="1" ref="AA5" ca="1">IF(AA4&lt;&gt;0,INDEX(_xlfn._xlws.SORT(_xlfn.STOCKHISTORY(AA4, (TODAY()-5*365), TODAY(), 1, 0,1), 1, -1), ROW(AA5:AA258), 1),0)</f>
        <v>0</v>
      </c>
      <c r="AB5" s="3" cm="1">
        <f t="array" aca="1" ref="AB5" ca="1">IF(AB4&lt;&gt;0,INDEX(_xlfn._xlws.SORT(_xlfn.STOCKHISTORY(AB4, (TODAY()-5*365), TODAY(), 1, 0,1), 1, -1), ROW(AB5:AB258), 1),0)</f>
        <v>0</v>
      </c>
      <c r="AC5" s="3" cm="1">
        <f t="array" aca="1" ref="AC5" ca="1">IF(AC4&lt;&gt;0,INDEX(_xlfn._xlws.SORT(_xlfn.STOCKHISTORY(AC4, (TODAY()-5*365), TODAY(), 1, 0,1), 1, -1), ROW(AC5:AC258), 1),0)</f>
        <v>0</v>
      </c>
      <c r="AD5" s="3" cm="1">
        <f t="array" aca="1" ref="AD5" ca="1">IF(AD4&lt;&gt;0,INDEX(_xlfn._xlws.SORT(_xlfn.STOCKHISTORY(AD4, (TODAY()-5*365), TODAY(), 1, 0,1), 1, -1), ROW(AD5:AD258), 1),0)</f>
        <v>0</v>
      </c>
      <c r="AE5" s="3" cm="1">
        <f t="array" aca="1" ref="AE5" ca="1">IF(AE4&lt;&gt;0,INDEX(_xlfn._xlws.SORT(_xlfn.STOCKHISTORY(AE4, (TODAY()-5*365), TODAY(), 1, 0,1), 1, -1), ROW(AE5:AE258), 1),0)</f>
        <v>0</v>
      </c>
      <c r="AF5" s="3" cm="1">
        <f t="array" aca="1" ref="AF5" ca="1">IF(AF4&lt;&gt;0,INDEX(_xlfn._xlws.SORT(_xlfn.STOCKHISTORY(AF4, (TODAY()-5*365), TODAY(), 1, 0,1), 1, -1), ROW(AF5:AF258), 1),0)</f>
        <v>0</v>
      </c>
      <c r="AG5" s="3" cm="1">
        <f t="array" aca="1" ref="AG5" ca="1">IF(AG4&lt;&gt;0,INDEX(_xlfn._xlws.SORT(_xlfn.STOCKHISTORY(AG4, (TODAY()-5*365), TODAY(), 1, 0,1), 1, -1), ROW(AG5:AG258), 1),0)</f>
        <v>0</v>
      </c>
      <c r="AH5" s="3" cm="1">
        <f t="array" aca="1" ref="AH5" ca="1">IF(AH4&lt;&gt;0,INDEX(_xlfn._xlws.SORT(_xlfn.STOCKHISTORY(AH4, (TODAY()-5*365), TODAY(), 1, 0,1), 1, -1), ROW(AH5:AH258), 1),0)</f>
        <v>0</v>
      </c>
      <c r="AI5" s="3" cm="1">
        <f t="array" aca="1" ref="AI5" ca="1">IF(AI4&lt;&gt;0,INDEX(_xlfn._xlws.SORT(_xlfn.STOCKHISTORY(AI4, (TODAY()-5*365), TODAY(), 1, 0,1), 1, -1), ROW(AI5:AI258), 1),0)</f>
        <v>0</v>
      </c>
      <c r="AJ5" s="3" cm="1">
        <f t="array" aca="1" ref="AJ5" ca="1">IF(AJ4&lt;&gt;0,INDEX(_xlfn._xlws.SORT(_xlfn.STOCKHISTORY(AJ4, (TODAY()-5*365), TODAY(), 1, 0,1), 1, -1), ROW(AJ5:AJ258), 1),0)</f>
        <v>0</v>
      </c>
      <c r="AK5" s="3" cm="1">
        <f t="array" aca="1" ref="AK5" ca="1">IF(AK4&lt;&gt;0,INDEX(_xlfn._xlws.SORT(_xlfn.STOCKHISTORY(AK4, (TODAY()-5*365), TODAY(), 1, 0,1), 1, -1), ROW(AK5:AK258), 1),0)</f>
        <v>0</v>
      </c>
      <c r="AL5" s="3" cm="1">
        <f t="array" aca="1" ref="AL5" ca="1">IF(AL4&lt;&gt;0,INDEX(_xlfn._xlws.SORT(_xlfn.STOCKHISTORY(AL4, (TODAY()-5*365), TODAY(), 1, 0,1), 1, -1), ROW(AL5:AL258), 1),0)</f>
        <v>0</v>
      </c>
      <c r="AM5" s="3" cm="1">
        <f t="array" aca="1" ref="AM5" ca="1">IF(AM4&lt;&gt;0,INDEX(_xlfn._xlws.SORT(_xlfn.STOCKHISTORY(AM4, (TODAY()-5*365), TODAY(), 1, 0,1), 1, -1), ROW(AM5:AM258), 1),0)</f>
        <v>0</v>
      </c>
      <c r="AN5" s="3" cm="1">
        <f t="array" aca="1" ref="AN5" ca="1">IF(AN4&lt;&gt;0,INDEX(_xlfn._xlws.SORT(_xlfn.STOCKHISTORY(AN4, (TODAY()-5*365), TODAY(), 1, 0,1), 1, -1), ROW(AN5:AN258), 1),0)</f>
        <v>0</v>
      </c>
      <c r="AO5" s="3" cm="1">
        <f t="array" aca="1" ref="AO5" ca="1">IF(AO4&lt;&gt;0,INDEX(_xlfn._xlws.SORT(_xlfn.STOCKHISTORY(AO4, (TODAY()-5*365), TODAY(), 1, 0,1), 1, -1), ROW(AO5:AO258), 1),0)</f>
        <v>0</v>
      </c>
      <c r="AP5" s="3" cm="1">
        <f t="array" aca="1" ref="AP5" ca="1">IF(AP4&lt;&gt;0,INDEX(_xlfn._xlws.SORT(_xlfn.STOCKHISTORY(AP4, (TODAY()-5*365), TODAY(), 1, 0,1), 1, -1), ROW(AP5:AP258), 1),0)</f>
        <v>0</v>
      </c>
      <c r="AQ5" s="3" cm="1">
        <f t="array" aca="1" ref="AQ5" ca="1">IF(AQ4&lt;&gt;0,INDEX(_xlfn._xlws.SORT(_xlfn.STOCKHISTORY(AQ4, (TODAY()-5*365), TODAY(), 1, 0,1), 1, -1), ROW(AQ5:AQ258), 1),0)</f>
        <v>0</v>
      </c>
      <c r="AR5" s="3" cm="1">
        <f t="array" aca="1" ref="AR5" ca="1">IF(AR4&lt;&gt;0,INDEX(_xlfn._xlws.SORT(_xlfn.STOCKHISTORY(AR4, (TODAY()-5*365), TODAY(), 1, 0,1), 1, -1), ROW(AR5:AR258), 1),0)</f>
        <v>0</v>
      </c>
      <c r="AS5" s="3" cm="1">
        <f t="array" aca="1" ref="AS5" ca="1">IF(AS4&lt;&gt;0,INDEX(_xlfn._xlws.SORT(_xlfn.STOCKHISTORY(AS4, (TODAY()-5*365), TODAY(), 1, 0,1), 1, -1), ROW(AS5:AS258), 1),0)</f>
        <v>0</v>
      </c>
      <c r="AT5" s="3" cm="1">
        <f t="array" aca="1" ref="AT5" ca="1">IF(AT4&lt;&gt;0,INDEX(_xlfn._xlws.SORT(_xlfn.STOCKHISTORY(AT4, (TODAY()-5*365), TODAY(), 1, 0,1), 1, -1), ROW(AT5:AT258), 1),0)</f>
        <v>0</v>
      </c>
      <c r="AU5" s="3" cm="1">
        <f t="array" aca="1" ref="AU5" ca="1">IF(AU4&lt;&gt;0,INDEX(_xlfn._xlws.SORT(_xlfn.STOCKHISTORY(AU4, (TODAY()-5*365), TODAY(), 1, 0,1), 1, -1), ROW(AU5:AU258), 1),0)</f>
        <v>0</v>
      </c>
      <c r="AV5" s="3" cm="1">
        <f t="array" aca="1" ref="AV5" ca="1">IF(AV4&lt;&gt;0,INDEX(_xlfn._xlws.SORT(_xlfn.STOCKHISTORY(AV4, (TODAY()-5*365), TODAY(), 1, 0,1), 1, -1), ROW(AV5:AV258), 1),0)</f>
        <v>0</v>
      </c>
      <c r="AW5" s="3" cm="1">
        <f t="array" aca="1" ref="AW5" ca="1">IF(AW4&lt;&gt;0,INDEX(_xlfn._xlws.SORT(_xlfn.STOCKHISTORY(AW4, (TODAY()-5*365), TODAY(), 1, 0,1), 1, -1), ROW(AW5:AW258), 1),0)</f>
        <v>0</v>
      </c>
      <c r="AX5" s="3" cm="1">
        <f t="array" aca="1" ref="AX5" ca="1">IF(AX4&lt;&gt;0,INDEX(_xlfn._xlws.SORT(_xlfn.STOCKHISTORY(AX4, (TODAY()-5*365), TODAY(), 1, 0,1), 1, -1), ROW(AX5:AX258), 1),0)</f>
        <v>0</v>
      </c>
      <c r="AY5" s="3" cm="1">
        <f t="array" aca="1" ref="AY5" ca="1">IF(AY4&lt;&gt;0,INDEX(_xlfn._xlws.SORT(_xlfn.STOCKHISTORY(AY4, (TODAY()-5*365), TODAY(), 1, 0,1), 1, -1), ROW(AY5:AY258), 1),0)</f>
        <v>0</v>
      </c>
      <c r="AZ5" s="3" cm="1">
        <f t="array" aca="1" ref="AZ5" ca="1">IF(AZ4&lt;&gt;0,INDEX(_xlfn._xlws.SORT(_xlfn.STOCKHISTORY(AZ4, (TODAY()-5*365), TODAY(), 1, 0,1), 1, -1), ROW(AZ5:AZ258), 1),0)</f>
        <v>0</v>
      </c>
      <c r="BA5" s="3" cm="1">
        <f t="array" aca="1" ref="BA5" ca="1">IF(BA4&lt;&gt;0,INDEX(_xlfn._xlws.SORT(_xlfn.STOCKHISTORY(BA4, (TODAY()-5*365), TODAY(), 1, 0,1), 1, -1), ROW(BA5:BA258), 1),0)</f>
        <v>0</v>
      </c>
      <c r="BB5" s="3" cm="1">
        <f t="array" aca="1" ref="BB5" ca="1">IF(BB4&lt;&gt;0,INDEX(_xlfn._xlws.SORT(_xlfn.STOCKHISTORY(BB4, (TODAY()-5*365), TODAY(), 1, 0,1), 1, -1), ROW(BB5:BB258), 1),0)</f>
        <v>0</v>
      </c>
      <c r="BC5" s="3" cm="1">
        <f t="array" aca="1" ref="BC5" ca="1">IF(BC4&lt;&gt;0,INDEX(_xlfn._xlws.SORT(_xlfn.STOCKHISTORY(BC4, (TODAY()-5*365), TODAY(), 1, 0,1), 1, -1), ROW(BC5:BC258), 1),0)</f>
        <v>0</v>
      </c>
      <c r="BD5" s="3" cm="1">
        <f t="array" aca="1" ref="BD5" ca="1">IF(BD4&lt;&gt;0,INDEX(_xlfn._xlws.SORT(_xlfn.STOCKHISTORY(BD4, (TODAY()-5*365), TODAY(), 1, 0,1), 1, -1), ROW(BD5:BD258), 1),0)</f>
        <v>0</v>
      </c>
      <c r="BE5" s="3" cm="1">
        <f t="array" aca="1" ref="BE5" ca="1">IF(BE4&lt;&gt;0,INDEX(_xlfn._xlws.SORT(_xlfn.STOCKHISTORY(BE4, (TODAY()-5*365), TODAY(), 1, 0,1), 1, -1), ROW(BE5:BE258), 1),0)</f>
        <v>0</v>
      </c>
      <c r="BF5" s="3" cm="1">
        <f t="array" aca="1" ref="BF5" ca="1">IF(BF4&lt;&gt;0,INDEX(_xlfn._xlws.SORT(_xlfn.STOCKHISTORY(BF4, (TODAY()-5*365), TODAY(), 1, 0,1), 1, -1), ROW(BF5:BF258), 1),0)</f>
        <v>0</v>
      </c>
      <c r="BG5" s="3" cm="1">
        <f t="array" aca="1" ref="BG5" ca="1">IF(BG4&lt;&gt;0,INDEX(_xlfn._xlws.SORT(_xlfn.STOCKHISTORY(BG4, (TODAY()-5*365), TODAY(), 1, 0,1), 1, -1), ROW(BG5:BG258), 1),0)</f>
        <v>0</v>
      </c>
      <c r="BH5" s="3" cm="1">
        <f t="array" aca="1" ref="BH5" ca="1">IF(BH4&lt;&gt;0,INDEX(_xlfn._xlws.SORT(_xlfn.STOCKHISTORY(BH4, (TODAY()-5*365), TODAY(), 1, 0,1), 1, -1), ROW(BH5:BH258), 1),0)</f>
        <v>0</v>
      </c>
      <c r="BI5" s="3" cm="1">
        <f t="array" aca="1" ref="BI5" ca="1">IF(BI4&lt;&gt;0,INDEX(_xlfn._xlws.SORT(_xlfn.STOCKHISTORY(BI4, (TODAY()-5*365), TODAY(), 1, 0,1), 1, -1), ROW(BI5:BI258), 1),0)</f>
        <v>0</v>
      </c>
      <c r="BJ5" s="3" cm="1">
        <f t="array" aca="1" ref="BJ5" ca="1">IF(BJ4&lt;&gt;0,INDEX(_xlfn._xlws.SORT(_xlfn.STOCKHISTORY(BJ4, (TODAY()-5*365), TODAY(), 1, 0,1), 1, -1), ROW(BJ5:BJ258), 1),0)</f>
        <v>0</v>
      </c>
      <c r="BK5" s="3" cm="1">
        <f t="array" aca="1" ref="BK5" ca="1">IF(BK4&lt;&gt;0,INDEX(_xlfn._xlws.SORT(_xlfn.STOCKHISTORY(BK4, (TODAY()-5*365), TODAY(), 1, 0,1), 1, -1), ROW(BK5:BK258), 1),0)</f>
        <v>0</v>
      </c>
      <c r="BL5" s="3" cm="1">
        <f t="array" aca="1" ref="BL5" ca="1">IF(BL4&lt;&gt;0,INDEX(_xlfn._xlws.SORT(_xlfn.STOCKHISTORY(BL4, (TODAY()-5*365), TODAY(), 1, 0,1), 1, -1), ROW(BL5:BL258), 1),0)</f>
        <v>0</v>
      </c>
      <c r="BM5" s="3" cm="1">
        <f t="array" aca="1" ref="BM5" ca="1">IF(BM4&lt;&gt;0,INDEX(_xlfn._xlws.SORT(_xlfn.STOCKHISTORY(BM4, (TODAY()-5*365), TODAY(), 1, 0,1), 1, -1), ROW(BM5:BM258), 1),0)</f>
        <v>0</v>
      </c>
      <c r="BN5" s="3" cm="1">
        <f t="array" aca="1" ref="BN5" ca="1">IF(BN4&lt;&gt;0,INDEX(_xlfn._xlws.SORT(_xlfn.STOCKHISTORY(BN4, (TODAY()-5*365), TODAY(), 1, 0,1), 1, -1), ROW(BN5:BN258), 1),0)</f>
        <v>0</v>
      </c>
      <c r="BO5" s="3" cm="1">
        <f t="array" aca="1" ref="BO5" ca="1">IF(BO4&lt;&gt;0,INDEX(_xlfn._xlws.SORT(_xlfn.STOCKHISTORY(BO4, (TODAY()-5*365), TODAY(), 1, 0,1), 1, -1), ROW(BO5:BO258), 1),0)</f>
        <v>0</v>
      </c>
      <c r="BP5" s="3" cm="1">
        <f t="array" aca="1" ref="BP5" ca="1">IF(BP4&lt;&gt;0,INDEX(_xlfn._xlws.SORT(_xlfn.STOCKHISTORY(BP4, (TODAY()-5*365), TODAY(), 1, 0,1), 1, -1), ROW(BP5:BP258), 1),0)</f>
        <v>0</v>
      </c>
      <c r="BQ5" s="3" cm="1">
        <f t="array" aca="1" ref="BQ5" ca="1">IF(BQ4&lt;&gt;0,INDEX(_xlfn._xlws.SORT(_xlfn.STOCKHISTORY(BQ4, (TODAY()-5*365), TODAY(), 1, 0,1), 1, -1), ROW(BQ5:BQ258), 1),0)</f>
        <v>0</v>
      </c>
      <c r="BR5" s="3" cm="1">
        <f t="array" aca="1" ref="BR5" ca="1">IF(BR4&lt;&gt;0,INDEX(_xlfn._xlws.SORT(_xlfn.STOCKHISTORY(BR4, (TODAY()-5*365), TODAY(), 1, 0,1), 1, -1), ROW(BR5:BR258), 1),0)</f>
        <v>0</v>
      </c>
      <c r="BS5" s="3" cm="1">
        <f t="array" aca="1" ref="BS5" ca="1">IF(BS4&lt;&gt;0,INDEX(_xlfn._xlws.SORT(_xlfn.STOCKHISTORY(BS4, (TODAY()-5*365), TODAY(), 1, 0,1), 1, -1), ROW(BS5:BS258), 1),0)</f>
        <v>0</v>
      </c>
      <c r="BT5" s="3" cm="1">
        <f t="array" aca="1" ref="BT5" ca="1">IF(BT4&lt;&gt;0,INDEX(_xlfn._xlws.SORT(_xlfn.STOCKHISTORY(BT4, (TODAY()-5*365), TODAY(), 1, 0,1), 1, -1), ROW(BT5:BT258), 1),0)</f>
        <v>0</v>
      </c>
      <c r="BU5" s="3" cm="1">
        <f t="array" aca="1" ref="BU5" ca="1">IF(BU4&lt;&gt;0,INDEX(_xlfn._xlws.SORT(_xlfn.STOCKHISTORY(BU4, (TODAY()-5*365), TODAY(), 1, 0,1), 1, -1), ROW(BU5:BU258), 1),0)</f>
        <v>0</v>
      </c>
      <c r="BV5" s="3" cm="1">
        <f t="array" aca="1" ref="BV5" ca="1">IF(BV4&lt;&gt;0,INDEX(_xlfn._xlws.SORT(_xlfn.STOCKHISTORY(BV4, (TODAY()-5*365), TODAY(), 1, 0,1), 1, -1), ROW(BV5:BV258), 1),0)</f>
        <v>0</v>
      </c>
      <c r="BW5" s="3" cm="1">
        <f t="array" aca="1" ref="BW5" ca="1">IF(BW4&lt;&gt;0,INDEX(_xlfn._xlws.SORT(_xlfn.STOCKHISTORY(BW4, (TODAY()-5*365), TODAY(), 1, 0,1), 1, -1), ROW(BW5:BW258), 1),0)</f>
        <v>0</v>
      </c>
      <c r="BX5" s="3" cm="1">
        <f t="array" aca="1" ref="BX5" ca="1">IF(BX4&lt;&gt;0,INDEX(_xlfn._xlws.SORT(_xlfn.STOCKHISTORY(BX4, (TODAY()-5*365), TODAY(), 1, 0,1), 1, -1), ROW(BX5:BX258), 1),0)</f>
        <v>0</v>
      </c>
      <c r="BY5" s="3" cm="1">
        <f t="array" aca="1" ref="BY5" ca="1">IF(BY4&lt;&gt;0,INDEX(_xlfn._xlws.SORT(_xlfn.STOCKHISTORY(BY4, (TODAY()-5*365), TODAY(), 1, 0,1), 1, -1), ROW(BY5:BY258), 1),0)</f>
        <v>0</v>
      </c>
      <c r="BZ5" s="3" cm="1">
        <f t="array" aca="1" ref="BZ5" ca="1">IF(BZ4&lt;&gt;0,INDEX(_xlfn._xlws.SORT(_xlfn.STOCKHISTORY(BZ4, (TODAY()-5*365), TODAY(), 1, 0,1), 1, -1), ROW(BZ5:BZ258), 1),0)</f>
        <v>0</v>
      </c>
      <c r="CA5" s="3" cm="1">
        <f t="array" aca="1" ref="CA5" ca="1">IF(CA4&lt;&gt;0,INDEX(_xlfn._xlws.SORT(_xlfn.STOCKHISTORY(CA4, (TODAY()-5*365), TODAY(), 1, 0,1), 1, -1), ROW(CA5:CA258), 1),0)</f>
        <v>0</v>
      </c>
      <c r="CB5" s="3" cm="1">
        <f t="array" aca="1" ref="CB5" ca="1">IF(CB4&lt;&gt;0,INDEX(_xlfn._xlws.SORT(_xlfn.STOCKHISTORY(CB4, (TODAY()-5*365), TODAY(), 1, 0,1), 1, -1), ROW(CB5:CB258), 1),0)</f>
        <v>0</v>
      </c>
      <c r="CC5" s="3" cm="1">
        <f t="array" aca="1" ref="CC5" ca="1">IF(CC4&lt;&gt;0,INDEX(_xlfn._xlws.SORT(_xlfn.STOCKHISTORY(CC4, (TODAY()-5*365), TODAY(), 1, 0,1), 1, -1), ROW(CC5:CC258), 1),0)</f>
        <v>0</v>
      </c>
      <c r="CD5" s="3" cm="1">
        <f t="array" aca="1" ref="CD5" ca="1">IF(CD4&lt;&gt;0,INDEX(_xlfn._xlws.SORT(_xlfn.STOCKHISTORY(CD4, (TODAY()-5*365), TODAY(), 1, 0,1), 1, -1), ROW(CD5:CD258), 1),0)</f>
        <v>0</v>
      </c>
      <c r="CE5" s="3" cm="1">
        <f t="array" aca="1" ref="CE5" ca="1">IF(CE4&lt;&gt;0,INDEX(_xlfn._xlws.SORT(_xlfn.STOCKHISTORY(CE4, (TODAY()-5*365), TODAY(), 1, 0,1), 1, -1), ROW(CE5:CE258), 1),0)</f>
        <v>0</v>
      </c>
      <c r="CF5" s="3" cm="1">
        <f t="array" aca="1" ref="CF5" ca="1">IF(CF4&lt;&gt;0,INDEX(_xlfn._xlws.SORT(_xlfn.STOCKHISTORY(CF4, (TODAY()-5*365), TODAY(), 1, 0,1), 1, -1), ROW(CF5:CF258), 1),0)</f>
        <v>0</v>
      </c>
      <c r="CG5" s="3" cm="1">
        <f t="array" aca="1" ref="CG5" ca="1">IF(CG4&lt;&gt;0,INDEX(_xlfn._xlws.SORT(_xlfn.STOCKHISTORY(CG4, (TODAY()-5*365), TODAY(), 1, 0,1), 1, -1), ROW(CG5:CG258), 1),0)</f>
        <v>0</v>
      </c>
      <c r="CH5" s="3" cm="1">
        <f t="array" aca="1" ref="CH5" ca="1">IF(CH4&lt;&gt;0,INDEX(_xlfn._xlws.SORT(_xlfn.STOCKHISTORY(CH4, (TODAY()-5*365), TODAY(), 1, 0,1), 1, -1), ROW(CH5:CH258), 1),0)</f>
        <v>0</v>
      </c>
      <c r="CI5" s="3" cm="1">
        <f t="array" aca="1" ref="CI5" ca="1">IF(CI4&lt;&gt;0,INDEX(_xlfn._xlws.SORT(_xlfn.STOCKHISTORY(CI4, (TODAY()-5*365), TODAY(), 1, 0,1), 1, -1), ROW(CI5:CI258), 1),0)</f>
        <v>0</v>
      </c>
      <c r="CJ5" s="3" cm="1">
        <f t="array" aca="1" ref="CJ5" ca="1">IF(CJ4&lt;&gt;0,INDEX(_xlfn._xlws.SORT(_xlfn.STOCKHISTORY(CJ4, (TODAY()-5*365), TODAY(), 1, 0,1), 1, -1), ROW(CJ5:CJ258), 1),0)</f>
        <v>0</v>
      </c>
      <c r="CK5" s="3" cm="1">
        <f t="array" aca="1" ref="CK5" ca="1">IF(CK4&lt;&gt;0,INDEX(_xlfn._xlws.SORT(_xlfn.STOCKHISTORY(CK4, (TODAY()-5*365), TODAY(), 1, 0,1), 1, -1), ROW(CK5:CK258), 1),0)</f>
        <v>0</v>
      </c>
      <c r="CL5" s="3" cm="1">
        <f t="array" aca="1" ref="CL5" ca="1">IF(CL4&lt;&gt;0,INDEX(_xlfn._xlws.SORT(_xlfn.STOCKHISTORY(CL4, (TODAY()-5*365), TODAY(), 1, 0,1), 1, -1), ROW(CL5:CL258), 1),0)</f>
        <v>0</v>
      </c>
      <c r="CM5" s="3" cm="1">
        <f t="array" aca="1" ref="CM5" ca="1">IF(CM4&lt;&gt;0,INDEX(_xlfn._xlws.SORT(_xlfn.STOCKHISTORY(CM4, (TODAY()-5*365), TODAY(), 1, 0,1), 1, -1), ROW(CM5:CM258), 1),0)</f>
        <v>0</v>
      </c>
      <c r="CN5" s="3" cm="1">
        <f t="array" aca="1" ref="CN5" ca="1">IF(CN4&lt;&gt;0,INDEX(_xlfn._xlws.SORT(_xlfn.STOCKHISTORY(CN4, (TODAY()-5*365), TODAY(), 1, 0,1), 1, -1), ROW(CN5:CN258), 1),0)</f>
        <v>0</v>
      </c>
      <c r="CO5" s="3" cm="1">
        <f t="array" aca="1" ref="CO5" ca="1">IF(CO4&lt;&gt;0,INDEX(_xlfn._xlws.SORT(_xlfn.STOCKHISTORY(CO4, (TODAY()-5*365), TODAY(), 1, 0,1), 1, -1), ROW(CO5:CO258), 1),0)</f>
        <v>0</v>
      </c>
      <c r="CP5" s="3" cm="1">
        <f t="array" aca="1" ref="CP5" ca="1">IF(CP4&lt;&gt;0,INDEX(_xlfn._xlws.SORT(_xlfn.STOCKHISTORY(CP4, (TODAY()-5*365), TODAY(), 1, 0,1), 1, -1), ROW(CP5:CP258), 1),0)</f>
        <v>0</v>
      </c>
      <c r="CQ5" s="3" cm="1">
        <f t="array" aca="1" ref="CQ5" ca="1">IF(CQ4&lt;&gt;0,INDEX(_xlfn._xlws.SORT(_xlfn.STOCKHISTORY(CQ4, (TODAY()-5*365), TODAY(), 1, 0,1), 1, -1), ROW(CQ5:CQ258), 1),0)</f>
        <v>0</v>
      </c>
      <c r="CR5" s="3" cm="1">
        <f t="array" aca="1" ref="CR5" ca="1">IF(CR4&lt;&gt;0,INDEX(_xlfn._xlws.SORT(_xlfn.STOCKHISTORY(CR4, (TODAY()-5*365), TODAY(), 1, 0,1), 1, -1), ROW(CR5:CR258), 1),0)</f>
        <v>0</v>
      </c>
      <c r="CS5" s="3" cm="1">
        <f t="array" aca="1" ref="CS5" ca="1">IF(CS4&lt;&gt;0,INDEX(_xlfn._xlws.SORT(_xlfn.STOCKHISTORY(CS4, (TODAY()-5*365), TODAY(), 1, 0,1), 1, -1), ROW(CS5:CS258), 1),0)</f>
        <v>0</v>
      </c>
      <c r="CT5" s="3" cm="1">
        <f t="array" aca="1" ref="CT5" ca="1">IF(CT4&lt;&gt;0,INDEX(_xlfn._xlws.SORT(_xlfn.STOCKHISTORY(CT4, (TODAY()-5*365), TODAY(), 1, 0,1), 1, -1), ROW(CT5:CT258), 1),0)</f>
        <v>0</v>
      </c>
      <c r="CU5" s="3" cm="1">
        <f t="array" aca="1" ref="CU5" ca="1">IF(CU4&lt;&gt;0,INDEX(_xlfn._xlws.SORT(_xlfn.STOCKHISTORY(CU4, (TODAY()-5*365), TODAY(), 1, 0,1), 1, -1), ROW(CU5:CU258), 1),0)</f>
        <v>0</v>
      </c>
      <c r="CV5" s="3" cm="1">
        <f t="array" aca="1" ref="CV5" ca="1">IF(CV4&lt;&gt;0,INDEX(_xlfn._xlws.SORT(_xlfn.STOCKHISTORY(CV4, (TODAY()-5*365), TODAY(), 1, 0,1), 1, -1), ROW(CV5:CV258), 1),0)</f>
        <v>0</v>
      </c>
      <c r="CW5" s="3" cm="1">
        <f t="array" aca="1" ref="CW5" ca="1">IF(CW4&lt;&gt;0,INDEX(_xlfn._xlws.SORT(_xlfn.STOCKHISTORY(CW4, (TODAY()-5*365), TODAY(), 1, 0,1), 1, -1), ROW(CW5:CW258), 1),0)</f>
        <v>0</v>
      </c>
      <c r="CX5" s="3" cm="1">
        <f t="array" aca="1" ref="CX5" ca="1">IF(CX4&lt;&gt;0,INDEX(_xlfn._xlws.SORT(_xlfn.STOCKHISTORY(CX4, (TODAY()-5*365), TODAY(), 1, 0,1), 1, -1), ROW(CX5:CX258), 1),0)</f>
        <v>0</v>
      </c>
      <c r="CY5" s="3" cm="1">
        <f t="array" aca="1" ref="CY5" ca="1">IF(CY4&lt;&gt;0,INDEX(_xlfn._xlws.SORT(_xlfn.STOCKHISTORY(CY4, (TODAY()-5*365), TODAY(), 1, 0,1), 1, -1), ROW(CY5:CY258), 1),0)</f>
        <v>0</v>
      </c>
      <c r="DB5" s="55" t="s">
        <v>215</v>
      </c>
      <c r="DC5" s="3" t="str">
        <f>Returns!B4</f>
        <v>BRO</v>
      </c>
      <c r="DD5" s="3" t="s">
        <v>1330</v>
      </c>
      <c r="DF5" s="9" t="s">
        <v>218</v>
      </c>
      <c r="DH5" s="9" t="s">
        <v>202</v>
      </c>
      <c r="DI5" s="9">
        <v>0</v>
      </c>
      <c r="DJ5" s="28">
        <f ca="1">Returns!B1-7</f>
        <v>45697</v>
      </c>
    </row>
    <row r="6" spans="1:114" x14ac:dyDescent="0.3">
      <c r="B6" s="63" vm="2">
        <f ca="1"/>
        <v>44303.4</v>
      </c>
      <c r="CX6" s="3"/>
      <c r="DB6" s="3" vm="3">
        <f ca="1">IF(Returns!A8&lt;&gt;0,Returns!A8,"")</f>
        <v>40225</v>
      </c>
      <c r="DC6" s="13">
        <f ca="1">IF(Returns!B9&gt;0,Returns!B9/Returns!B8-1,"")</f>
        <v>3.5885167464115852E-3</v>
      </c>
      <c r="DD6" s="13">
        <f ca="1">IF(Returns!D9&gt;0,Returns!D9/Returns!D8-1,"")</f>
        <v>-7.4104689660012824E-3</v>
      </c>
      <c r="DF6" s="9" t="s">
        <v>214</v>
      </c>
      <c r="DH6" s="9" t="s">
        <v>203</v>
      </c>
      <c r="DI6" s="9">
        <v>1</v>
      </c>
      <c r="DJ6" s="28">
        <f ca="1">EDATE(Returns!$B$1,-DI6)</f>
        <v>45673</v>
      </c>
    </row>
    <row r="7" spans="1:114" x14ac:dyDescent="0.3">
      <c r="B7" s="63" vm="4">
        <f ca="1"/>
        <v>44296.51</v>
      </c>
      <c r="CX7" s="3"/>
      <c r="DB7" s="3" vm="5">
        <f ca="1">IF(Returns!A9&lt;&gt;0,Returns!A9,"")</f>
        <v>40231</v>
      </c>
      <c r="DC7" s="13">
        <f ca="1">IF(Returns!B10&gt;0,Returns!B10/Returns!B9-1,"")</f>
        <v>3.4564958283670899E-2</v>
      </c>
      <c r="DD7" s="13">
        <f ca="1">IF(Returns!D10&gt;0,Returns!D10/Returns!D9-1,"")</f>
        <v>2.3334278071008629E-2</v>
      </c>
      <c r="DF7" s="9" t="s">
        <v>1284</v>
      </c>
      <c r="DH7" s="9" t="s">
        <v>204</v>
      </c>
      <c r="DI7" s="9">
        <v>6</v>
      </c>
      <c r="DJ7" s="28">
        <f ca="1">EDATE(Returns!$B$1,-DI7)</f>
        <v>45520</v>
      </c>
    </row>
    <row r="8" spans="1:114" x14ac:dyDescent="0.3">
      <c r="B8" s="63" vm="6">
        <f ca="1"/>
        <v>43988.99</v>
      </c>
      <c r="CX8" s="3"/>
      <c r="DB8" s="3" vm="7">
        <f ca="1">IF(Returns!A10&lt;&gt;0,Returns!A10,"")</f>
        <v>40238</v>
      </c>
      <c r="DC8" s="13">
        <f ca="1">IF(Returns!B11&gt;0,Returns!B11/Returns!B10-1,"")</f>
        <v>1.7857142857143016E-2</v>
      </c>
      <c r="DD8" s="13">
        <f ca="1">IF(Returns!D11&gt;0,Returns!D11/Returns!D10-1,"")</f>
        <v>5.5360502729204786E-3</v>
      </c>
      <c r="DF8" s="9" t="s">
        <v>1342</v>
      </c>
      <c r="DH8" s="9" t="s">
        <v>205</v>
      </c>
      <c r="DI8" s="9">
        <v>12</v>
      </c>
      <c r="DJ8" s="28">
        <f ca="1">EDATE(Returns!$B$1,-DI8)</f>
        <v>45338</v>
      </c>
    </row>
    <row r="9" spans="1:114" x14ac:dyDescent="0.3">
      <c r="B9" s="63" vm="8">
        <f ca="1"/>
        <v>43828.06</v>
      </c>
      <c r="CX9" s="3"/>
      <c r="DB9" s="3" vm="9">
        <f ca="1">IF(Returns!A11&lt;&gt;0,Returns!A11,"")</f>
        <v>40245</v>
      </c>
      <c r="DC9" s="13">
        <f ca="1">IF(Returns!B12&gt;0,Returns!B12/Returns!B11-1,"")</f>
        <v>1.754385964912264E-2</v>
      </c>
      <c r="DD9" s="13">
        <f ca="1">IF(Returns!D12&gt;0,Returns!D12/Returns!D11-1,"")</f>
        <v>1.1039585484846626E-2</v>
      </c>
      <c r="DH9" s="9" t="s">
        <v>206</v>
      </c>
      <c r="DI9" s="9">
        <v>18</v>
      </c>
      <c r="DJ9" s="28">
        <f ca="1">EDATE(Returns!$B$1,-DI9)</f>
        <v>45154</v>
      </c>
    </row>
    <row r="10" spans="1:114" x14ac:dyDescent="0.3">
      <c r="B10" s="63" vm="10">
        <f ca="1"/>
        <v>43487.83</v>
      </c>
      <c r="CX10" s="3"/>
      <c r="DB10" s="3" vm="11">
        <f ca="1">IF(Returns!A12&lt;&gt;0,Returns!A12,"")</f>
        <v>40252</v>
      </c>
      <c r="DC10" s="13">
        <f ca="1">IF(Returns!B13&gt;0,Returns!B13/Returns!B12-1,"")</f>
        <v>-9.4549499443827845E-3</v>
      </c>
      <c r="DD10" s="13">
        <f ca="1">IF(Returns!D13&gt;0,Returns!D13/Returns!D12-1,"")</f>
        <v>1.0088852668807435E-2</v>
      </c>
      <c r="DH10" s="9" t="s">
        <v>207</v>
      </c>
      <c r="DI10" s="9">
        <v>24</v>
      </c>
      <c r="DJ10" s="28">
        <f ca="1">EDATE(Returns!$B$1,-DI10)</f>
        <v>44973</v>
      </c>
    </row>
    <row r="11" spans="1:114" x14ac:dyDescent="0.3">
      <c r="B11" s="63" vm="12">
        <f ca="1"/>
        <v>43444.99</v>
      </c>
      <c r="CX11" s="3"/>
      <c r="DB11" s="3" vm="13">
        <f ca="1">IF(Returns!A13&lt;&gt;0,Returns!A13,"")</f>
        <v>40259</v>
      </c>
      <c r="DC11" s="13">
        <f ca="1">IF(Returns!B14&gt;0,Returns!B14/Returns!B13-1,"")</f>
        <v>-4.4918585064569472E-3</v>
      </c>
      <c r="DD11" s="13">
        <f ca="1">IF(Returns!D14&gt;0,Returns!D14/Returns!D13-1,"")</f>
        <v>7.0696739810145459E-3</v>
      </c>
      <c r="DH11" s="9" t="s">
        <v>208</v>
      </c>
      <c r="DI11" s="9">
        <v>30</v>
      </c>
      <c r="DJ11" s="28">
        <f ca="1">EDATE(Returns!$B$1,-DI11)</f>
        <v>44789</v>
      </c>
    </row>
    <row r="12" spans="1:114" x14ac:dyDescent="0.3">
      <c r="B12" s="63" vm="14">
        <f ca="1"/>
        <v>43275.91</v>
      </c>
      <c r="CX12" s="3"/>
      <c r="DB12" s="3" vm="15">
        <f ca="1">IF(Returns!A14&lt;&gt;0,Returns!A14,"")</f>
        <v>40266</v>
      </c>
      <c r="DC12" s="13">
        <f ca="1">IF(Returns!B15&gt;0,Returns!B15/Returns!B14-1,"")</f>
        <v>3.2148900169204797E-2</v>
      </c>
      <c r="DD12" s="13">
        <f ca="1">IF(Returns!D15&gt;0,Returns!D15/Returns!D14-1,"")</f>
        <v>6.4321649558050087E-3</v>
      </c>
      <c r="DH12" s="9" t="s">
        <v>209</v>
      </c>
      <c r="DI12" s="9">
        <v>36</v>
      </c>
      <c r="DJ12" s="28">
        <f ca="1">EDATE(Returns!$B$1,-DI12)</f>
        <v>44608</v>
      </c>
    </row>
    <row r="13" spans="1:114" x14ac:dyDescent="0.3">
      <c r="B13" s="63" vm="16">
        <f ca="1"/>
        <v>42992.21</v>
      </c>
      <c r="CX13" s="3"/>
      <c r="DB13" s="3" vm="17">
        <f ca="1">IF(Returns!A15&lt;&gt;0,Returns!A15,"")</f>
        <v>40273</v>
      </c>
      <c r="DC13" s="13">
        <f ca="1">IF(Returns!B16&gt;0,Returns!B16/Returns!B15-1,"")</f>
        <v>1.5846994535519077E-2</v>
      </c>
      <c r="DD13" s="13">
        <f ca="1">IF(Returns!D16&gt;0,Returns!D16/Returns!D15-1,"")</f>
        <v>1.9379301313813269E-3</v>
      </c>
      <c r="DH13" s="9" t="s">
        <v>210</v>
      </c>
      <c r="DI13" s="9">
        <v>60</v>
      </c>
      <c r="DJ13" s="28">
        <f ca="1">EDATE(Returns!$B$1,-DI13)</f>
        <v>43877</v>
      </c>
    </row>
    <row r="14" spans="1:114" x14ac:dyDescent="0.3">
      <c r="B14" s="63" vm="18">
        <f ca="1"/>
        <v>42863.86</v>
      </c>
      <c r="CX14" s="3"/>
      <c r="DB14" s="3" vm="19">
        <f ca="1">IF(Returns!A16&lt;&gt;0,Returns!A16,"")</f>
        <v>40280</v>
      </c>
      <c r="DC14" s="13">
        <f ca="1">IF(Returns!B17&gt;0,Returns!B17/Returns!B16-1,"")</f>
        <v>7.7461000537923708E-2</v>
      </c>
      <c r="DD14" s="13">
        <f ca="1">IF(Returns!D17&gt;0,Returns!D17/Returns!D16-1,"")</f>
        <v>1.6845217953007419E-2</v>
      </c>
      <c r="DH14" s="9" t="s">
        <v>211</v>
      </c>
      <c r="DI14" s="9">
        <v>120</v>
      </c>
      <c r="DJ14" s="28">
        <f ca="1">EDATE(Returns!$B$1,-DI14)</f>
        <v>42051</v>
      </c>
    </row>
    <row r="15" spans="1:114" x14ac:dyDescent="0.3">
      <c r="B15" s="63" vm="20">
        <f ca="1"/>
        <v>42840.26</v>
      </c>
      <c r="CX15" s="3"/>
      <c r="DB15" s="3" vm="21">
        <f ca="1">IF(Returns!A17&lt;&gt;0,Returns!A17,"")</f>
        <v>40287</v>
      </c>
      <c r="DC15" s="13">
        <f ca="1">IF(Returns!B18&gt;0,Returns!B18/Returns!B17-1,"")</f>
        <v>5.4917623564652018E-3</v>
      </c>
      <c r="DD15" s="13">
        <f ca="1">IF(Returns!D18&gt;0,Returns!D18/Returns!D17-1,"")</f>
        <v>-1.7463270272885079E-2</v>
      </c>
      <c r="DH15" s="9" t="s">
        <v>212</v>
      </c>
      <c r="DI15" s="9">
        <f>DI14+DI11</f>
        <v>150</v>
      </c>
      <c r="DJ15" s="28">
        <f ca="1">EDATE(Returns!$B$1,-DI15)</f>
        <v>41137</v>
      </c>
    </row>
    <row r="16" spans="1:114" x14ac:dyDescent="0.3">
      <c r="B16" s="63" vm="22">
        <f ca="1"/>
        <v>42732.13</v>
      </c>
      <c r="CX16" s="3"/>
      <c r="DB16" s="3" vm="23">
        <f ca="1">IF(Returns!A18&lt;&gt;0,Returns!A18,"")</f>
        <v>40294</v>
      </c>
      <c r="DC16" s="13">
        <f ca="1">IF(Returns!B19&gt;0,Returns!B19/Returns!B18-1,"")</f>
        <v>-5.6107249255213487E-2</v>
      </c>
      <c r="DD16" s="13">
        <f ca="1">IF(Returns!D19&gt;0,Returns!D19/Returns!D18-1,"")</f>
        <v>-5.7062439847665791E-2</v>
      </c>
      <c r="DH16" s="9" t="s">
        <v>213</v>
      </c>
      <c r="DI16" s="9">
        <f>DI15+DI11</f>
        <v>180</v>
      </c>
      <c r="DJ16" s="28">
        <f ca="1">EDATE(Returns!$B$1,-DI16)</f>
        <v>40225</v>
      </c>
    </row>
    <row r="17" spans="1:110" x14ac:dyDescent="0.3">
      <c r="B17" s="63" vm="24">
        <f ca="1"/>
        <v>42352.75</v>
      </c>
      <c r="CX17" s="3"/>
      <c r="DB17" s="3" vm="25">
        <f ca="1">IF(Returns!A19&lt;&gt;0,Returns!A19,"")</f>
        <v>40301</v>
      </c>
      <c r="DC17" s="13">
        <f ca="1">IF(Returns!B20&gt;0,Returns!B20/Returns!B19-1,"")</f>
        <v>2.6827985270909904E-2</v>
      </c>
      <c r="DD17" s="13">
        <f ca="1">IF(Returns!D20&gt;0,Returns!D20/Returns!D19-1,"")</f>
        <v>2.3093783050158301E-2</v>
      </c>
    </row>
    <row r="18" spans="1:110" x14ac:dyDescent="0.3">
      <c r="B18" s="63" vm="26">
        <f ca="1"/>
        <v>42313</v>
      </c>
      <c r="CX18" s="3"/>
      <c r="DB18" s="3" vm="27">
        <f ca="1">IF(Returns!A20&lt;&gt;0,Returns!A20,"")</f>
        <v>40308</v>
      </c>
      <c r="DC18" s="13">
        <f ca="1">IF(Returns!B21&gt;0,Returns!B21/Returns!B20-1,"")</f>
        <v>-2.1516393442622905E-2</v>
      </c>
      <c r="DD18" s="13">
        <f ca="1">IF(Returns!D21&gt;0,Returns!D21/Returns!D20-1,"")</f>
        <v>-4.0185023991027524E-2</v>
      </c>
    </row>
    <row r="19" spans="1:110" x14ac:dyDescent="0.3">
      <c r="B19" s="63" vm="28">
        <f ca="1"/>
        <v>42114.400000000001</v>
      </c>
      <c r="CX19" s="3"/>
      <c r="DB19" s="3" vm="29">
        <f ca="1">IF(Returns!A21&lt;&gt;0,Returns!A21,"")</f>
        <v>40315</v>
      </c>
      <c r="DC19" s="13">
        <f ca="1">IF(Returns!B22&gt;0,Returns!B22/Returns!B21-1,"")</f>
        <v>2.6178010471204161E-2</v>
      </c>
      <c r="DD19" s="13">
        <f ca="1">IF(Returns!D22&gt;0,Returns!D22/Returns!D21-1,"")</f>
        <v>-5.5679924864224795E-3</v>
      </c>
    </row>
    <row r="20" spans="1:110" x14ac:dyDescent="0.3">
      <c r="B20" s="63" vm="30">
        <f ca="1"/>
        <v>42063.360000000001</v>
      </c>
      <c r="CX20" s="3"/>
      <c r="DB20" s="3" vm="31">
        <f ca="1">IF(Returns!A22&lt;&gt;0,Returns!A22,"")</f>
        <v>40322</v>
      </c>
      <c r="DC20" s="13">
        <f ca="1">IF(Returns!B23&gt;0,Returns!B23/Returns!B22-1,"")</f>
        <v>-1.5306122448979664E-2</v>
      </c>
      <c r="DD20" s="13">
        <f ca="1">IF(Returns!D23&gt;0,Returns!D23/Returns!D22-1,"")</f>
        <v>-2.0189816735836419E-2</v>
      </c>
    </row>
    <row r="21" spans="1:110" x14ac:dyDescent="0.3">
      <c r="B21" s="63" vm="32">
        <f ca="1"/>
        <v>42052.19</v>
      </c>
      <c r="CX21" s="3"/>
      <c r="DB21" s="3" vm="33">
        <f ca="1">IF(Returns!A23&lt;&gt;0,Returns!A23,"")</f>
        <v>40330</v>
      </c>
      <c r="DC21" s="13">
        <f ca="1">IF(Returns!B24&gt;0,Returns!B24/Returns!B23-1,"")</f>
        <v>2.1243523316062163E-2</v>
      </c>
      <c r="DD21" s="13">
        <f ca="1">IF(Returns!D24&gt;0,Returns!D24/Returns!D23-1,"")</f>
        <v>2.8100961851165618E-2</v>
      </c>
    </row>
    <row r="22" spans="1:110" x14ac:dyDescent="0.3">
      <c r="B22" s="63" vm="34">
        <f ca="1"/>
        <v>41938.449999999997</v>
      </c>
      <c r="CX22" s="3"/>
      <c r="DB22" s="3" vm="35">
        <f ca="1">IF(Returns!A24&lt;&gt;0,Returns!A24,"")</f>
        <v>40336</v>
      </c>
      <c r="DC22" s="13">
        <f ca="1">IF(Returns!B25&gt;0,Returns!B25/Returns!B24-1,"")</f>
        <v>2.5367833587011779E-2</v>
      </c>
      <c r="DD22" s="13">
        <f ca="1">IF(Returns!D25&gt;0,Returns!D25/Returns!D24-1,"")</f>
        <v>2.3462014445653878E-2</v>
      </c>
      <c r="DF22" s="9" t="s">
        <v>1323</v>
      </c>
    </row>
    <row r="23" spans="1:110" x14ac:dyDescent="0.3">
      <c r="B23" s="63" vm="36">
        <f ca="1"/>
        <v>41563.08</v>
      </c>
      <c r="CX23" s="3"/>
      <c r="DB23" s="3" vm="37">
        <f ca="1">IF(Returns!A25&lt;&gt;0,Returns!A25,"")</f>
        <v>40343</v>
      </c>
      <c r="DC23" s="13">
        <f ca="1">IF(Returns!B26&gt;0,Returns!B26/Returns!B25-1,"")</f>
        <v>-2.0781791192479027E-2</v>
      </c>
      <c r="DD23" s="13">
        <f ca="1">IF(Returns!D26&gt;0,Returns!D26/Returns!D25-1,"")</f>
        <v>-2.936029728695666E-2</v>
      </c>
    </row>
    <row r="24" spans="1:110" x14ac:dyDescent="0.3">
      <c r="B24" s="63" vm="38">
        <f ca="1"/>
        <v>41393.78</v>
      </c>
      <c r="CX24" s="3"/>
      <c r="DB24" s="3" vm="39">
        <f ca="1">IF(Returns!A26&lt;&gt;0,Returns!A26,"")</f>
        <v>40350</v>
      </c>
      <c r="DC24" s="13">
        <f ca="1">IF(Returns!B27&gt;0,Returns!B27/Returns!B26-1,"")</f>
        <v>-4.4972208185952489E-2</v>
      </c>
      <c r="DD24" s="13">
        <f ca="1">IF(Returns!D27&gt;0,Returns!D27/Returns!D26-1,"")</f>
        <v>-4.5084364015313905E-2</v>
      </c>
    </row>
    <row r="25" spans="1:110" x14ac:dyDescent="0.3">
      <c r="B25" s="63" vm="40">
        <f ca="1"/>
        <v>41175.08</v>
      </c>
      <c r="CX25" s="3"/>
      <c r="DB25" s="3" vm="41">
        <f ca="1">IF(Returns!A27&lt;&gt;0,Returns!A27,"")</f>
        <v>40357</v>
      </c>
      <c r="DC25" s="13">
        <f ca="1">IF(Returns!B28&gt;0,Returns!B28/Returns!B27-1,"")</f>
        <v>3.0158730158730274E-2</v>
      </c>
      <c r="DD25" s="13">
        <f ca="1">IF(Returns!D28&gt;0,Returns!D28/Returns!D27-1,"")</f>
        <v>5.2810058817740257E-2</v>
      </c>
    </row>
    <row r="26" spans="1:110" x14ac:dyDescent="0.3">
      <c r="B26" s="63" vm="42">
        <f ca="1"/>
        <v>40659.760000000002</v>
      </c>
      <c r="CX26" s="3"/>
      <c r="DB26" s="3" vm="43">
        <f ca="1">IF(Returns!A28&lt;&gt;0,Returns!A28,"")</f>
        <v>40365</v>
      </c>
      <c r="DC26" s="13">
        <f ca="1">IF(Returns!B29&gt;0,Returns!B29/Returns!B28-1,"")</f>
        <v>-2.6707755521314769E-2</v>
      </c>
      <c r="DD26" s="13">
        <f ca="1">IF(Returns!D29&gt;0,Returns!D29/Returns!D28-1,"")</f>
        <v>-9.8184785957595722E-3</v>
      </c>
    </row>
    <row r="27" spans="1:110" x14ac:dyDescent="0.3">
      <c r="B27" s="63" vm="44">
        <f ca="1"/>
        <v>40589.337200000002</v>
      </c>
      <c r="CX27" s="3"/>
      <c r="DB27" s="3" vm="45">
        <f ca="1">IF(Returns!A29&lt;&gt;0,Returns!A29,"")</f>
        <v>40371</v>
      </c>
      <c r="DC27" s="13">
        <f ca="1">IF(Returns!B30&gt;0,Returns!B30/Returns!B29-1,"")</f>
        <v>6.5435356200527872E-2</v>
      </c>
      <c r="DD27" s="13">
        <f ca="1">IF(Returns!D30&gt;0,Returns!D30/Returns!D29-1,"")</f>
        <v>3.2355747264561696E-2</v>
      </c>
    </row>
    <row r="28" spans="1:110" x14ac:dyDescent="0.3">
      <c r="B28" s="63" vm="46">
        <f ca="1"/>
        <v>40345.410000000003</v>
      </c>
      <c r="CX28" s="3"/>
      <c r="DB28" s="3" vm="47">
        <f ca="1">IF(Returns!A30&lt;&gt;0,Returns!A30,"")</f>
        <v>40378</v>
      </c>
      <c r="DC28" s="13">
        <f ca="1">IF(Returns!B31&gt;0,Returns!B31/Returns!B30-1,"")</f>
        <v>-8.420009905894088E-3</v>
      </c>
      <c r="DD28" s="13">
        <f ca="1">IF(Returns!D31&gt;0,Returns!D31/Returns!D30-1,"")</f>
        <v>3.963980698427072E-3</v>
      </c>
    </row>
    <row r="29" spans="1:110" ht="15" thickBot="1" x14ac:dyDescent="0.35">
      <c r="A29" s="3" t="s">
        <v>1295</v>
      </c>
      <c r="B29" s="64" vm="48">
        <f ca="1"/>
        <v>40287.529900000001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DB29" s="3" vm="49">
        <f ca="1">IF(Returns!A31&lt;&gt;0,Returns!A31,"")</f>
        <v>40385</v>
      </c>
      <c r="DC29" s="13">
        <f ca="1">IF(Returns!B32&gt;0,Returns!B32/Returns!B31-1,"")</f>
        <v>2.4975024975024684E-3</v>
      </c>
      <c r="DD29" s="13">
        <f ca="1">IF(Returns!D32&gt;0,Returns!D32/Returns!D31-1,"")</f>
        <v>1.7926618360087021E-2</v>
      </c>
    </row>
    <row r="30" spans="1:110" x14ac:dyDescent="0.3">
      <c r="B30" s="63" vm="50">
        <f ca="1"/>
        <v>40003.591899999999</v>
      </c>
      <c r="CX30" s="3"/>
      <c r="DB30" s="3" vm="51">
        <f ca="1">IF(Returns!A32&lt;&gt;0,Returns!A32,"")</f>
        <v>40392</v>
      </c>
      <c r="DC30" s="13">
        <f ca="1">IF(Returns!B33&gt;0,Returns!B33/Returns!B32-1,"")</f>
        <v>-3.3383158943697144E-2</v>
      </c>
      <c r="DD30" s="13">
        <f ca="1">IF(Returns!D33&gt;0,Returns!D33/Returns!D32-1,"")</f>
        <v>-3.28916973971497E-2</v>
      </c>
    </row>
    <row r="31" spans="1:110" x14ac:dyDescent="0.3">
      <c r="B31" s="63" vm="52">
        <f ca="1"/>
        <v>40000.898399999998</v>
      </c>
      <c r="CX31" s="3"/>
      <c r="DB31" s="3" vm="53">
        <f ca="1">IF(Returns!A33&lt;&gt;0,Returns!A33,"")</f>
        <v>40399</v>
      </c>
      <c r="DC31" s="13">
        <f ca="1">IF(Returns!B34&gt;0,Returns!B34/Returns!B33-1,"")</f>
        <v>4.1237113402061709E-3</v>
      </c>
      <c r="DD31" s="13">
        <f ca="1">IF(Returns!D34&gt;0,Returns!D34/Returns!D33-1,"")</f>
        <v>-8.6899054299908185E-3</v>
      </c>
    </row>
    <row r="32" spans="1:110" x14ac:dyDescent="0.3">
      <c r="B32" s="63" vm="54">
        <f ca="1"/>
        <v>39807.374499999998</v>
      </c>
      <c r="CX32" s="3"/>
      <c r="DB32" s="3" vm="55">
        <f ca="1">IF(Returns!A34&lt;&gt;0,Returns!A34,"")</f>
        <v>40406</v>
      </c>
      <c r="DC32" s="13">
        <f ca="1">IF(Returns!B35&gt;0,Returns!B35/Returns!B34-1,"")</f>
        <v>2.5667351129363691E-3</v>
      </c>
      <c r="DD32" s="13">
        <f ca="1">IF(Returns!D35&gt;0,Returns!D35/Returns!D34-1,"")</f>
        <v>-6.1651520562741036E-3</v>
      </c>
    </row>
    <row r="33" spans="2:108" x14ac:dyDescent="0.3">
      <c r="B33" s="63" vm="56">
        <f ca="1"/>
        <v>39737.260399999999</v>
      </c>
      <c r="CX33" s="3"/>
      <c r="DB33" s="3" vm="57">
        <f ca="1">IF(Returns!A35&lt;&gt;0,Returns!A35,"")</f>
        <v>40413</v>
      </c>
      <c r="DC33" s="13">
        <f ca="1">IF(Returns!B36&gt;0,Returns!B36/Returns!B35-1,"")</f>
        <v>1.5873015873015817E-2</v>
      </c>
      <c r="DD33" s="13">
        <f ca="1">IF(Returns!D36&gt;0,Returns!D36/Returns!D35-1,"")</f>
        <v>2.9287203550212748E-2</v>
      </c>
    </row>
    <row r="34" spans="2:108" x14ac:dyDescent="0.3">
      <c r="B34" s="63" vm="58">
        <f ca="1"/>
        <v>39512.843000000001</v>
      </c>
      <c r="CX34" s="3"/>
      <c r="DB34" s="3" vm="59">
        <f ca="1">IF(Returns!A36&lt;&gt;0,Returns!A36,"")</f>
        <v>40420</v>
      </c>
      <c r="DC34" s="13">
        <f ca="1">IF(Returns!B37&gt;0,Returns!B37/Returns!B36-1,"")</f>
        <v>5.5443548387097419E-3</v>
      </c>
      <c r="DD34" s="13">
        <f ca="1">IF(Returns!D37&gt;0,Returns!D37/Returns!D36-1,"")</f>
        <v>1.4198024617750882E-3</v>
      </c>
    </row>
    <row r="35" spans="2:108" x14ac:dyDescent="0.3">
      <c r="B35" s="63" vm="60">
        <f ca="1"/>
        <v>39497.54</v>
      </c>
      <c r="CX35" s="3"/>
      <c r="DB35" s="3" vm="61">
        <f ca="1">IF(Returns!A37&lt;&gt;0,Returns!A37,"")</f>
        <v>40428</v>
      </c>
      <c r="DC35" s="13">
        <f ca="1">IF(Returns!B38&gt;0,Returns!B38/Returns!B37-1,"")</f>
        <v>1.6541353383458635E-2</v>
      </c>
      <c r="DD35" s="13">
        <f ca="1">IF(Returns!D38&gt;0,Returns!D38/Returns!D37-1,"")</f>
        <v>1.386678205743741E-2</v>
      </c>
    </row>
    <row r="36" spans="2:108" x14ac:dyDescent="0.3">
      <c r="B36" s="63" vm="62">
        <f ca="1"/>
        <v>39475.904000000002</v>
      </c>
      <c r="CX36" s="3"/>
      <c r="DB36" s="3" vm="63">
        <f ca="1">IF(Returns!A38&lt;&gt;0,Returns!A38,"")</f>
        <v>40434</v>
      </c>
      <c r="DC36" s="13">
        <f ca="1">IF(Returns!B39&gt;0,Returns!B39/Returns!B38-1,"")</f>
        <v>-5.9171597633136397E-3</v>
      </c>
      <c r="DD36" s="13">
        <f ca="1">IF(Returns!D39&gt;0,Returns!D39/Returns!D38-1,"")</f>
        <v>2.3794064909206325E-2</v>
      </c>
    </row>
    <row r="37" spans="2:108" x14ac:dyDescent="0.3">
      <c r="B37" s="63" vm="64">
        <f ca="1"/>
        <v>39375.866900000001</v>
      </c>
      <c r="CX37" s="3"/>
      <c r="DB37" s="3" vm="65">
        <f ca="1">IF(Returns!A39&lt;&gt;0,Returns!A39,"")</f>
        <v>40441</v>
      </c>
      <c r="DC37" s="13">
        <f ca="1">IF(Returns!B40&gt;0,Returns!B40/Returns!B39-1,"")</f>
        <v>4.9603174603185529E-4</v>
      </c>
      <c r="DD37" s="13">
        <f ca="1">IF(Returns!D40&gt;0,Returns!D40/Returns!D39-1,"")</f>
        <v>-2.8154126876817065E-3</v>
      </c>
    </row>
    <row r="38" spans="2:108" x14ac:dyDescent="0.3">
      <c r="B38" s="63" vm="66">
        <f ca="1"/>
        <v>39150.332600000002</v>
      </c>
      <c r="CX38" s="3"/>
      <c r="DB38" s="3" vm="67">
        <f ca="1">IF(Returns!A40&lt;&gt;0,Returns!A40,"")</f>
        <v>40448</v>
      </c>
      <c r="DC38" s="13">
        <f ca="1">IF(Returns!B41&gt;0,Returns!B41/Returns!B40-1,"")</f>
        <v>6.9410014873572123E-3</v>
      </c>
      <c r="DD38" s="13">
        <f ca="1">IF(Returns!D41&gt;0,Returns!D41/Returns!D40-1,"")</f>
        <v>1.6325165316534385E-2</v>
      </c>
    </row>
    <row r="39" spans="2:108" x14ac:dyDescent="0.3">
      <c r="B39" s="63" vm="68">
        <f ca="1"/>
        <v>39131.5285</v>
      </c>
      <c r="CX39" s="3"/>
      <c r="DB39" s="3" vm="69">
        <f ca="1">IF(Returns!A41&lt;&gt;0,Returns!A41,"")</f>
        <v>40455</v>
      </c>
      <c r="DC39" s="13">
        <f ca="1">IF(Returns!B42&gt;0,Returns!B42/Returns!B41-1,"")</f>
        <v>2.1171836533727229E-2</v>
      </c>
      <c r="DD39" s="13">
        <f ca="1">IF(Returns!D42&gt;0,Returns!D42/Returns!D41-1,"")</f>
        <v>5.1159338902981855E-3</v>
      </c>
    </row>
    <row r="40" spans="2:108" x14ac:dyDescent="0.3">
      <c r="B40" s="63" vm="70">
        <f ca="1"/>
        <v>39118.864200000004</v>
      </c>
      <c r="CX40" s="3"/>
      <c r="DB40" s="3" vm="71">
        <f ca="1">IF(Returns!A42&lt;&gt;0,Returns!A42,"")</f>
        <v>40462</v>
      </c>
      <c r="DC40" s="13">
        <f ca="1">IF(Returns!B43&gt;0,Returns!B43/Returns!B42-1,"")</f>
        <v>6.5091610414657719E-2</v>
      </c>
      <c r="DD40" s="13">
        <f ca="1">IF(Returns!D43&gt;0,Returns!D43/Returns!D42-1,"")</f>
        <v>6.3076348496264867E-3</v>
      </c>
    </row>
    <row r="41" spans="2:108" x14ac:dyDescent="0.3">
      <c r="B41" s="63" vm="72">
        <f ca="1"/>
        <v>39087.376100000001</v>
      </c>
      <c r="CX41" s="3"/>
      <c r="DB41" s="3" vm="73">
        <f ca="1">IF(Returns!A43&lt;&gt;0,Returns!A43,"")</f>
        <v>40469</v>
      </c>
      <c r="DC41" s="13">
        <f ca="1">IF(Returns!B44&gt;0,Returns!B44/Returns!B43-1,"")</f>
        <v>9.0538705296514532E-3</v>
      </c>
      <c r="DD41" s="13">
        <f ca="1">IF(Returns!D44&gt;0,Returns!D44/Returns!D43-1,"")</f>
        <v>-1.2644975927692537E-3</v>
      </c>
    </row>
    <row r="42" spans="2:108" x14ac:dyDescent="0.3">
      <c r="B42" s="63" vm="74">
        <f ca="1"/>
        <v>39069.592299999997</v>
      </c>
      <c r="CX42" s="3"/>
      <c r="DB42" s="3" vm="75">
        <f ca="1">IF(Returns!A44&lt;&gt;0,Returns!A44,"")</f>
        <v>40476</v>
      </c>
      <c r="DC42" s="13">
        <f ca="1">IF(Returns!B45&gt;0,Returns!B45/Returns!B44-1,"")</f>
        <v>3.3198743831314603E-2</v>
      </c>
      <c r="DD42" s="13">
        <f ca="1">IF(Returns!D45&gt;0,Returns!D45/Returns!D44-1,"")</f>
        <v>2.9283634698988648E-2</v>
      </c>
    </row>
    <row r="43" spans="2:108" x14ac:dyDescent="0.3">
      <c r="B43" s="63" vm="76">
        <f ca="1"/>
        <v>38904.038399999998</v>
      </c>
      <c r="CX43" s="3"/>
      <c r="DB43" s="3" vm="77">
        <f ca="1">IF(Returns!A45&lt;&gt;0,Returns!A45,"")</f>
        <v>40483</v>
      </c>
      <c r="DC43" s="13">
        <f ca="1">IF(Returns!B46&gt;0,Returns!B46/Returns!B45-1,"")</f>
        <v>-2.0408163265306256E-2</v>
      </c>
      <c r="DD43" s="13">
        <f ca="1">IF(Returns!D46&gt;0,Returns!D46/Returns!D45-1,"")</f>
        <v>-2.1976059352208366E-2</v>
      </c>
    </row>
    <row r="44" spans="2:108" x14ac:dyDescent="0.3">
      <c r="B44" s="63" vm="78">
        <f ca="1"/>
        <v>38798.9905</v>
      </c>
      <c r="CX44" s="3"/>
      <c r="DB44" s="3" vm="79">
        <f ca="1">IF(Returns!A46&lt;&gt;0,Returns!A46,"")</f>
        <v>40490</v>
      </c>
      <c r="DC44" s="13">
        <f ca="1">IF(Returns!B47&gt;0,Returns!B47/Returns!B46-1,"")</f>
        <v>-1.3297872340424233E-3</v>
      </c>
      <c r="DD44" s="13">
        <f ca="1">IF(Returns!D47&gt;0,Returns!D47/Returns!D46-1,"")</f>
        <v>9.8047987253280233E-4</v>
      </c>
    </row>
    <row r="45" spans="2:108" x14ac:dyDescent="0.3">
      <c r="B45" s="63" vm="80">
        <f ca="1"/>
        <v>38722.693099999997</v>
      </c>
      <c r="CX45" s="3"/>
      <c r="DB45" s="3" vm="81">
        <f ca="1">IF(Returns!A47&lt;&gt;0,Returns!A47,"")</f>
        <v>40497</v>
      </c>
      <c r="DC45" s="13">
        <f ca="1">IF(Returns!B48&gt;0,Returns!B48/Returns!B47-1,"")</f>
        <v>8.4332001775409005E-3</v>
      </c>
      <c r="DD45" s="13">
        <f ca="1">IF(Returns!D48&gt;0,Returns!D48/Returns!D47-1,"")</f>
        <v>-9.9573039974536481E-3</v>
      </c>
    </row>
    <row r="46" spans="2:108" x14ac:dyDescent="0.3">
      <c r="B46" s="63" vm="82">
        <f ca="1"/>
        <v>38714.766600000003</v>
      </c>
      <c r="CX46" s="3"/>
      <c r="DB46" s="3" vm="83">
        <f ca="1">IF(Returns!A48&lt;&gt;0,Returns!A48,"")</f>
        <v>40504</v>
      </c>
      <c r="DC46" s="13">
        <f ca="1">IF(Returns!B49&gt;0,Returns!B49/Returns!B48-1,"")</f>
        <v>3.1690140845070491E-2</v>
      </c>
      <c r="DD46" s="13">
        <f ca="1">IF(Returns!D49&gt;0,Returns!D49/Returns!D48-1,"")</f>
        <v>2.6153467849231005E-2</v>
      </c>
    </row>
    <row r="47" spans="2:108" x14ac:dyDescent="0.3">
      <c r="B47" s="63" vm="84">
        <f ca="1"/>
        <v>38686.321900000003</v>
      </c>
      <c r="CX47" s="3"/>
      <c r="DB47" s="3" vm="85">
        <f ca="1">IF(Returns!A49&lt;&gt;0,Returns!A49,"")</f>
        <v>40511</v>
      </c>
      <c r="DC47" s="13">
        <f ca="1">IF(Returns!B50&gt;0,Returns!B50/Returns!B49-1,"")</f>
        <v>1.2372013651877012E-2</v>
      </c>
      <c r="DD47" s="13">
        <f ca="1">IF(Returns!D50&gt;0,Returns!D50/Returns!D49-1,"")</f>
        <v>2.4801943916863411E-3</v>
      </c>
    </row>
    <row r="48" spans="2:108" x14ac:dyDescent="0.3">
      <c r="B48" s="63" vm="86">
        <f ca="1"/>
        <v>38675.679199999999</v>
      </c>
      <c r="CX48" s="3"/>
      <c r="DB48" s="3" vm="87">
        <f ca="1">IF(Returns!A50&lt;&gt;0,Returns!A50,"")</f>
        <v>40518</v>
      </c>
      <c r="DC48" s="13">
        <f ca="1">IF(Returns!B51&gt;0,Returns!B51/Returns!B50-1,"")</f>
        <v>9.2709650231772578E-3</v>
      </c>
      <c r="DD48" s="13">
        <f ca="1">IF(Returns!D51&gt;0,Returns!D51/Returns!D50-1,"")</f>
        <v>7.1502542675945246E-3</v>
      </c>
    </row>
    <row r="49" spans="1:108" x14ac:dyDescent="0.3">
      <c r="B49" s="63" vm="88">
        <f ca="1"/>
        <v>38671.690999999999</v>
      </c>
      <c r="CX49" s="3"/>
      <c r="DB49" s="3" vm="89">
        <f ca="1">IF(Returns!A51&lt;&gt;0,Returns!A51,"")</f>
        <v>40525</v>
      </c>
      <c r="DC49" s="13">
        <f ca="1">IF(Returns!B52&gt;0,Returns!B52/Returns!B51-1,"")</f>
        <v>5.0104384133611291E-3</v>
      </c>
      <c r="DD49" s="13">
        <f ca="1">IF(Returns!D52&gt;0,Returns!D52/Returns!D51-1,"")</f>
        <v>7.0994823992764911E-3</v>
      </c>
    </row>
    <row r="50" spans="1:108" x14ac:dyDescent="0.3">
      <c r="B50" s="63" vm="90">
        <f ca="1"/>
        <v>38654.423199999997</v>
      </c>
      <c r="CX50" s="3"/>
      <c r="DB50" s="3" vm="91">
        <f ca="1">IF(Returns!A52&lt;&gt;0,Returns!A52,"")</f>
        <v>40532</v>
      </c>
      <c r="DC50" s="13">
        <f ca="1">IF(Returns!B53&gt;0,Returns!B53/Returns!B52-1,"")</f>
        <v>-5.4009140008308698E-3</v>
      </c>
      <c r="DD50" s="13">
        <f ca="1">IF(Returns!D53&gt;0,Returns!D53/Returns!D52-1,"")</f>
        <v>3.4658502633089228E-4</v>
      </c>
    </row>
    <row r="51" spans="1:108" x14ac:dyDescent="0.3">
      <c r="B51" s="63" vm="92">
        <f ca="1"/>
        <v>38627.994299999998</v>
      </c>
      <c r="CX51" s="3"/>
      <c r="DB51" s="3" vm="93">
        <f ca="1">IF(Returns!A53&lt;&gt;0,Returns!A53,"")</f>
        <v>40539</v>
      </c>
      <c r="DC51" s="13">
        <f ca="1">IF(Returns!B54&gt;0,Returns!B54/Returns!B53-1,"")</f>
        <v>8.3542188805345585E-3</v>
      </c>
      <c r="DD51" s="13">
        <f ca="1">IF(Returns!D54&gt;0,Returns!D54/Returns!D53-1,"")</f>
        <v>8.4001770329464875E-3</v>
      </c>
    </row>
    <row r="52" spans="1:108" x14ac:dyDescent="0.3">
      <c r="B52" s="63" vm="94">
        <f ca="1"/>
        <v>38589.157599999999</v>
      </c>
      <c r="CX52" s="3"/>
      <c r="DB52" s="3" vm="95">
        <f ca="1">IF(Returns!A54&lt;&gt;0,Returns!A54,"")</f>
        <v>40546</v>
      </c>
      <c r="DC52" s="13">
        <f ca="1">IF(Returns!B55&gt;0,Returns!B55/Returns!B54-1,"")</f>
        <v>2.1126760563380254E-2</v>
      </c>
      <c r="DD52" s="13">
        <f ca="1">IF(Returns!D55&gt;0,Returns!D55/Returns!D54-1,"")</f>
        <v>9.646177624341723E-3</v>
      </c>
    </row>
    <row r="53" spans="1:108" ht="15" thickBot="1" x14ac:dyDescent="0.35">
      <c r="A53" s="3" t="s">
        <v>1296</v>
      </c>
      <c r="B53" s="64" vm="96">
        <f ca="1"/>
        <v>38239.654999999999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DB53" s="3" vm="97">
        <f ca="1">IF(Returns!A55&lt;&gt;0,Returns!A55,"")</f>
        <v>40553</v>
      </c>
      <c r="DC53" s="13">
        <f ca="1">IF(Returns!B56&gt;0,Returns!B56/Returns!B55-1,"")</f>
        <v>-1.1764705882352899E-2</v>
      </c>
      <c r="DD53" s="13">
        <f ca="1">IF(Returns!D56&gt;0,Returns!D56/Returns!D55-1,"")</f>
        <v>7.1655134031995971E-3</v>
      </c>
    </row>
    <row r="54" spans="1:108" x14ac:dyDescent="0.3">
      <c r="B54" s="63" vm="98">
        <f ca="1"/>
        <v>38109.433100000002</v>
      </c>
      <c r="CX54" s="3"/>
      <c r="DB54" s="3" vm="99">
        <f ca="1">IF(Returns!A56&lt;&gt;0,Returns!A56,"")</f>
        <v>40561</v>
      </c>
      <c r="DC54" s="13">
        <f ca="1">IF(Returns!B57&gt;0,Returns!B57/Returns!B56-1,"")</f>
        <v>1.3957307060755264E-2</v>
      </c>
      <c r="DD54" s="13">
        <f ca="1">IF(Returns!D57&gt;0,Returns!D57/Returns!D56-1,"")</f>
        <v>-4.0545194411126806E-3</v>
      </c>
    </row>
    <row r="55" spans="1:108" x14ac:dyDescent="0.3">
      <c r="B55" s="63" vm="100">
        <f ca="1"/>
        <v>37986.396999999997</v>
      </c>
      <c r="CX55" s="3"/>
      <c r="DB55" s="3" vm="101">
        <f ca="1">IF(Returns!A57&lt;&gt;0,Returns!A57,"")</f>
        <v>40567</v>
      </c>
      <c r="DC55" s="13">
        <f ca="1">IF(Returns!B58&gt;0,Returns!B58/Returns!B57-1,"")</f>
        <v>-1.6194331983805377E-3</v>
      </c>
      <c r="DD55" s="13">
        <f ca="1">IF(Returns!D58&gt;0,Returns!D58/Returns!D57-1,"")</f>
        <v>2.2704289812264244E-2</v>
      </c>
    </row>
    <row r="56" spans="1:108" x14ac:dyDescent="0.3">
      <c r="B56" s="63" vm="102">
        <f ca="1"/>
        <v>37983.243600000002</v>
      </c>
      <c r="CX56" s="3"/>
      <c r="DB56" s="3" vm="103">
        <f ca="1">IF(Returns!A58&lt;&gt;0,Returns!A58,"")</f>
        <v>40574</v>
      </c>
      <c r="DC56" s="13">
        <f ca="1">IF(Returns!B59&gt;0,Returns!B59/Returns!B58-1,"")</f>
        <v>2.3519870235198637E-2</v>
      </c>
      <c r="DD56" s="13">
        <f ca="1">IF(Returns!D59&gt;0,Returns!D59/Returns!D58-1,"")</f>
        <v>1.4977498588816029E-2</v>
      </c>
    </row>
    <row r="57" spans="1:108" x14ac:dyDescent="0.3">
      <c r="B57" s="63" vm="104">
        <f ca="1"/>
        <v>37863.795400000003</v>
      </c>
      <c r="CX57" s="3"/>
      <c r="DB57" s="3" vm="105">
        <f ca="1">IF(Returns!A59&lt;&gt;0,Returns!A59,"")</f>
        <v>40581</v>
      </c>
      <c r="DC57" s="13">
        <f ca="1">IF(Returns!B60&gt;0,Returns!B60/Returns!B59-1,"")</f>
        <v>5.0316957210776669E-2</v>
      </c>
      <c r="DD57" s="13">
        <f ca="1">IF(Returns!D60&gt;0,Returns!D60/Returns!D59-1,"")</f>
        <v>9.6136048711219502E-3</v>
      </c>
    </row>
    <row r="58" spans="1:108" x14ac:dyDescent="0.3">
      <c r="B58" s="63" vm="106">
        <f ca="1"/>
        <v>37689.5357</v>
      </c>
      <c r="CX58" s="3"/>
      <c r="DB58" s="3" vm="107">
        <f ca="1">IF(Returns!A60&lt;&gt;0,Returns!A60,"")</f>
        <v>40588</v>
      </c>
      <c r="DC58" s="13">
        <f ca="1">IF(Returns!B61&gt;0,Returns!B61/Returns!B60-1,"")</f>
        <v>-1.0939268200679142E-2</v>
      </c>
      <c r="DD58" s="13">
        <f ca="1">IF(Returns!D61&gt;0,Returns!D61/Returns!D60-1,"")</f>
        <v>-2.104749179041876E-2</v>
      </c>
    </row>
    <row r="59" spans="1:108" x14ac:dyDescent="0.3">
      <c r="B59" s="63" vm="108">
        <f ca="1"/>
        <v>37592.981</v>
      </c>
      <c r="CX59" s="3"/>
      <c r="DB59" s="3" vm="109">
        <f ca="1">IF(Returns!A61&lt;&gt;0,Returns!A61,"")</f>
        <v>40596</v>
      </c>
      <c r="DC59" s="13">
        <f ca="1">IF(Returns!B62&gt;0,Returns!B62/Returns!B61-1,"")</f>
        <v>-3.3562166285278416E-2</v>
      </c>
      <c r="DD59" s="13">
        <f ca="1">IF(Returns!D62&gt;0,Returns!D62/Returns!D61-1,"")</f>
        <v>3.2505805803517696E-3</v>
      </c>
    </row>
    <row r="60" spans="1:108" x14ac:dyDescent="0.3">
      <c r="B60" s="63" vm="110">
        <f ca="1"/>
        <v>37466.108800000002</v>
      </c>
      <c r="CX60" s="3"/>
      <c r="DB60" s="3" vm="111">
        <f ca="1">IF(Returns!A62&lt;&gt;0,Returns!A62,"")</f>
        <v>40602</v>
      </c>
      <c r="DC60" s="13">
        <f ca="1">IF(Returns!B63&gt;0,Returns!B63/Returns!B62-1,"")</f>
        <v>3.1570639305447123E-3</v>
      </c>
      <c r="DD60" s="13">
        <f ca="1">IF(Returns!D63&gt;0,Returns!D63/Returns!D62-1,"")</f>
        <v>-1.0310940303976945E-2</v>
      </c>
    </row>
    <row r="61" spans="1:108" x14ac:dyDescent="0.3">
      <c r="B61" s="63" vm="112">
        <f ca="1"/>
        <v>37385.965199999999</v>
      </c>
      <c r="CX61" s="3"/>
      <c r="DB61" s="3" vm="113">
        <f ca="1">IF(Returns!A63&lt;&gt;0,Returns!A63,"")</f>
        <v>40609</v>
      </c>
      <c r="DC61" s="13">
        <f ca="1">IF(Returns!B64&gt;0,Returns!B64/Returns!B63-1,"")</f>
        <v>-2.124311565696313E-2</v>
      </c>
      <c r="DD61" s="13">
        <f ca="1">IF(Returns!D64&gt;0,Returns!D64/Returns!D63-1,"")</f>
        <v>-1.5432761616574142E-2</v>
      </c>
    </row>
    <row r="62" spans="1:108" x14ac:dyDescent="0.3">
      <c r="B62" s="63" vm="114">
        <f ca="1"/>
        <v>37305.162400000001</v>
      </c>
      <c r="CX62" s="3"/>
      <c r="DB62" s="3" vm="115">
        <f ca="1">IF(Returns!A64&lt;&gt;0,Returns!A64,"")</f>
        <v>40616</v>
      </c>
      <c r="DC62" s="13">
        <f ca="1">IF(Returns!B65&gt;0,Returns!B65/Returns!B64-1,"")</f>
        <v>8.4405144694534862E-3</v>
      </c>
      <c r="DD62" s="13">
        <f ca="1">IF(Returns!D65&gt;0,Returns!D65/Returns!D64-1,"")</f>
        <v>3.0532406654315336E-2</v>
      </c>
    </row>
    <row r="63" spans="1:108" x14ac:dyDescent="0.3">
      <c r="B63" s="63" vm="116">
        <f ca="1"/>
        <v>36338.297700000003</v>
      </c>
      <c r="CX63" s="3"/>
      <c r="DB63" s="3" vm="117">
        <f ca="1">IF(Returns!A65&lt;&gt;0,Returns!A65,"")</f>
        <v>40623</v>
      </c>
      <c r="DC63" s="13">
        <f ca="1">IF(Returns!B66&gt;0,Returns!B66/Returns!B65-1,"")</f>
        <v>4.8226385013949713E-2</v>
      </c>
      <c r="DD63" s="13">
        <f ca="1">IF(Returns!D66&gt;0,Returns!D66/Returns!D65-1,"")</f>
        <v>1.2776366320790489E-2</v>
      </c>
    </row>
    <row r="64" spans="1:108" x14ac:dyDescent="0.3">
      <c r="B64" s="63" vm="118">
        <f ca="1"/>
        <v>36327.950199999999</v>
      </c>
      <c r="CX64" s="3"/>
      <c r="DB64" s="3" vm="119">
        <f ca="1">IF(Returns!A66&lt;&gt;0,Returns!A66,"")</f>
        <v>40630</v>
      </c>
      <c r="DC64" s="13">
        <f ca="1">IF(Returns!B67&gt;0,Returns!B67/Returns!B66-1,"")</f>
        <v>8.7452471482889482E-3</v>
      </c>
      <c r="DD64" s="13">
        <f ca="1">IF(Returns!D67&gt;0,Returns!D67/Returns!D66-1,"")</f>
        <v>2.6905346989281043E-4</v>
      </c>
    </row>
    <row r="65" spans="2:108" x14ac:dyDescent="0.3">
      <c r="B65" s="63" vm="120">
        <f ca="1"/>
        <v>36247.8724</v>
      </c>
      <c r="CX65" s="3"/>
      <c r="DB65" s="3" vm="121">
        <f ca="1">IF(Returns!A67&lt;&gt;0,Returns!A67,"")</f>
        <v>40637</v>
      </c>
      <c r="DC65" s="13">
        <f ca="1">IF(Returns!B68&gt;0,Returns!B68/Returns!B67-1,"")</f>
        <v>-1.4700339238597815E-2</v>
      </c>
      <c r="DD65" s="13">
        <f ca="1">IF(Returns!D68&gt;0,Returns!D68/Returns!D67-1,"")</f>
        <v>-3.0872245124656805E-3</v>
      </c>
    </row>
    <row r="66" spans="2:108" x14ac:dyDescent="0.3">
      <c r="B66" s="63" vm="122">
        <f ca="1"/>
        <v>36245.4997</v>
      </c>
      <c r="CX66" s="3"/>
      <c r="DB66" s="3" vm="123">
        <f ca="1">IF(Returns!A68&lt;&gt;0,Returns!A68,"")</f>
        <v>40644</v>
      </c>
      <c r="DC66" s="13">
        <f ca="1">IF(Returns!B69&gt;0,Returns!B69/Returns!B68-1,"")</f>
        <v>-3.7872991583779769E-2</v>
      </c>
      <c r="DD66" s="13">
        <f ca="1">IF(Returns!D69&gt;0,Returns!D69/Returns!D68-1,"")</f>
        <v>1.3300869757423506E-2</v>
      </c>
    </row>
    <row r="67" spans="2:108" x14ac:dyDescent="0.3">
      <c r="B67" s="63" vm="124">
        <f ca="1"/>
        <v>36231.659099999997</v>
      </c>
      <c r="CX67" s="3"/>
      <c r="DB67" s="3" vm="125">
        <f ca="1">IF(Returns!A69&lt;&gt;0,Returns!A69,"")</f>
        <v>40651</v>
      </c>
      <c r="DC67" s="13">
        <f ca="1">IF(Returns!B70&gt;0,Returns!B70/Returns!B69-1,"")</f>
        <v>2.7833001988071704E-2</v>
      </c>
      <c r="DD67" s="13">
        <f ca="1">IF(Returns!D70&gt;0,Returns!D70/Returns!D69-1,"")</f>
        <v>2.4352308127311595E-2</v>
      </c>
    </row>
    <row r="68" spans="2:108" x14ac:dyDescent="0.3">
      <c r="B68" s="63" vm="126">
        <f ca="1"/>
        <v>36100.305200000003</v>
      </c>
      <c r="CX68" s="3"/>
      <c r="DB68" s="3" vm="127">
        <f ca="1">IF(Returns!A70&lt;&gt;0,Returns!A70,"")</f>
        <v>40658</v>
      </c>
      <c r="DC68" s="13">
        <f ca="1">IF(Returns!B71&gt;0,Returns!B71/Returns!B70-1,"")</f>
        <v>-1.740812379110257E-2</v>
      </c>
      <c r="DD68" s="13">
        <f ca="1">IF(Returns!D71&gt;0,Returns!D71/Returns!D70-1,"")</f>
        <v>-1.3410919141043531E-2</v>
      </c>
    </row>
    <row r="69" spans="2:108" x14ac:dyDescent="0.3">
      <c r="B69" s="63" vm="128">
        <f ca="1"/>
        <v>35970.994500000001</v>
      </c>
      <c r="CX69" s="3"/>
      <c r="DB69" s="3" vm="129">
        <f ca="1">IF(Returns!A71&lt;&gt;0,Returns!A71,"")</f>
        <v>40665</v>
      </c>
      <c r="DC69" s="13">
        <f ca="1">IF(Returns!B72&gt;0,Returns!B72/Returns!B71-1,"")</f>
        <v>8.2677165354330118E-3</v>
      </c>
      <c r="DD69" s="13">
        <f ca="1">IF(Returns!D72&gt;0,Returns!D72/Returns!D71-1,"")</f>
        <v>-3.4013048629056852E-3</v>
      </c>
    </row>
    <row r="70" spans="2:108" x14ac:dyDescent="0.3">
      <c r="B70" s="63" vm="130">
        <f ca="1"/>
        <v>35950.563099999999</v>
      </c>
      <c r="CX70" s="3"/>
      <c r="DB70" s="3" vm="131">
        <f ca="1">IF(Returns!A72&lt;&gt;0,Returns!A72,"")</f>
        <v>40672</v>
      </c>
      <c r="DC70" s="13">
        <f ca="1">IF(Returns!B73&gt;0,Returns!B73/Returns!B72-1,"")</f>
        <v>1.1714174150722512E-2</v>
      </c>
      <c r="DD70" s="13">
        <f ca="1">IF(Returns!D73&gt;0,Returns!D73/Returns!D72-1,"")</f>
        <v>-6.6455513425381918E-3</v>
      </c>
    </row>
    <row r="71" spans="2:108" x14ac:dyDescent="0.3">
      <c r="B71" s="63" vm="132">
        <f ca="1"/>
        <v>35911.809500000003</v>
      </c>
      <c r="CX71" s="3"/>
      <c r="DB71" s="3" vm="133">
        <f ca="1">IF(Returns!A73&lt;&gt;0,Returns!A73,"")</f>
        <v>40679</v>
      </c>
      <c r="DC71" s="13">
        <f ca="1">IF(Returns!B74&gt;0,Returns!B74/Returns!B73-1,"")</f>
        <v>6.5611732921651011E-3</v>
      </c>
      <c r="DD71" s="13">
        <f ca="1">IF(Returns!D74&gt;0,Returns!D74/Returns!D73-1,"")</f>
        <v>-5.6314700560751163E-3</v>
      </c>
    </row>
    <row r="72" spans="2:108" x14ac:dyDescent="0.3">
      <c r="B72" s="63" vm="134">
        <f ca="1"/>
        <v>35819.560400000002</v>
      </c>
      <c r="CX72" s="3"/>
      <c r="DB72" s="3" vm="135">
        <f ca="1">IF(Returns!A74&lt;&gt;0,Returns!A74,"")</f>
        <v>40686</v>
      </c>
      <c r="DC72" s="13">
        <f ca="1">IF(Returns!B75&gt;0,Returns!B75/Returns!B74-1,"")</f>
        <v>-4.6012269938648931E-3</v>
      </c>
      <c r="DD72" s="13">
        <f ca="1">IF(Returns!D75&gt;0,Returns!D75/Returns!D74-1,"")</f>
        <v>-2.3334756464181594E-2</v>
      </c>
    </row>
    <row r="73" spans="2:108" x14ac:dyDescent="0.3">
      <c r="B73" s="63" vm="136">
        <f ca="1"/>
        <v>35677.018499999998</v>
      </c>
      <c r="CX73" s="3"/>
      <c r="DB73" s="3" vm="137">
        <f ca="1">IF(Returns!A75&lt;&gt;0,Returns!A75,"")</f>
        <v>40694</v>
      </c>
      <c r="DC73" s="13">
        <f ca="1">IF(Returns!B76&gt;0,Returns!B76/Returns!B75-1,"")</f>
        <v>-3.3513097072419118E-2</v>
      </c>
      <c r="DD73" s="13">
        <f ca="1">IF(Returns!D76&gt;0,Returns!D76/Returns!D75-1,"")</f>
        <v>-1.6405687860568063E-2</v>
      </c>
    </row>
    <row r="74" spans="2:108" x14ac:dyDescent="0.3">
      <c r="B74" s="63" vm="138">
        <f ca="1"/>
        <v>35601.977700000003</v>
      </c>
      <c r="CX74" s="3"/>
      <c r="DB74" s="3" vm="139">
        <f ca="1">IF(Returns!A76&lt;&gt;0,Returns!A76,"")</f>
        <v>40700</v>
      </c>
      <c r="DC74" s="13">
        <f ca="1">IF(Returns!B77&gt;0,Returns!B77/Returns!B76-1,"")</f>
        <v>-2.789956157831841E-3</v>
      </c>
      <c r="DD74" s="13">
        <f ca="1">IF(Returns!D77&gt;0,Returns!D77/Returns!D76-1,"")</f>
        <v>4.3882938724906229E-3</v>
      </c>
    </row>
    <row r="75" spans="2:108" x14ac:dyDescent="0.3">
      <c r="B75" s="63" vm="140">
        <f ca="1"/>
        <v>35515.383300000001</v>
      </c>
      <c r="CX75" s="3"/>
      <c r="DB75" s="3" vm="141">
        <f ca="1">IF(Returns!A77&lt;&gt;0,Returns!A77,"")</f>
        <v>40707</v>
      </c>
      <c r="DC75" s="13">
        <f ca="1">IF(Returns!B78&gt;0,Returns!B78/Returns!B77-1,"")</f>
        <v>6.3948840927259276E-3</v>
      </c>
      <c r="DD75" s="13">
        <f ca="1">IF(Returns!D78&gt;0,Returns!D78/Returns!D77-1,"")</f>
        <v>-5.8128879840325665E-3</v>
      </c>
    </row>
    <row r="76" spans="2:108" x14ac:dyDescent="0.3">
      <c r="B76" s="63" vm="142">
        <f ca="1"/>
        <v>35459.287700000001</v>
      </c>
      <c r="CX76" s="3"/>
      <c r="DB76" s="3" vm="143">
        <f ca="1">IF(Returns!A78&lt;&gt;0,Returns!A78,"")</f>
        <v>40714</v>
      </c>
      <c r="DC76" s="13">
        <f ca="1">IF(Returns!B79&gt;0,Returns!B79/Returns!B78-1,"")</f>
        <v>2.779984114376477E-2</v>
      </c>
      <c r="DD76" s="13">
        <f ca="1">IF(Returns!D79&gt;0,Returns!D79/Returns!D78-1,"")</f>
        <v>5.4311907080098365E-2</v>
      </c>
    </row>
    <row r="77" spans="2:108" x14ac:dyDescent="0.3">
      <c r="B77" s="63" vm="144">
        <f ca="1"/>
        <v>35455.798799999997</v>
      </c>
      <c r="CX77" s="3"/>
      <c r="DB77" s="3" vm="145">
        <f ca="1">IF(Returns!A79&lt;&gt;0,Returns!A79,"")</f>
        <v>40721</v>
      </c>
      <c r="DC77" s="13">
        <f ca="1">IF(Returns!B80&gt;0,Returns!B80/Returns!B79-1,"")</f>
        <v>0</v>
      </c>
      <c r="DD77" s="13">
        <f ca="1">IF(Returns!D80&gt;0,Returns!D80/Returns!D79-1,"")</f>
        <v>5.9155973750708579E-3</v>
      </c>
    </row>
    <row r="78" spans="2:108" x14ac:dyDescent="0.3">
      <c r="B78" s="63" vm="146">
        <f ca="1"/>
        <v>35390.150600000001</v>
      </c>
      <c r="CX78" s="3"/>
      <c r="DB78" s="3" vm="147">
        <f ca="1">IF(Returns!A80&lt;&gt;0,Returns!A80,"")</f>
        <v>40729</v>
      </c>
      <c r="DC78" s="13">
        <f ca="1">IF(Returns!B81&gt;0,Returns!B81/Returns!B80-1,"")</f>
        <v>-5.641421947449754E-2</v>
      </c>
      <c r="DD78" s="13">
        <f ca="1">IF(Returns!D81&gt;0,Returns!D81/Returns!D80-1,"")</f>
        <v>-1.4021848300087458E-2</v>
      </c>
    </row>
    <row r="79" spans="2:108" x14ac:dyDescent="0.3">
      <c r="B79" s="63" vm="148">
        <f ca="1"/>
        <v>35369.088600000003</v>
      </c>
      <c r="CX79" s="3"/>
      <c r="DB79" s="3" vm="149">
        <f ca="1">IF(Returns!A81&lt;&gt;0,Returns!A81,"")</f>
        <v>40735</v>
      </c>
      <c r="DC79" s="13">
        <f ca="1">IF(Returns!B82&gt;0,Returns!B82/Returns!B81-1,"")</f>
        <v>-0.10728910728910734</v>
      </c>
      <c r="DD79" s="13">
        <f ca="1">IF(Returns!D82&gt;0,Returns!D82/Returns!D81-1,"")</f>
        <v>1.614067359005511E-2</v>
      </c>
    </row>
    <row r="80" spans="2:108" x14ac:dyDescent="0.3">
      <c r="B80" s="63" vm="150">
        <f ca="1"/>
        <v>35365.435299999997</v>
      </c>
      <c r="CX80" s="3"/>
      <c r="DB80" s="3" vm="151">
        <f ca="1">IF(Returns!A82&lt;&gt;0,Returns!A82,"")</f>
        <v>40742</v>
      </c>
      <c r="DC80" s="13">
        <f ca="1">IF(Returns!B83&gt;0,Returns!B83/Returns!B82-1,"")</f>
        <v>4.5871559633026138E-4</v>
      </c>
      <c r="DD80" s="13">
        <f ca="1">IF(Returns!D83&gt;0,Returns!D83/Returns!D82-1,"")</f>
        <v>-4.2418783167613161E-2</v>
      </c>
    </row>
    <row r="81" spans="2:108" x14ac:dyDescent="0.3">
      <c r="B81" s="63" vm="152">
        <f ca="1"/>
        <v>35294.756099999999</v>
      </c>
      <c r="CX81" s="3"/>
      <c r="DB81" s="3" vm="153">
        <f ca="1">IF(Returns!A83&lt;&gt;0,Returns!A83,"")</f>
        <v>40749</v>
      </c>
      <c r="DC81" s="13">
        <f ca="1">IF(Returns!B84&gt;0,Returns!B84/Returns!B83-1,"")</f>
        <v>-7.4277854195323179E-2</v>
      </c>
      <c r="DD81" s="13">
        <f ca="1">IF(Returns!D84&gt;0,Returns!D84/Returns!D83-1,"")</f>
        <v>-5.7532657123298359E-2</v>
      </c>
    </row>
    <row r="82" spans="2:108" x14ac:dyDescent="0.3">
      <c r="B82" s="63" vm="154">
        <f ca="1"/>
        <v>35281.403100000003</v>
      </c>
      <c r="CX82" s="3"/>
      <c r="DB82" s="3" vm="155">
        <f ca="1">IF(Returns!A84&lt;&gt;0,Returns!A84,"")</f>
        <v>40756</v>
      </c>
      <c r="DC82" s="13">
        <f ca="1">IF(Returns!B85&gt;0,Returns!B85/Returns!B84-1,"")</f>
        <v>-3.6651807825656357E-2</v>
      </c>
      <c r="DD82" s="13">
        <f ca="1">IF(Returns!D85&gt;0,Returns!D85/Returns!D84-1,"")</f>
        <v>-1.5342188142237645E-2</v>
      </c>
    </row>
    <row r="83" spans="2:108" x14ac:dyDescent="0.3">
      <c r="B83" s="63" vm="156">
        <f ca="1"/>
        <v>35227.688399999999</v>
      </c>
      <c r="CX83" s="3"/>
      <c r="DB83" s="3" vm="157">
        <f ca="1">IF(Returns!A85&lt;&gt;0,Returns!A85,"")</f>
        <v>40763</v>
      </c>
      <c r="DC83" s="13">
        <f ca="1">IF(Returns!B86&gt;0,Returns!B86/Returns!B85-1,"")</f>
        <v>-1.4910025706940777E-2</v>
      </c>
      <c r="DD83" s="13">
        <f ca="1">IF(Returns!D86&gt;0,Returns!D86/Returns!D85-1,"")</f>
        <v>-4.0054536060489032E-2</v>
      </c>
    </row>
    <row r="84" spans="2:108" x14ac:dyDescent="0.3">
      <c r="B84" s="63" vm="158">
        <f ca="1"/>
        <v>35208.506699999998</v>
      </c>
      <c r="CX84" s="3"/>
      <c r="DB84" s="3" vm="159">
        <f ca="1">IF(Returns!A86&lt;&gt;0,Returns!A86,"")</f>
        <v>40770</v>
      </c>
      <c r="DC84" s="13">
        <f ca="1">IF(Returns!B87&gt;0,Returns!B87/Returns!B86-1,"")</f>
        <v>6.6283924843423714E-2</v>
      </c>
      <c r="DD84" s="13">
        <f ca="1">IF(Returns!D87&gt;0,Returns!D87/Returns!D86-1,"")</f>
        <v>4.3160085465548947E-2</v>
      </c>
    </row>
    <row r="85" spans="2:108" x14ac:dyDescent="0.3">
      <c r="B85" s="63" vm="160">
        <f ca="1"/>
        <v>35120.084600000002</v>
      </c>
      <c r="CX85" s="3"/>
      <c r="DB85" s="3" vm="161">
        <f ca="1">IF(Returns!A87&lt;&gt;0,Returns!A87,"")</f>
        <v>40777</v>
      </c>
      <c r="DC85" s="13">
        <f ca="1">IF(Returns!B88&gt;0,Returns!B88/Returns!B87-1,"")</f>
        <v>-2.2515907978463034E-2</v>
      </c>
      <c r="DD85" s="13">
        <f ca="1">IF(Returns!D88&gt;0,Returns!D88/Returns!D87-1,"")</f>
        <v>-3.9234932116261056E-3</v>
      </c>
    </row>
    <row r="86" spans="2:108" x14ac:dyDescent="0.3">
      <c r="B86" s="63" vm="162">
        <f ca="1"/>
        <v>35089.743699999999</v>
      </c>
      <c r="CX86" s="3"/>
      <c r="DB86" s="3" vm="163">
        <f ca="1">IF(Returns!A88&lt;&gt;0,Returns!A88,"")</f>
        <v>40784</v>
      </c>
      <c r="DC86" s="13">
        <f ca="1">IF(Returns!B89&gt;0,Returns!B89/Returns!B88-1,"")</f>
        <v>-1.9028542814221283E-2</v>
      </c>
      <c r="DD86" s="13">
        <f ca="1">IF(Returns!D89&gt;0,Returns!D89/Returns!D88-1,"")</f>
        <v>-2.207491425621777E-2</v>
      </c>
    </row>
    <row r="87" spans="2:108" x14ac:dyDescent="0.3">
      <c r="B87" s="63" vm="164">
        <f ca="1"/>
        <v>35065.621500000001</v>
      </c>
      <c r="CX87" s="3"/>
      <c r="DB87" s="3" vm="165">
        <f ca="1">IF(Returns!A89&lt;&gt;0,Returns!A89,"")</f>
        <v>40792</v>
      </c>
      <c r="DC87" s="13">
        <f ca="1">IF(Returns!B90&gt;0,Returns!B90/Returns!B89-1,"")</f>
        <v>-2.9606942317508822E-2</v>
      </c>
      <c r="DD87" s="13">
        <f ca="1">IF(Returns!D90&gt;0,Returns!D90/Returns!D89-1,"")</f>
        <v>4.7029542481985764E-2</v>
      </c>
    </row>
    <row r="88" spans="2:108" x14ac:dyDescent="0.3">
      <c r="B88" s="63" vm="166">
        <f ca="1"/>
        <v>35061.553599999999</v>
      </c>
      <c r="CX88" s="3"/>
      <c r="DB88" s="3" vm="167">
        <f ca="1">IF(Returns!A90&lt;&gt;0,Returns!A90,"")</f>
        <v>40798</v>
      </c>
      <c r="DC88" s="13">
        <f ca="1">IF(Returns!B91&gt;0,Returns!B91/Returns!B90-1,"")</f>
        <v>-7.680168332456605E-2</v>
      </c>
      <c r="DD88" s="13">
        <f ca="1">IF(Returns!D91&gt;0,Returns!D91/Returns!D90-1,"")</f>
        <v>-6.408932495547881E-2</v>
      </c>
    </row>
    <row r="89" spans="2:108" x14ac:dyDescent="0.3">
      <c r="B89" s="63" vm="168">
        <f ca="1"/>
        <v>34947.284399999997</v>
      </c>
      <c r="CX89" s="3"/>
      <c r="DB89" s="3" vm="169">
        <f ca="1">IF(Returns!A91&lt;&gt;0,Returns!A91,"")</f>
        <v>40805</v>
      </c>
      <c r="DC89" s="13">
        <f ca="1">IF(Returns!B92&gt;0,Returns!B92/Returns!B91-1,"")</f>
        <v>1.4245014245014342E-2</v>
      </c>
      <c r="DD89" s="13">
        <f ca="1">IF(Returns!D92&gt;0,Returns!D92/Returns!D91-1,"")</f>
        <v>1.3174254461221224E-2</v>
      </c>
    </row>
    <row r="90" spans="2:108" x14ac:dyDescent="0.3">
      <c r="B90" s="63" vm="170">
        <f ca="1"/>
        <v>34935.4715</v>
      </c>
      <c r="CX90" s="3"/>
      <c r="DB90" s="3" vm="171">
        <f ca="1">IF(Returns!A92&lt;&gt;0,Returns!A92,"")</f>
        <v>40812</v>
      </c>
      <c r="DC90" s="13">
        <f ca="1">IF(Returns!B93&gt;0,Returns!B93/Returns!B92-1,"")</f>
        <v>-8.4269662921349076E-3</v>
      </c>
      <c r="DD90" s="13">
        <f ca="1">IF(Returns!D93&gt;0,Returns!D93/Returns!D92-1,"")</f>
        <v>1.738581599358624E-2</v>
      </c>
    </row>
    <row r="91" spans="2:108" x14ac:dyDescent="0.3">
      <c r="B91" s="63" vm="172">
        <f ca="1"/>
        <v>34899.336600000002</v>
      </c>
      <c r="CX91" s="3"/>
      <c r="DB91" s="3" vm="173">
        <f ca="1">IF(Returns!A93&lt;&gt;0,Returns!A93,"")</f>
        <v>40819</v>
      </c>
      <c r="DC91" s="13">
        <f ca="1">IF(Returns!B94&gt;0,Returns!B94/Returns!B93-1,"")</f>
        <v>4.4759206798866913E-2</v>
      </c>
      <c r="DD91" s="13">
        <f ca="1">IF(Returns!D94&gt;0,Returns!D94/Returns!D93-1,"")</f>
        <v>4.8757714822736942E-2</v>
      </c>
    </row>
    <row r="92" spans="2:108" x14ac:dyDescent="0.3">
      <c r="B92" s="63" vm="174">
        <f ca="1"/>
        <v>34870.159</v>
      </c>
      <c r="CX92" s="3"/>
      <c r="DB92" s="3" vm="175">
        <f ca="1">IF(Returns!A94&lt;&gt;0,Returns!A94,"")</f>
        <v>40826</v>
      </c>
      <c r="DC92" s="13">
        <f ca="1">IF(Returns!B95&gt;0,Returns!B95/Returns!B94-1,"")</f>
        <v>0.1659436008676789</v>
      </c>
      <c r="DD92" s="13">
        <f ca="1">IF(Returns!D95&gt;0,Returns!D95/Returns!D94-1,"")</f>
        <v>1.4110412672751815E-2</v>
      </c>
    </row>
    <row r="93" spans="2:108" x14ac:dyDescent="0.3">
      <c r="B93" s="63" vm="176">
        <f ca="1"/>
        <v>34861.241999999998</v>
      </c>
      <c r="CX93" s="3"/>
      <c r="DB93" s="3" vm="177">
        <f ca="1">IF(Returns!A95&lt;&gt;0,Returns!A95,"")</f>
        <v>40833</v>
      </c>
      <c r="DC93" s="13">
        <f ca="1">IF(Returns!B96&gt;0,Returns!B96/Returns!B95-1,"")</f>
        <v>5.3023255813953618E-2</v>
      </c>
      <c r="DD93" s="13">
        <f ca="1">IF(Returns!D96&gt;0,Returns!D96/Returns!D95-1,"")</f>
        <v>3.5762575693269572E-2</v>
      </c>
    </row>
    <row r="94" spans="2:108" x14ac:dyDescent="0.3">
      <c r="B94" s="63" vm="178">
        <f ca="1"/>
        <v>34837.713000000003</v>
      </c>
      <c r="CX94" s="3"/>
      <c r="DB94" s="3" vm="179">
        <f ca="1">IF(Returns!A96&lt;&gt;0,Returns!A96,"")</f>
        <v>40840</v>
      </c>
      <c r="DC94" s="13">
        <f ca="1">IF(Returns!B97&gt;0,Returns!B97/Returns!B96-1,"")</f>
        <v>-3.2243816254416968E-2</v>
      </c>
      <c r="DD94" s="13">
        <f ca="1">IF(Returns!D97&gt;0,Returns!D97/Returns!D96-1,"")</f>
        <v>-2.0264951974257928E-2</v>
      </c>
    </row>
    <row r="95" spans="2:108" x14ac:dyDescent="0.3">
      <c r="B95" s="63" vm="180">
        <f ca="1"/>
        <v>34818.270199999999</v>
      </c>
      <c r="CX95" s="3"/>
      <c r="DB95" s="3" vm="181">
        <f ca="1">IF(Returns!A97&lt;&gt;0,Returns!A97,"")</f>
        <v>40847</v>
      </c>
      <c r="DC95" s="13">
        <f ca="1">IF(Returns!B98&gt;0,Returns!B98/Returns!B97-1,"")</f>
        <v>1.1866727521679721E-2</v>
      </c>
      <c r="DD95" s="13">
        <f ca="1">IF(Returns!D98&gt;0,Returns!D98/Returns!D97-1,"")</f>
        <v>1.4223093038142398E-2</v>
      </c>
    </row>
    <row r="96" spans="2:108" x14ac:dyDescent="0.3">
      <c r="B96" s="63" vm="182">
        <f ca="1"/>
        <v>34797.999199999998</v>
      </c>
      <c r="CX96" s="3"/>
      <c r="DB96" s="3" vm="183">
        <f ca="1">IF(Returns!A98&lt;&gt;0,Returns!A98,"")</f>
        <v>40854</v>
      </c>
      <c r="DC96" s="13">
        <f ca="1">IF(Returns!B99&gt;0,Returns!B99/Returns!B98-1,"")</f>
        <v>-4.9616599007668127E-2</v>
      </c>
      <c r="DD96" s="13">
        <f ca="1">IF(Returns!D99&gt;0,Returns!D99/Returns!D98-1,"")</f>
        <v>-2.9417255174135182E-2</v>
      </c>
    </row>
    <row r="97" spans="2:108" x14ac:dyDescent="0.3">
      <c r="B97" s="63" vm="184">
        <f ca="1"/>
        <v>34786.345699999998</v>
      </c>
      <c r="CX97" s="3"/>
      <c r="DB97" s="3" vm="185">
        <f ca="1">IF(Returns!A99&lt;&gt;0,Returns!A99,"")</f>
        <v>40861</v>
      </c>
      <c r="DC97" s="13">
        <f ca="1">IF(Returns!B100&gt;0,Returns!B100/Returns!B99-1,"")</f>
        <v>-6.2648315140009458E-2</v>
      </c>
      <c r="DD97" s="13">
        <f ca="1">IF(Returns!D100&gt;0,Returns!D100/Returns!D99-1,"")</f>
        <v>-4.7843605855575566E-2</v>
      </c>
    </row>
    <row r="98" spans="2:108" x14ac:dyDescent="0.3">
      <c r="B98" s="63" vm="186">
        <f ca="1"/>
        <v>34777.759700000002</v>
      </c>
      <c r="CX98" s="3"/>
      <c r="DB98" s="3" vm="187">
        <f ca="1">IF(Returns!A100&lt;&gt;0,Returns!A100,"")</f>
        <v>40868</v>
      </c>
      <c r="DC98" s="13">
        <f ca="1">IF(Returns!B101&gt;0,Returns!B101/Returns!B100-1,"")</f>
        <v>7.4430379746835307E-2</v>
      </c>
      <c r="DD98" s="13">
        <f ca="1">IF(Returns!D101&gt;0,Returns!D101/Returns!D100-1,"")</f>
        <v>7.0125668186336032E-2</v>
      </c>
    </row>
    <row r="99" spans="2:108" x14ac:dyDescent="0.3">
      <c r="B99" s="63" vm="188">
        <f ca="1"/>
        <v>34756.388800000001</v>
      </c>
      <c r="CX99" s="3"/>
      <c r="DB99" s="3" vm="189">
        <f ca="1">IF(Returns!A101&lt;&gt;0,Returns!A101,"")</f>
        <v>40875</v>
      </c>
      <c r="DC99" s="13">
        <f ca="1">IF(Returns!B102&gt;0,Returns!B102/Returns!B101-1,"")</f>
        <v>2.6861451460886032E-2</v>
      </c>
      <c r="DD99" s="13">
        <f ca="1">IF(Returns!D102&gt;0,Returns!D102/Returns!D101-1,"")</f>
        <v>1.3714329500564171E-2</v>
      </c>
    </row>
    <row r="100" spans="2:108" x14ac:dyDescent="0.3">
      <c r="B100" s="63" vm="190">
        <f ca="1"/>
        <v>34754.932999999997</v>
      </c>
      <c r="CX100" s="3"/>
      <c r="DB100" s="3" vm="191">
        <f ca="1">IF(Returns!A102&lt;&gt;0,Returns!A102,"")</f>
        <v>40882</v>
      </c>
      <c r="DC100" s="13">
        <f ca="1">IF(Returns!B103&gt;0,Returns!B103/Returns!B102-1,"")</f>
        <v>3.6714089031666397E-3</v>
      </c>
      <c r="DD100" s="13">
        <f ca="1">IF(Returns!D103&gt;0,Returns!D103/Returns!D102-1,"")</f>
        <v>-2.6088578072201662E-2</v>
      </c>
    </row>
    <row r="101" spans="2:108" x14ac:dyDescent="0.3">
      <c r="B101" s="63" vm="192">
        <f ca="1"/>
        <v>34746.249600000003</v>
      </c>
      <c r="CX101" s="3"/>
      <c r="DB101" s="3" vm="193">
        <f ca="1">IF(Returns!A103&lt;&gt;0,Returns!A103,"")</f>
        <v>40889</v>
      </c>
      <c r="DC101" s="13">
        <f ca="1">IF(Returns!B104&gt;0,Returns!B104/Returns!B103-1,"")</f>
        <v>2.9263831732967649E-2</v>
      </c>
      <c r="DD101" s="13">
        <f ca="1">IF(Returns!D104&gt;0,Returns!D104/Returns!D103-1,"")</f>
        <v>3.6035460255799734E-2</v>
      </c>
    </row>
    <row r="102" spans="2:108" x14ac:dyDescent="0.3">
      <c r="B102" s="63" vm="194">
        <f ca="1"/>
        <v>34738.060700000002</v>
      </c>
      <c r="CX102" s="3"/>
      <c r="DB102" s="3" vm="195">
        <f ca="1">IF(Returns!A104&lt;&gt;0,Returns!A104,"")</f>
        <v>40896</v>
      </c>
      <c r="DC102" s="13">
        <f ca="1">IF(Returns!B105&gt;0,Returns!B105/Returns!B104-1,"")</f>
        <v>5.3309640159928673E-3</v>
      </c>
      <c r="DD102" s="13">
        <f ca="1">IF(Returns!D105&gt;0,Returns!D105/Returns!D104-1,"")</f>
        <v>-6.2176833722328295E-3</v>
      </c>
    </row>
    <row r="103" spans="2:108" x14ac:dyDescent="0.3">
      <c r="B103" s="63" vm="196">
        <f ca="1"/>
        <v>34725.472300000001</v>
      </c>
      <c r="CX103" s="3"/>
      <c r="DB103" s="3" vm="197">
        <f ca="1">IF(Returns!A105&lt;&gt;0,Returns!A105,"")</f>
        <v>40904</v>
      </c>
      <c r="DC103" s="13">
        <f ca="1">IF(Returns!B106&gt;0,Returns!B106/Returns!B105-1,"")</f>
        <v>-1.0163499779054397E-2</v>
      </c>
      <c r="DD103" s="13">
        <f ca="1">IF(Returns!D106&gt;0,Returns!D106/Returns!D105-1,"")</f>
        <v>1.1652113938070308E-2</v>
      </c>
    </row>
    <row r="104" spans="2:108" x14ac:dyDescent="0.3">
      <c r="B104" s="63" vm="198">
        <f ca="1"/>
        <v>34721.1224</v>
      </c>
      <c r="CX104" s="3"/>
      <c r="DB104" s="3" vm="199">
        <f ca="1">IF(Returns!A106&lt;&gt;0,Returns!A106,"")</f>
        <v>40911</v>
      </c>
      <c r="DC104" s="13">
        <f ca="1">IF(Returns!B107&gt;0,Returns!B107/Returns!B106-1,"")</f>
        <v>1.7857142857143016E-2</v>
      </c>
      <c r="DD104" s="13">
        <f ca="1">IF(Returns!D107&gt;0,Returns!D107/Returns!D106-1,"")</f>
        <v>5.0272168826202002E-3</v>
      </c>
    </row>
    <row r="105" spans="2:108" x14ac:dyDescent="0.3">
      <c r="B105" s="63" vm="200">
        <f ca="1"/>
        <v>34687.850200000001</v>
      </c>
      <c r="CX105" s="3"/>
      <c r="DB105" s="3" vm="201">
        <f ca="1">IF(Returns!A107&lt;&gt;0,Returns!A107,"")</f>
        <v>40917</v>
      </c>
      <c r="DC105" s="13">
        <f ca="1">IF(Returns!B108&gt;0,Returns!B108/Returns!B107-1,"")</f>
        <v>1.4912280701754321E-2</v>
      </c>
      <c r="DD105" s="13">
        <f ca="1">IF(Returns!D108&gt;0,Returns!D108/Returns!D107-1,"")</f>
        <v>2.4023349499712188E-2</v>
      </c>
    </row>
    <row r="106" spans="2:108" x14ac:dyDescent="0.3">
      <c r="B106" s="63" vm="202">
        <f ca="1"/>
        <v>34618.240599999997</v>
      </c>
      <c r="CX106" s="3"/>
      <c r="DB106" s="3" vm="203">
        <f ca="1">IF(Returns!A108&lt;&gt;0,Returns!A108,"")</f>
        <v>40925</v>
      </c>
      <c r="DC106" s="13">
        <f ca="1">IF(Returns!B109&gt;0,Returns!B109/Returns!B108-1,"")</f>
        <v>0</v>
      </c>
      <c r="DD106" s="13">
        <f ca="1">IF(Returns!D109&gt;0,Returns!D109/Returns!D108-1,"")</f>
        <v>-4.7181333006280912E-3</v>
      </c>
    </row>
    <row r="107" spans="2:108" x14ac:dyDescent="0.3">
      <c r="B107" s="63" vm="204">
        <f ca="1"/>
        <v>34607.723899999997</v>
      </c>
      <c r="CX107" s="3"/>
      <c r="DB107" s="3" vm="205">
        <f ca="1">IF(Returns!A109&lt;&gt;0,Returns!A109,"")</f>
        <v>40931</v>
      </c>
      <c r="DC107" s="13">
        <f ca="1">IF(Returns!B110&gt;0,Returns!B110/Returns!B109-1,"")</f>
        <v>9.0751944684528407E-3</v>
      </c>
      <c r="DD107" s="13">
        <f ca="1">IF(Returns!D110&gt;0,Returns!D110/Returns!D109-1,"")</f>
        <v>1.5937155452849794E-2</v>
      </c>
    </row>
    <row r="108" spans="2:108" x14ac:dyDescent="0.3">
      <c r="B108" s="63" vm="206">
        <f ca="1"/>
        <v>34584.877699999997</v>
      </c>
      <c r="CX108" s="3"/>
      <c r="DB108" s="3" vm="207">
        <f ca="1">IF(Returns!A110&lt;&gt;0,Returns!A110,"")</f>
        <v>40938</v>
      </c>
      <c r="DC108" s="13">
        <f ca="1">IF(Returns!B111&gt;0,Returns!B111/Returns!B110-1,"")</f>
        <v>6.0385438972162753E-2</v>
      </c>
      <c r="DD108" s="13">
        <f ca="1">IF(Returns!D111&gt;0,Returns!D111/Returns!D110-1,"")</f>
        <v>-4.7426222069337776E-3</v>
      </c>
    </row>
    <row r="109" spans="2:108" x14ac:dyDescent="0.3">
      <c r="B109" s="63" vm="208">
        <f ca="1"/>
        <v>34580.080099999999</v>
      </c>
      <c r="CX109" s="3"/>
      <c r="DB109" s="3" vm="209">
        <f ca="1">IF(Returns!A111&lt;&gt;0,Returns!A111,"")</f>
        <v>40945</v>
      </c>
      <c r="DC109" s="13">
        <f ca="1">IF(Returns!B112&gt;0,Returns!B112/Returns!B111-1,"")</f>
        <v>-2.0193861066235885E-2</v>
      </c>
      <c r="DD109" s="13">
        <f ca="1">IF(Returns!D112&gt;0,Returns!D112/Returns!D111-1,"")</f>
        <v>1.1611540634947515E-2</v>
      </c>
    </row>
    <row r="110" spans="2:108" x14ac:dyDescent="0.3">
      <c r="B110" s="63" vm="210">
        <f ca="1"/>
        <v>34576.587</v>
      </c>
      <c r="CX110" s="3"/>
      <c r="DB110" s="3" vm="211">
        <f ca="1">IF(Returns!A112&lt;&gt;0,Returns!A112,"")</f>
        <v>40952</v>
      </c>
      <c r="DC110" s="13">
        <f ca="1">IF(Returns!B113&gt;0,Returns!B113/Returns!B112-1,"")</f>
        <v>-1.1129431162407388E-2</v>
      </c>
      <c r="DD110" s="13">
        <f ca="1">IF(Returns!D113&gt;0,Returns!D113/Returns!D112-1,"")</f>
        <v>2.5539789513591149E-3</v>
      </c>
    </row>
    <row r="111" spans="2:108" x14ac:dyDescent="0.3">
      <c r="B111" s="63" vm="212">
        <f ca="1"/>
        <v>34529.449200000003</v>
      </c>
      <c r="CX111" s="3"/>
      <c r="DB111" s="3" vm="213">
        <f ca="1">IF(Returns!A113&lt;&gt;0,Returns!A113,"")</f>
        <v>40960</v>
      </c>
      <c r="DC111" s="13">
        <f ca="1">IF(Returns!B114&gt;0,Returns!B114/Returns!B113-1,"")</f>
        <v>-5.002084201750634E-3</v>
      </c>
      <c r="DD111" s="13">
        <f ca="1">IF(Returns!D114&gt;0,Returns!D114/Returns!D113-1,"")</f>
        <v>-4.1389683103876251E-4</v>
      </c>
    </row>
    <row r="112" spans="2:108" x14ac:dyDescent="0.3">
      <c r="B112" s="63" vm="214">
        <f ca="1"/>
        <v>34509.0317</v>
      </c>
      <c r="CX112" s="3"/>
      <c r="DB112" s="3" vm="215">
        <f ca="1">IF(Returns!A114&lt;&gt;0,Returns!A114,"")</f>
        <v>40966</v>
      </c>
      <c r="DC112" s="13">
        <f ca="1">IF(Returns!B115&gt;0,Returns!B115/Returns!B114-1,"")</f>
        <v>-4.1893590280694948E-4</v>
      </c>
      <c r="DD112" s="13">
        <f ca="1">IF(Returns!D115&gt;0,Returns!D115/Returns!D114-1,"")</f>
        <v>-4.2805773243299594E-3</v>
      </c>
    </row>
    <row r="113" spans="2:108" x14ac:dyDescent="0.3">
      <c r="B113" s="63" vm="216">
        <f ca="1"/>
        <v>34500.661399999997</v>
      </c>
      <c r="CX113" s="3"/>
      <c r="DB113" s="3" vm="217">
        <f ca="1">IF(Returns!A115&lt;&gt;0,Returns!A115,"")</f>
        <v>40973</v>
      </c>
      <c r="DC113" s="13">
        <f ca="1">IF(Returns!B116&gt;0,Returns!B116/Returns!B115-1,"")</f>
        <v>1.7183570829840678E-2</v>
      </c>
      <c r="DD113" s="13">
        <f ca="1">IF(Returns!D116&gt;0,Returns!D116/Returns!D115-1,"")</f>
        <v>2.4036829410979843E-2</v>
      </c>
    </row>
    <row r="114" spans="2:108" x14ac:dyDescent="0.3">
      <c r="B114" s="63" vm="218">
        <f ca="1"/>
        <v>34479.6008</v>
      </c>
      <c r="CX114" s="3"/>
      <c r="DB114" s="3" vm="219">
        <f ca="1">IF(Returns!A116&lt;&gt;0,Returns!A116,"")</f>
        <v>40980</v>
      </c>
      <c r="DC114" s="13">
        <f ca="1">IF(Returns!B117&gt;0,Returns!B117/Returns!B116-1,"")</f>
        <v>-2.7194066749072987E-2</v>
      </c>
      <c r="DD114" s="13">
        <f ca="1">IF(Returns!D117&gt;0,Returns!D117/Returns!D116-1,"")</f>
        <v>-1.147893953737722E-2</v>
      </c>
    </row>
    <row r="115" spans="2:108" x14ac:dyDescent="0.3">
      <c r="B115" s="63" vm="220">
        <f ca="1"/>
        <v>34451.2307</v>
      </c>
      <c r="CX115" s="3"/>
      <c r="DB115" s="3" vm="221">
        <f ca="1">IF(Returns!A117&lt;&gt;0,Returns!A117,"")</f>
        <v>40987</v>
      </c>
      <c r="DC115" s="13">
        <f ca="1">IF(Returns!B118&gt;0,Returns!B118/Returns!B117-1,"")</f>
        <v>7.2003388394747958E-3</v>
      </c>
      <c r="DD115" s="13">
        <f ca="1">IF(Returns!D118&gt;0,Returns!D118/Returns!D117-1,"")</f>
        <v>1.0038477750508701E-2</v>
      </c>
    </row>
    <row r="116" spans="2:108" x14ac:dyDescent="0.3">
      <c r="B116" s="63" vm="222">
        <f ca="1"/>
        <v>34433.842499999999</v>
      </c>
      <c r="CX116" s="3"/>
      <c r="DB116" s="3" vm="223">
        <f ca="1">IF(Returns!A118&lt;&gt;0,Returns!A118,"")</f>
        <v>40994</v>
      </c>
      <c r="DC116" s="13">
        <f ca="1">IF(Returns!B119&gt;0,Returns!B119/Returns!B118-1,"")</f>
        <v>3.1539108494533119E-2</v>
      </c>
      <c r="DD116" s="13">
        <f ca="1">IF(Returns!D119&gt;0,Returns!D119/Returns!D118-1,"")</f>
        <v>-1.1496817497259948E-2</v>
      </c>
    </row>
    <row r="117" spans="2:108" x14ac:dyDescent="0.3">
      <c r="B117" s="63" vm="224">
        <f ca="1"/>
        <v>34429.876600000003</v>
      </c>
      <c r="CX117" s="3"/>
      <c r="DB117" s="3" vm="225">
        <f ca="1">IF(Returns!A119&lt;&gt;0,Returns!A119,"")</f>
        <v>41001</v>
      </c>
      <c r="DC117" s="13">
        <f ca="1">IF(Returns!B120&gt;0,Returns!B120/Returns!B119-1,"")</f>
        <v>-4.2397064818589625E-2</v>
      </c>
      <c r="DD117" s="13">
        <f ca="1">IF(Returns!D120&gt;0,Returns!D120/Returns!D119-1,"")</f>
        <v>-1.6121654109057415E-2</v>
      </c>
    </row>
    <row r="118" spans="2:108" x14ac:dyDescent="0.3">
      <c r="B118" s="63" vm="226">
        <f ca="1"/>
        <v>34407.599900000001</v>
      </c>
      <c r="CX118" s="3"/>
      <c r="DB118" s="3" vm="227">
        <f ca="1">IF(Returns!A120&lt;&gt;0,Returns!A120,"")</f>
        <v>41008</v>
      </c>
      <c r="DC118" s="13">
        <f ca="1">IF(Returns!B121&gt;0,Returns!B121/Returns!B120-1,"")</f>
        <v>0.1094082588335461</v>
      </c>
      <c r="DD118" s="13">
        <f ca="1">IF(Returns!D121&gt;0,Returns!D121/Returns!D120-1,"")</f>
        <v>1.3982724773645261E-2</v>
      </c>
    </row>
    <row r="119" spans="2:108" x14ac:dyDescent="0.3">
      <c r="B119" s="63" vm="228">
        <f ca="1"/>
        <v>34382.133999999998</v>
      </c>
      <c r="CX119" s="3"/>
      <c r="DB119" s="3" vm="229">
        <f ca="1">IF(Returns!A121&lt;&gt;0,Returns!A121,"")</f>
        <v>41015</v>
      </c>
      <c r="DC119" s="13">
        <f ca="1">IF(Returns!B122&gt;0,Returns!B122/Returns!B121-1,"")</f>
        <v>4.4512663085187976E-2</v>
      </c>
      <c r="DD119" s="13">
        <f ca="1">IF(Returns!D122&gt;0,Returns!D122/Returns!D121-1,"")</f>
        <v>1.5276926201132968E-2</v>
      </c>
    </row>
    <row r="120" spans="2:108" x14ac:dyDescent="0.3">
      <c r="B120" s="63" vm="230">
        <f ca="1"/>
        <v>34347.0308</v>
      </c>
      <c r="CX120" s="3"/>
      <c r="DB120" s="3" vm="231">
        <f ca="1">IF(Returns!A122&lt;&gt;0,Returns!A122,"")</f>
        <v>41022</v>
      </c>
      <c r="DC120" s="13">
        <f ca="1">IF(Returns!B123&gt;0,Returns!B123/Returns!B122-1,"")</f>
        <v>-2.5349008082292346E-2</v>
      </c>
      <c r="DD120" s="13">
        <f ca="1">IF(Returns!D123&gt;0,Returns!D123/Returns!D122-1,"")</f>
        <v>-1.4366218247608642E-2</v>
      </c>
    </row>
    <row r="121" spans="2:108" x14ac:dyDescent="0.3">
      <c r="B121" s="63" vm="232">
        <f ca="1"/>
        <v>34346.8989</v>
      </c>
      <c r="CX121" s="3"/>
      <c r="DB121" s="3" vm="233">
        <f ca="1">IF(Returns!A123&lt;&gt;0,Returns!A123,"")</f>
        <v>41029</v>
      </c>
      <c r="DC121" s="13">
        <f ca="1">IF(Returns!B124&gt;0,Returns!B124/Returns!B123-1,"")</f>
        <v>-1.8846588767433836E-3</v>
      </c>
      <c r="DD121" s="13">
        <f ca="1">IF(Returns!D124&gt;0,Returns!D124/Returns!D123-1,"")</f>
        <v>-1.6694339049582507E-2</v>
      </c>
    </row>
    <row r="122" spans="2:108" x14ac:dyDescent="0.3">
      <c r="B122" s="63" vm="234">
        <f ca="1"/>
        <v>34326.4588</v>
      </c>
      <c r="CX122" s="3"/>
      <c r="DB122" s="3" vm="235">
        <f ca="1">IF(Returns!A124&lt;&gt;0,Returns!A124,"")</f>
        <v>41036</v>
      </c>
      <c r="DC122" s="13">
        <f ca="1">IF(Returns!B125&gt;0,Returns!B125/Returns!B124-1,"")</f>
        <v>-4.7205438066465266E-2</v>
      </c>
      <c r="DD122" s="13">
        <f ca="1">IF(Returns!D125&gt;0,Returns!D125/Returns!D124-1,"")</f>
        <v>-3.5195219769938002E-2</v>
      </c>
    </row>
    <row r="123" spans="2:108" x14ac:dyDescent="0.3">
      <c r="B123" s="63" vm="236">
        <f ca="1"/>
        <v>34302.608999999997</v>
      </c>
      <c r="CX123" s="3"/>
      <c r="DB123" s="3" vm="237">
        <f ca="1">IF(Returns!A125&lt;&gt;0,Returns!A125,"")</f>
        <v>41043</v>
      </c>
      <c r="DC123" s="13">
        <f ca="1">IF(Returns!B126&gt;0,Returns!B126/Returns!B125-1,"")</f>
        <v>1.8232263178755481E-2</v>
      </c>
      <c r="DD123" s="13">
        <f ca="1">IF(Returns!D126&gt;0,Returns!D126/Returns!D125-1,"")</f>
        <v>6.9079044515139021E-3</v>
      </c>
    </row>
    <row r="124" spans="2:108" x14ac:dyDescent="0.3">
      <c r="B124" s="63" vm="238">
        <f ca="1"/>
        <v>34299.115899999997</v>
      </c>
      <c r="CX124" s="3"/>
      <c r="DB124" s="3" vm="239">
        <f ca="1">IF(Returns!A126&lt;&gt;0,Returns!A126,"")</f>
        <v>41050</v>
      </c>
      <c r="DC124" s="13">
        <f ca="1">IF(Returns!B127&gt;0,Returns!B127/Returns!B126-1,"")</f>
        <v>-1.245620864149477E-2</v>
      </c>
      <c r="DD124" s="13">
        <f ca="1">IF(Returns!D127&gt;0,Returns!D127/Returns!D126-1,"")</f>
        <v>-2.6998455667052501E-2</v>
      </c>
    </row>
    <row r="125" spans="2:108" x14ac:dyDescent="0.3">
      <c r="B125" s="63" vm="240">
        <f ca="1"/>
        <v>34283.100400000003</v>
      </c>
      <c r="CX125" s="3"/>
      <c r="DB125" s="3" vm="241">
        <f ca="1">IF(Returns!A127&lt;&gt;0,Returns!A127,"")</f>
        <v>41058</v>
      </c>
      <c r="DC125" s="13">
        <f ca="1">IF(Returns!B128&gt;0,Returns!B128/Returns!B127-1,"")</f>
        <v>2.404414662987775E-2</v>
      </c>
      <c r="DD125" s="13">
        <f ca="1">IF(Returns!D128&gt;0,Returns!D128/Returns!D127-1,"")</f>
        <v>3.5947594493048074E-2</v>
      </c>
    </row>
    <row r="126" spans="2:108" x14ac:dyDescent="0.3">
      <c r="B126" s="63" vm="242">
        <f ca="1"/>
        <v>34265.371200000001</v>
      </c>
      <c r="CX126" s="3"/>
      <c r="DB126" s="3" vm="243">
        <f ca="1">IF(Returns!A128&lt;&gt;0,Returns!A128,"")</f>
        <v>41064</v>
      </c>
      <c r="DC126" s="13">
        <f ca="1">IF(Returns!B129&gt;0,Returns!B129/Returns!B128-1,"")</f>
        <v>1.8090839107005374E-2</v>
      </c>
      <c r="DD126" s="13">
        <f ca="1">IF(Returns!D129&gt;0,Returns!D129/Returns!D128-1,"")</f>
        <v>1.696427571478587E-2</v>
      </c>
    </row>
    <row r="127" spans="2:108" x14ac:dyDescent="0.3">
      <c r="B127" s="63" vm="244">
        <f ca="1"/>
        <v>34207.842900000003</v>
      </c>
      <c r="CX127" s="3"/>
      <c r="DB127" s="3" vm="245">
        <f ca="1">IF(Returns!A129&lt;&gt;0,Returns!A129,"")</f>
        <v>41071</v>
      </c>
      <c r="DC127" s="13">
        <f ca="1">IF(Returns!B130&gt;0,Returns!B130/Returns!B129-1,"")</f>
        <v>9.0737240075615677E-3</v>
      </c>
      <c r="DD127" s="13">
        <f ca="1">IF(Returns!D130&gt;0,Returns!D130/Returns!D129-1,"")</f>
        <v>-9.89970190971734E-3</v>
      </c>
    </row>
    <row r="128" spans="2:108" x14ac:dyDescent="0.3">
      <c r="B128" s="63" vm="246">
        <f ca="1"/>
        <v>34200.671199999997</v>
      </c>
      <c r="CX128" s="3"/>
      <c r="DB128" s="3" vm="247">
        <f ca="1">IF(Returns!A130&lt;&gt;0,Returns!A130,"")</f>
        <v>41078</v>
      </c>
      <c r="DC128" s="13">
        <f ca="1">IF(Returns!B131&gt;0,Returns!B131/Returns!B130-1,"")</f>
        <v>2.1730985387785617E-2</v>
      </c>
      <c r="DD128" s="13">
        <f ca="1">IF(Returns!D131&gt;0,Returns!D131/Returns!D130-1,"")</f>
        <v>1.8931638646918714E-2</v>
      </c>
    </row>
    <row r="129" spans="2:108" x14ac:dyDescent="0.3">
      <c r="B129" s="63" vm="248">
        <f ca="1"/>
        <v>34098.1636</v>
      </c>
      <c r="CX129" s="3"/>
      <c r="DB129" s="3" vm="249">
        <f ca="1">IF(Returns!A131&lt;&gt;0,Returns!A131,"")</f>
        <v>41085</v>
      </c>
      <c r="DC129" s="13">
        <f ca="1">IF(Returns!B132&gt;0,Returns!B132/Returns!B131-1,"")</f>
        <v>3.6670333700050683E-4</v>
      </c>
      <c r="DD129" s="13">
        <f ca="1">IF(Returns!D132&gt;0,Returns!D132/Returns!D131-1,"")</f>
        <v>-8.3556624961321768E-3</v>
      </c>
    </row>
    <row r="130" spans="2:108" x14ac:dyDescent="0.3">
      <c r="B130" s="63" vm="250">
        <f ca="1"/>
        <v>34079.182200000003</v>
      </c>
      <c r="CX130" s="3"/>
      <c r="DB130" s="3" vm="251">
        <f ca="1">IF(Returns!A132&lt;&gt;0,Returns!A132,"")</f>
        <v>41092</v>
      </c>
      <c r="DC130" s="13">
        <f ca="1">IF(Returns!B133&gt;0,Returns!B133/Returns!B132-1,"")</f>
        <v>3.6656891495590038E-4</v>
      </c>
      <c r="DD130" s="13">
        <f ca="1">IF(Returns!D133&gt;0,Returns!D133/Returns!D132-1,"")</f>
        <v>3.6145709982893237E-4</v>
      </c>
    </row>
    <row r="131" spans="2:108" x14ac:dyDescent="0.3">
      <c r="B131" s="63" vm="252">
        <f ca="1"/>
        <v>34061.321199999998</v>
      </c>
      <c r="CX131" s="3"/>
      <c r="DB131" s="3" vm="253">
        <f ca="1">IF(Returns!A133&lt;&gt;0,Returns!A133,"")</f>
        <v>41099</v>
      </c>
      <c r="DC131" s="13">
        <f ca="1">IF(Returns!B134&gt;0,Returns!B134/Returns!B133-1,"")</f>
        <v>-5.2033711982411024E-2</v>
      </c>
      <c r="DD131" s="13">
        <f ca="1">IF(Returns!D134&gt;0,Returns!D134/Returns!D133-1,"")</f>
        <v>3.5599429441146579E-3</v>
      </c>
    </row>
    <row r="132" spans="2:108" x14ac:dyDescent="0.3">
      <c r="B132" s="63" vm="254">
        <f ca="1"/>
        <v>34058.750800000002</v>
      </c>
      <c r="CX132" s="3"/>
      <c r="DB132" s="3" vm="255">
        <f ca="1">IF(Returns!A134&lt;&gt;0,Returns!A134,"")</f>
        <v>41106</v>
      </c>
      <c r="DC132" s="13">
        <f ca="1">IF(Returns!B135&gt;0,Returns!B135/Returns!B134-1,"")</f>
        <v>-2.3192887514495997E-3</v>
      </c>
      <c r="DD132" s="13">
        <f ca="1">IF(Returns!D135&gt;0,Returns!D135/Returns!D134-1,"")</f>
        <v>1.9737459078511765E-2</v>
      </c>
    </row>
    <row r="133" spans="2:108" x14ac:dyDescent="0.3">
      <c r="B133" s="63" vm="256">
        <f ca="1"/>
        <v>34043.486799999999</v>
      </c>
      <c r="CX133" s="3"/>
      <c r="DB133" s="3" vm="257">
        <f ca="1">IF(Returns!A135&lt;&gt;0,Returns!A135,"")</f>
        <v>41113</v>
      </c>
      <c r="DC133" s="13">
        <f ca="1">IF(Returns!B136&gt;0,Returns!B136/Returns!B135-1,"")</f>
        <v>-1.1235955056179692E-2</v>
      </c>
      <c r="DD133" s="13">
        <f ca="1">IF(Returns!D136&gt;0,Returns!D136/Returns!D135-1,"")</f>
        <v>1.5685788649635324E-3</v>
      </c>
    </row>
    <row r="134" spans="2:108" x14ac:dyDescent="0.3">
      <c r="B134" s="63" vm="258">
        <f ca="1"/>
        <v>33978.079899999997</v>
      </c>
      <c r="CX134" s="3"/>
      <c r="DB134" s="3" vm="259">
        <f ca="1">IF(Returns!A136&lt;&gt;0,Returns!A136,"")</f>
        <v>41120</v>
      </c>
      <c r="DC134" s="13">
        <f ca="1">IF(Returns!B137&gt;0,Returns!B137/Returns!B136-1,"")</f>
        <v>-1.9200626959247624E-2</v>
      </c>
      <c r="DD134" s="13">
        <f ca="1">IF(Returns!D137&gt;0,Returns!D137/Returns!D136-1,"")</f>
        <v>8.5356497076620741E-3</v>
      </c>
    </row>
    <row r="135" spans="2:108" x14ac:dyDescent="0.3">
      <c r="B135" s="63" vm="260">
        <f ca="1"/>
        <v>33963.8439</v>
      </c>
      <c r="CX135" s="3"/>
      <c r="DB135" s="3" vm="261">
        <f ca="1">IF(Returns!A137&lt;&gt;0,Returns!A137,"")</f>
        <v>41127</v>
      </c>
      <c r="DC135" s="13">
        <f ca="1">IF(Returns!B138&gt;0,Returns!B138/Returns!B137-1,"")</f>
        <v>2.5169796244506548E-2</v>
      </c>
      <c r="DD135" s="13">
        <f ca="1">IF(Returns!D138&gt;0,Returns!D138/Returns!D137-1,"")</f>
        <v>5.0915615077946619E-3</v>
      </c>
    </row>
    <row r="136" spans="2:108" x14ac:dyDescent="0.3">
      <c r="B136" s="63" vm="262">
        <f ca="1"/>
        <v>33926.012900000002</v>
      </c>
      <c r="CX136" s="3"/>
      <c r="DB136" s="3" vm="263">
        <f ca="1">IF(Returns!A138&lt;&gt;0,Returns!A138,"")</f>
        <v>41134</v>
      </c>
      <c r="DC136" s="13">
        <f ca="1">IF(Returns!B139&gt;0,Returns!B139/Returns!B138-1,"")</f>
        <v>6.2353858144972296E-3</v>
      </c>
      <c r="DD136" s="13">
        <f ca="1">IF(Returns!D139&gt;0,Returns!D139/Returns!D138-1,"")</f>
        <v>-8.8308266757630705E-3</v>
      </c>
    </row>
    <row r="137" spans="2:108" x14ac:dyDescent="0.3">
      <c r="B137" s="63" vm="264">
        <f ca="1"/>
        <v>33886.4683</v>
      </c>
      <c r="CX137" s="3"/>
      <c r="DB137" s="3" vm="265">
        <f ca="1">IF(Returns!A139&lt;&gt;0,Returns!A139,"")</f>
        <v>41141</v>
      </c>
      <c r="DC137" s="13">
        <f ca="1">IF(Returns!B140&gt;0,Returns!B140/Returns!B139-1,"")</f>
        <v>1.6266460108443015E-2</v>
      </c>
      <c r="DD137" s="13">
        <f ca="1">IF(Returns!D140&gt;0,Returns!D140/Returns!D139-1,"")</f>
        <v>-5.1020711773771543E-3</v>
      </c>
    </row>
    <row r="138" spans="2:108" x14ac:dyDescent="0.3">
      <c r="B138" s="63" vm="266">
        <f ca="1"/>
        <v>33876.779900000001</v>
      </c>
      <c r="CX138" s="3"/>
      <c r="DB138" s="3" vm="267">
        <f ca="1">IF(Returns!A140&lt;&gt;0,Returns!A140,"")</f>
        <v>41148</v>
      </c>
      <c r="DC138" s="13">
        <f ca="1">IF(Returns!B141&gt;0,Returns!B141/Returns!B140-1,"")</f>
        <v>7.6219512195141448E-4</v>
      </c>
      <c r="DD138" s="13">
        <f ca="1">IF(Returns!D141&gt;0,Returns!D141/Returns!D140-1,"")</f>
        <v>1.6484881501696469E-2</v>
      </c>
    </row>
    <row r="139" spans="2:108" x14ac:dyDescent="0.3">
      <c r="B139" s="63" vm="268">
        <f ca="1"/>
        <v>33874.853999999999</v>
      </c>
      <c r="CX139" s="3"/>
      <c r="DB139" s="3" vm="269">
        <f ca="1">IF(Returns!A141&lt;&gt;0,Returns!A141,"")</f>
        <v>41156</v>
      </c>
      <c r="DC139" s="13">
        <f ca="1">IF(Returns!B142&gt;0,Returns!B142/Returns!B141-1,"")</f>
        <v>1.5613099771515593E-2</v>
      </c>
      <c r="DD139" s="13">
        <f ca="1">IF(Returns!D142&gt;0,Returns!D142/Returns!D141-1,"")</f>
        <v>2.1547741649335039E-2</v>
      </c>
    </row>
    <row r="140" spans="2:108" x14ac:dyDescent="0.3">
      <c r="B140" s="63" vm="270">
        <f ca="1"/>
        <v>33869.2664</v>
      </c>
      <c r="CX140" s="3"/>
      <c r="DB140" s="3" vm="271">
        <f ca="1">IF(Returns!A142&lt;&gt;0,Returns!A142,"")</f>
        <v>41162</v>
      </c>
      <c r="DC140" s="13">
        <f ca="1">IF(Returns!B143&gt;0,Returns!B143/Returns!B142-1,"")</f>
        <v>-1.0873640794900719E-2</v>
      </c>
      <c r="DD140" s="13">
        <f ca="1">IF(Returns!D143&gt;0,Returns!D143/Returns!D142-1,"")</f>
        <v>-1.0224766917739103E-3</v>
      </c>
    </row>
    <row r="141" spans="2:108" x14ac:dyDescent="0.3">
      <c r="B141" s="63" vm="272">
        <f ca="1"/>
        <v>33826.6901</v>
      </c>
      <c r="CX141" s="3"/>
      <c r="DB141" s="3" vm="273">
        <f ca="1">IF(Returns!A143&lt;&gt;0,Returns!A143,"")</f>
        <v>41169</v>
      </c>
      <c r="DC141" s="13">
        <f ca="1">IF(Returns!B144&gt;0,Returns!B144/Returns!B143-1,"")</f>
        <v>-1.1751326762698966E-2</v>
      </c>
      <c r="DD141" s="13">
        <f ca="1">IF(Returns!D144&gt;0,Returns!D144/Returns!D143-1,"")</f>
        <v>-1.048202391917108E-2</v>
      </c>
    </row>
    <row r="142" spans="2:108" x14ac:dyDescent="0.3">
      <c r="B142" s="63" vm="274">
        <f ca="1"/>
        <v>33811.3995</v>
      </c>
      <c r="CX142" s="3"/>
      <c r="DB142" s="3" vm="275">
        <f ca="1">IF(Returns!A144&lt;&gt;0,Returns!A144,"")</f>
        <v>41176</v>
      </c>
      <c r="DC142" s="13">
        <f ca="1">IF(Returns!B145&gt;0,Returns!B145/Returns!B144-1,"")</f>
        <v>3.4522439585730647E-2</v>
      </c>
      <c r="DD142" s="13">
        <f ca="1">IF(Returns!D145&gt;0,Returns!D145/Returns!D144-1,"")</f>
        <v>1.2876271935781336E-2</v>
      </c>
    </row>
    <row r="143" spans="2:108" x14ac:dyDescent="0.3">
      <c r="B143" s="63" vm="276">
        <f ca="1"/>
        <v>33808.961000000003</v>
      </c>
      <c r="CX143" s="3"/>
      <c r="DB143" s="3" vm="277">
        <f ca="1">IF(Returns!A145&lt;&gt;0,Returns!A145,"")</f>
        <v>41183</v>
      </c>
      <c r="DC143" s="13">
        <f ca="1">IF(Returns!B146&gt;0,Returns!B146/Returns!B145-1,"")</f>
        <v>-2.6696329254727424E-2</v>
      </c>
      <c r="DD143" s="13">
        <f ca="1">IF(Returns!D146&gt;0,Returns!D146/Returns!D145-1,"")</f>
        <v>-2.0668527680119841E-2</v>
      </c>
    </row>
    <row r="144" spans="2:108" x14ac:dyDescent="0.3">
      <c r="B144" s="63" vm="278">
        <f ca="1"/>
        <v>33800.604299999999</v>
      </c>
      <c r="CX144" s="3"/>
      <c r="DB144" s="3" vm="279">
        <f ca="1">IF(Returns!A146&lt;&gt;0,Returns!A146,"")</f>
        <v>41190</v>
      </c>
      <c r="DC144" s="13">
        <f ca="1">IF(Returns!B147&gt;0,Returns!B147/Returns!B146-1,"")</f>
        <v>-3.8476190476190553E-2</v>
      </c>
      <c r="DD144" s="13">
        <f ca="1">IF(Returns!D147&gt;0,Returns!D147/Returns!D146-1,"")</f>
        <v>1.100462918569356E-3</v>
      </c>
    </row>
    <row r="145" spans="2:108" x14ac:dyDescent="0.3">
      <c r="B145" s="63" vm="280">
        <f ca="1"/>
        <v>33762.759700000002</v>
      </c>
      <c r="CX145" s="3"/>
      <c r="DB145" s="3" vm="281">
        <f ca="1">IF(Returns!A147&lt;&gt;0,Returns!A147,"")</f>
        <v>41197</v>
      </c>
      <c r="DC145" s="13">
        <f ca="1">IF(Returns!B148&gt;0,Returns!B148/Returns!B147-1,"")</f>
        <v>2.3771790808242432E-3</v>
      </c>
      <c r="DD145" s="13">
        <f ca="1">IF(Returns!D148&gt;0,Returns!D148/Returns!D147-1,"")</f>
        <v>-1.770894189994876E-2</v>
      </c>
    </row>
    <row r="146" spans="2:108" x14ac:dyDescent="0.3">
      <c r="B146" s="63" vm="282">
        <f ca="1"/>
        <v>33761.0461</v>
      </c>
      <c r="CX146" s="3"/>
      <c r="DB146" s="3" vm="283">
        <f ca="1">IF(Returns!A148&lt;&gt;0,Returns!A148,"")</f>
        <v>41204</v>
      </c>
      <c r="DC146" s="13">
        <f ca="1">IF(Returns!B149&gt;0,Returns!B149/Returns!B148-1,"")</f>
        <v>1.383399209486158E-2</v>
      </c>
      <c r="DD146" s="13">
        <f ca="1">IF(Returns!D149&gt;0,Returns!D149/Returns!D148-1,"")</f>
        <v>-1.0722034691477145E-3</v>
      </c>
    </row>
    <row r="147" spans="2:108" x14ac:dyDescent="0.3">
      <c r="B147" s="63" vm="284">
        <f ca="1"/>
        <v>33747.864600000001</v>
      </c>
      <c r="CX147" s="3"/>
      <c r="DB147" s="3" vm="285">
        <f ca="1">IF(Returns!A149&lt;&gt;0,Returns!A149,"")</f>
        <v>41213</v>
      </c>
      <c r="DC147" s="13">
        <f ca="1">IF(Returns!B150&gt;0,Returns!B150/Returns!B149-1,"")</f>
        <v>1.6764132553606315E-2</v>
      </c>
      <c r="DD147" s="13">
        <f ca="1">IF(Returns!D150&gt;0,Returns!D150/Returns!D149-1,"")</f>
        <v>-2.1214817345737491E-2</v>
      </c>
    </row>
    <row r="148" spans="2:108" x14ac:dyDescent="0.3">
      <c r="B148" s="63" vm="286">
        <f ca="1"/>
        <v>33745.689599999998</v>
      </c>
      <c r="CX148" s="3"/>
      <c r="DB148" s="3" vm="287">
        <f ca="1">IF(Returns!A150&lt;&gt;0,Returns!A150,"")</f>
        <v>41218</v>
      </c>
      <c r="DC148" s="13">
        <f ca="1">IF(Returns!B151&gt;0,Returns!B151/Returns!B150-1,"")</f>
        <v>-6.1349693251532278E-3</v>
      </c>
      <c r="DD148" s="13">
        <f ca="1">IF(Returns!D151&gt;0,Returns!D151/Returns!D150-1,"")</f>
        <v>-1.7719638692883954E-2</v>
      </c>
    </row>
    <row r="149" spans="2:108" x14ac:dyDescent="0.3">
      <c r="B149" s="63" vm="288">
        <f ca="1"/>
        <v>33734.880799999999</v>
      </c>
      <c r="CX149" s="3"/>
      <c r="DB149" s="3" vm="289">
        <f ca="1">IF(Returns!A151&lt;&gt;0,Returns!A151,"")</f>
        <v>41225</v>
      </c>
      <c r="DC149" s="13">
        <f ca="1">IF(Returns!B152&gt;0,Returns!B152/Returns!B151-1,"")</f>
        <v>3.8580246913580307E-2</v>
      </c>
      <c r="DD149" s="13">
        <f ca="1">IF(Returns!D152&gt;0,Returns!D152/Returns!D151-1,"")</f>
        <v>3.3473643437516909E-2</v>
      </c>
    </row>
    <row r="150" spans="2:108" x14ac:dyDescent="0.3">
      <c r="B150" s="63" vm="290">
        <f ca="1"/>
        <v>33727.433199999999</v>
      </c>
      <c r="CX150" s="3"/>
      <c r="DB150" s="3" vm="291">
        <f ca="1">IF(Returns!A152&lt;&gt;0,Returns!A152,"")</f>
        <v>41232</v>
      </c>
      <c r="DC150" s="13">
        <f ca="1">IF(Returns!B153&gt;0,Returns!B153/Returns!B152-1,"")</f>
        <v>-2.9717682020803382E-3</v>
      </c>
      <c r="DD150" s="13">
        <f ca="1">IF(Returns!D153&gt;0,Returns!D153/Returns!D152-1,"")</f>
        <v>1.2219128928079304E-3</v>
      </c>
    </row>
    <row r="151" spans="2:108" x14ac:dyDescent="0.3">
      <c r="B151" s="63" vm="292">
        <f ca="1"/>
        <v>33706.7382</v>
      </c>
      <c r="CX151" s="3"/>
      <c r="DB151" s="3" vm="293">
        <f ca="1">IF(Returns!A153&lt;&gt;0,Returns!A153,"")</f>
        <v>41239</v>
      </c>
      <c r="DC151" s="13">
        <f ca="1">IF(Returns!B154&gt;0,Returns!B154/Returns!B153-1,"")</f>
        <v>-2.0491803278688603E-2</v>
      </c>
      <c r="DD151" s="13">
        <f ca="1">IF(Returns!D154&gt;0,Returns!D154/Returns!D153-1,"")</f>
        <v>9.9461058940006897E-3</v>
      </c>
    </row>
    <row r="152" spans="2:108" x14ac:dyDescent="0.3">
      <c r="B152" s="63" vm="294">
        <f ca="1"/>
        <v>33674.3776</v>
      </c>
      <c r="CX152" s="3"/>
      <c r="DB152" s="3" vm="295">
        <f ca="1">IF(Returns!A154&lt;&gt;0,Returns!A154,"")</f>
        <v>41246</v>
      </c>
      <c r="DC152" s="13">
        <f ca="1">IF(Returns!B155&gt;0,Returns!B155/Returns!B154-1,"")</f>
        <v>-1.9779383796120209E-2</v>
      </c>
      <c r="DD152" s="13">
        <f ca="1">IF(Returns!D155&gt;0,Returns!D155/Returns!D154-1,"")</f>
        <v>-1.5294713075518773E-3</v>
      </c>
    </row>
    <row r="153" spans="2:108" x14ac:dyDescent="0.3">
      <c r="B153" s="63" vm="296">
        <f ca="1"/>
        <v>33670.291299999997</v>
      </c>
      <c r="CX153" s="3"/>
      <c r="DB153" s="3" vm="297">
        <f ca="1">IF(Returns!A155&lt;&gt;0,Returns!A155,"")</f>
        <v>41253</v>
      </c>
      <c r="DC153" s="13">
        <f ca="1">IF(Returns!B156&gt;0,Returns!B156/Returns!B155-1,"")</f>
        <v>-5.044625533566105E-3</v>
      </c>
      <c r="DD153" s="13">
        <f ca="1">IF(Returns!D156&gt;0,Returns!D156/Returns!D155-1,"")</f>
        <v>4.2504942667132006E-3</v>
      </c>
    </row>
    <row r="154" spans="2:108" x14ac:dyDescent="0.3">
      <c r="B154" s="63" vm="298">
        <f ca="1"/>
        <v>33630.6149</v>
      </c>
      <c r="CX154" s="3"/>
      <c r="DB154" s="3" vm="299">
        <f ca="1">IF(Returns!A156&lt;&gt;0,Returns!A156,"")</f>
        <v>41260</v>
      </c>
      <c r="DC154" s="13">
        <f ca="1">IF(Returns!B157&gt;0,Returns!B157/Returns!B156-1,"")</f>
        <v>-1.2480499219968855E-2</v>
      </c>
      <c r="DD154" s="13">
        <f ca="1">IF(Returns!D157&gt;0,Returns!D157/Returns!D156-1,"")</f>
        <v>-1.9159782491247612E-2</v>
      </c>
    </row>
    <row r="155" spans="2:108" x14ac:dyDescent="0.3">
      <c r="B155" s="63" vm="300">
        <f ca="1"/>
        <v>33614.797100000003</v>
      </c>
      <c r="CX155" s="3"/>
      <c r="DB155" s="3" vm="301">
        <f ca="1">IF(Returns!A157&lt;&gt;0,Returns!A157,"")</f>
        <v>41267</v>
      </c>
      <c r="DC155" s="13">
        <f ca="1">IF(Returns!B158&gt;0,Returns!B158/Returns!B157-1,"")</f>
        <v>5.4502369668246509E-2</v>
      </c>
      <c r="DD155" s="13">
        <f ca="1">IF(Returns!D158&gt;0,Returns!D158/Returns!D157-1,"")</f>
        <v>3.842112892190408E-2</v>
      </c>
    </row>
    <row r="156" spans="2:108" x14ac:dyDescent="0.3">
      <c r="B156" s="63" vm="302">
        <f ca="1"/>
        <v>33507.499499999998</v>
      </c>
      <c r="CX156" s="3"/>
      <c r="DB156" s="3" vm="303">
        <f ca="1">IF(Returns!A158&lt;&gt;0,Returns!A158,"")</f>
        <v>41274</v>
      </c>
      <c r="DC156" s="13">
        <f ca="1">IF(Returns!B159&gt;0,Returns!B159/Returns!B158-1,"")</f>
        <v>-1.5730337078651568E-2</v>
      </c>
      <c r="DD156" s="13">
        <f ca="1">IF(Returns!D159&gt;0,Returns!D159/Returns!D158-1,"")</f>
        <v>3.9611745468455251E-3</v>
      </c>
    </row>
    <row r="157" spans="2:108" x14ac:dyDescent="0.3">
      <c r="B157" s="63" vm="304">
        <f ca="1"/>
        <v>33485.2886</v>
      </c>
      <c r="CX157" s="3"/>
      <c r="DB157" s="3" vm="305">
        <f ca="1">IF(Returns!A159&lt;&gt;0,Returns!A159,"")</f>
        <v>41281</v>
      </c>
      <c r="DC157" s="13">
        <f ca="1">IF(Returns!B160&gt;0,Returns!B160/Returns!B159-1,"")</f>
        <v>1.9025875190258779E-2</v>
      </c>
      <c r="DD157" s="13">
        <f ca="1">IF(Returns!D160&gt;0,Returns!D160/Returns!D159-1,"")</f>
        <v>1.1956205832226674E-2</v>
      </c>
    </row>
    <row r="158" spans="2:108" x14ac:dyDescent="0.3">
      <c r="B158" s="63" vm="306">
        <f ca="1"/>
        <v>33476.457000000002</v>
      </c>
      <c r="CX158" s="3"/>
      <c r="DB158" s="3" vm="307">
        <f ca="1">IF(Returns!A160&lt;&gt;0,Returns!A160,"")</f>
        <v>41288</v>
      </c>
      <c r="DC158" s="13">
        <f ca="1">IF(Returns!B161&gt;0,Returns!B161/Returns!B160-1,"")</f>
        <v>1.3069454817027593E-2</v>
      </c>
      <c r="DD158" s="13">
        <f ca="1">IF(Returns!D161&gt;0,Returns!D161/Returns!D160-1,"")</f>
        <v>1.8043111668870404E-2</v>
      </c>
    </row>
    <row r="159" spans="2:108" x14ac:dyDescent="0.3">
      <c r="B159" s="63" vm="308">
        <f ca="1"/>
        <v>33426.630899999996</v>
      </c>
      <c r="CX159" s="3"/>
      <c r="DB159" s="3" vm="309">
        <f ca="1">IF(Returns!A161&lt;&gt;0,Returns!A161,"")</f>
        <v>41296</v>
      </c>
      <c r="DC159" s="13">
        <f ca="1">IF(Returns!B162&gt;0,Returns!B162/Returns!B161-1,"")</f>
        <v>1.3269443420567573E-2</v>
      </c>
      <c r="DD159" s="13">
        <f ca="1">IF(Returns!D162&gt;0,Returns!D162/Returns!D161-1,"")</f>
        <v>8.1901962492805236E-3</v>
      </c>
    </row>
    <row r="160" spans="2:108" x14ac:dyDescent="0.3">
      <c r="B160" s="63" vm="310">
        <f ca="1"/>
        <v>33407.583599999998</v>
      </c>
      <c r="CX160" s="3"/>
      <c r="DB160" s="3" vm="311">
        <f ca="1">IF(Returns!A162&lt;&gt;0,Returns!A162,"")</f>
        <v>41302</v>
      </c>
      <c r="DC160" s="13">
        <f ca="1">IF(Returns!B163&gt;0,Returns!B163/Returns!B162-1,"")</f>
        <v>5.7475445616588017E-2</v>
      </c>
      <c r="DD160" s="13">
        <f ca="1">IF(Returns!D163&gt;0,Returns!D163/Returns!D162-1,"")</f>
        <v>-1.2004605008223423E-3</v>
      </c>
    </row>
    <row r="161" spans="2:108" x14ac:dyDescent="0.3">
      <c r="B161" s="63" vm="312">
        <f ca="1"/>
        <v>33390.974800000004</v>
      </c>
      <c r="CX161" s="3"/>
      <c r="DB161" s="3" vm="313">
        <f ca="1">IF(Returns!A163&lt;&gt;0,Returns!A163,"")</f>
        <v>41309</v>
      </c>
      <c r="DC161" s="13">
        <f ca="1">IF(Returns!B164&gt;0,Returns!B164/Returns!B163-1,"")</f>
        <v>1.031991744066052E-2</v>
      </c>
      <c r="DD161" s="13">
        <f ca="1">IF(Returns!D164&gt;0,Returns!D164/Returns!D163-1,"")</f>
        <v>-8.0126651005574256E-4</v>
      </c>
    </row>
    <row r="162" spans="2:108" x14ac:dyDescent="0.3">
      <c r="B162" s="63" vm="314">
        <f ca="1"/>
        <v>33375.486499999999</v>
      </c>
      <c r="CX162" s="3"/>
      <c r="DB162" s="3" vm="315">
        <f ca="1">IF(Returns!A164&lt;&gt;0,Returns!A164,"")</f>
        <v>41316</v>
      </c>
      <c r="DC162" s="13">
        <f ca="1">IF(Returns!B165&gt;0,Returns!B165/Returns!B164-1,"")</f>
        <v>1.0214504596527174E-2</v>
      </c>
      <c r="DD162" s="13">
        <f ca="1">IF(Returns!D165&gt;0,Returns!D165/Returns!D164-1,"")</f>
        <v>1.345667488601876E-3</v>
      </c>
    </row>
    <row r="163" spans="2:108" x14ac:dyDescent="0.3">
      <c r="B163" s="63" vm="316">
        <f ca="1"/>
        <v>33300.6155</v>
      </c>
      <c r="CX163" s="3"/>
      <c r="DB163" s="3" vm="317">
        <f ca="1">IF(Returns!A165&lt;&gt;0,Returns!A165,"")</f>
        <v>41324</v>
      </c>
      <c r="DC163" s="13">
        <f ca="1">IF(Returns!B166&gt;0,Returns!B166/Returns!B165-1,"")</f>
        <v>4.7185709470844994E-3</v>
      </c>
      <c r="DD163" s="13">
        <f ca="1">IF(Returns!D166&gt;0,Returns!D166/Returns!D165-1,"")</f>
        <v>6.3627887166262109E-3</v>
      </c>
    </row>
    <row r="164" spans="2:108" x14ac:dyDescent="0.3">
      <c r="B164" s="63" vm="318">
        <f ca="1"/>
        <v>33290.083700000003</v>
      </c>
      <c r="CX164" s="3"/>
      <c r="DB164" s="3" vm="319">
        <f ca="1">IF(Returns!A166&lt;&gt;0,Returns!A166,"")</f>
        <v>41330</v>
      </c>
      <c r="DC164" s="13">
        <f ca="1">IF(Returns!B167&gt;0,Returns!B167/Returns!B166-1,"")</f>
        <v>2.9184837302918432E-2</v>
      </c>
      <c r="DD164" s="13">
        <f ca="1">IF(Returns!D167&gt;0,Returns!D167/Returns!D166-1,"")</f>
        <v>2.181828038177458E-2</v>
      </c>
    </row>
    <row r="165" spans="2:108" x14ac:dyDescent="0.3">
      <c r="B165" s="63" vm="320">
        <f ca="1"/>
        <v>33274.153599999998</v>
      </c>
      <c r="CX165" s="3"/>
      <c r="DB165" s="3" vm="321">
        <f ca="1">IF(Returns!A167&lt;&gt;0,Returns!A167,"")</f>
        <v>41337</v>
      </c>
      <c r="DC165" s="13">
        <f ca="1">IF(Returns!B168&gt;0,Returns!B168/Returns!B167-1,"")</f>
        <v>-2.9335071707953242E-3</v>
      </c>
      <c r="DD165" s="13">
        <f ca="1">IF(Returns!D168&gt;0,Returns!D168/Returns!D167-1,"")</f>
        <v>8.1291750640062332E-3</v>
      </c>
    </row>
    <row r="166" spans="2:108" x14ac:dyDescent="0.3">
      <c r="B166" s="63" vm="322">
        <f ca="1"/>
        <v>33212.958400000003</v>
      </c>
      <c r="CX166" s="3"/>
      <c r="DB166" s="3" vm="323">
        <f ca="1">IF(Returns!A168&lt;&gt;0,Returns!A168,"")</f>
        <v>41344</v>
      </c>
      <c r="DC166" s="13">
        <f ca="1">IF(Returns!B169&gt;0,Returns!B169/Returns!B168-1,"")</f>
        <v>3.1709709055246726E-2</v>
      </c>
      <c r="DD166" s="13">
        <f ca="1">IF(Returns!D169&gt;0,Returns!D169/Returns!D168-1,"")</f>
        <v>-1.4286102085792063E-4</v>
      </c>
    </row>
    <row r="167" spans="2:108" x14ac:dyDescent="0.3">
      <c r="B167" s="63" vm="324">
        <f ca="1"/>
        <v>33203.928999999996</v>
      </c>
      <c r="CX167" s="3"/>
      <c r="DB167" s="3" vm="325">
        <f ca="1">IF(Returns!A169&lt;&gt;0,Returns!A169,"")</f>
        <v>41351</v>
      </c>
      <c r="DC167" s="13">
        <f ca="1">IF(Returns!B170&gt;0,Returns!B170/Returns!B169-1,"")</f>
        <v>1.5209125475285079E-2</v>
      </c>
      <c r="DD167" s="13">
        <f ca="1">IF(Returns!D170&gt;0,Returns!D170/Returns!D169-1,"")</f>
        <v>4.5827419419024462E-3</v>
      </c>
    </row>
    <row r="168" spans="2:108" x14ac:dyDescent="0.3">
      <c r="B168" s="63" vm="326">
        <f ca="1"/>
        <v>33153.2137</v>
      </c>
      <c r="CX168" s="3"/>
      <c r="DB168" s="3" vm="327">
        <f ca="1">IF(Returns!A170&lt;&gt;0,Returns!A170,"")</f>
        <v>41358</v>
      </c>
      <c r="DC168" s="13">
        <f ca="1">IF(Returns!B171&gt;0,Returns!B171/Returns!B170-1,"")</f>
        <v>-4.2759051186017416E-2</v>
      </c>
      <c r="DD168" s="13">
        <f ca="1">IF(Returns!D171&gt;0,Returns!D171/Returns!D170-1,"")</f>
        <v>-9.1131912862529862E-4</v>
      </c>
    </row>
    <row r="169" spans="2:108" x14ac:dyDescent="0.3">
      <c r="B169" s="63" vm="328">
        <f ca="1"/>
        <v>33147.248500000002</v>
      </c>
      <c r="CX169" s="3"/>
      <c r="DB169" s="3" vm="329">
        <f ca="1">IF(Returns!A171&lt;&gt;0,Returns!A171,"")</f>
        <v>41365</v>
      </c>
      <c r="DC169" s="13">
        <f ca="1">IF(Returns!B172&gt;0,Returns!B172/Returns!B171-1,"")</f>
        <v>2.1193348549070734E-2</v>
      </c>
      <c r="DD169" s="13">
        <f ca="1">IF(Returns!D172&gt;0,Returns!D172/Returns!D171-1,"")</f>
        <v>2.0583880469432714E-2</v>
      </c>
    </row>
    <row r="170" spans="2:108" x14ac:dyDescent="0.3">
      <c r="B170" s="63" vm="330">
        <f ca="1"/>
        <v>33127.278400000003</v>
      </c>
      <c r="CX170" s="3"/>
      <c r="DB170" s="3" vm="331">
        <f ca="1">IF(Returns!A172&lt;&gt;0,Returns!A172,"")</f>
        <v>41372</v>
      </c>
      <c r="DC170" s="13">
        <f ca="1">IF(Returns!B173&gt;0,Returns!B173/Returns!B172-1,"")</f>
        <v>-2.61813537675607E-2</v>
      </c>
      <c r="DD170" s="13">
        <f ca="1">IF(Returns!D173&gt;0,Returns!D173/Returns!D172-1,"")</f>
        <v>-2.1362111992933586E-2</v>
      </c>
    </row>
    <row r="171" spans="2:108" x14ac:dyDescent="0.3">
      <c r="B171" s="63" vm="332">
        <f ca="1"/>
        <v>33093.336000000003</v>
      </c>
      <c r="CX171" s="3"/>
      <c r="DB171" s="3" vm="333">
        <f ca="1">IF(Returns!A173&lt;&gt;0,Returns!A173,"")</f>
        <v>41379</v>
      </c>
      <c r="DC171" s="13">
        <f ca="1">IF(Returns!B174&gt;0,Returns!B174/Returns!B173-1,"")</f>
        <v>-1.6393442622950616E-3</v>
      </c>
      <c r="DD171" s="13">
        <f ca="1">IF(Returns!D174&gt;0,Returns!D174/Returns!D173-1,"")</f>
        <v>1.1344441578738707E-2</v>
      </c>
    </row>
    <row r="172" spans="2:108" x14ac:dyDescent="0.3">
      <c r="B172" s="63" vm="334">
        <f ca="1"/>
        <v>33072.877899999999</v>
      </c>
      <c r="CX172" s="3"/>
      <c r="DB172" s="3" vm="335">
        <f ca="1">IF(Returns!A174&lt;&gt;0,Returns!A174,"")</f>
        <v>41386</v>
      </c>
      <c r="DC172" s="13">
        <f ca="1">IF(Returns!B175&gt;0,Returns!B175/Returns!B174-1,"")</f>
        <v>3.284072249589487E-2</v>
      </c>
      <c r="DD172" s="13">
        <f ca="1">IF(Returns!D175&gt;0,Returns!D175/Returns!D174-1,"")</f>
        <v>1.776793837455215E-2</v>
      </c>
    </row>
    <row r="173" spans="2:108" x14ac:dyDescent="0.3">
      <c r="B173" s="63" vm="336">
        <f ca="1"/>
        <v>32977.2068</v>
      </c>
      <c r="CX173" s="3"/>
      <c r="DB173" s="3" vm="337">
        <f ca="1">IF(Returns!A175&lt;&gt;0,Returns!A175,"")</f>
        <v>41393</v>
      </c>
      <c r="DC173" s="13">
        <f ca="1">IF(Returns!B176&gt;0,Returns!B176/Returns!B175-1,"")</f>
        <v>1.3036565977742498E-2</v>
      </c>
      <c r="DD173" s="13">
        <f ca="1">IF(Returns!D176&gt;0,Returns!D176/Returns!D175-1,"")</f>
        <v>9.6520245116238357E-3</v>
      </c>
    </row>
    <row r="174" spans="2:108" x14ac:dyDescent="0.3">
      <c r="B174" s="63" vm="338">
        <f ca="1"/>
        <v>32944.187100000003</v>
      </c>
      <c r="CX174" s="3"/>
      <c r="DB174" s="3" vm="339">
        <f ca="1">IF(Returns!A176&lt;&gt;0,Returns!A176,"")</f>
        <v>41400</v>
      </c>
      <c r="DC174" s="13">
        <f ca="1">IF(Returns!B177&gt;0,Returns!B177/Returns!B176-1,"")</f>
        <v>1.4438166980539791E-2</v>
      </c>
      <c r="DD174" s="13">
        <f ca="1">IF(Returns!D177&gt;0,Returns!D177/Returns!D176-1,"")</f>
        <v>1.5604446106574299E-2</v>
      </c>
    </row>
    <row r="175" spans="2:108" x14ac:dyDescent="0.3">
      <c r="B175" s="63" vm="340">
        <f ca="1"/>
        <v>32920.460299999999</v>
      </c>
      <c r="CX175" s="3"/>
      <c r="DB175" s="3" vm="341">
        <f ca="1">IF(Returns!A177&lt;&gt;0,Returns!A177,"")</f>
        <v>41407</v>
      </c>
      <c r="DC175" s="13">
        <f ca="1">IF(Returns!B178&gt;0,Returns!B178/Returns!B177-1,"")</f>
        <v>6.8069306930693685E-3</v>
      </c>
      <c r="DD175" s="13">
        <f ca="1">IF(Returns!D178&gt;0,Returns!D178/Returns!D177-1,"")</f>
        <v>-3.3410224205676631E-3</v>
      </c>
    </row>
    <row r="176" spans="2:108" x14ac:dyDescent="0.3">
      <c r="B176" s="63" vm="342">
        <f ca="1"/>
        <v>32899.699399999998</v>
      </c>
      <c r="CX176" s="3"/>
      <c r="DB176" s="3" vm="343">
        <f ca="1">IF(Returns!A178&lt;&gt;0,Returns!A178,"")</f>
        <v>41414</v>
      </c>
      <c r="DC176" s="13">
        <f ca="1">IF(Returns!B179&gt;0,Returns!B179/Returns!B178-1,"")</f>
        <v>-8.2974800245849689E-3</v>
      </c>
      <c r="DD176" s="13">
        <f ca="1">IF(Returns!D179&gt;0,Returns!D179/Returns!D178-1,"")</f>
        <v>-1.2254665593228409E-2</v>
      </c>
    </row>
    <row r="177" spans="2:108" x14ac:dyDescent="0.3">
      <c r="B177" s="63" vm="344">
        <f ca="1"/>
        <v>32899.369899999998</v>
      </c>
      <c r="CX177" s="3"/>
      <c r="DB177" s="3" vm="345">
        <f ca="1">IF(Returns!A179&lt;&gt;0,Returns!A179,"")</f>
        <v>41422</v>
      </c>
      <c r="DC177" s="13">
        <f ca="1">IF(Returns!B180&gt;0,Returns!B180/Returns!B179-1,"")</f>
        <v>3.0988534242326615E-4</v>
      </c>
      <c r="DD177" s="13">
        <f ca="1">IF(Returns!D180&gt;0,Returns!D180/Returns!D179-1,"")</f>
        <v>8.7690321497548851E-3</v>
      </c>
    </row>
    <row r="178" spans="2:108" x14ac:dyDescent="0.3">
      <c r="B178" s="63" vm="346">
        <f ca="1"/>
        <v>32861.802600000003</v>
      </c>
      <c r="CX178" s="3"/>
      <c r="DB178" s="3" vm="347">
        <f ca="1">IF(Returns!A180&lt;&gt;0,Returns!A180,"")</f>
        <v>41428</v>
      </c>
      <c r="DC178" s="13">
        <f ca="1">IF(Returns!B181&gt;0,Returns!B181/Returns!B180-1,"")</f>
        <v>3.4076827757125727E-3</v>
      </c>
      <c r="DD178" s="13">
        <f ca="1">IF(Returns!D181&gt;0,Returns!D181/Returns!D180-1,"")</f>
        <v>-1.1669309954848495E-2</v>
      </c>
    </row>
    <row r="179" spans="2:108" x14ac:dyDescent="0.3">
      <c r="B179" s="63" vm="348">
        <f ca="1"/>
        <v>32845.127899999999</v>
      </c>
      <c r="CX179" s="3"/>
      <c r="DB179" s="3" vm="349">
        <f ca="1">IF(Returns!A181&lt;&gt;0,Returns!A181,"")</f>
        <v>41435</v>
      </c>
      <c r="DC179" s="13">
        <f ca="1">IF(Returns!B182&gt;0,Returns!B182/Returns!B181-1,"")</f>
        <v>-2.6860142019141775E-2</v>
      </c>
      <c r="DD179" s="13">
        <f ca="1">IF(Returns!D182&gt;0,Returns!D182/Returns!D181-1,"")</f>
        <v>-1.7967978448461541E-2</v>
      </c>
    </row>
    <row r="180" spans="2:108" x14ac:dyDescent="0.3">
      <c r="B180" s="63" vm="350">
        <f ca="1"/>
        <v>32816.919500000004</v>
      </c>
      <c r="CX180" s="3"/>
      <c r="DB180" s="3" vm="351">
        <f ca="1">IF(Returns!A182&lt;&gt;0,Returns!A182,"")</f>
        <v>41442</v>
      </c>
      <c r="DC180" s="13">
        <f ca="1">IF(Returns!B183&gt;0,Returns!B183/Returns!B182-1,"")</f>
        <v>2.2842639593908753E-2</v>
      </c>
      <c r="DD180" s="13">
        <f ca="1">IF(Returns!D183&gt;0,Returns!D183/Returns!D182-1,"")</f>
        <v>7.4463486731659589E-3</v>
      </c>
    </row>
    <row r="181" spans="2:108" x14ac:dyDescent="0.3">
      <c r="B181" s="63" vm="352">
        <f ca="1"/>
        <v>32803.474300000002</v>
      </c>
      <c r="CX181" s="3"/>
      <c r="DB181" s="3" vm="353">
        <f ca="1">IF(Returns!A183&lt;&gt;0,Returns!A183,"")</f>
        <v>41449</v>
      </c>
      <c r="DC181" s="13">
        <f ca="1">IF(Returns!B184&gt;0,Returns!B184/Returns!B183-1,"")</f>
        <v>1.7059553349875856E-2</v>
      </c>
      <c r="DD181" s="13">
        <f ca="1">IF(Returns!D184&gt;0,Returns!D184/Returns!D183-1,"")</f>
        <v>1.5174066511833617E-2</v>
      </c>
    </row>
    <row r="182" spans="2:108" x14ac:dyDescent="0.3">
      <c r="B182" s="63" vm="354">
        <f ca="1"/>
        <v>32778.642399999997</v>
      </c>
      <c r="CX182" s="3"/>
      <c r="DB182" s="3" vm="355">
        <f ca="1">IF(Returns!A184&lt;&gt;0,Returns!A184,"")</f>
        <v>41456</v>
      </c>
      <c r="DC182" s="13">
        <f ca="1">IF(Returns!B185&gt;0,Returns!B185/Returns!B184-1,"")</f>
        <v>2.9582189691979233E-2</v>
      </c>
      <c r="DD182" s="13">
        <f ca="1">IF(Returns!D185&gt;0,Returns!D185/Returns!D184-1,"")</f>
        <v>2.1700411800022801E-2</v>
      </c>
    </row>
    <row r="183" spans="2:108" x14ac:dyDescent="0.3">
      <c r="B183" s="63" vm="356">
        <f ca="1"/>
        <v>32627.971699999998</v>
      </c>
      <c r="CX183" s="3"/>
      <c r="DB183" s="3" vm="357">
        <f ca="1">IF(Returns!A185&lt;&gt;0,Returns!A185,"")</f>
        <v>41463</v>
      </c>
      <c r="DC183" s="13">
        <f ca="1">IF(Returns!B186&gt;0,Returns!B186/Returns!B185-1,"")</f>
        <v>1.0663507109004655E-2</v>
      </c>
      <c r="DD183" s="13">
        <f ca="1">IF(Returns!D186&gt;0,Returns!D186/Returns!D185-1,"")</f>
        <v>5.1373111991301901E-3</v>
      </c>
    </row>
    <row r="184" spans="2:108" x14ac:dyDescent="0.3">
      <c r="B184" s="63" vm="358">
        <f ca="1"/>
        <v>32417.585200000001</v>
      </c>
      <c r="CX184" s="3"/>
      <c r="DB184" s="3" vm="359">
        <f ca="1">IF(Returns!A186&lt;&gt;0,Returns!A186,"")</f>
        <v>41470</v>
      </c>
      <c r="DC184" s="13">
        <f ca="1">IF(Returns!B187&gt;0,Returns!B187/Returns!B186-1,"")</f>
        <v>-3.2825322391559109E-2</v>
      </c>
      <c r="DD184" s="13">
        <f ca="1">IF(Returns!D187&gt;0,Returns!D187/Returns!D186-1,"")</f>
        <v>9.7082808387294328E-4</v>
      </c>
    </row>
    <row r="185" spans="2:108" x14ac:dyDescent="0.3">
      <c r="B185" s="63" vm="360">
        <f ca="1"/>
        <v>32403.2173</v>
      </c>
      <c r="CX185" s="3"/>
      <c r="DB185" s="3" vm="361">
        <f ca="1">IF(Returns!A187&lt;&gt;0,Returns!A187,"")</f>
        <v>41477</v>
      </c>
      <c r="DC185" s="13">
        <f ca="1">IF(Returns!B188&gt;0,Returns!B188/Returns!B187-1,"")</f>
        <v>2.1818181818181737E-2</v>
      </c>
      <c r="DD185" s="13">
        <f ca="1">IF(Returns!D188&gt;0,Returns!D188/Returns!D187-1,"")</f>
        <v>6.3968109172212184E-3</v>
      </c>
    </row>
    <row r="186" spans="2:108" x14ac:dyDescent="0.3">
      <c r="B186" s="63" vm="362">
        <f ca="1"/>
        <v>32283.397300000001</v>
      </c>
      <c r="CX186" s="3"/>
      <c r="DB186" s="3" vm="363">
        <f ca="1">IF(Returns!A188&lt;&gt;0,Returns!A188,"")</f>
        <v>41484</v>
      </c>
      <c r="DC186" s="13">
        <f ca="1">IF(Returns!B189&gt;0,Returns!B189/Returns!B188-1,"")</f>
        <v>-1.2752075919335693E-2</v>
      </c>
      <c r="DD186" s="13">
        <f ca="1">IF(Returns!D189&gt;0,Returns!D189/Returns!D188-1,"")</f>
        <v>-1.4870250219533032E-2</v>
      </c>
    </row>
    <row r="187" spans="2:108" x14ac:dyDescent="0.3">
      <c r="B187" s="63" vm="364">
        <f ca="1"/>
        <v>32237.525600000001</v>
      </c>
      <c r="CX187" s="3"/>
      <c r="DB187" s="3" vm="365">
        <f ca="1">IF(Returns!A189&lt;&gt;0,Returns!A189,"")</f>
        <v>41491</v>
      </c>
      <c r="DC187" s="13">
        <f ca="1">IF(Returns!B190&gt;0,Returns!B190/Returns!B189-1,"")</f>
        <v>-2.8837488735355965E-2</v>
      </c>
      <c r="DD187" s="13">
        <f ca="1">IF(Returns!D190&gt;0,Returns!D190/Returns!D189-1,"")</f>
        <v>-2.2303541751625966E-2</v>
      </c>
    </row>
    <row r="188" spans="2:108" x14ac:dyDescent="0.3">
      <c r="B188" s="63" vm="366">
        <f ca="1"/>
        <v>32196.662899999999</v>
      </c>
      <c r="CX188" s="3"/>
      <c r="DB188" s="3" vm="367">
        <f ca="1">IF(Returns!A190&lt;&gt;0,Returns!A190,"")</f>
        <v>41498</v>
      </c>
      <c r="DC188" s="13">
        <f ca="1">IF(Returns!B191&gt;0,Returns!B191/Returns!B190-1,"")</f>
        <v>1.5465511908445695E-3</v>
      </c>
      <c r="DD188" s="13">
        <f ca="1">IF(Returns!D191&gt;0,Returns!D191/Returns!D190-1,"")</f>
        <v>-4.7050451432767426E-3</v>
      </c>
    </row>
    <row r="189" spans="2:108" x14ac:dyDescent="0.3">
      <c r="B189" s="63" vm="368">
        <f ca="1"/>
        <v>32151.713899999999</v>
      </c>
      <c r="CX189" s="3"/>
      <c r="DB189" s="3" vm="369">
        <f ca="1">IF(Returns!A191&lt;&gt;0,Returns!A191,"")</f>
        <v>41505</v>
      </c>
      <c r="DC189" s="13">
        <f ca="1">IF(Returns!B192&gt;0,Returns!B192/Returns!B191-1,"")</f>
        <v>-3.8295243977764071E-2</v>
      </c>
      <c r="DD189" s="13">
        <f ca="1">IF(Returns!D192&gt;0,Returns!D192/Returns!D191-1,"")</f>
        <v>-1.3337693300206954E-2</v>
      </c>
    </row>
    <row r="190" spans="2:108" x14ac:dyDescent="0.3">
      <c r="B190" s="63" vm="370">
        <f ca="1"/>
        <v>31909.635200000001</v>
      </c>
      <c r="CX190" s="3"/>
      <c r="DB190" s="3" vm="371">
        <f ca="1">IF(Returns!A192&lt;&gt;0,Returns!A192,"")</f>
        <v>41512</v>
      </c>
      <c r="DC190" s="13">
        <f ca="1">IF(Returns!B193&gt;0,Returns!B193/Returns!B192-1,"")</f>
        <v>1.0276172125883054E-2</v>
      </c>
      <c r="DD190" s="13">
        <f ca="1">IF(Returns!D193&gt;0,Returns!D193/Returns!D192-1,"")</f>
        <v>7.5756773695290214E-3</v>
      </c>
    </row>
    <row r="191" spans="2:108" x14ac:dyDescent="0.3">
      <c r="B191" s="63" vm="372">
        <f ca="1"/>
        <v>31899.287700000001</v>
      </c>
      <c r="CX191" s="3"/>
      <c r="DB191" s="3" vm="373">
        <f ca="1">IF(Returns!A193&lt;&gt;0,Returns!A193,"")</f>
        <v>41520</v>
      </c>
      <c r="DC191" s="13">
        <f ca="1">IF(Returns!B194&gt;0,Returns!B194/Returns!B193-1,"")</f>
        <v>2.383979656706936E-2</v>
      </c>
      <c r="DD191" s="13">
        <f ca="1">IF(Returns!D194&gt;0,Returns!D194/Returns!D193-1,"")</f>
        <v>3.0393947085596729E-2</v>
      </c>
    </row>
    <row r="192" spans="2:108" x14ac:dyDescent="0.3">
      <c r="B192" s="63" vm="374">
        <f ca="1"/>
        <v>31861.984</v>
      </c>
      <c r="CX192" s="3"/>
      <c r="DB192" s="3" vm="375">
        <f ca="1">IF(Returns!A194&lt;&gt;0,Returns!A194,"")</f>
        <v>41526</v>
      </c>
      <c r="DC192" s="13">
        <f ca="1">IF(Returns!B195&gt;0,Returns!B195/Returns!B194-1,"")</f>
        <v>1.6764979819931636E-2</v>
      </c>
      <c r="DD192" s="13">
        <f ca="1">IF(Returns!D195&gt;0,Returns!D195/Returns!D194-1,"")</f>
        <v>4.8796057148041694E-3</v>
      </c>
    </row>
    <row r="193" spans="2:108" x14ac:dyDescent="0.3">
      <c r="B193" s="63" vm="376">
        <f ca="1"/>
        <v>31500.678400000001</v>
      </c>
      <c r="CX193" s="3"/>
      <c r="DB193" s="3" vm="377">
        <f ca="1">IF(Returns!A195&lt;&gt;0,Returns!A195,"")</f>
        <v>41533</v>
      </c>
      <c r="DC193" s="13">
        <f ca="1">IF(Returns!B196&gt;0,Returns!B196/Returns!B195-1,"")</f>
        <v>-1.7099236641221482E-2</v>
      </c>
      <c r="DD193" s="13">
        <f ca="1">IF(Returns!D196&gt;0,Returns!D196/Returns!D195-1,"")</f>
        <v>-1.2481400175922808E-2</v>
      </c>
    </row>
    <row r="194" spans="2:108" x14ac:dyDescent="0.3">
      <c r="B194" s="63" vm="378">
        <f ca="1"/>
        <v>31496.2965</v>
      </c>
      <c r="CX194" s="3"/>
      <c r="DB194" s="3" vm="379">
        <f ca="1">IF(Returns!A196&lt;&gt;0,Returns!A196,"")</f>
        <v>41540</v>
      </c>
      <c r="DC194" s="13">
        <f ca="1">IF(Returns!B197&gt;0,Returns!B197/Returns!B196-1,"")</f>
        <v>2.1745883814849432E-2</v>
      </c>
      <c r="DD194" s="13">
        <f ca="1">IF(Returns!D197&gt;0,Returns!D197/Returns!D196-1,"")</f>
        <v>-1.2167763195794934E-2</v>
      </c>
    </row>
    <row r="195" spans="2:108" x14ac:dyDescent="0.3">
      <c r="B195" s="63" vm="380">
        <f ca="1"/>
        <v>31494.322700000001</v>
      </c>
      <c r="CX195" s="3"/>
      <c r="DB195" s="3" vm="381">
        <f ca="1">IF(Returns!A197&lt;&gt;0,Returns!A197,"")</f>
        <v>41547</v>
      </c>
      <c r="DC195" s="13">
        <f ca="1">IF(Returns!B198&gt;0,Returns!B198/Returns!B197-1,"")</f>
        <v>3.0404378230466378E-3</v>
      </c>
      <c r="DD195" s="13">
        <f ca="1">IF(Returns!D198&gt;0,Returns!D198/Returns!D197-1,"")</f>
        <v>1.0915877080397429E-2</v>
      </c>
    </row>
    <row r="196" spans="2:108" x14ac:dyDescent="0.3">
      <c r="B196" s="63" vm="382">
        <f ca="1"/>
        <v>31458.3986</v>
      </c>
      <c r="CX196" s="3"/>
      <c r="DB196" s="3" vm="383">
        <f ca="1">IF(Returns!A198&lt;&gt;0,Returns!A198,"")</f>
        <v>41554</v>
      </c>
      <c r="DC196" s="13">
        <f ca="1">IF(Returns!B199&gt;0,Returns!B199/Returns!B198-1,"")</f>
        <v>7.5780539557441795E-3</v>
      </c>
      <c r="DD196" s="13">
        <f ca="1">IF(Returns!D199&gt;0,Returns!D199/Returns!D198-1,"")</f>
        <v>1.066735264112717E-2</v>
      </c>
    </row>
    <row r="197" spans="2:108" x14ac:dyDescent="0.3">
      <c r="B197" s="63" vm="384">
        <f ca="1"/>
        <v>31392.7876</v>
      </c>
      <c r="CX197" s="3"/>
      <c r="DB197" s="3" vm="385">
        <f ca="1">IF(Returns!A199&lt;&gt;0,Returns!A199,"")</f>
        <v>41561</v>
      </c>
      <c r="DC197" s="13">
        <f ca="1">IF(Returns!B200&gt;0,Returns!B200/Returns!B199-1,"")</f>
        <v>-1.6847172081829176E-2</v>
      </c>
      <c r="DD197" s="13">
        <f ca="1">IF(Returns!D200&gt;0,Returns!D200/Returns!D199-1,"")</f>
        <v>1.1080208382955758E-2</v>
      </c>
    </row>
    <row r="198" spans="2:108" x14ac:dyDescent="0.3">
      <c r="B198" s="63" vm="386">
        <f ca="1"/>
        <v>31338.1502</v>
      </c>
      <c r="CX198" s="3"/>
      <c r="DB198" s="3" vm="387">
        <f ca="1">IF(Returns!A200&lt;&gt;0,Returns!A200,"")</f>
        <v>41568</v>
      </c>
      <c r="DC198" s="13">
        <f ca="1">IF(Returns!B201&gt;0,Returns!B201/Returns!B200-1,"")</f>
        <v>-2.4785801713586242E-2</v>
      </c>
      <c r="DD198" s="13">
        <f ca="1">IF(Returns!D201&gt;0,Returns!D201/Returns!D200-1,"")</f>
        <v>2.9077643023533994E-3</v>
      </c>
    </row>
    <row r="199" spans="2:108" x14ac:dyDescent="0.3">
      <c r="B199" s="63" vm="388">
        <f ca="1"/>
        <v>31318.443800000001</v>
      </c>
      <c r="CX199" s="3"/>
      <c r="DB199" s="3" vm="389">
        <f ca="1">IF(Returns!A201&lt;&gt;0,Returns!A201,"")</f>
        <v>41575</v>
      </c>
      <c r="DC199" s="13">
        <f ca="1">IF(Returns!B202&gt;0,Returns!B202/Returns!B201-1,"")</f>
        <v>-1.5688735487919714E-2</v>
      </c>
      <c r="DD199" s="13">
        <f ca="1">IF(Returns!D202&gt;0,Returns!D202/Returns!D201-1,"")</f>
        <v>9.3642407750242906E-3</v>
      </c>
    </row>
    <row r="200" spans="2:108" x14ac:dyDescent="0.3">
      <c r="B200" s="63" vm="390">
        <f ca="1"/>
        <v>31288.2582</v>
      </c>
      <c r="CX200" s="3"/>
      <c r="DB200" s="3" vm="391">
        <f ca="1">IF(Returns!A202&lt;&gt;0,Returns!A202,"")</f>
        <v>41582</v>
      </c>
      <c r="DC200" s="13">
        <f ca="1">IF(Returns!B203&gt;0,Returns!B203/Returns!B202-1,"")</f>
        <v>2.1357985336308616E-2</v>
      </c>
      <c r="DD200" s="13">
        <f ca="1">IF(Returns!D203&gt;0,Returns!D203/Returns!D202-1,"")</f>
        <v>1.2683553971470696E-2</v>
      </c>
    </row>
    <row r="201" spans="2:108" x14ac:dyDescent="0.3">
      <c r="B201" s="63" vm="392">
        <f ca="1"/>
        <v>31261.895100000002</v>
      </c>
      <c r="CX201" s="3"/>
      <c r="DB201" s="3" vm="393">
        <f ca="1">IF(Returns!A203&lt;&gt;0,Returns!A203,"")</f>
        <v>41589</v>
      </c>
      <c r="DC201" s="13">
        <f ca="1">IF(Returns!B204&gt;0,Returns!B204/Returns!B203-1,"")</f>
        <v>-1.2172284644194731E-2</v>
      </c>
      <c r="DD201" s="13">
        <f ca="1">IF(Returns!D204&gt;0,Returns!D204/Returns!D203-1,"")</f>
        <v>6.4574777903931846E-3</v>
      </c>
    </row>
    <row r="202" spans="2:108" x14ac:dyDescent="0.3">
      <c r="B202" s="63" vm="394">
        <f ca="1"/>
        <v>31148.240600000001</v>
      </c>
      <c r="CX202" s="3"/>
      <c r="DB202" s="3" vm="395">
        <f ca="1">IF(Returns!A204&lt;&gt;0,Returns!A204,"")</f>
        <v>41596</v>
      </c>
      <c r="DC202" s="13">
        <f ca="1">IF(Returns!B205&gt;0,Returns!B205/Returns!B204-1,"")</f>
        <v>-9.4786729857809782E-4</v>
      </c>
      <c r="DD202" s="13">
        <f ca="1">IF(Returns!D205&gt;0,Returns!D205/Returns!D204-1,"")</f>
        <v>1.3471715904629367E-3</v>
      </c>
    </row>
    <row r="203" spans="2:108" x14ac:dyDescent="0.3">
      <c r="B203" s="63" vm="396">
        <f ca="1"/>
        <v>31097.9732</v>
      </c>
      <c r="CX203" s="3"/>
      <c r="DB203" s="3" vm="397">
        <f ca="1">IF(Returns!A205&lt;&gt;0,Returns!A205,"")</f>
        <v>41603</v>
      </c>
      <c r="DC203" s="13">
        <f ca="1">IF(Returns!B206&gt;0,Returns!B206/Returns!B205-1,"")</f>
        <v>-2.024035420619863E-2</v>
      </c>
      <c r="DD203" s="13">
        <f ca="1">IF(Returns!D206&gt;0,Returns!D206/Returns!D205-1,"")</f>
        <v>-4.1159150561784763E-3</v>
      </c>
    </row>
    <row r="204" spans="2:108" x14ac:dyDescent="0.3">
      <c r="B204" s="63" vm="398">
        <f ca="1"/>
        <v>31097.257900000001</v>
      </c>
      <c r="CX204" s="3"/>
      <c r="DB204" s="3" vm="399">
        <f ca="1">IF(Returns!A206&lt;&gt;0,Returns!A206,"")</f>
        <v>41610</v>
      </c>
      <c r="DC204" s="13">
        <f ca="1">IF(Returns!B207&gt;0,Returns!B207/Returns!B206-1,"")</f>
        <v>-3.5506778566817387E-2</v>
      </c>
      <c r="DD204" s="13">
        <f ca="1">IF(Returns!D207&gt;0,Returns!D207/Returns!D206-1,"")</f>
        <v>-1.6531709553396112E-2</v>
      </c>
    </row>
    <row r="205" spans="2:108" x14ac:dyDescent="0.3">
      <c r="B205" s="63" vm="400">
        <f ca="1"/>
        <v>31082.5605</v>
      </c>
      <c r="CX205" s="3"/>
      <c r="DB205" s="3" vm="401">
        <f ca="1">IF(Returns!A207&lt;&gt;0,Returns!A207,"")</f>
        <v>41617</v>
      </c>
      <c r="DC205" s="13">
        <f ca="1">IF(Returns!B208&gt;0,Returns!B208/Returns!B207-1,"")</f>
        <v>1.8406961178045522E-2</v>
      </c>
      <c r="DD205" s="13">
        <f ca="1">IF(Returns!D208&gt;0,Returns!D208/Returns!D207-1,"")</f>
        <v>2.9563534353209464E-2</v>
      </c>
    </row>
    <row r="206" spans="2:108" x14ac:dyDescent="0.3">
      <c r="B206" s="63" vm="402">
        <f ca="1"/>
        <v>30996.977699999999</v>
      </c>
      <c r="CX206" s="3"/>
      <c r="DB206" s="3" vm="403">
        <f ca="1">IF(Returns!A208&lt;&gt;0,Returns!A208,"")</f>
        <v>41624</v>
      </c>
      <c r="DC206" s="13">
        <f ca="1">IF(Returns!B209&gt;0,Returns!B209/Returns!B208-1,"")</f>
        <v>1.5445284258954972E-2</v>
      </c>
      <c r="DD206" s="13">
        <f ca="1">IF(Returns!D209&gt;0,Returns!D209/Returns!D208-1,"")</f>
        <v>1.585975765259251E-2</v>
      </c>
    </row>
    <row r="207" spans="2:108" x14ac:dyDescent="0.3">
      <c r="B207" s="63" vm="404">
        <f ca="1"/>
        <v>30932.366999999998</v>
      </c>
      <c r="CX207" s="3"/>
      <c r="DB207" s="3" vm="405">
        <f ca="1">IF(Returns!A209&lt;&gt;0,Returns!A209,"")</f>
        <v>41631</v>
      </c>
      <c r="DC207" s="13">
        <f ca="1">IF(Returns!B210&gt;0,Returns!B210/Returns!B209-1,"")</f>
        <v>6.4724919093852584E-3</v>
      </c>
      <c r="DD207" s="13">
        <f ca="1">IF(Returns!D210&gt;0,Returns!D210/Returns!D209-1,"")</f>
        <v>-5.1052873036872004E-4</v>
      </c>
    </row>
    <row r="208" spans="2:108" x14ac:dyDescent="0.3">
      <c r="B208" s="63" vm="406">
        <f ca="1"/>
        <v>30822.4231</v>
      </c>
      <c r="CX208" s="3"/>
      <c r="DB208" s="3" vm="407">
        <f ca="1">IF(Returns!A210&lt;&gt;0,Returns!A210,"")</f>
        <v>41638</v>
      </c>
      <c r="DC208" s="13">
        <f ca="1">IF(Returns!B211&gt;0,Returns!B211/Returns!B210-1,"")</f>
        <v>1.8971061093247643E-2</v>
      </c>
      <c r="DD208" s="13">
        <f ca="1">IF(Returns!D211&gt;0,Returns!D211/Returns!D210-1,"")</f>
        <v>-2.0002800365337414E-3</v>
      </c>
    </row>
    <row r="209" spans="1:108" x14ac:dyDescent="0.3">
      <c r="B209" s="63" vm="408">
        <f ca="1"/>
        <v>30814.264800000001</v>
      </c>
      <c r="CX209" s="3"/>
      <c r="DB209" s="3" vm="409">
        <f ca="1">IF(Returns!A211&lt;&gt;0,Returns!A211,"")</f>
        <v>41645</v>
      </c>
      <c r="DC209" s="13">
        <f ca="1">IF(Returns!B212&gt;0,Returns!B212/Returns!B211-1,"")</f>
        <v>2.2720100978226521E-2</v>
      </c>
      <c r="DD209" s="13">
        <f ca="1">IF(Returns!D212&gt;0,Returns!D212/Returns!D211-1,"")</f>
        <v>1.3088419708031651E-3</v>
      </c>
    </row>
    <row r="210" spans="1:108" x14ac:dyDescent="0.3">
      <c r="B210" s="63" vm="410">
        <f ca="1"/>
        <v>30606.484</v>
      </c>
      <c r="CX210" s="3"/>
      <c r="DB210" s="3" vm="411">
        <f ca="1">IF(Returns!A212&lt;&gt;0,Returns!A212,"")</f>
        <v>41652</v>
      </c>
      <c r="DC210" s="13">
        <f ca="1">IF(Returns!B213&gt;0,Returns!B213/Returns!B212-1,"")</f>
        <v>-3.1163221228015958E-2</v>
      </c>
      <c r="DD210" s="13">
        <f ca="1">IF(Returns!D213&gt;0,Returns!D213/Returns!D212-1,"")</f>
        <v>-3.5206761795750441E-2</v>
      </c>
    </row>
    <row r="211" spans="1:108" x14ac:dyDescent="0.3">
      <c r="B211" s="63" vm="412">
        <f ca="1"/>
        <v>30218.260200000001</v>
      </c>
      <c r="CX211" s="3"/>
      <c r="DB211" s="3" vm="413">
        <f ca="1">IF(Returns!A213&lt;&gt;0,Returns!A213,"")</f>
        <v>41660</v>
      </c>
      <c r="DC211" s="13">
        <f ca="1">IF(Returns!B214&gt;0,Returns!B214/Returns!B213-1,"")</f>
        <v>2.8662420382166154E-3</v>
      </c>
      <c r="DD211" s="13">
        <f ca="1">IF(Returns!D214&gt;0,Returns!D214/Returns!D213-1,"")</f>
        <v>-1.1352286045299254E-2</v>
      </c>
    </row>
    <row r="212" spans="1:108" x14ac:dyDescent="0.3">
      <c r="B212" s="63" vm="414">
        <f ca="1"/>
        <v>30199.870500000001</v>
      </c>
      <c r="CX212" s="3"/>
      <c r="DB212" s="3" vm="415">
        <f ca="1">IF(Returns!A214&lt;&gt;0,Returns!A214,"")</f>
        <v>41666</v>
      </c>
      <c r="DC212" s="13">
        <f ca="1">IF(Returns!B215&gt;0,Returns!B215/Returns!B214-1,"")</f>
        <v>-7.3356621149571311E-2</v>
      </c>
      <c r="DD212" s="13">
        <f ca="1">IF(Returns!D215&gt;0,Returns!D215/Returns!D214-1,"")</f>
        <v>6.0665351202664475E-3</v>
      </c>
    </row>
    <row r="213" spans="1:108" x14ac:dyDescent="0.3">
      <c r="A213" s="9"/>
      <c r="B213" s="63" vm="416">
        <f ca="1"/>
        <v>30179.046300000002</v>
      </c>
      <c r="CX213" s="3"/>
      <c r="DB213" s="3" vm="417">
        <f ca="1">IF(Returns!A215&lt;&gt;0,Returns!A215,"")</f>
        <v>41673</v>
      </c>
      <c r="DC213" s="13">
        <f ca="1">IF(Returns!B216&gt;0,Returns!B216/Returns!B215-1,"")</f>
        <v>1.4393420150788261E-2</v>
      </c>
      <c r="DD213" s="13">
        <f ca="1">IF(Returns!D216&gt;0,Returns!D216/Returns!D215-1,"")</f>
        <v>2.2812567756780533E-2</v>
      </c>
    </row>
    <row r="214" spans="1:108" x14ac:dyDescent="0.3">
      <c r="B214" s="63" vm="418">
        <f ca="1"/>
        <v>30046.370599999998</v>
      </c>
      <c r="CX214" s="3"/>
      <c r="DB214" s="3" vm="419">
        <f ca="1">IF(Returns!A216&lt;&gt;0,Returns!A216,"")</f>
        <v>41680</v>
      </c>
      <c r="DC214" s="13">
        <f ca="1">IF(Returns!B217&gt;0,Returns!B217/Returns!B216-1,"")</f>
        <v>1.2162162162162149E-2</v>
      </c>
      <c r="DD214" s="13">
        <f ca="1">IF(Returns!D217&gt;0,Returns!D217/Returns!D216-1,"")</f>
        <v>-3.1624041001221403E-3</v>
      </c>
    </row>
    <row r="215" spans="1:108" x14ac:dyDescent="0.3">
      <c r="B215" s="63" vm="420">
        <f ca="1"/>
        <v>29982.6152</v>
      </c>
      <c r="CX215" s="3"/>
      <c r="DB215" s="3" vm="421">
        <f ca="1">IF(Returns!A217&lt;&gt;0,Returns!A217,"")</f>
        <v>41688</v>
      </c>
      <c r="DC215" s="13">
        <f ca="1">IF(Returns!B218&gt;0,Returns!B218/Returns!B217-1,"")</f>
        <v>4.6728971962617383E-3</v>
      </c>
      <c r="DD215" s="13">
        <f ca="1">IF(Returns!D218&gt;0,Returns!D218/Returns!D217-1,"")</f>
        <v>1.356309542607792E-2</v>
      </c>
    </row>
    <row r="216" spans="1:108" x14ac:dyDescent="0.3">
      <c r="B216" s="63" vm="422">
        <f ca="1"/>
        <v>29910.372200000002</v>
      </c>
      <c r="CX216" s="3"/>
      <c r="DB216" s="3" vm="423">
        <f ca="1">IF(Returns!A218&lt;&gt;0,Returns!A218,"")</f>
        <v>41694</v>
      </c>
      <c r="DC216" s="13">
        <f ca="1">IF(Returns!B219&gt;0,Returns!B219/Returns!B218-1,"")</f>
        <v>2.6245847176079806E-2</v>
      </c>
      <c r="DD216" s="13">
        <f ca="1">IF(Returns!D219&gt;0,Returns!D219/Returns!D218-1,"")</f>
        <v>8.0265972115300954E-3</v>
      </c>
    </row>
    <row r="217" spans="1:108" x14ac:dyDescent="0.3">
      <c r="B217" s="63" vm="424">
        <f ca="1"/>
        <v>29888.775799999999</v>
      </c>
      <c r="CX217" s="3"/>
      <c r="DB217" s="3" vm="425">
        <f ca="1">IF(Returns!A219&lt;&gt;0,Returns!A219,"")</f>
        <v>41701</v>
      </c>
      <c r="DC217" s="13">
        <f ca="1">IF(Returns!B220&gt;0,Returns!B220/Returns!B219-1,"")</f>
        <v>6.1508578828100013E-3</v>
      </c>
      <c r="DD217" s="13">
        <f ca="1">IF(Returns!D220&gt;0,Returns!D220/Returns!D219-1,"")</f>
        <v>-2.3525048030359597E-2</v>
      </c>
    </row>
    <row r="218" spans="1:108" x14ac:dyDescent="0.3">
      <c r="B218" s="63" vm="426">
        <f ca="1"/>
        <v>29634.833699999999</v>
      </c>
      <c r="CX218" s="3"/>
      <c r="DB218" s="3" vm="427">
        <f ca="1">IF(Returns!A220&lt;&gt;0,Returns!A220,"")</f>
        <v>41708</v>
      </c>
      <c r="DC218" s="13">
        <f ca="1">IF(Returns!B221&gt;0,Returns!B221/Returns!B220-1,"")</f>
        <v>-2.8957528957529455E-3</v>
      </c>
      <c r="DD218" s="13">
        <f ca="1">IF(Returns!D221&gt;0,Returns!D221/Returns!D220-1,"")</f>
        <v>1.4758079337355623E-2</v>
      </c>
    </row>
    <row r="219" spans="1:108" x14ac:dyDescent="0.3">
      <c r="B219" s="63" vm="428">
        <f ca="1"/>
        <v>29590.412</v>
      </c>
      <c r="CX219" s="3"/>
      <c r="DB219" s="3" vm="429">
        <f ca="1">IF(Returns!A221&lt;&gt;0,Returns!A221,"")</f>
        <v>41715</v>
      </c>
      <c r="DC219" s="13">
        <f ca="1">IF(Returns!B222&gt;0,Returns!B222/Returns!B221-1,"")</f>
        <v>-1.742497579864466E-2</v>
      </c>
      <c r="DD219" s="13">
        <f ca="1">IF(Returns!D222&gt;0,Returns!D222/Returns!D221-1,"")</f>
        <v>1.2447826185473243E-3</v>
      </c>
    </row>
    <row r="220" spans="1:108" x14ac:dyDescent="0.3">
      <c r="B220" s="63" vm="430">
        <f ca="1"/>
        <v>29479.809300000001</v>
      </c>
      <c r="CX220" s="3"/>
      <c r="DB220" s="3" vm="431">
        <f ca="1">IF(Returns!A222&lt;&gt;0,Returns!A222,"")</f>
        <v>41722</v>
      </c>
      <c r="DC220" s="13">
        <f ca="1">IF(Returns!B223&gt;0,Returns!B223/Returns!B222-1,"")</f>
        <v>2.6272577996715452E-3</v>
      </c>
      <c r="DD220" s="13">
        <f ca="1">IF(Returns!D223&gt;0,Returns!D223/Returns!D222-1,"")</f>
        <v>5.4922607768950193E-3</v>
      </c>
    </row>
    <row r="221" spans="1:108" x14ac:dyDescent="0.3">
      <c r="B221" s="63" vm="432">
        <f ca="1"/>
        <v>29296.7935</v>
      </c>
      <c r="CX221" s="3"/>
      <c r="DB221" s="3" vm="433">
        <f ca="1">IF(Returns!A223&lt;&gt;0,Returns!A223,"")</f>
        <v>41729</v>
      </c>
      <c r="DC221" s="13">
        <f ca="1">IF(Returns!B224&gt;0,Returns!B224/Returns!B223-1,"")</f>
        <v>-4.9787094660989184E-2</v>
      </c>
      <c r="DD221" s="13">
        <f ca="1">IF(Returns!D224&gt;0,Returns!D224/Returns!D223-1,"")</f>
        <v>-2.3515878709147509E-2</v>
      </c>
    </row>
    <row r="222" spans="1:108" x14ac:dyDescent="0.3">
      <c r="B222" s="63" vm="434">
        <f ca="1"/>
        <v>29263.4751</v>
      </c>
      <c r="CX222" s="3"/>
      <c r="DB222" s="3" vm="435">
        <f ca="1">IF(Returns!A224&lt;&gt;0,Returns!A224,"")</f>
        <v>41736</v>
      </c>
      <c r="DC222" s="13">
        <f ca="1">IF(Returns!B225&gt;0,Returns!B225/Returns!B224-1,"")</f>
        <v>3.7917959324370809E-2</v>
      </c>
      <c r="DD222" s="13">
        <f ca="1">IF(Returns!D225&gt;0,Returns!D225/Returns!D224-1,"")</f>
        <v>2.3821734346802348E-2</v>
      </c>
    </row>
    <row r="223" spans="1:108" x14ac:dyDescent="0.3">
      <c r="B223" s="63" vm="436">
        <f ca="1"/>
        <v>28992.405200000001</v>
      </c>
      <c r="CX223" s="3"/>
      <c r="DB223" s="3" vm="437">
        <f ca="1">IF(Returns!A225&lt;&gt;0,Returns!A225,"")</f>
        <v>41743</v>
      </c>
      <c r="DC223" s="13">
        <f ca="1">IF(Returns!B226&gt;0,Returns!B226/Returns!B225-1,"")</f>
        <v>-1.7270009963467281E-2</v>
      </c>
      <c r="DD223" s="13">
        <f ca="1">IF(Returns!D226&gt;0,Returns!D226/Returns!D225-1,"")</f>
        <v>-2.8688056371246606E-3</v>
      </c>
    </row>
    <row r="224" spans="1:108" x14ac:dyDescent="0.3">
      <c r="B224" s="63" vm="438">
        <f ca="1"/>
        <v>28725.506300000001</v>
      </c>
      <c r="CX224" s="3"/>
      <c r="DB224" s="3" vm="439">
        <f ca="1">IF(Returns!A226&lt;&gt;0,Returns!A226,"")</f>
        <v>41750</v>
      </c>
      <c r="DC224" s="13">
        <f ca="1">IF(Returns!B227&gt;0,Returns!B227/Returns!B226-1,"")</f>
        <v>2.3656640757012681E-3</v>
      </c>
      <c r="DD224" s="13">
        <f ca="1">IF(Returns!D227&gt;0,Returns!D227/Returns!D226-1,"")</f>
        <v>9.2552604205093925E-3</v>
      </c>
    </row>
    <row r="225" spans="1:108" x14ac:dyDescent="0.3">
      <c r="B225" s="63" vm="440">
        <f ca="1"/>
        <v>28653.867300000002</v>
      </c>
      <c r="CX225" s="3"/>
      <c r="DB225" s="3" vm="441">
        <f ca="1">IF(Returns!A227&lt;&gt;0,Returns!A227,"")</f>
        <v>41757</v>
      </c>
      <c r="DC225" s="13">
        <f ca="1">IF(Returns!B228&gt;0,Returns!B228/Returns!B227-1,"")</f>
        <v>-1.3486176668914274E-3</v>
      </c>
      <c r="DD225" s="13">
        <f ca="1">IF(Returns!D228&gt;0,Returns!D228/Returns!D227-1,"")</f>
        <v>4.2662907179948917E-3</v>
      </c>
    </row>
    <row r="226" spans="1:108" x14ac:dyDescent="0.3">
      <c r="B226" s="63" vm="442">
        <f ca="1"/>
        <v>28606.313900000001</v>
      </c>
      <c r="CX226" s="3"/>
      <c r="DB226" s="3" vm="443">
        <f ca="1">IF(Returns!A228&lt;&gt;0,Returns!A228,"")</f>
        <v>41764</v>
      </c>
      <c r="DC226" s="13">
        <f ca="1">IF(Returns!B229&gt;0,Returns!B229/Returns!B228-1,"")</f>
        <v>-1.3504388926401933E-3</v>
      </c>
      <c r="DD226" s="13">
        <f ca="1">IF(Returns!D229&gt;0,Returns!D229/Returns!D228-1,"")</f>
        <v>-5.549340047653839E-3</v>
      </c>
    </row>
    <row r="227" spans="1:108" x14ac:dyDescent="0.3">
      <c r="B227" s="63" vm="444">
        <f ca="1"/>
        <v>28586.904399999999</v>
      </c>
      <c r="CX227" s="3"/>
      <c r="DB227" s="3" vm="445">
        <f ca="1">IF(Returns!A229&lt;&gt;0,Returns!A229,"")</f>
        <v>41771</v>
      </c>
      <c r="DC227" s="13">
        <f ca="1">IF(Returns!B230&gt;0,Returns!B230/Returns!B229-1,"")</f>
        <v>1.6565246788370569E-2</v>
      </c>
      <c r="DD227" s="13">
        <f ca="1">IF(Returns!D230&gt;0,Returns!D230/Returns!D229-1,"")</f>
        <v>6.970517638596796E-3</v>
      </c>
    </row>
    <row r="228" spans="1:108" x14ac:dyDescent="0.3">
      <c r="B228" s="63" vm="446">
        <f ca="1"/>
        <v>28335.567200000001</v>
      </c>
      <c r="CX228" s="3"/>
      <c r="DB228" s="3" vm="447">
        <f ca="1">IF(Returns!A230&lt;&gt;0,Returns!A230,"")</f>
        <v>41778</v>
      </c>
      <c r="DC228" s="13">
        <f ca="1">IF(Returns!B231&gt;0,Returns!B231/Returns!B230-1,"")</f>
        <v>3.9906883937479432E-3</v>
      </c>
      <c r="DD228" s="13">
        <f ca="1">IF(Returns!D231&gt;0,Returns!D231/Returns!D230-1,"")</f>
        <v>6.6786289371933982E-3</v>
      </c>
    </row>
    <row r="229" spans="1:108" x14ac:dyDescent="0.3">
      <c r="B229" s="63" vm="448">
        <f ca="1"/>
        <v>28323.395100000002</v>
      </c>
      <c r="CX229" s="3"/>
      <c r="DB229" s="3" vm="449">
        <f ca="1">IF(Returns!A231&lt;&gt;0,Returns!A231,"")</f>
        <v>41786</v>
      </c>
      <c r="DC229" s="13">
        <f ca="1">IF(Returns!B232&gt;0,Returns!B232/Returns!B231-1,"")</f>
        <v>1.9211659489897226E-2</v>
      </c>
      <c r="DD229" s="13">
        <f ca="1">IF(Returns!D232&gt;0,Returns!D232/Returns!D231-1,"")</f>
        <v>1.2388929497823886E-2</v>
      </c>
    </row>
    <row r="230" spans="1:108" x14ac:dyDescent="0.3">
      <c r="B230" s="63" vm="450">
        <f ca="1"/>
        <v>28133.313200000001</v>
      </c>
      <c r="CX230" s="3"/>
      <c r="DB230" s="3" vm="451">
        <f ca="1">IF(Returns!A232&lt;&gt;0,Returns!A232,"")</f>
        <v>41792</v>
      </c>
      <c r="DC230" s="13">
        <f ca="1">IF(Returns!B233&gt;0,Returns!B233/Returns!B232-1,"")</f>
        <v>-6.4998375040623557E-3</v>
      </c>
      <c r="DD230" s="13">
        <f ca="1">IF(Returns!D233&gt;0,Returns!D233/Returns!D232-1,"")</f>
        <v>-8.7767205637614421E-3</v>
      </c>
    </row>
    <row r="231" spans="1:108" x14ac:dyDescent="0.3">
      <c r="B231" s="63" vm="452">
        <f ca="1"/>
        <v>27931.018499999998</v>
      </c>
      <c r="CX231" s="3"/>
      <c r="DB231" s="3" vm="453">
        <f ca="1">IF(Returns!A233&lt;&gt;0,Returns!A233,"")</f>
        <v>41799</v>
      </c>
      <c r="DC231" s="13">
        <f ca="1">IF(Returns!B234&gt;0,Returns!B234/Returns!B233-1,"")</f>
        <v>-9.8135426889112143E-4</v>
      </c>
      <c r="DD231" s="13">
        <f ca="1">IF(Returns!D234&gt;0,Returns!D234/Returns!D233-1,"")</f>
        <v>1.0213419459275119E-2</v>
      </c>
    </row>
    <row r="232" spans="1:108" x14ac:dyDescent="0.3">
      <c r="B232" s="63" vm="454">
        <f ca="1"/>
        <v>27930.332600000002</v>
      </c>
      <c r="CX232" s="3"/>
      <c r="DB232" s="3" vm="455">
        <f ca="1">IF(Returns!A234&lt;&gt;0,Returns!A234,"")</f>
        <v>41806</v>
      </c>
      <c r="DC232" s="13">
        <f ca="1">IF(Returns!B235&gt;0,Returns!B235/Returns!B234-1,"")</f>
        <v>-1.9646365422396617E-3</v>
      </c>
      <c r="DD232" s="13">
        <f ca="1">IF(Returns!D235&gt;0,Returns!D235/Returns!D234-1,"")</f>
        <v>-5.619705345475845E-3</v>
      </c>
    </row>
    <row r="233" spans="1:108" x14ac:dyDescent="0.3">
      <c r="B233" s="63" vm="456">
        <f ca="1"/>
        <v>27682.814399999999</v>
      </c>
      <c r="CX233" s="3"/>
      <c r="DB233" s="3" vm="457">
        <f ca="1">IF(Returns!A235&lt;&gt;0,Returns!A235,"")</f>
        <v>41813</v>
      </c>
      <c r="DC233" s="13">
        <f ca="1">IF(Returns!B236&gt;0,Returns!B236/Returns!B235-1,"")</f>
        <v>9.5144356955381149E-3</v>
      </c>
      <c r="DD233" s="13">
        <f ca="1">IF(Returns!D236&gt;0,Returns!D236/Returns!D235-1,"")</f>
        <v>1.2842500296006421E-2</v>
      </c>
    </row>
    <row r="234" spans="1:108" x14ac:dyDescent="0.3">
      <c r="B234" s="63" vm="458">
        <f ca="1"/>
        <v>27665.641800000001</v>
      </c>
      <c r="CX234" s="3"/>
      <c r="DB234" s="3" vm="459">
        <f ca="1">IF(Returns!A236&lt;&gt;0,Returns!A236,"")</f>
        <v>41820</v>
      </c>
      <c r="DC234" s="13">
        <f ca="1">IF(Returns!B237&gt;0,Returns!B237/Returns!B236-1,"")</f>
        <v>-1.5924601884952816E-2</v>
      </c>
      <c r="DD234" s="13">
        <f ca="1">IF(Returns!D237&gt;0,Returns!D237/Returns!D236-1,"")</f>
        <v>-7.2917437895805293E-3</v>
      </c>
    </row>
    <row r="235" spans="1:108" x14ac:dyDescent="0.3">
      <c r="B235" s="63" vm="460">
        <f ca="1"/>
        <v>27657.4175</v>
      </c>
      <c r="CX235" s="3"/>
      <c r="DB235" s="3" vm="461">
        <f ca="1">IF(Returns!A237&lt;&gt;0,Returns!A237,"")</f>
        <v>41827</v>
      </c>
      <c r="DC235" s="13">
        <f ca="1">IF(Returns!B238&gt;0,Returns!B238/Returns!B237-1,"")</f>
        <v>2.97225891677666E-3</v>
      </c>
      <c r="DD235" s="13">
        <f ca="1">IF(Returns!D238&gt;0,Returns!D238/Returns!D237-1,"")</f>
        <v>9.2290070256060286E-3</v>
      </c>
    </row>
    <row r="236" spans="1:108" x14ac:dyDescent="0.3">
      <c r="B236" s="63" vm="462">
        <f ca="1"/>
        <v>27433.481199999998</v>
      </c>
      <c r="CX236" s="3"/>
      <c r="DB236" s="3" vm="463">
        <f ca="1">IF(Returns!A238&lt;&gt;0,Returns!A238,"")</f>
        <v>41834</v>
      </c>
      <c r="DC236" s="13">
        <f ca="1">IF(Returns!B239&gt;0,Returns!B239/Returns!B238-1,"")</f>
        <v>4.1159038524860136E-2</v>
      </c>
      <c r="DD236" s="13">
        <f ca="1">IF(Returns!D239&gt;0,Returns!D239/Returns!D238-1,"")</f>
        <v>-8.1644345264202389E-3</v>
      </c>
    </row>
    <row r="237" spans="1:108" x14ac:dyDescent="0.3">
      <c r="A237" s="9"/>
      <c r="B237" s="63" vm="464">
        <f ca="1"/>
        <v>27173.955300000001</v>
      </c>
      <c r="CX237" s="3"/>
      <c r="DB237" s="3" vm="465">
        <f ca="1">IF(Returns!A239&lt;&gt;0,Returns!A239,"")</f>
        <v>41841</v>
      </c>
      <c r="DC237" s="13">
        <f ca="1">IF(Returns!B240&gt;0,Returns!B240/Returns!B239-1,"")</f>
        <v>-3.4155597722960174E-2</v>
      </c>
      <c r="DD237" s="13">
        <f ca="1">IF(Returns!D240&gt;0,Returns!D240/Returns!D239-1,"")</f>
        <v>-2.7546066606371045E-2</v>
      </c>
    </row>
    <row r="238" spans="1:108" x14ac:dyDescent="0.3">
      <c r="B238" s="63" vm="466">
        <f ca="1"/>
        <v>27110.980500000001</v>
      </c>
      <c r="CX238" s="3"/>
      <c r="DB238" s="3" vm="467">
        <f ca="1">IF(Returns!A240&lt;&gt;0,Returns!A240,"")</f>
        <v>41848</v>
      </c>
      <c r="DC238" s="13">
        <f ca="1">IF(Returns!B241&gt;0,Returns!B241/Returns!B240-1,"")</f>
        <v>2.292075965946383E-3</v>
      </c>
      <c r="DD238" s="13">
        <f ca="1">IF(Returns!D241&gt;0,Returns!D241/Returns!D240-1,"")</f>
        <v>3.6717178317313692E-3</v>
      </c>
    </row>
    <row r="239" spans="1:108" x14ac:dyDescent="0.3">
      <c r="B239" s="63" vm="468">
        <f ca="1"/>
        <v>26671.948799999998</v>
      </c>
      <c r="CX239" s="3"/>
      <c r="DB239" s="3" vm="469">
        <f ca="1">IF(Returns!A241&lt;&gt;0,Returns!A241,"")</f>
        <v>41855</v>
      </c>
      <c r="DC239" s="13">
        <f ca="1">IF(Returns!B242&gt;0,Returns!B242/Returns!B241-1,"")</f>
        <v>2.7442012414243599E-2</v>
      </c>
      <c r="DD239" s="13">
        <f ca="1">IF(Returns!D242&gt;0,Returns!D242/Returns!D241-1,"")</f>
        <v>6.583361648867081E-3</v>
      </c>
    </row>
    <row r="240" spans="1:108" x14ac:dyDescent="0.3">
      <c r="B240" s="63" vm="470">
        <f ca="1"/>
        <v>26501.595499999999</v>
      </c>
      <c r="CX240" s="3"/>
      <c r="DB240" s="3" vm="471">
        <f ca="1">IF(Returns!A242&lt;&gt;0,Returns!A242,"")</f>
        <v>41862</v>
      </c>
      <c r="DC240" s="13">
        <f ca="1">IF(Returns!B243&gt;0,Returns!B243/Returns!B242-1,"")</f>
        <v>2.4801271860095397E-2</v>
      </c>
      <c r="DD240" s="13">
        <f ca="1">IF(Returns!D243&gt;0,Returns!D243/Returns!D242-1,"")</f>
        <v>2.0303081167224679E-2</v>
      </c>
    </row>
    <row r="241" spans="1:108" x14ac:dyDescent="0.3">
      <c r="B241" s="63" vm="472">
        <f ca="1"/>
        <v>26469.888599999998</v>
      </c>
      <c r="CX241" s="3"/>
      <c r="DB241" s="3" vm="473">
        <f ca="1">IF(Returns!A243&lt;&gt;0,Returns!A243,"")</f>
        <v>41869</v>
      </c>
      <c r="DC241" s="13">
        <f ca="1">IF(Returns!B244&gt;0,Returns!B244/Returns!B243-1,"")</f>
        <v>1.2100527458889232E-2</v>
      </c>
      <c r="DD241" s="13">
        <f ca="1">IF(Returns!D244&gt;0,Returns!D244/Returns!D243-1,"")</f>
        <v>5.7189021231107695E-3</v>
      </c>
    </row>
    <row r="242" spans="1:108" x14ac:dyDescent="0.3">
      <c r="B242" s="63" vm="474">
        <f ca="1"/>
        <v>26428.324199999999</v>
      </c>
      <c r="CX242" s="3"/>
      <c r="DB242" s="3" vm="475">
        <f ca="1">IF(Returns!A244&lt;&gt;0,Returns!A244,"")</f>
        <v>41876</v>
      </c>
      <c r="DC242" s="13">
        <f ca="1">IF(Returns!B245&gt;0,Returns!B245/Returns!B244-1,"")</f>
        <v>7.6640098099325371E-3</v>
      </c>
      <c r="DD242" s="13">
        <f ca="1">IF(Returns!D245&gt;0,Returns!D245/Returns!D244-1,"")</f>
        <v>2.2760606431717623E-3</v>
      </c>
    </row>
    <row r="243" spans="1:108" x14ac:dyDescent="0.3">
      <c r="B243" s="63" vm="476">
        <f ca="1"/>
        <v>26075.301800000001</v>
      </c>
      <c r="CX243" s="3"/>
      <c r="DB243" s="3" vm="477">
        <f ca="1">IF(Returns!A245&lt;&gt;0,Returns!A245,"")</f>
        <v>41884</v>
      </c>
      <c r="DC243" s="13">
        <f ca="1">IF(Returns!B246&gt;0,Returns!B246/Returns!B245-1,"")</f>
        <v>6.0845756008531815E-4</v>
      </c>
      <c r="DD243" s="13">
        <f ca="1">IF(Returns!D246&gt;0,Returns!D246/Returns!D245-1,"")</f>
        <v>-8.7444199627186858E-3</v>
      </c>
    </row>
    <row r="244" spans="1:108" x14ac:dyDescent="0.3">
      <c r="B244" s="63" vm="478">
        <f ca="1"/>
        <v>25871.458299999998</v>
      </c>
      <c r="CX244" s="3"/>
      <c r="DB244" s="3" vm="479">
        <f ca="1">IF(Returns!A246&lt;&gt;0,Returns!A246,"")</f>
        <v>41890</v>
      </c>
      <c r="DC244" s="13">
        <f ca="1">IF(Returns!B247&gt;0,Returns!B247/Returns!B246-1,"")</f>
        <v>-1.5202189115232079E-3</v>
      </c>
      <c r="DD244" s="13">
        <f ca="1">IF(Returns!D247&gt;0,Returns!D247/Returns!D246-1,"")</f>
        <v>1.7202695100613674E-2</v>
      </c>
    </row>
    <row r="245" spans="1:108" x14ac:dyDescent="0.3">
      <c r="B245" s="63" vm="480">
        <f ca="1"/>
        <v>25864.778900000001</v>
      </c>
      <c r="CX245" s="3"/>
      <c r="DB245" s="3" vm="481">
        <f ca="1">IF(Returns!A247&lt;&gt;0,Returns!A247,"")</f>
        <v>41897</v>
      </c>
      <c r="DC245" s="13">
        <f ca="1">IF(Returns!B248&gt;0,Returns!B248/Returns!B247-1,"")</f>
        <v>-9.4397076735689422E-3</v>
      </c>
      <c r="DD245" s="13">
        <f ca="1">IF(Returns!D248&gt;0,Returns!D248/Returns!D247-1,"")</f>
        <v>-9.6405051333620095E-3</v>
      </c>
    </row>
    <row r="246" spans="1:108" x14ac:dyDescent="0.3">
      <c r="B246" s="63" vm="482">
        <f ca="1"/>
        <v>25827.356299999999</v>
      </c>
      <c r="CX246" s="3"/>
      <c r="DB246" s="3" vm="483">
        <f ca="1">IF(Returns!A248&lt;&gt;0,Returns!A248,"")</f>
        <v>41904</v>
      </c>
      <c r="DC246" s="13">
        <f ca="1">IF(Returns!B249&gt;0,Returns!B249/Returns!B248-1,"")</f>
        <v>-7.3778051029819158E-3</v>
      </c>
      <c r="DD246" s="13">
        <f ca="1">IF(Returns!D249&gt;0,Returns!D249/Returns!D248-1,"")</f>
        <v>-6.0455022070948772E-3</v>
      </c>
    </row>
    <row r="247" spans="1:108" x14ac:dyDescent="0.3">
      <c r="B247" s="63" vm="484">
        <f ca="1"/>
        <v>25605.542700000002</v>
      </c>
      <c r="CX247" s="3"/>
      <c r="DB247" s="3" vm="485">
        <f ca="1">IF(Returns!A249&lt;&gt;0,Returns!A249,"")</f>
        <v>41911</v>
      </c>
      <c r="DC247" s="13">
        <f ca="1">IF(Returns!B250&gt;0,Returns!B250/Returns!B249-1,"")</f>
        <v>-2.5394859089501454E-2</v>
      </c>
      <c r="DD247" s="13">
        <f ca="1">IF(Returns!D250&gt;0,Returns!D250/Returns!D249-1,"")</f>
        <v>-2.737212561492941E-2</v>
      </c>
    </row>
    <row r="248" spans="1:108" x14ac:dyDescent="0.3">
      <c r="B248" s="63" vm="486">
        <f ca="1"/>
        <v>25409.356899999999</v>
      </c>
      <c r="CX248" s="3"/>
      <c r="DB248" s="3" vm="487">
        <f ca="1">IF(Returns!A250&lt;&gt;0,Returns!A250,"")</f>
        <v>41918</v>
      </c>
      <c r="DC248" s="13">
        <f ca="1">IF(Returns!B251&gt;0,Returns!B251/Returns!B250-1,"")</f>
        <v>1.8748013981569889E-2</v>
      </c>
      <c r="DD248" s="13">
        <f ca="1">IF(Returns!D251&gt;0,Returns!D251/Returns!D250-1,"")</f>
        <v>-9.8944982403156301E-3</v>
      </c>
    </row>
    <row r="249" spans="1:108" x14ac:dyDescent="0.3">
      <c r="B249" s="63" vm="488">
        <f ca="1"/>
        <v>25383.1119</v>
      </c>
      <c r="CX249" s="3"/>
      <c r="DB249" s="3" vm="489">
        <f ca="1">IF(Returns!A251&lt;&gt;0,Returns!A251,"")</f>
        <v>41925</v>
      </c>
      <c r="DC249" s="13">
        <f ca="1">IF(Returns!B252&gt;0,Returns!B252/Returns!B251-1,"")</f>
        <v>-1.8091079226450479E-2</v>
      </c>
      <c r="DD249" s="13">
        <f ca="1">IF(Returns!D252&gt;0,Returns!D252/Returns!D251-1,"")</f>
        <v>2.5945923348085653E-2</v>
      </c>
    </row>
    <row r="250" spans="1:108" x14ac:dyDescent="0.3">
      <c r="B250" s="63" vm="490">
        <f ca="1"/>
        <v>25015.5488</v>
      </c>
      <c r="CX250" s="3"/>
      <c r="DB250" s="3" vm="491">
        <f ca="1">IF(Returns!A252&lt;&gt;0,Returns!A252,"")</f>
        <v>41932</v>
      </c>
      <c r="DC250" s="13">
        <f ca="1">IF(Returns!B253&gt;0,Returns!B253/Returns!B252-1,"")</f>
        <v>1.2071156289707785E-2</v>
      </c>
      <c r="DD250" s="13">
        <f ca="1">IF(Returns!D253&gt;0,Returns!D253/Returns!D252-1,"")</f>
        <v>3.4816402363324395E-2</v>
      </c>
    </row>
    <row r="251" spans="1:108" x14ac:dyDescent="0.3">
      <c r="B251" s="63" vm="492">
        <f ca="1"/>
        <v>24465.164499999999</v>
      </c>
      <c r="CX251" s="3"/>
      <c r="DB251" s="3" vm="493">
        <f ca="1">IF(Returns!A253&lt;&gt;0,Returns!A253,"")</f>
        <v>41939</v>
      </c>
      <c r="DC251" s="13">
        <f ca="1">IF(Returns!B254&gt;0,Returns!B254/Returns!B253-1,"")</f>
        <v>1.3810420590081529E-2</v>
      </c>
      <c r="DD251" s="13">
        <f ca="1">IF(Returns!D254&gt;0,Returns!D254/Returns!D253-1,"")</f>
        <v>1.0546604585013775E-2</v>
      </c>
    </row>
    <row r="252" spans="1:108" x14ac:dyDescent="0.3">
      <c r="B252" s="63" vm="494">
        <f ca="1"/>
        <v>24331.314999999999</v>
      </c>
      <c r="CX252" s="3"/>
      <c r="DB252" s="3" vm="495">
        <f ca="1">IF(Returns!A254&lt;&gt;0,Returns!A254,"")</f>
        <v>41946</v>
      </c>
      <c r="DC252" s="13">
        <f ca="1">IF(Returns!B255&gt;0,Returns!B255/Returns!B254-1,"")</f>
        <v>-9.5975232198142191E-3</v>
      </c>
      <c r="DD252" s="13">
        <f ca="1">IF(Returns!D255&gt;0,Returns!D255/Returns!D254-1,"")</f>
        <v>3.4605753717895649E-3</v>
      </c>
    </row>
    <row r="253" spans="1:108" x14ac:dyDescent="0.3">
      <c r="A253" s="9"/>
      <c r="B253" s="63" vm="496">
        <f ca="1"/>
        <v>24242.493600000002</v>
      </c>
      <c r="CX253" s="3"/>
      <c r="DB253" s="3" vm="497">
        <f ca="1">IF(Returns!A255&lt;&gt;0,Returns!A255,"")</f>
        <v>41953</v>
      </c>
      <c r="DC253" s="13">
        <f ca="1">IF(Returns!B256&gt;0,Returns!B256/Returns!B255-1,"")</f>
        <v>6.2519537355432142E-4</v>
      </c>
      <c r="DD253" s="13">
        <f ca="1">IF(Returns!D256&gt;0,Returns!D256/Returns!D255-1,"")</f>
        <v>9.941698498904028E-3</v>
      </c>
    </row>
    <row r="254" spans="1:108" x14ac:dyDescent="0.3">
      <c r="B254" s="63" vm="498">
        <f ca="1"/>
        <v>23775.272199999999</v>
      </c>
      <c r="CX254" s="3"/>
      <c r="DB254" s="3" vm="499">
        <f ca="1">IF(Returns!A256&lt;&gt;0,Returns!A256,"")</f>
        <v>41960</v>
      </c>
      <c r="DC254" s="13">
        <f ca="1">IF(Returns!B257&gt;0,Returns!B257/Returns!B256-1,"")</f>
        <v>5.9356451109029429E-3</v>
      </c>
      <c r="DD254" s="13">
        <f ca="1">IF(Returns!D257&gt;0,Returns!D257/Returns!D256-1,"")</f>
        <v>1.0204399900337613E-3</v>
      </c>
    </row>
    <row r="255" spans="1:108" x14ac:dyDescent="0.3">
      <c r="B255" s="63" vm="500">
        <f ca="1"/>
        <v>23723.694</v>
      </c>
      <c r="CX255" s="3"/>
      <c r="DB255" s="3" vm="501">
        <f ca="1">IF(Returns!A257&lt;&gt;0,Returns!A257,"")</f>
        <v>41967</v>
      </c>
      <c r="DC255" s="13">
        <f ca="1">IF(Returns!B258&gt;0,Returns!B258/Returns!B257-1,"")</f>
        <v>1.8633540372670732E-2</v>
      </c>
      <c r="DD255" s="13">
        <f ca="1">IF(Returns!D258&gt;0,Returns!D258/Returns!D257-1,"")</f>
        <v>7.3231191019755837E-3</v>
      </c>
    </row>
    <row r="256" spans="1:108" x14ac:dyDescent="0.3">
      <c r="B256" s="63" vm="502">
        <f ca="1"/>
        <v>23719.373</v>
      </c>
      <c r="CX256" s="3"/>
      <c r="DB256" s="3" vm="503">
        <f ca="1">IF(Returns!A258&lt;&gt;0,Returns!A258,"")</f>
        <v>41974</v>
      </c>
      <c r="DC256" s="13">
        <f ca="1">IF(Returns!B259&gt;0,Returns!B259/Returns!B258-1,"")</f>
        <v>-2.682926829268284E-2</v>
      </c>
      <c r="DD256" s="13">
        <f ca="1">IF(Returns!D259&gt;0,Returns!D259/Returns!D258-1,"")</f>
        <v>-3.7751163358962447E-2</v>
      </c>
    </row>
    <row r="257" spans="1:108" x14ac:dyDescent="0.3">
      <c r="B257" s="63" vm="504">
        <f ca="1"/>
        <v>23685.421900000001</v>
      </c>
      <c r="CX257" s="3"/>
      <c r="DB257" s="3" vm="505">
        <f ca="1">IF(Returns!A259&lt;&gt;0,Returns!A259,"")</f>
        <v>41981</v>
      </c>
      <c r="DC257" s="13">
        <f ca="1">IF(Returns!B260&gt;0,Returns!B260/Returns!B259-1,"")</f>
        <v>1.5977443609022535E-2</v>
      </c>
      <c r="DD257" s="13">
        <f ca="1">IF(Returns!D260&gt;0,Returns!D260/Returns!D259-1,"")</f>
        <v>3.0320708852546785E-2</v>
      </c>
    </row>
    <row r="258" spans="1:108" ht="15" thickBot="1" x14ac:dyDescent="0.35">
      <c r="A258" s="9" t="s">
        <v>1329</v>
      </c>
      <c r="B258" s="64" vm="506">
        <f ca="1"/>
        <v>23185.622800000001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DB258" s="3" vm="507">
        <f ca="1">IF(Returns!A260&lt;&gt;0,Returns!A260,"")</f>
        <v>41988</v>
      </c>
      <c r="DC258" s="13">
        <f ca="1">IF(Returns!B261&gt;0,Returns!B261/Returns!B260-1,"")</f>
        <v>5.8587727412888757E-3</v>
      </c>
      <c r="DD258" s="13">
        <f ca="1">IF(Returns!D261&gt;0,Returns!D261/Returns!D260-1,"")</f>
        <v>1.3980210332648291E-2</v>
      </c>
    </row>
    <row r="259" spans="1:108" x14ac:dyDescent="0.3">
      <c r="CX259" s="3"/>
      <c r="DB259" s="3" vm="508">
        <f ca="1">IF(Returns!A263&lt;&gt;0,Returns!A263,"")</f>
        <v>42009</v>
      </c>
      <c r="DC259" s="13">
        <f ca="1">IF(Returns!B264&gt;0,Returns!B264/Returns!B263-1,"")</f>
        <v>-1.9710502001847874E-2</v>
      </c>
      <c r="DD259" s="13">
        <f ca="1">IF(Returns!D264&gt;0,Returns!D264/Returns!D263-1,"")</f>
        <v>-1.2729950997233952E-2</v>
      </c>
    </row>
    <row r="260" spans="1:108" x14ac:dyDescent="0.3">
      <c r="B260" s="8" t="s">
        <v>1302</v>
      </c>
      <c r="CX260" s="3"/>
      <c r="DB260" s="3" vm="509">
        <f ca="1">IF(Returns!A269&lt;&gt;0,Returns!A269,"")</f>
        <v>42052</v>
      </c>
      <c r="DC260" s="13">
        <f ca="1">IF(Returns!B273&gt;0,Returns!B273/Returns!B272-1,"")</f>
        <v>2.3162445954292732E-2</v>
      </c>
      <c r="DD260" s="13">
        <f ca="1">IF(Returns!D265&gt;0,Returns!D265/Returns!D264-1,"")</f>
        <v>9.1956573945608522E-3</v>
      </c>
    </row>
    <row r="261" spans="1:108" x14ac:dyDescent="0.3">
      <c r="CX261" s="3"/>
      <c r="DB261" s="3" vm="510">
        <f ca="1">IF(Returns!A270&lt;&gt;0,Returns!A270,"")</f>
        <v>42058</v>
      </c>
      <c r="DC261" s="13">
        <f ca="1">IF(Returns!B274&gt;0,Returns!B274/Returns!B273-1,"")</f>
        <v>-1.116812556595248E-2</v>
      </c>
      <c r="DD261" s="13">
        <f ca="1">IF(Returns!D266&gt;0,Returns!D266/Returns!D265-1,"")</f>
        <v>-2.8725551575018438E-2</v>
      </c>
    </row>
    <row r="262" spans="1:108" x14ac:dyDescent="0.3">
      <c r="B262" s="9" t="s">
        <v>1306</v>
      </c>
      <c r="C262" s="22" cm="1">
        <f t="array" ref="C262:CI262">TRANSPOSE('Portfolio Builder'!$E$5:$E$89)</f>
        <v>0</v>
      </c>
      <c r="D262" s="22">
        <v>0</v>
      </c>
      <c r="E262" s="22">
        <v>0</v>
      </c>
      <c r="F262" s="22">
        <v>0</v>
      </c>
      <c r="G262" s="22">
        <v>0</v>
      </c>
      <c r="H262" s="22">
        <v>0</v>
      </c>
      <c r="I262" s="22">
        <v>0</v>
      </c>
      <c r="J262" s="22">
        <v>0</v>
      </c>
      <c r="K262" s="22">
        <v>0</v>
      </c>
      <c r="L262" s="22">
        <v>0</v>
      </c>
      <c r="M262" s="22">
        <v>0</v>
      </c>
      <c r="N262" s="22">
        <v>0</v>
      </c>
      <c r="O262" s="22">
        <v>0</v>
      </c>
      <c r="P262" s="22">
        <v>0</v>
      </c>
      <c r="Q262" s="22">
        <v>0</v>
      </c>
      <c r="R262" s="22">
        <v>0</v>
      </c>
      <c r="S262" s="22">
        <v>0</v>
      </c>
      <c r="T262" s="22">
        <v>0</v>
      </c>
      <c r="U262" s="22">
        <v>0</v>
      </c>
      <c r="V262" s="22">
        <v>0</v>
      </c>
      <c r="W262" s="22">
        <v>0</v>
      </c>
      <c r="X262" s="22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0</v>
      </c>
      <c r="AG262" s="22">
        <v>0</v>
      </c>
      <c r="AH262" s="22">
        <v>0</v>
      </c>
      <c r="AI262" s="22">
        <v>0</v>
      </c>
      <c r="AJ262" s="22">
        <v>0</v>
      </c>
      <c r="AK262" s="22">
        <v>0</v>
      </c>
      <c r="AL262" s="22">
        <v>0</v>
      </c>
      <c r="AM262" s="22">
        <v>0</v>
      </c>
      <c r="AN262" s="22">
        <v>0</v>
      </c>
      <c r="AO262" s="22">
        <v>0</v>
      </c>
      <c r="AP262" s="22">
        <v>0</v>
      </c>
      <c r="AQ262" s="22">
        <v>0</v>
      </c>
      <c r="AR262" s="22">
        <v>0</v>
      </c>
      <c r="AS262" s="22">
        <v>0</v>
      </c>
      <c r="AT262" s="22">
        <v>0</v>
      </c>
      <c r="AU262" s="22">
        <v>0</v>
      </c>
      <c r="AV262" s="22">
        <v>0</v>
      </c>
      <c r="AW262" s="22">
        <v>0</v>
      </c>
      <c r="AX262" s="22">
        <v>0</v>
      </c>
      <c r="AY262" s="22">
        <v>0</v>
      </c>
      <c r="AZ262" s="22">
        <v>0</v>
      </c>
      <c r="BA262" s="22">
        <v>0</v>
      </c>
      <c r="BB262" s="22">
        <v>0</v>
      </c>
      <c r="BC262" s="22">
        <v>0</v>
      </c>
      <c r="BD262" s="22">
        <v>0</v>
      </c>
      <c r="BE262" s="22">
        <v>0</v>
      </c>
      <c r="BF262" s="22">
        <v>0</v>
      </c>
      <c r="BG262" s="22">
        <v>0</v>
      </c>
      <c r="BH262" s="22">
        <v>0</v>
      </c>
      <c r="BI262" s="22">
        <v>0</v>
      </c>
      <c r="BJ262" s="22">
        <v>0</v>
      </c>
      <c r="BK262" s="22">
        <v>0</v>
      </c>
      <c r="BL262" s="22">
        <v>0</v>
      </c>
      <c r="BM262" s="22">
        <v>0</v>
      </c>
      <c r="BN262" s="22">
        <v>0</v>
      </c>
      <c r="BO262" s="22">
        <v>0</v>
      </c>
      <c r="BP262" s="22">
        <v>0</v>
      </c>
      <c r="BQ262" s="22">
        <v>0</v>
      </c>
      <c r="BR262" s="22">
        <v>0</v>
      </c>
      <c r="BS262" s="22">
        <v>0</v>
      </c>
      <c r="BT262" s="22">
        <v>0</v>
      </c>
      <c r="BU262" s="22">
        <v>0</v>
      </c>
      <c r="BV262" s="22">
        <v>0</v>
      </c>
      <c r="BW262" s="22">
        <v>0</v>
      </c>
      <c r="BX262" s="22">
        <v>0</v>
      </c>
      <c r="BY262" s="22">
        <v>0</v>
      </c>
      <c r="BZ262" s="22">
        <v>0</v>
      </c>
      <c r="CA262" s="22">
        <v>0</v>
      </c>
      <c r="CB262" s="22">
        <v>0</v>
      </c>
      <c r="CC262" s="22">
        <v>0</v>
      </c>
      <c r="CD262" s="22">
        <v>0</v>
      </c>
      <c r="CE262" s="22">
        <v>0</v>
      </c>
      <c r="CF262" s="22">
        <v>0</v>
      </c>
      <c r="CG262" s="22">
        <v>0</v>
      </c>
      <c r="CH262" s="22">
        <v>0</v>
      </c>
      <c r="CI262" s="22">
        <v>0</v>
      </c>
      <c r="CJ262" s="22"/>
      <c r="CK262" s="22"/>
      <c r="CL262" s="22"/>
      <c r="CM262" s="22"/>
      <c r="CN262" s="22"/>
      <c r="CO262" s="22"/>
      <c r="CP262" s="22"/>
      <c r="CQ262" s="22"/>
      <c r="CR262" s="22"/>
      <c r="CS262" s="22"/>
      <c r="CT262" s="22"/>
      <c r="CU262" s="22"/>
      <c r="CV262" s="22"/>
      <c r="CW262" s="22"/>
      <c r="CX262" s="22"/>
      <c r="DB262" s="3" vm="511">
        <f ca="1">IF(Returns!A271&lt;&gt;0,Returns!A271,"")</f>
        <v>42065</v>
      </c>
      <c r="DC262" s="13">
        <f ca="1">IF(Returns!B275&gt;0,Returns!B275/Returns!B274-1,"")</f>
        <v>1.1294261294261476E-2</v>
      </c>
      <c r="DD262" s="13">
        <f ca="1">IF(Returns!D267&gt;0,Returns!D267/Returns!D266-1,"")</f>
        <v>3.8412105872472013E-2</v>
      </c>
    </row>
    <row r="263" spans="1:108" x14ac:dyDescent="0.3">
      <c r="B263" s="7" t="s">
        <v>1303</v>
      </c>
      <c r="C263" s="37">
        <f>IF(C4&lt;&gt;0,C262/SUM(_xlfn.ANCHORARRAY($C$262)),0)</f>
        <v>0</v>
      </c>
      <c r="D263" s="37">
        <f t="shared" ref="D263:BO263" si="0">IF(D4&lt;&gt;0,D262/SUM(_xlfn.ANCHORARRAY($C$262)),0)</f>
        <v>0</v>
      </c>
      <c r="E263" s="37">
        <f t="shared" si="0"/>
        <v>0</v>
      </c>
      <c r="F263" s="37">
        <f t="shared" si="0"/>
        <v>0</v>
      </c>
      <c r="G263" s="37">
        <f t="shared" si="0"/>
        <v>0</v>
      </c>
      <c r="H263" s="37">
        <f t="shared" si="0"/>
        <v>0</v>
      </c>
      <c r="I263" s="37">
        <f t="shared" si="0"/>
        <v>0</v>
      </c>
      <c r="J263" s="37">
        <f t="shared" si="0"/>
        <v>0</v>
      </c>
      <c r="K263" s="37">
        <f t="shared" si="0"/>
        <v>0</v>
      </c>
      <c r="L263" s="37">
        <f t="shared" si="0"/>
        <v>0</v>
      </c>
      <c r="M263" s="37">
        <f t="shared" si="0"/>
        <v>0</v>
      </c>
      <c r="N263" s="37">
        <f t="shared" si="0"/>
        <v>0</v>
      </c>
      <c r="O263" s="37">
        <f t="shared" si="0"/>
        <v>0</v>
      </c>
      <c r="P263" s="37">
        <f t="shared" si="0"/>
        <v>0</v>
      </c>
      <c r="Q263" s="37">
        <f t="shared" si="0"/>
        <v>0</v>
      </c>
      <c r="R263" s="37">
        <f t="shared" si="0"/>
        <v>0</v>
      </c>
      <c r="S263" s="37">
        <f t="shared" si="0"/>
        <v>0</v>
      </c>
      <c r="T263" s="37">
        <f t="shared" si="0"/>
        <v>0</v>
      </c>
      <c r="U263" s="37">
        <f t="shared" si="0"/>
        <v>0</v>
      </c>
      <c r="V263" s="37">
        <f t="shared" si="0"/>
        <v>0</v>
      </c>
      <c r="W263" s="37">
        <f t="shared" si="0"/>
        <v>0</v>
      </c>
      <c r="X263" s="37">
        <f t="shared" si="0"/>
        <v>0</v>
      </c>
      <c r="Y263" s="37">
        <f t="shared" si="0"/>
        <v>0</v>
      </c>
      <c r="Z263" s="37">
        <f t="shared" si="0"/>
        <v>0</v>
      </c>
      <c r="AA263" s="37">
        <f t="shared" si="0"/>
        <v>0</v>
      </c>
      <c r="AB263" s="37">
        <f t="shared" si="0"/>
        <v>0</v>
      </c>
      <c r="AC263" s="37">
        <f t="shared" si="0"/>
        <v>0</v>
      </c>
      <c r="AD263" s="37">
        <f t="shared" si="0"/>
        <v>0</v>
      </c>
      <c r="AE263" s="37">
        <f t="shared" si="0"/>
        <v>0</v>
      </c>
      <c r="AF263" s="37">
        <f t="shared" si="0"/>
        <v>0</v>
      </c>
      <c r="AG263" s="37">
        <f t="shared" si="0"/>
        <v>0</v>
      </c>
      <c r="AH263" s="37">
        <f t="shared" si="0"/>
        <v>0</v>
      </c>
      <c r="AI263" s="37">
        <f t="shared" si="0"/>
        <v>0</v>
      </c>
      <c r="AJ263" s="37">
        <f t="shared" si="0"/>
        <v>0</v>
      </c>
      <c r="AK263" s="37">
        <f t="shared" si="0"/>
        <v>0</v>
      </c>
      <c r="AL263" s="37">
        <f t="shared" si="0"/>
        <v>0</v>
      </c>
      <c r="AM263" s="37">
        <f t="shared" si="0"/>
        <v>0</v>
      </c>
      <c r="AN263" s="37">
        <f t="shared" si="0"/>
        <v>0</v>
      </c>
      <c r="AO263" s="37">
        <f t="shared" si="0"/>
        <v>0</v>
      </c>
      <c r="AP263" s="37">
        <f t="shared" si="0"/>
        <v>0</v>
      </c>
      <c r="AQ263" s="37">
        <f t="shared" si="0"/>
        <v>0</v>
      </c>
      <c r="AR263" s="37">
        <f t="shared" si="0"/>
        <v>0</v>
      </c>
      <c r="AS263" s="37">
        <f t="shared" si="0"/>
        <v>0</v>
      </c>
      <c r="AT263" s="37">
        <f t="shared" si="0"/>
        <v>0</v>
      </c>
      <c r="AU263" s="37">
        <f t="shared" si="0"/>
        <v>0</v>
      </c>
      <c r="AV263" s="37">
        <f t="shared" si="0"/>
        <v>0</v>
      </c>
      <c r="AW263" s="37">
        <f t="shared" si="0"/>
        <v>0</v>
      </c>
      <c r="AX263" s="37">
        <f t="shared" si="0"/>
        <v>0</v>
      </c>
      <c r="AY263" s="37">
        <f t="shared" si="0"/>
        <v>0</v>
      </c>
      <c r="AZ263" s="37">
        <f t="shared" si="0"/>
        <v>0</v>
      </c>
      <c r="BA263" s="37">
        <f t="shared" si="0"/>
        <v>0</v>
      </c>
      <c r="BB263" s="37">
        <f t="shared" si="0"/>
        <v>0</v>
      </c>
      <c r="BC263" s="37">
        <f t="shared" si="0"/>
        <v>0</v>
      </c>
      <c r="BD263" s="37">
        <f t="shared" si="0"/>
        <v>0</v>
      </c>
      <c r="BE263" s="37">
        <f t="shared" si="0"/>
        <v>0</v>
      </c>
      <c r="BF263" s="37">
        <f t="shared" si="0"/>
        <v>0</v>
      </c>
      <c r="BG263" s="37">
        <f t="shared" si="0"/>
        <v>0</v>
      </c>
      <c r="BH263" s="37">
        <f t="shared" si="0"/>
        <v>0</v>
      </c>
      <c r="BI263" s="37">
        <f t="shared" si="0"/>
        <v>0</v>
      </c>
      <c r="BJ263" s="37">
        <f t="shared" si="0"/>
        <v>0</v>
      </c>
      <c r="BK263" s="37">
        <f t="shared" si="0"/>
        <v>0</v>
      </c>
      <c r="BL263" s="37">
        <f t="shared" si="0"/>
        <v>0</v>
      </c>
      <c r="BM263" s="37">
        <f t="shared" si="0"/>
        <v>0</v>
      </c>
      <c r="BN263" s="37">
        <f t="shared" si="0"/>
        <v>0</v>
      </c>
      <c r="BO263" s="37">
        <f t="shared" si="0"/>
        <v>0</v>
      </c>
      <c r="BP263" s="37">
        <f t="shared" ref="BP263:CX263" si="1">IF(BP4&lt;&gt;0,BP262/SUM(_xlfn.ANCHORARRAY($C$262)),0)</f>
        <v>0</v>
      </c>
      <c r="BQ263" s="37">
        <f t="shared" si="1"/>
        <v>0</v>
      </c>
      <c r="BR263" s="37">
        <f t="shared" si="1"/>
        <v>0</v>
      </c>
      <c r="BS263" s="37">
        <f t="shared" si="1"/>
        <v>0</v>
      </c>
      <c r="BT263" s="37">
        <f t="shared" si="1"/>
        <v>0</v>
      </c>
      <c r="BU263" s="37">
        <f t="shared" si="1"/>
        <v>0</v>
      </c>
      <c r="BV263" s="37">
        <f t="shared" si="1"/>
        <v>0</v>
      </c>
      <c r="BW263" s="37">
        <f t="shared" si="1"/>
        <v>0</v>
      </c>
      <c r="BX263" s="37">
        <f t="shared" si="1"/>
        <v>0</v>
      </c>
      <c r="BY263" s="37">
        <f t="shared" si="1"/>
        <v>0</v>
      </c>
      <c r="BZ263" s="37">
        <f t="shared" si="1"/>
        <v>0</v>
      </c>
      <c r="CA263" s="37">
        <f t="shared" si="1"/>
        <v>0</v>
      </c>
      <c r="CB263" s="37">
        <f t="shared" si="1"/>
        <v>0</v>
      </c>
      <c r="CC263" s="37">
        <f t="shared" si="1"/>
        <v>0</v>
      </c>
      <c r="CD263" s="37">
        <f t="shared" si="1"/>
        <v>0</v>
      </c>
      <c r="CE263" s="37">
        <f t="shared" si="1"/>
        <v>0</v>
      </c>
      <c r="CF263" s="37">
        <f t="shared" si="1"/>
        <v>0</v>
      </c>
      <c r="CG263" s="37">
        <f t="shared" si="1"/>
        <v>0</v>
      </c>
      <c r="CH263" s="37">
        <f t="shared" si="1"/>
        <v>0</v>
      </c>
      <c r="CI263" s="37">
        <f t="shared" si="1"/>
        <v>0</v>
      </c>
      <c r="CJ263" s="37">
        <f t="shared" si="1"/>
        <v>0</v>
      </c>
      <c r="CK263" s="37">
        <f t="shared" si="1"/>
        <v>0</v>
      </c>
      <c r="CL263" s="37">
        <f t="shared" si="1"/>
        <v>0</v>
      </c>
      <c r="CM263" s="37">
        <f t="shared" si="1"/>
        <v>0</v>
      </c>
      <c r="CN263" s="37">
        <f t="shared" si="1"/>
        <v>0</v>
      </c>
      <c r="CO263" s="37">
        <f t="shared" si="1"/>
        <v>0</v>
      </c>
      <c r="CP263" s="37">
        <f t="shared" si="1"/>
        <v>0</v>
      </c>
      <c r="CQ263" s="37">
        <f t="shared" si="1"/>
        <v>0</v>
      </c>
      <c r="CR263" s="37">
        <f t="shared" si="1"/>
        <v>0</v>
      </c>
      <c r="CS263" s="37">
        <f t="shared" si="1"/>
        <v>0</v>
      </c>
      <c r="CT263" s="37">
        <f t="shared" si="1"/>
        <v>0</v>
      </c>
      <c r="CU263" s="37">
        <f t="shared" si="1"/>
        <v>0</v>
      </c>
      <c r="CV263" s="37">
        <f t="shared" si="1"/>
        <v>0</v>
      </c>
      <c r="CW263" s="37">
        <f t="shared" si="1"/>
        <v>0</v>
      </c>
      <c r="CX263" s="37">
        <f t="shared" si="1"/>
        <v>0</v>
      </c>
      <c r="DB263" s="3" vm="512">
        <f ca="1">IF(Returns!A272&lt;&gt;0,Returns!A272,"")</f>
        <v>42072</v>
      </c>
      <c r="DC263" s="13">
        <f ca="1">IF(Returns!B276&gt;0,Returns!B276/Returns!B275-1,"")</f>
        <v>2.4147298520977856E-3</v>
      </c>
      <c r="DD263" s="13">
        <f ca="1">IF(Returns!D268&gt;0,Returns!D268/Returns!D267-1,"")</f>
        <v>1.0943876683853215E-2</v>
      </c>
    </row>
    <row r="264" spans="1:108" x14ac:dyDescent="0.3">
      <c r="B264" s="9" t="s">
        <v>1304</v>
      </c>
      <c r="C264" s="50">
        <f>IF(C4&lt;&gt;0,SLOPE(C5:C257,$B$5:$B$257),0)</f>
        <v>0</v>
      </c>
      <c r="D264" s="50">
        <f t="shared" ref="D264:BO264" si="2">IF(D4&lt;&gt;0,SLOPE(D5:D257,$B$5:$B$257),0)</f>
        <v>0</v>
      </c>
      <c r="E264" s="50">
        <f t="shared" si="2"/>
        <v>0</v>
      </c>
      <c r="F264" s="50">
        <f t="shared" si="2"/>
        <v>0</v>
      </c>
      <c r="G264" s="50">
        <f t="shared" si="2"/>
        <v>0</v>
      </c>
      <c r="H264" s="50">
        <f t="shared" si="2"/>
        <v>0</v>
      </c>
      <c r="I264" s="50">
        <f t="shared" si="2"/>
        <v>0</v>
      </c>
      <c r="J264" s="50">
        <f t="shared" si="2"/>
        <v>0</v>
      </c>
      <c r="K264" s="50">
        <f t="shared" si="2"/>
        <v>0</v>
      </c>
      <c r="L264" s="50">
        <f t="shared" si="2"/>
        <v>0</v>
      </c>
      <c r="M264" s="50">
        <f t="shared" si="2"/>
        <v>0</v>
      </c>
      <c r="N264" s="50">
        <f t="shared" si="2"/>
        <v>0</v>
      </c>
      <c r="O264" s="50">
        <f t="shared" si="2"/>
        <v>0</v>
      </c>
      <c r="P264" s="50">
        <f t="shared" si="2"/>
        <v>0</v>
      </c>
      <c r="Q264" s="50">
        <f t="shared" si="2"/>
        <v>0</v>
      </c>
      <c r="R264" s="50">
        <f t="shared" si="2"/>
        <v>0</v>
      </c>
      <c r="S264" s="50">
        <f t="shared" si="2"/>
        <v>0</v>
      </c>
      <c r="T264" s="50">
        <f t="shared" si="2"/>
        <v>0</v>
      </c>
      <c r="U264" s="50">
        <f t="shared" si="2"/>
        <v>0</v>
      </c>
      <c r="V264" s="50">
        <f t="shared" si="2"/>
        <v>0</v>
      </c>
      <c r="W264" s="50">
        <f t="shared" si="2"/>
        <v>0</v>
      </c>
      <c r="X264" s="50">
        <f t="shared" si="2"/>
        <v>0</v>
      </c>
      <c r="Y264" s="50">
        <f t="shared" si="2"/>
        <v>0</v>
      </c>
      <c r="Z264" s="50">
        <f t="shared" si="2"/>
        <v>0</v>
      </c>
      <c r="AA264" s="50">
        <f t="shared" si="2"/>
        <v>0</v>
      </c>
      <c r="AB264" s="50">
        <f t="shared" si="2"/>
        <v>0</v>
      </c>
      <c r="AC264" s="50">
        <f t="shared" si="2"/>
        <v>0</v>
      </c>
      <c r="AD264" s="50">
        <f t="shared" si="2"/>
        <v>0</v>
      </c>
      <c r="AE264" s="50">
        <f t="shared" si="2"/>
        <v>0</v>
      </c>
      <c r="AF264" s="50">
        <f t="shared" si="2"/>
        <v>0</v>
      </c>
      <c r="AG264" s="50">
        <f t="shared" si="2"/>
        <v>0</v>
      </c>
      <c r="AH264" s="50">
        <f t="shared" si="2"/>
        <v>0</v>
      </c>
      <c r="AI264" s="50">
        <f t="shared" si="2"/>
        <v>0</v>
      </c>
      <c r="AJ264" s="50">
        <f t="shared" si="2"/>
        <v>0</v>
      </c>
      <c r="AK264" s="50">
        <f t="shared" si="2"/>
        <v>0</v>
      </c>
      <c r="AL264" s="50">
        <f t="shared" si="2"/>
        <v>0</v>
      </c>
      <c r="AM264" s="50">
        <f t="shared" si="2"/>
        <v>0</v>
      </c>
      <c r="AN264" s="50">
        <f t="shared" si="2"/>
        <v>0</v>
      </c>
      <c r="AO264" s="50">
        <f t="shared" si="2"/>
        <v>0</v>
      </c>
      <c r="AP264" s="50">
        <f t="shared" si="2"/>
        <v>0</v>
      </c>
      <c r="AQ264" s="50">
        <f t="shared" si="2"/>
        <v>0</v>
      </c>
      <c r="AR264" s="50">
        <f t="shared" si="2"/>
        <v>0</v>
      </c>
      <c r="AS264" s="50">
        <f t="shared" si="2"/>
        <v>0</v>
      </c>
      <c r="AT264" s="50">
        <f t="shared" si="2"/>
        <v>0</v>
      </c>
      <c r="AU264" s="50">
        <f t="shared" si="2"/>
        <v>0</v>
      </c>
      <c r="AV264" s="50">
        <f t="shared" si="2"/>
        <v>0</v>
      </c>
      <c r="AW264" s="50">
        <f t="shared" si="2"/>
        <v>0</v>
      </c>
      <c r="AX264" s="50">
        <f t="shared" si="2"/>
        <v>0</v>
      </c>
      <c r="AY264" s="50">
        <f t="shared" si="2"/>
        <v>0</v>
      </c>
      <c r="AZ264" s="50">
        <f t="shared" si="2"/>
        <v>0</v>
      </c>
      <c r="BA264" s="50">
        <f t="shared" si="2"/>
        <v>0</v>
      </c>
      <c r="BB264" s="50">
        <f t="shared" si="2"/>
        <v>0</v>
      </c>
      <c r="BC264" s="50">
        <f t="shared" si="2"/>
        <v>0</v>
      </c>
      <c r="BD264" s="50">
        <f t="shared" si="2"/>
        <v>0</v>
      </c>
      <c r="BE264" s="50">
        <f t="shared" si="2"/>
        <v>0</v>
      </c>
      <c r="BF264" s="50">
        <f t="shared" si="2"/>
        <v>0</v>
      </c>
      <c r="BG264" s="50">
        <f t="shared" si="2"/>
        <v>0</v>
      </c>
      <c r="BH264" s="50">
        <f t="shared" si="2"/>
        <v>0</v>
      </c>
      <c r="BI264" s="50">
        <f t="shared" si="2"/>
        <v>0</v>
      </c>
      <c r="BJ264" s="50">
        <f t="shared" si="2"/>
        <v>0</v>
      </c>
      <c r="BK264" s="50">
        <f t="shared" si="2"/>
        <v>0</v>
      </c>
      <c r="BL264" s="50">
        <f t="shared" si="2"/>
        <v>0</v>
      </c>
      <c r="BM264" s="50">
        <f t="shared" si="2"/>
        <v>0</v>
      </c>
      <c r="BN264" s="50">
        <f t="shared" si="2"/>
        <v>0</v>
      </c>
      <c r="BO264" s="50">
        <f t="shared" si="2"/>
        <v>0</v>
      </c>
      <c r="BP264" s="50">
        <f t="shared" ref="BP264:CX264" si="3">IF(BP4&lt;&gt;0,SLOPE(BP5:BP257,$B$5:$B$257),0)</f>
        <v>0</v>
      </c>
      <c r="BQ264" s="50">
        <f t="shared" si="3"/>
        <v>0</v>
      </c>
      <c r="BR264" s="50">
        <f t="shared" si="3"/>
        <v>0</v>
      </c>
      <c r="BS264" s="50">
        <f t="shared" si="3"/>
        <v>0</v>
      </c>
      <c r="BT264" s="50">
        <f t="shared" si="3"/>
        <v>0</v>
      </c>
      <c r="BU264" s="50">
        <f t="shared" si="3"/>
        <v>0</v>
      </c>
      <c r="BV264" s="50">
        <f t="shared" si="3"/>
        <v>0</v>
      </c>
      <c r="BW264" s="50">
        <f t="shared" si="3"/>
        <v>0</v>
      </c>
      <c r="BX264" s="50">
        <f t="shared" si="3"/>
        <v>0</v>
      </c>
      <c r="BY264" s="50">
        <f t="shared" si="3"/>
        <v>0</v>
      </c>
      <c r="BZ264" s="50">
        <f t="shared" si="3"/>
        <v>0</v>
      </c>
      <c r="CA264" s="50">
        <f t="shared" si="3"/>
        <v>0</v>
      </c>
      <c r="CB264" s="50">
        <f t="shared" si="3"/>
        <v>0</v>
      </c>
      <c r="CC264" s="50">
        <f t="shared" si="3"/>
        <v>0</v>
      </c>
      <c r="CD264" s="50">
        <f t="shared" si="3"/>
        <v>0</v>
      </c>
      <c r="CE264" s="50">
        <f t="shared" si="3"/>
        <v>0</v>
      </c>
      <c r="CF264" s="50">
        <f t="shared" si="3"/>
        <v>0</v>
      </c>
      <c r="CG264" s="50">
        <f t="shared" si="3"/>
        <v>0</v>
      </c>
      <c r="CH264" s="50">
        <f t="shared" si="3"/>
        <v>0</v>
      </c>
      <c r="CI264" s="50">
        <f t="shared" si="3"/>
        <v>0</v>
      </c>
      <c r="CJ264" s="50">
        <f t="shared" si="3"/>
        <v>0</v>
      </c>
      <c r="CK264" s="50">
        <f t="shared" si="3"/>
        <v>0</v>
      </c>
      <c r="CL264" s="50">
        <f t="shared" si="3"/>
        <v>0</v>
      </c>
      <c r="CM264" s="50">
        <f t="shared" si="3"/>
        <v>0</v>
      </c>
      <c r="CN264" s="50">
        <f t="shared" si="3"/>
        <v>0</v>
      </c>
      <c r="CO264" s="50">
        <f t="shared" si="3"/>
        <v>0</v>
      </c>
      <c r="CP264" s="50">
        <f t="shared" si="3"/>
        <v>0</v>
      </c>
      <c r="CQ264" s="50">
        <f t="shared" si="3"/>
        <v>0</v>
      </c>
      <c r="CR264" s="50">
        <f t="shared" si="3"/>
        <v>0</v>
      </c>
      <c r="CS264" s="50">
        <f t="shared" si="3"/>
        <v>0</v>
      </c>
      <c r="CT264" s="50">
        <f t="shared" si="3"/>
        <v>0</v>
      </c>
      <c r="CU264" s="50">
        <f t="shared" si="3"/>
        <v>0</v>
      </c>
      <c r="CV264" s="50">
        <f t="shared" si="3"/>
        <v>0</v>
      </c>
      <c r="CW264" s="50">
        <f t="shared" si="3"/>
        <v>0</v>
      </c>
      <c r="CX264" s="50">
        <f t="shared" si="3"/>
        <v>0</v>
      </c>
      <c r="DB264" s="3" vm="513">
        <f ca="1">IF(Returns!A273&lt;&gt;0,Returns!A273,"")</f>
        <v>42079</v>
      </c>
      <c r="DC264" s="13">
        <f ca="1">IF(Returns!B277&gt;0,Returns!B277/Returns!B276-1,"")</f>
        <v>-1.9271303824149322E-2</v>
      </c>
      <c r="DD264" s="13">
        <f ca="1">IF(Returns!D269&gt;0,Returns!D269/Returns!D268-1,"")</f>
        <v>6.7197692365652539E-3</v>
      </c>
    </row>
    <row r="265" spans="1:108" x14ac:dyDescent="0.3">
      <c r="B265" s="7" t="s">
        <v>1305</v>
      </c>
      <c r="C265" s="51">
        <f>C264*C263</f>
        <v>0</v>
      </c>
      <c r="D265" s="51">
        <f t="shared" ref="D265:BO265" si="4">D264*D263</f>
        <v>0</v>
      </c>
      <c r="E265" s="51">
        <f t="shared" si="4"/>
        <v>0</v>
      </c>
      <c r="F265" s="51">
        <f t="shared" si="4"/>
        <v>0</v>
      </c>
      <c r="G265" s="51">
        <f t="shared" si="4"/>
        <v>0</v>
      </c>
      <c r="H265" s="51">
        <f t="shared" si="4"/>
        <v>0</v>
      </c>
      <c r="I265" s="51">
        <f t="shared" si="4"/>
        <v>0</v>
      </c>
      <c r="J265" s="51">
        <f t="shared" si="4"/>
        <v>0</v>
      </c>
      <c r="K265" s="51">
        <f t="shared" si="4"/>
        <v>0</v>
      </c>
      <c r="L265" s="51">
        <f t="shared" si="4"/>
        <v>0</v>
      </c>
      <c r="M265" s="51">
        <f t="shared" si="4"/>
        <v>0</v>
      </c>
      <c r="N265" s="51">
        <f t="shared" si="4"/>
        <v>0</v>
      </c>
      <c r="O265" s="51">
        <f t="shared" si="4"/>
        <v>0</v>
      </c>
      <c r="P265" s="51">
        <f t="shared" si="4"/>
        <v>0</v>
      </c>
      <c r="Q265" s="51">
        <f t="shared" si="4"/>
        <v>0</v>
      </c>
      <c r="R265" s="51">
        <f t="shared" si="4"/>
        <v>0</v>
      </c>
      <c r="S265" s="51">
        <f t="shared" si="4"/>
        <v>0</v>
      </c>
      <c r="T265" s="51">
        <f t="shared" si="4"/>
        <v>0</v>
      </c>
      <c r="U265" s="51">
        <f t="shared" si="4"/>
        <v>0</v>
      </c>
      <c r="V265" s="51">
        <f t="shared" si="4"/>
        <v>0</v>
      </c>
      <c r="W265" s="51">
        <f t="shared" si="4"/>
        <v>0</v>
      </c>
      <c r="X265" s="51">
        <f t="shared" si="4"/>
        <v>0</v>
      </c>
      <c r="Y265" s="51">
        <f t="shared" si="4"/>
        <v>0</v>
      </c>
      <c r="Z265" s="51">
        <f t="shared" si="4"/>
        <v>0</v>
      </c>
      <c r="AA265" s="51">
        <f t="shared" si="4"/>
        <v>0</v>
      </c>
      <c r="AB265" s="51">
        <f t="shared" si="4"/>
        <v>0</v>
      </c>
      <c r="AC265" s="51">
        <f t="shared" si="4"/>
        <v>0</v>
      </c>
      <c r="AD265" s="51">
        <f t="shared" si="4"/>
        <v>0</v>
      </c>
      <c r="AE265" s="51">
        <f t="shared" si="4"/>
        <v>0</v>
      </c>
      <c r="AF265" s="51">
        <f t="shared" si="4"/>
        <v>0</v>
      </c>
      <c r="AG265" s="51">
        <f t="shared" si="4"/>
        <v>0</v>
      </c>
      <c r="AH265" s="51">
        <f t="shared" si="4"/>
        <v>0</v>
      </c>
      <c r="AI265" s="51">
        <f t="shared" si="4"/>
        <v>0</v>
      </c>
      <c r="AJ265" s="51">
        <f t="shared" si="4"/>
        <v>0</v>
      </c>
      <c r="AK265" s="51">
        <f t="shared" si="4"/>
        <v>0</v>
      </c>
      <c r="AL265" s="51">
        <f t="shared" si="4"/>
        <v>0</v>
      </c>
      <c r="AM265" s="51">
        <f t="shared" si="4"/>
        <v>0</v>
      </c>
      <c r="AN265" s="51">
        <f t="shared" si="4"/>
        <v>0</v>
      </c>
      <c r="AO265" s="51">
        <f t="shared" si="4"/>
        <v>0</v>
      </c>
      <c r="AP265" s="51">
        <f t="shared" si="4"/>
        <v>0</v>
      </c>
      <c r="AQ265" s="51">
        <f t="shared" si="4"/>
        <v>0</v>
      </c>
      <c r="AR265" s="51">
        <f t="shared" si="4"/>
        <v>0</v>
      </c>
      <c r="AS265" s="51">
        <f t="shared" si="4"/>
        <v>0</v>
      </c>
      <c r="AT265" s="51">
        <f t="shared" si="4"/>
        <v>0</v>
      </c>
      <c r="AU265" s="51">
        <f t="shared" si="4"/>
        <v>0</v>
      </c>
      <c r="AV265" s="51">
        <f t="shared" si="4"/>
        <v>0</v>
      </c>
      <c r="AW265" s="51">
        <f t="shared" si="4"/>
        <v>0</v>
      </c>
      <c r="AX265" s="51">
        <f t="shared" si="4"/>
        <v>0</v>
      </c>
      <c r="AY265" s="51">
        <f t="shared" si="4"/>
        <v>0</v>
      </c>
      <c r="AZ265" s="51">
        <f t="shared" si="4"/>
        <v>0</v>
      </c>
      <c r="BA265" s="51">
        <f t="shared" si="4"/>
        <v>0</v>
      </c>
      <c r="BB265" s="51">
        <f t="shared" si="4"/>
        <v>0</v>
      </c>
      <c r="BC265" s="51">
        <f t="shared" si="4"/>
        <v>0</v>
      </c>
      <c r="BD265" s="51">
        <f t="shared" si="4"/>
        <v>0</v>
      </c>
      <c r="BE265" s="51">
        <f t="shared" si="4"/>
        <v>0</v>
      </c>
      <c r="BF265" s="51">
        <f t="shared" si="4"/>
        <v>0</v>
      </c>
      <c r="BG265" s="51">
        <f t="shared" si="4"/>
        <v>0</v>
      </c>
      <c r="BH265" s="51">
        <f t="shared" si="4"/>
        <v>0</v>
      </c>
      <c r="BI265" s="51">
        <f t="shared" si="4"/>
        <v>0</v>
      </c>
      <c r="BJ265" s="51">
        <f t="shared" si="4"/>
        <v>0</v>
      </c>
      <c r="BK265" s="51">
        <f t="shared" si="4"/>
        <v>0</v>
      </c>
      <c r="BL265" s="51">
        <f t="shared" si="4"/>
        <v>0</v>
      </c>
      <c r="BM265" s="51">
        <f t="shared" si="4"/>
        <v>0</v>
      </c>
      <c r="BN265" s="51">
        <f t="shared" si="4"/>
        <v>0</v>
      </c>
      <c r="BO265" s="51">
        <f t="shared" si="4"/>
        <v>0</v>
      </c>
      <c r="BP265" s="51">
        <f t="shared" ref="BP265:CX265" si="5">BP264*BP263</f>
        <v>0</v>
      </c>
      <c r="BQ265" s="51">
        <f t="shared" si="5"/>
        <v>0</v>
      </c>
      <c r="BR265" s="51">
        <f t="shared" si="5"/>
        <v>0</v>
      </c>
      <c r="BS265" s="51">
        <f t="shared" si="5"/>
        <v>0</v>
      </c>
      <c r="BT265" s="51">
        <f t="shared" si="5"/>
        <v>0</v>
      </c>
      <c r="BU265" s="51">
        <f t="shared" si="5"/>
        <v>0</v>
      </c>
      <c r="BV265" s="51">
        <f t="shared" si="5"/>
        <v>0</v>
      </c>
      <c r="BW265" s="51">
        <f t="shared" si="5"/>
        <v>0</v>
      </c>
      <c r="BX265" s="51">
        <f t="shared" si="5"/>
        <v>0</v>
      </c>
      <c r="BY265" s="51">
        <f t="shared" si="5"/>
        <v>0</v>
      </c>
      <c r="BZ265" s="51">
        <f t="shared" si="5"/>
        <v>0</v>
      </c>
      <c r="CA265" s="51">
        <f t="shared" si="5"/>
        <v>0</v>
      </c>
      <c r="CB265" s="51">
        <f t="shared" si="5"/>
        <v>0</v>
      </c>
      <c r="CC265" s="51">
        <f t="shared" si="5"/>
        <v>0</v>
      </c>
      <c r="CD265" s="51">
        <f t="shared" si="5"/>
        <v>0</v>
      </c>
      <c r="CE265" s="51">
        <f t="shared" si="5"/>
        <v>0</v>
      </c>
      <c r="CF265" s="51">
        <f t="shared" si="5"/>
        <v>0</v>
      </c>
      <c r="CG265" s="51">
        <f t="shared" si="5"/>
        <v>0</v>
      </c>
      <c r="CH265" s="51">
        <f t="shared" si="5"/>
        <v>0</v>
      </c>
      <c r="CI265" s="51">
        <f t="shared" si="5"/>
        <v>0</v>
      </c>
      <c r="CJ265" s="51">
        <f t="shared" si="5"/>
        <v>0</v>
      </c>
      <c r="CK265" s="51">
        <f t="shared" si="5"/>
        <v>0</v>
      </c>
      <c r="CL265" s="51">
        <f t="shared" si="5"/>
        <v>0</v>
      </c>
      <c r="CM265" s="51">
        <f t="shared" si="5"/>
        <v>0</v>
      </c>
      <c r="CN265" s="51">
        <f t="shared" si="5"/>
        <v>0</v>
      </c>
      <c r="CO265" s="51">
        <f t="shared" si="5"/>
        <v>0</v>
      </c>
      <c r="CP265" s="51">
        <f t="shared" si="5"/>
        <v>0</v>
      </c>
      <c r="CQ265" s="51">
        <f t="shared" si="5"/>
        <v>0</v>
      </c>
      <c r="CR265" s="51">
        <f t="shared" si="5"/>
        <v>0</v>
      </c>
      <c r="CS265" s="51">
        <f t="shared" si="5"/>
        <v>0</v>
      </c>
      <c r="CT265" s="51">
        <f t="shared" si="5"/>
        <v>0</v>
      </c>
      <c r="CU265" s="51">
        <f t="shared" si="5"/>
        <v>0</v>
      </c>
      <c r="CV265" s="51">
        <f t="shared" si="5"/>
        <v>0</v>
      </c>
      <c r="CW265" s="51">
        <f t="shared" si="5"/>
        <v>0</v>
      </c>
      <c r="CX265" s="51">
        <f t="shared" si="5"/>
        <v>0</v>
      </c>
      <c r="DB265" s="3" vm="514">
        <f ca="1">IF(Returns!A274&lt;&gt;0,Returns!A274,"")</f>
        <v>42086</v>
      </c>
      <c r="DC265" s="13">
        <f ca="1">IF(Returns!B278&gt;0,Returns!B278/Returns!B277-1,"")</f>
        <v>-4.298434141848384E-3</v>
      </c>
      <c r="DD265" s="13">
        <f ca="1">IF(Returns!D270&gt;0,Returns!D270/Returns!D269-1,"")</f>
        <v>-4.26588334423883E-4</v>
      </c>
    </row>
    <row r="266" spans="1:108" x14ac:dyDescent="0.3">
      <c r="B266" s="4" t="s">
        <v>1309</v>
      </c>
      <c r="C266" s="48">
        <f>SUM($C$265:$CX$265)</f>
        <v>0</v>
      </c>
      <c r="DB266" s="3" vm="515">
        <f ca="1">IF(Returns!A275&lt;&gt;0,Returns!A275,"")</f>
        <v>42093</v>
      </c>
      <c r="DC266" s="13">
        <f ca="1">IF(Returns!B279&gt;0,Returns!B279/Returns!B278-1,"")</f>
        <v>-1.788467468393462E-2</v>
      </c>
      <c r="DD266" s="13">
        <f ca="1">IF(Returns!D271&gt;0,Returns!D271/Returns!D270-1,"")</f>
        <v>-1.5216657211465701E-2</v>
      </c>
    </row>
    <row r="267" spans="1:108" x14ac:dyDescent="0.3">
      <c r="DB267" s="3" vm="516">
        <f ca="1">IF(Returns!A276&lt;&gt;0,Returns!A276,"")</f>
        <v>42100</v>
      </c>
      <c r="DC267" s="13">
        <f ca="1">IF(Returns!B280&gt;0,Returns!B280/Returns!B279-1,"")</f>
        <v>1.8838304552590834E-3</v>
      </c>
      <c r="DD267" s="13">
        <f ca="1">IF(Returns!D272&gt;0,Returns!D272/Returns!D271-1,"")</f>
        <v>-6.0185199548439261E-3</v>
      </c>
    </row>
    <row r="268" spans="1:108" x14ac:dyDescent="0.3">
      <c r="DB268" s="3" vm="517">
        <f ca="1">IF(Returns!A277&lt;&gt;0,Returns!A277,"")</f>
        <v>42107</v>
      </c>
      <c r="DC268" s="13">
        <f ca="1">IF(Returns!B281&gt;0,Returns!B281/Returns!B280-1,"")</f>
        <v>4.3873393920399462E-3</v>
      </c>
      <c r="DD268" s="13">
        <f ca="1">IF(Returns!D273&gt;0,Returns!D273/Returns!D272-1,"")</f>
        <v>2.1315898079828699E-2</v>
      </c>
    </row>
    <row r="269" spans="1:108" x14ac:dyDescent="0.3">
      <c r="B269" s="9" t="s">
        <v>1307</v>
      </c>
      <c r="C269" s="22">
        <f>IF(C4&lt;&gt;0,_xlfn.STDEV.P(C5:C257),0)</f>
        <v>0</v>
      </c>
      <c r="D269" s="22">
        <f t="shared" ref="D269:BO269" si="6">IF(D4&lt;&gt;0,_xlfn.STDEV.P(D5:D257),0)</f>
        <v>0</v>
      </c>
      <c r="E269" s="22">
        <f t="shared" si="6"/>
        <v>0</v>
      </c>
      <c r="F269" s="22">
        <f t="shared" si="6"/>
        <v>0</v>
      </c>
      <c r="G269" s="22">
        <f t="shared" si="6"/>
        <v>0</v>
      </c>
      <c r="H269" s="22">
        <f t="shared" si="6"/>
        <v>0</v>
      </c>
      <c r="I269" s="22">
        <f t="shared" si="6"/>
        <v>0</v>
      </c>
      <c r="J269" s="22">
        <f t="shared" si="6"/>
        <v>0</v>
      </c>
      <c r="K269" s="22">
        <f t="shared" si="6"/>
        <v>0</v>
      </c>
      <c r="L269" s="22">
        <f t="shared" si="6"/>
        <v>0</v>
      </c>
      <c r="M269" s="22">
        <f t="shared" si="6"/>
        <v>0</v>
      </c>
      <c r="N269" s="22">
        <f t="shared" si="6"/>
        <v>0</v>
      </c>
      <c r="O269" s="22">
        <f t="shared" si="6"/>
        <v>0</v>
      </c>
      <c r="P269" s="22">
        <f t="shared" si="6"/>
        <v>0</v>
      </c>
      <c r="Q269" s="22">
        <f t="shared" si="6"/>
        <v>0</v>
      </c>
      <c r="R269" s="22">
        <f t="shared" si="6"/>
        <v>0</v>
      </c>
      <c r="S269" s="22">
        <f t="shared" si="6"/>
        <v>0</v>
      </c>
      <c r="T269" s="22">
        <f t="shared" si="6"/>
        <v>0</v>
      </c>
      <c r="U269" s="22">
        <f t="shared" si="6"/>
        <v>0</v>
      </c>
      <c r="V269" s="22">
        <f t="shared" si="6"/>
        <v>0</v>
      </c>
      <c r="W269" s="22">
        <f t="shared" si="6"/>
        <v>0</v>
      </c>
      <c r="X269" s="22">
        <f t="shared" si="6"/>
        <v>0</v>
      </c>
      <c r="Y269" s="22">
        <f t="shared" si="6"/>
        <v>0</v>
      </c>
      <c r="Z269" s="22">
        <f t="shared" si="6"/>
        <v>0</v>
      </c>
      <c r="AA269" s="22">
        <f t="shared" si="6"/>
        <v>0</v>
      </c>
      <c r="AB269" s="22">
        <f t="shared" si="6"/>
        <v>0</v>
      </c>
      <c r="AC269" s="22">
        <f t="shared" si="6"/>
        <v>0</v>
      </c>
      <c r="AD269" s="22">
        <f t="shared" si="6"/>
        <v>0</v>
      </c>
      <c r="AE269" s="22">
        <f t="shared" si="6"/>
        <v>0</v>
      </c>
      <c r="AF269" s="22">
        <f t="shared" si="6"/>
        <v>0</v>
      </c>
      <c r="AG269" s="22">
        <f t="shared" si="6"/>
        <v>0</v>
      </c>
      <c r="AH269" s="22">
        <f t="shared" si="6"/>
        <v>0</v>
      </c>
      <c r="AI269" s="22">
        <f t="shared" si="6"/>
        <v>0</v>
      </c>
      <c r="AJ269" s="22">
        <f t="shared" si="6"/>
        <v>0</v>
      </c>
      <c r="AK269" s="22">
        <f t="shared" si="6"/>
        <v>0</v>
      </c>
      <c r="AL269" s="22">
        <f t="shared" si="6"/>
        <v>0</v>
      </c>
      <c r="AM269" s="22">
        <f t="shared" si="6"/>
        <v>0</v>
      </c>
      <c r="AN269" s="22">
        <f t="shared" si="6"/>
        <v>0</v>
      </c>
      <c r="AO269" s="22">
        <f t="shared" si="6"/>
        <v>0</v>
      </c>
      <c r="AP269" s="22">
        <f t="shared" si="6"/>
        <v>0</v>
      </c>
      <c r="AQ269" s="22">
        <f t="shared" si="6"/>
        <v>0</v>
      </c>
      <c r="AR269" s="22">
        <f t="shared" si="6"/>
        <v>0</v>
      </c>
      <c r="AS269" s="22">
        <f t="shared" si="6"/>
        <v>0</v>
      </c>
      <c r="AT269" s="22">
        <f t="shared" si="6"/>
        <v>0</v>
      </c>
      <c r="AU269" s="22">
        <f t="shared" si="6"/>
        <v>0</v>
      </c>
      <c r="AV269" s="22">
        <f t="shared" si="6"/>
        <v>0</v>
      </c>
      <c r="AW269" s="22">
        <f t="shared" si="6"/>
        <v>0</v>
      </c>
      <c r="AX269" s="22">
        <f t="shared" si="6"/>
        <v>0</v>
      </c>
      <c r="AY269" s="22">
        <f t="shared" si="6"/>
        <v>0</v>
      </c>
      <c r="AZ269" s="22">
        <f t="shared" si="6"/>
        <v>0</v>
      </c>
      <c r="BA269" s="22">
        <f t="shared" si="6"/>
        <v>0</v>
      </c>
      <c r="BB269" s="22">
        <f t="shared" si="6"/>
        <v>0</v>
      </c>
      <c r="BC269" s="22">
        <f t="shared" si="6"/>
        <v>0</v>
      </c>
      <c r="BD269" s="22">
        <f t="shared" si="6"/>
        <v>0</v>
      </c>
      <c r="BE269" s="22">
        <f t="shared" si="6"/>
        <v>0</v>
      </c>
      <c r="BF269" s="22">
        <f t="shared" si="6"/>
        <v>0</v>
      </c>
      <c r="BG269" s="22">
        <f t="shared" si="6"/>
        <v>0</v>
      </c>
      <c r="BH269" s="22">
        <f t="shared" si="6"/>
        <v>0</v>
      </c>
      <c r="BI269" s="22">
        <f t="shared" si="6"/>
        <v>0</v>
      </c>
      <c r="BJ269" s="22">
        <f t="shared" si="6"/>
        <v>0</v>
      </c>
      <c r="BK269" s="22">
        <f t="shared" si="6"/>
        <v>0</v>
      </c>
      <c r="BL269" s="22">
        <f t="shared" si="6"/>
        <v>0</v>
      </c>
      <c r="BM269" s="22">
        <f t="shared" si="6"/>
        <v>0</v>
      </c>
      <c r="BN269" s="22">
        <f t="shared" si="6"/>
        <v>0</v>
      </c>
      <c r="BO269" s="22">
        <f t="shared" si="6"/>
        <v>0</v>
      </c>
      <c r="BP269" s="22">
        <f t="shared" ref="BP269:CX269" si="7">IF(BP4&lt;&gt;0,_xlfn.STDEV.P(BP5:BP257),0)</f>
        <v>0</v>
      </c>
      <c r="BQ269" s="22">
        <f t="shared" si="7"/>
        <v>0</v>
      </c>
      <c r="BR269" s="22">
        <f t="shared" si="7"/>
        <v>0</v>
      </c>
      <c r="BS269" s="22">
        <f t="shared" si="7"/>
        <v>0</v>
      </c>
      <c r="BT269" s="22">
        <f t="shared" si="7"/>
        <v>0</v>
      </c>
      <c r="BU269" s="22">
        <f t="shared" si="7"/>
        <v>0</v>
      </c>
      <c r="BV269" s="22">
        <f t="shared" si="7"/>
        <v>0</v>
      </c>
      <c r="BW269" s="22">
        <f t="shared" si="7"/>
        <v>0</v>
      </c>
      <c r="BX269" s="22">
        <f t="shared" si="7"/>
        <v>0</v>
      </c>
      <c r="BY269" s="22">
        <f t="shared" si="7"/>
        <v>0</v>
      </c>
      <c r="BZ269" s="22">
        <f t="shared" si="7"/>
        <v>0</v>
      </c>
      <c r="CA269" s="22">
        <f t="shared" si="7"/>
        <v>0</v>
      </c>
      <c r="CB269" s="22">
        <f t="shared" si="7"/>
        <v>0</v>
      </c>
      <c r="CC269" s="22">
        <f t="shared" si="7"/>
        <v>0</v>
      </c>
      <c r="CD269" s="22">
        <f t="shared" si="7"/>
        <v>0</v>
      </c>
      <c r="CE269" s="22">
        <f t="shared" si="7"/>
        <v>0</v>
      </c>
      <c r="CF269" s="22">
        <f t="shared" si="7"/>
        <v>0</v>
      </c>
      <c r="CG269" s="22">
        <f t="shared" si="7"/>
        <v>0</v>
      </c>
      <c r="CH269" s="22">
        <f t="shared" si="7"/>
        <v>0</v>
      </c>
      <c r="CI269" s="22">
        <f t="shared" si="7"/>
        <v>0</v>
      </c>
      <c r="CJ269" s="22">
        <f t="shared" si="7"/>
        <v>0</v>
      </c>
      <c r="CK269" s="22">
        <f t="shared" si="7"/>
        <v>0</v>
      </c>
      <c r="CL269" s="22">
        <f t="shared" si="7"/>
        <v>0</v>
      </c>
      <c r="CM269" s="22">
        <f t="shared" si="7"/>
        <v>0</v>
      </c>
      <c r="CN269" s="22">
        <f t="shared" si="7"/>
        <v>0</v>
      </c>
      <c r="CO269" s="22">
        <f t="shared" si="7"/>
        <v>0</v>
      </c>
      <c r="CP269" s="22">
        <f t="shared" si="7"/>
        <v>0</v>
      </c>
      <c r="CQ269" s="22">
        <f t="shared" si="7"/>
        <v>0</v>
      </c>
      <c r="CR269" s="22">
        <f t="shared" si="7"/>
        <v>0</v>
      </c>
      <c r="CS269" s="22">
        <f t="shared" si="7"/>
        <v>0</v>
      </c>
      <c r="CT269" s="22">
        <f t="shared" si="7"/>
        <v>0</v>
      </c>
      <c r="CU269" s="22">
        <f t="shared" si="7"/>
        <v>0</v>
      </c>
      <c r="CV269" s="22">
        <f t="shared" si="7"/>
        <v>0</v>
      </c>
      <c r="CW269" s="22">
        <f t="shared" si="7"/>
        <v>0</v>
      </c>
      <c r="CX269" s="22">
        <f t="shared" si="7"/>
        <v>0</v>
      </c>
      <c r="DB269" s="3" vm="518">
        <f ca="1">IF(Returns!A278&lt;&gt;0,Returns!A278,"")</f>
        <v>42114</v>
      </c>
      <c r="DC269" s="13">
        <f ca="1">IF(Returns!B282&gt;0,Returns!B282/Returns!B281-1,"")</f>
        <v>7.8003120124805481E-3</v>
      </c>
      <c r="DD269" s="13">
        <f ca="1">IF(Returns!D274&gt;0,Returns!D274/Returns!D273-1,"")</f>
        <v>-2.2892670834564255E-2</v>
      </c>
    </row>
    <row r="270" spans="1:108" x14ac:dyDescent="0.3">
      <c r="B270" s="7" t="s">
        <v>1308</v>
      </c>
      <c r="C270" s="38">
        <f>IF(C4&lt;&gt;0,C269*C263,0)</f>
        <v>0</v>
      </c>
      <c r="D270" s="38">
        <f t="shared" ref="D270:BO270" si="8">IF(D4&lt;&gt;0,D269*D263,0)</f>
        <v>0</v>
      </c>
      <c r="E270" s="38">
        <f t="shared" si="8"/>
        <v>0</v>
      </c>
      <c r="F270" s="38">
        <f t="shared" si="8"/>
        <v>0</v>
      </c>
      <c r="G270" s="38">
        <f t="shared" si="8"/>
        <v>0</v>
      </c>
      <c r="H270" s="38">
        <f t="shared" si="8"/>
        <v>0</v>
      </c>
      <c r="I270" s="38">
        <f t="shared" si="8"/>
        <v>0</v>
      </c>
      <c r="J270" s="38">
        <f t="shared" si="8"/>
        <v>0</v>
      </c>
      <c r="K270" s="38">
        <f t="shared" si="8"/>
        <v>0</v>
      </c>
      <c r="L270" s="38">
        <f t="shared" si="8"/>
        <v>0</v>
      </c>
      <c r="M270" s="38">
        <f t="shared" si="8"/>
        <v>0</v>
      </c>
      <c r="N270" s="38">
        <f t="shared" si="8"/>
        <v>0</v>
      </c>
      <c r="O270" s="38">
        <f t="shared" si="8"/>
        <v>0</v>
      </c>
      <c r="P270" s="38">
        <f t="shared" si="8"/>
        <v>0</v>
      </c>
      <c r="Q270" s="38">
        <f t="shared" si="8"/>
        <v>0</v>
      </c>
      <c r="R270" s="38">
        <f t="shared" si="8"/>
        <v>0</v>
      </c>
      <c r="S270" s="38">
        <f t="shared" si="8"/>
        <v>0</v>
      </c>
      <c r="T270" s="38">
        <f t="shared" si="8"/>
        <v>0</v>
      </c>
      <c r="U270" s="38">
        <f t="shared" si="8"/>
        <v>0</v>
      </c>
      <c r="V270" s="38">
        <f t="shared" si="8"/>
        <v>0</v>
      </c>
      <c r="W270" s="38">
        <f t="shared" si="8"/>
        <v>0</v>
      </c>
      <c r="X270" s="38">
        <f t="shared" si="8"/>
        <v>0</v>
      </c>
      <c r="Y270" s="38">
        <f t="shared" si="8"/>
        <v>0</v>
      </c>
      <c r="Z270" s="38">
        <f t="shared" si="8"/>
        <v>0</v>
      </c>
      <c r="AA270" s="38">
        <f t="shared" si="8"/>
        <v>0</v>
      </c>
      <c r="AB270" s="38">
        <f t="shared" si="8"/>
        <v>0</v>
      </c>
      <c r="AC270" s="38">
        <f t="shared" si="8"/>
        <v>0</v>
      </c>
      <c r="AD270" s="38">
        <f t="shared" si="8"/>
        <v>0</v>
      </c>
      <c r="AE270" s="38">
        <f t="shared" si="8"/>
        <v>0</v>
      </c>
      <c r="AF270" s="38">
        <f t="shared" si="8"/>
        <v>0</v>
      </c>
      <c r="AG270" s="38">
        <f t="shared" si="8"/>
        <v>0</v>
      </c>
      <c r="AH270" s="38">
        <f t="shared" si="8"/>
        <v>0</v>
      </c>
      <c r="AI270" s="38">
        <f t="shared" si="8"/>
        <v>0</v>
      </c>
      <c r="AJ270" s="38">
        <f t="shared" si="8"/>
        <v>0</v>
      </c>
      <c r="AK270" s="38">
        <f t="shared" si="8"/>
        <v>0</v>
      </c>
      <c r="AL270" s="38">
        <f t="shared" si="8"/>
        <v>0</v>
      </c>
      <c r="AM270" s="38">
        <f t="shared" si="8"/>
        <v>0</v>
      </c>
      <c r="AN270" s="38">
        <f t="shared" si="8"/>
        <v>0</v>
      </c>
      <c r="AO270" s="38">
        <f t="shared" si="8"/>
        <v>0</v>
      </c>
      <c r="AP270" s="38">
        <f t="shared" si="8"/>
        <v>0</v>
      </c>
      <c r="AQ270" s="38">
        <f t="shared" si="8"/>
        <v>0</v>
      </c>
      <c r="AR270" s="38">
        <f t="shared" si="8"/>
        <v>0</v>
      </c>
      <c r="AS270" s="38">
        <f t="shared" si="8"/>
        <v>0</v>
      </c>
      <c r="AT270" s="38">
        <f t="shared" si="8"/>
        <v>0</v>
      </c>
      <c r="AU270" s="38">
        <f t="shared" si="8"/>
        <v>0</v>
      </c>
      <c r="AV270" s="38">
        <f t="shared" si="8"/>
        <v>0</v>
      </c>
      <c r="AW270" s="38">
        <f t="shared" si="8"/>
        <v>0</v>
      </c>
      <c r="AX270" s="38">
        <f t="shared" si="8"/>
        <v>0</v>
      </c>
      <c r="AY270" s="38">
        <f t="shared" si="8"/>
        <v>0</v>
      </c>
      <c r="AZ270" s="38">
        <f t="shared" si="8"/>
        <v>0</v>
      </c>
      <c r="BA270" s="38">
        <f t="shared" si="8"/>
        <v>0</v>
      </c>
      <c r="BB270" s="38">
        <f t="shared" si="8"/>
        <v>0</v>
      </c>
      <c r="BC270" s="38">
        <f t="shared" si="8"/>
        <v>0</v>
      </c>
      <c r="BD270" s="38">
        <f t="shared" si="8"/>
        <v>0</v>
      </c>
      <c r="BE270" s="38">
        <f t="shared" si="8"/>
        <v>0</v>
      </c>
      <c r="BF270" s="38">
        <f t="shared" si="8"/>
        <v>0</v>
      </c>
      <c r="BG270" s="38">
        <f t="shared" si="8"/>
        <v>0</v>
      </c>
      <c r="BH270" s="38">
        <f t="shared" si="8"/>
        <v>0</v>
      </c>
      <c r="BI270" s="38">
        <f t="shared" si="8"/>
        <v>0</v>
      </c>
      <c r="BJ270" s="38">
        <f t="shared" si="8"/>
        <v>0</v>
      </c>
      <c r="BK270" s="38">
        <f t="shared" si="8"/>
        <v>0</v>
      </c>
      <c r="BL270" s="38">
        <f t="shared" si="8"/>
        <v>0</v>
      </c>
      <c r="BM270" s="38">
        <f t="shared" si="8"/>
        <v>0</v>
      </c>
      <c r="BN270" s="38">
        <f t="shared" si="8"/>
        <v>0</v>
      </c>
      <c r="BO270" s="38">
        <f t="shared" si="8"/>
        <v>0</v>
      </c>
      <c r="BP270" s="38">
        <f t="shared" ref="BP270:CX270" si="9">IF(BP4&lt;&gt;0,BP269*BP263,0)</f>
        <v>0</v>
      </c>
      <c r="BQ270" s="38">
        <f t="shared" si="9"/>
        <v>0</v>
      </c>
      <c r="BR270" s="38">
        <f t="shared" si="9"/>
        <v>0</v>
      </c>
      <c r="BS270" s="38">
        <f t="shared" si="9"/>
        <v>0</v>
      </c>
      <c r="BT270" s="38">
        <f t="shared" si="9"/>
        <v>0</v>
      </c>
      <c r="BU270" s="38">
        <f t="shared" si="9"/>
        <v>0</v>
      </c>
      <c r="BV270" s="38">
        <f t="shared" si="9"/>
        <v>0</v>
      </c>
      <c r="BW270" s="38">
        <f t="shared" si="9"/>
        <v>0</v>
      </c>
      <c r="BX270" s="38">
        <f t="shared" si="9"/>
        <v>0</v>
      </c>
      <c r="BY270" s="38">
        <f t="shared" si="9"/>
        <v>0</v>
      </c>
      <c r="BZ270" s="38">
        <f t="shared" si="9"/>
        <v>0</v>
      </c>
      <c r="CA270" s="38">
        <f t="shared" si="9"/>
        <v>0</v>
      </c>
      <c r="CB270" s="38">
        <f t="shared" si="9"/>
        <v>0</v>
      </c>
      <c r="CC270" s="38">
        <f t="shared" si="9"/>
        <v>0</v>
      </c>
      <c r="CD270" s="38">
        <f t="shared" si="9"/>
        <v>0</v>
      </c>
      <c r="CE270" s="38">
        <f t="shared" si="9"/>
        <v>0</v>
      </c>
      <c r="CF270" s="38">
        <f t="shared" si="9"/>
        <v>0</v>
      </c>
      <c r="CG270" s="38">
        <f t="shared" si="9"/>
        <v>0</v>
      </c>
      <c r="CH270" s="38">
        <f t="shared" si="9"/>
        <v>0</v>
      </c>
      <c r="CI270" s="38">
        <f t="shared" si="9"/>
        <v>0</v>
      </c>
      <c r="CJ270" s="38">
        <f t="shared" si="9"/>
        <v>0</v>
      </c>
      <c r="CK270" s="38">
        <f t="shared" si="9"/>
        <v>0</v>
      </c>
      <c r="CL270" s="38">
        <f t="shared" si="9"/>
        <v>0</v>
      </c>
      <c r="CM270" s="38">
        <f t="shared" si="9"/>
        <v>0</v>
      </c>
      <c r="CN270" s="38">
        <f t="shared" si="9"/>
        <v>0</v>
      </c>
      <c r="CO270" s="38">
        <f t="shared" si="9"/>
        <v>0</v>
      </c>
      <c r="CP270" s="38">
        <f t="shared" si="9"/>
        <v>0</v>
      </c>
      <c r="CQ270" s="38">
        <f t="shared" si="9"/>
        <v>0</v>
      </c>
      <c r="CR270" s="38">
        <f t="shared" si="9"/>
        <v>0</v>
      </c>
      <c r="CS270" s="38">
        <f t="shared" si="9"/>
        <v>0</v>
      </c>
      <c r="CT270" s="38">
        <f t="shared" si="9"/>
        <v>0</v>
      </c>
      <c r="CU270" s="38">
        <f t="shared" si="9"/>
        <v>0</v>
      </c>
      <c r="CV270" s="38">
        <f t="shared" si="9"/>
        <v>0</v>
      </c>
      <c r="CW270" s="38">
        <f t="shared" si="9"/>
        <v>0</v>
      </c>
      <c r="CX270" s="38">
        <f t="shared" si="9"/>
        <v>0</v>
      </c>
      <c r="DB270" s="3" vm="519">
        <f ca="1">IF(Returns!A279&lt;&gt;0,Returns!A279,"")</f>
        <v>42121</v>
      </c>
      <c r="DC270" s="13">
        <f ca="1">IF(Returns!B283&gt;0,Returns!B283/Returns!B282-1,"")</f>
        <v>2.7863777089784936E-3</v>
      </c>
      <c r="DD270" s="13">
        <f ca="1">IF(Returns!D275&gt;0,Returns!D275/Returns!D274-1,"")</f>
        <v>2.8556349932002956E-3</v>
      </c>
    </row>
    <row r="271" spans="1:108" x14ac:dyDescent="0.3">
      <c r="B271" s="4" t="s">
        <v>1310</v>
      </c>
      <c r="C271" s="49">
        <f>SUM($C$270:$CX$270)</f>
        <v>0</v>
      </c>
      <c r="DB271" s="3" vm="520">
        <f ca="1">IF(Returns!A280&lt;&gt;0,Returns!A280,"")</f>
        <v>42128</v>
      </c>
      <c r="DC271" s="13">
        <f ca="1">IF(Returns!B284&gt;0,Returns!B284/Returns!B283-1,"")</f>
        <v>1.6671812287743171E-2</v>
      </c>
      <c r="DD271" s="13">
        <f ca="1">IF(Returns!D276&gt;0,Returns!D276/Returns!D275-1,"")</f>
        <v>1.657412932653668E-2</v>
      </c>
    </row>
    <row r="272" spans="1:108" x14ac:dyDescent="0.3">
      <c r="DB272" s="3" vm="521">
        <f ca="1">IF(Returns!A281&lt;&gt;0,Returns!A281,"")</f>
        <v>42135</v>
      </c>
      <c r="DC272" s="13">
        <f ca="1">IF(Returns!B285&gt;0,Returns!B285/Returns!B284-1,"")</f>
        <v>1.3665350744002547E-2</v>
      </c>
      <c r="DD272" s="13">
        <f ca="1">IF(Returns!D277&gt;0,Returns!D277/Returns!D276-1,"")</f>
        <v>-1.2811797076121789E-2</v>
      </c>
    </row>
    <row r="273" spans="2:108" x14ac:dyDescent="0.3">
      <c r="DB273" s="3" vm="522">
        <f ca="1">IF(Returns!A282&lt;&gt;0,Returns!A282,"")</f>
        <v>42142</v>
      </c>
      <c r="DC273" s="13">
        <f ca="1">IF(Returns!B286&gt;0,Returns!B286/Returns!B285-1,"")</f>
        <v>4.7932893948470223E-3</v>
      </c>
      <c r="DD273" s="13">
        <f ca="1">IF(Returns!D278&gt;0,Returns!D278/Returns!D277-1,"")</f>
        <v>1.423956490451439E-2</v>
      </c>
    </row>
    <row r="274" spans="2:108" x14ac:dyDescent="0.3">
      <c r="B274" s="8" t="s">
        <v>1311</v>
      </c>
      <c r="DB274" s="3" vm="523">
        <f ca="1">IF(Returns!A283&lt;&gt;0,Returns!A283,"")</f>
        <v>42150</v>
      </c>
      <c r="DC274" s="13">
        <f ca="1">IF(Returns!B287&gt;0,Returns!B287/Returns!B286-1,"")</f>
        <v>-1.222420989862838E-2</v>
      </c>
      <c r="DD274" s="13">
        <f ca="1">IF(Returns!D279&gt;0,Returns!D279/Returns!D278-1,"")</f>
        <v>-3.1020829543378925E-3</v>
      </c>
    </row>
    <row r="275" spans="2:108" x14ac:dyDescent="0.3">
      <c r="B275" s="9" t="s">
        <v>204</v>
      </c>
      <c r="C275" s="13">
        <f>IF(C4&lt;&gt;0,C$5/C$29-1,0)</f>
        <v>0</v>
      </c>
      <c r="D275" s="13">
        <f t="shared" ref="D275:BO275" si="10">IF(D4&lt;&gt;0,D$5/D$29-1,0)</f>
        <v>0</v>
      </c>
      <c r="E275" s="13">
        <f t="shared" si="10"/>
        <v>0</v>
      </c>
      <c r="F275" s="13">
        <f t="shared" si="10"/>
        <v>0</v>
      </c>
      <c r="G275" s="13">
        <f t="shared" si="10"/>
        <v>0</v>
      </c>
      <c r="H275" s="13">
        <f t="shared" si="10"/>
        <v>0</v>
      </c>
      <c r="I275" s="13">
        <f t="shared" si="10"/>
        <v>0</v>
      </c>
      <c r="J275" s="13">
        <f t="shared" si="10"/>
        <v>0</v>
      </c>
      <c r="K275" s="13">
        <f t="shared" si="10"/>
        <v>0</v>
      </c>
      <c r="L275" s="13">
        <f t="shared" si="10"/>
        <v>0</v>
      </c>
      <c r="M275" s="13">
        <f t="shared" si="10"/>
        <v>0</v>
      </c>
      <c r="N275" s="13">
        <f t="shared" si="10"/>
        <v>0</v>
      </c>
      <c r="O275" s="13">
        <f t="shared" si="10"/>
        <v>0</v>
      </c>
      <c r="P275" s="13">
        <f t="shared" si="10"/>
        <v>0</v>
      </c>
      <c r="Q275" s="13">
        <f t="shared" si="10"/>
        <v>0</v>
      </c>
      <c r="R275" s="13">
        <f t="shared" si="10"/>
        <v>0</v>
      </c>
      <c r="S275" s="13">
        <f t="shared" si="10"/>
        <v>0</v>
      </c>
      <c r="T275" s="13">
        <f t="shared" si="10"/>
        <v>0</v>
      </c>
      <c r="U275" s="13">
        <f t="shared" si="10"/>
        <v>0</v>
      </c>
      <c r="V275" s="13">
        <f t="shared" si="10"/>
        <v>0</v>
      </c>
      <c r="W275" s="13">
        <f t="shared" si="10"/>
        <v>0</v>
      </c>
      <c r="X275" s="13">
        <f t="shared" si="10"/>
        <v>0</v>
      </c>
      <c r="Y275" s="13">
        <f t="shared" si="10"/>
        <v>0</v>
      </c>
      <c r="Z275" s="13">
        <f t="shared" si="10"/>
        <v>0</v>
      </c>
      <c r="AA275" s="13">
        <f t="shared" si="10"/>
        <v>0</v>
      </c>
      <c r="AB275" s="13">
        <f t="shared" si="10"/>
        <v>0</v>
      </c>
      <c r="AC275" s="13">
        <f t="shared" si="10"/>
        <v>0</v>
      </c>
      <c r="AD275" s="13">
        <f t="shared" si="10"/>
        <v>0</v>
      </c>
      <c r="AE275" s="13">
        <f t="shared" si="10"/>
        <v>0</v>
      </c>
      <c r="AF275" s="13">
        <f t="shared" si="10"/>
        <v>0</v>
      </c>
      <c r="AG275" s="13">
        <f t="shared" si="10"/>
        <v>0</v>
      </c>
      <c r="AH275" s="13">
        <f t="shared" si="10"/>
        <v>0</v>
      </c>
      <c r="AI275" s="13">
        <f t="shared" si="10"/>
        <v>0</v>
      </c>
      <c r="AJ275" s="13">
        <f t="shared" si="10"/>
        <v>0</v>
      </c>
      <c r="AK275" s="13">
        <f t="shared" si="10"/>
        <v>0</v>
      </c>
      <c r="AL275" s="13">
        <f t="shared" si="10"/>
        <v>0</v>
      </c>
      <c r="AM275" s="13">
        <f t="shared" si="10"/>
        <v>0</v>
      </c>
      <c r="AN275" s="13">
        <f t="shared" si="10"/>
        <v>0</v>
      </c>
      <c r="AO275" s="13">
        <f t="shared" si="10"/>
        <v>0</v>
      </c>
      <c r="AP275" s="13">
        <f t="shared" si="10"/>
        <v>0</v>
      </c>
      <c r="AQ275" s="13">
        <f t="shared" si="10"/>
        <v>0</v>
      </c>
      <c r="AR275" s="13">
        <f t="shared" si="10"/>
        <v>0</v>
      </c>
      <c r="AS275" s="13">
        <f t="shared" si="10"/>
        <v>0</v>
      </c>
      <c r="AT275" s="13">
        <f t="shared" si="10"/>
        <v>0</v>
      </c>
      <c r="AU275" s="13">
        <f t="shared" si="10"/>
        <v>0</v>
      </c>
      <c r="AV275" s="13">
        <f t="shared" si="10"/>
        <v>0</v>
      </c>
      <c r="AW275" s="13">
        <f t="shared" si="10"/>
        <v>0</v>
      </c>
      <c r="AX275" s="13">
        <f t="shared" si="10"/>
        <v>0</v>
      </c>
      <c r="AY275" s="13">
        <f t="shared" si="10"/>
        <v>0</v>
      </c>
      <c r="AZ275" s="13">
        <f t="shared" si="10"/>
        <v>0</v>
      </c>
      <c r="BA275" s="13">
        <f t="shared" si="10"/>
        <v>0</v>
      </c>
      <c r="BB275" s="13">
        <f t="shared" si="10"/>
        <v>0</v>
      </c>
      <c r="BC275" s="13">
        <f t="shared" si="10"/>
        <v>0</v>
      </c>
      <c r="BD275" s="13">
        <f t="shared" si="10"/>
        <v>0</v>
      </c>
      <c r="BE275" s="13">
        <f t="shared" si="10"/>
        <v>0</v>
      </c>
      <c r="BF275" s="13">
        <f t="shared" si="10"/>
        <v>0</v>
      </c>
      <c r="BG275" s="13">
        <f t="shared" si="10"/>
        <v>0</v>
      </c>
      <c r="BH275" s="13">
        <f t="shared" si="10"/>
        <v>0</v>
      </c>
      <c r="BI275" s="13">
        <f t="shared" si="10"/>
        <v>0</v>
      </c>
      <c r="BJ275" s="13">
        <f t="shared" si="10"/>
        <v>0</v>
      </c>
      <c r="BK275" s="13">
        <f t="shared" si="10"/>
        <v>0</v>
      </c>
      <c r="BL275" s="13">
        <f t="shared" si="10"/>
        <v>0</v>
      </c>
      <c r="BM275" s="13">
        <f t="shared" si="10"/>
        <v>0</v>
      </c>
      <c r="BN275" s="13">
        <f t="shared" si="10"/>
        <v>0</v>
      </c>
      <c r="BO275" s="13">
        <f t="shared" si="10"/>
        <v>0</v>
      </c>
      <c r="BP275" s="13">
        <f t="shared" ref="BP275:CX275" si="11">IF(BP4&lt;&gt;0,BP$5/BP$29-1,0)</f>
        <v>0</v>
      </c>
      <c r="BQ275" s="13">
        <f t="shared" si="11"/>
        <v>0</v>
      </c>
      <c r="BR275" s="13">
        <f t="shared" si="11"/>
        <v>0</v>
      </c>
      <c r="BS275" s="13">
        <f t="shared" si="11"/>
        <v>0</v>
      </c>
      <c r="BT275" s="13">
        <f t="shared" si="11"/>
        <v>0</v>
      </c>
      <c r="BU275" s="13">
        <f t="shared" si="11"/>
        <v>0</v>
      </c>
      <c r="BV275" s="13">
        <f t="shared" si="11"/>
        <v>0</v>
      </c>
      <c r="BW275" s="13">
        <f t="shared" si="11"/>
        <v>0</v>
      </c>
      <c r="BX275" s="13">
        <f t="shared" si="11"/>
        <v>0</v>
      </c>
      <c r="BY275" s="13">
        <f t="shared" si="11"/>
        <v>0</v>
      </c>
      <c r="BZ275" s="13">
        <f t="shared" si="11"/>
        <v>0</v>
      </c>
      <c r="CA275" s="13">
        <f t="shared" si="11"/>
        <v>0</v>
      </c>
      <c r="CB275" s="13">
        <f t="shared" si="11"/>
        <v>0</v>
      </c>
      <c r="CC275" s="13">
        <f t="shared" si="11"/>
        <v>0</v>
      </c>
      <c r="CD275" s="13">
        <f t="shared" si="11"/>
        <v>0</v>
      </c>
      <c r="CE275" s="13">
        <f t="shared" si="11"/>
        <v>0</v>
      </c>
      <c r="CF275" s="13">
        <f t="shared" si="11"/>
        <v>0</v>
      </c>
      <c r="CG275" s="13">
        <f t="shared" si="11"/>
        <v>0</v>
      </c>
      <c r="CH275" s="13">
        <f t="shared" si="11"/>
        <v>0</v>
      </c>
      <c r="CI275" s="13">
        <f t="shared" si="11"/>
        <v>0</v>
      </c>
      <c r="CJ275" s="13">
        <f t="shared" si="11"/>
        <v>0</v>
      </c>
      <c r="CK275" s="13">
        <f t="shared" si="11"/>
        <v>0</v>
      </c>
      <c r="CL275" s="13">
        <f t="shared" si="11"/>
        <v>0</v>
      </c>
      <c r="CM275" s="13">
        <f t="shared" si="11"/>
        <v>0</v>
      </c>
      <c r="CN275" s="13">
        <f t="shared" si="11"/>
        <v>0</v>
      </c>
      <c r="CO275" s="13">
        <f t="shared" si="11"/>
        <v>0</v>
      </c>
      <c r="CP275" s="13">
        <f t="shared" si="11"/>
        <v>0</v>
      </c>
      <c r="CQ275" s="13">
        <f t="shared" si="11"/>
        <v>0</v>
      </c>
      <c r="CR275" s="13">
        <f t="shared" si="11"/>
        <v>0</v>
      </c>
      <c r="CS275" s="13">
        <f t="shared" si="11"/>
        <v>0</v>
      </c>
      <c r="CT275" s="13">
        <f t="shared" si="11"/>
        <v>0</v>
      </c>
      <c r="CU275" s="13">
        <f t="shared" si="11"/>
        <v>0</v>
      </c>
      <c r="CV275" s="13">
        <f t="shared" si="11"/>
        <v>0</v>
      </c>
      <c r="CW275" s="13">
        <f t="shared" si="11"/>
        <v>0</v>
      </c>
      <c r="CX275" s="13">
        <f t="shared" si="11"/>
        <v>0</v>
      </c>
      <c r="DB275" s="3" vm="524">
        <f ca="1">IF(Returns!A284&lt;&gt;0,Returns!A284,"")</f>
        <v>42156</v>
      </c>
      <c r="DC275" s="13">
        <f ca="1">IF(Returns!B288&gt;0,Returns!B288/Returns!B287-1,"")</f>
        <v>0</v>
      </c>
      <c r="DD275" s="13">
        <f ca="1">IF(Returns!D280&gt;0,Returns!D280/Returns!D279-1,"")</f>
        <v>9.2685687313509568E-3</v>
      </c>
    </row>
    <row r="276" spans="2:108" x14ac:dyDescent="0.3">
      <c r="B276" s="9" t="s">
        <v>1312</v>
      </c>
      <c r="C276" s="47">
        <f>C275*C263</f>
        <v>0</v>
      </c>
      <c r="D276" s="47">
        <f t="shared" ref="D276:BO276" si="12">D275*D263</f>
        <v>0</v>
      </c>
      <c r="E276" s="47">
        <f t="shared" si="12"/>
        <v>0</v>
      </c>
      <c r="F276" s="47">
        <f t="shared" si="12"/>
        <v>0</v>
      </c>
      <c r="G276" s="47">
        <f t="shared" si="12"/>
        <v>0</v>
      </c>
      <c r="H276" s="47">
        <f t="shared" si="12"/>
        <v>0</v>
      </c>
      <c r="I276" s="47">
        <f t="shared" si="12"/>
        <v>0</v>
      </c>
      <c r="J276" s="47">
        <f t="shared" si="12"/>
        <v>0</v>
      </c>
      <c r="K276" s="47">
        <f t="shared" si="12"/>
        <v>0</v>
      </c>
      <c r="L276" s="47">
        <f t="shared" si="12"/>
        <v>0</v>
      </c>
      <c r="M276" s="47">
        <f t="shared" si="12"/>
        <v>0</v>
      </c>
      <c r="N276" s="47">
        <f t="shared" si="12"/>
        <v>0</v>
      </c>
      <c r="O276" s="47">
        <f t="shared" si="12"/>
        <v>0</v>
      </c>
      <c r="P276" s="47">
        <f t="shared" si="12"/>
        <v>0</v>
      </c>
      <c r="Q276" s="47">
        <f t="shared" si="12"/>
        <v>0</v>
      </c>
      <c r="R276" s="47">
        <f t="shared" si="12"/>
        <v>0</v>
      </c>
      <c r="S276" s="47">
        <f t="shared" si="12"/>
        <v>0</v>
      </c>
      <c r="T276" s="47">
        <f t="shared" si="12"/>
        <v>0</v>
      </c>
      <c r="U276" s="47">
        <f t="shared" si="12"/>
        <v>0</v>
      </c>
      <c r="V276" s="47">
        <f t="shared" si="12"/>
        <v>0</v>
      </c>
      <c r="W276" s="47">
        <f t="shared" si="12"/>
        <v>0</v>
      </c>
      <c r="X276" s="47">
        <f t="shared" si="12"/>
        <v>0</v>
      </c>
      <c r="Y276" s="47">
        <f t="shared" si="12"/>
        <v>0</v>
      </c>
      <c r="Z276" s="47">
        <f t="shared" si="12"/>
        <v>0</v>
      </c>
      <c r="AA276" s="47">
        <f t="shared" si="12"/>
        <v>0</v>
      </c>
      <c r="AB276" s="47">
        <f t="shared" si="12"/>
        <v>0</v>
      </c>
      <c r="AC276" s="47">
        <f t="shared" si="12"/>
        <v>0</v>
      </c>
      <c r="AD276" s="47">
        <f t="shared" si="12"/>
        <v>0</v>
      </c>
      <c r="AE276" s="47">
        <f t="shared" si="12"/>
        <v>0</v>
      </c>
      <c r="AF276" s="47">
        <f t="shared" si="12"/>
        <v>0</v>
      </c>
      <c r="AG276" s="47">
        <f t="shared" si="12"/>
        <v>0</v>
      </c>
      <c r="AH276" s="47">
        <f t="shared" si="12"/>
        <v>0</v>
      </c>
      <c r="AI276" s="47">
        <f t="shared" si="12"/>
        <v>0</v>
      </c>
      <c r="AJ276" s="47">
        <f t="shared" si="12"/>
        <v>0</v>
      </c>
      <c r="AK276" s="47">
        <f t="shared" si="12"/>
        <v>0</v>
      </c>
      <c r="AL276" s="47">
        <f t="shared" si="12"/>
        <v>0</v>
      </c>
      <c r="AM276" s="47">
        <f t="shared" si="12"/>
        <v>0</v>
      </c>
      <c r="AN276" s="47">
        <f t="shared" si="12"/>
        <v>0</v>
      </c>
      <c r="AO276" s="47">
        <f t="shared" si="12"/>
        <v>0</v>
      </c>
      <c r="AP276" s="47">
        <f t="shared" si="12"/>
        <v>0</v>
      </c>
      <c r="AQ276" s="47">
        <f t="shared" si="12"/>
        <v>0</v>
      </c>
      <c r="AR276" s="47">
        <f t="shared" si="12"/>
        <v>0</v>
      </c>
      <c r="AS276" s="47">
        <f t="shared" si="12"/>
        <v>0</v>
      </c>
      <c r="AT276" s="47">
        <f t="shared" si="12"/>
        <v>0</v>
      </c>
      <c r="AU276" s="47">
        <f t="shared" si="12"/>
        <v>0</v>
      </c>
      <c r="AV276" s="47">
        <f t="shared" si="12"/>
        <v>0</v>
      </c>
      <c r="AW276" s="47">
        <f t="shared" si="12"/>
        <v>0</v>
      </c>
      <c r="AX276" s="47">
        <f t="shared" si="12"/>
        <v>0</v>
      </c>
      <c r="AY276" s="47">
        <f t="shared" si="12"/>
        <v>0</v>
      </c>
      <c r="AZ276" s="47">
        <f t="shared" si="12"/>
        <v>0</v>
      </c>
      <c r="BA276" s="47">
        <f t="shared" si="12"/>
        <v>0</v>
      </c>
      <c r="BB276" s="47">
        <f t="shared" si="12"/>
        <v>0</v>
      </c>
      <c r="BC276" s="47">
        <f t="shared" si="12"/>
        <v>0</v>
      </c>
      <c r="BD276" s="47">
        <f t="shared" si="12"/>
        <v>0</v>
      </c>
      <c r="BE276" s="47">
        <f t="shared" si="12"/>
        <v>0</v>
      </c>
      <c r="BF276" s="47">
        <f t="shared" si="12"/>
        <v>0</v>
      </c>
      <c r="BG276" s="47">
        <f t="shared" si="12"/>
        <v>0</v>
      </c>
      <c r="BH276" s="47">
        <f t="shared" si="12"/>
        <v>0</v>
      </c>
      <c r="BI276" s="47">
        <f t="shared" si="12"/>
        <v>0</v>
      </c>
      <c r="BJ276" s="47">
        <f t="shared" si="12"/>
        <v>0</v>
      </c>
      <c r="BK276" s="47">
        <f t="shared" si="12"/>
        <v>0</v>
      </c>
      <c r="BL276" s="47">
        <f t="shared" si="12"/>
        <v>0</v>
      </c>
      <c r="BM276" s="47">
        <f t="shared" si="12"/>
        <v>0</v>
      </c>
      <c r="BN276" s="47">
        <f t="shared" si="12"/>
        <v>0</v>
      </c>
      <c r="BO276" s="47">
        <f t="shared" si="12"/>
        <v>0</v>
      </c>
      <c r="BP276" s="47">
        <f t="shared" ref="BP276:CX276" si="13">BP275*BP263</f>
        <v>0</v>
      </c>
      <c r="BQ276" s="47">
        <f t="shared" si="13"/>
        <v>0</v>
      </c>
      <c r="BR276" s="47">
        <f t="shared" si="13"/>
        <v>0</v>
      </c>
      <c r="BS276" s="47">
        <f t="shared" si="13"/>
        <v>0</v>
      </c>
      <c r="BT276" s="47">
        <f t="shared" si="13"/>
        <v>0</v>
      </c>
      <c r="BU276" s="47">
        <f t="shared" si="13"/>
        <v>0</v>
      </c>
      <c r="BV276" s="47">
        <f t="shared" si="13"/>
        <v>0</v>
      </c>
      <c r="BW276" s="47">
        <f t="shared" si="13"/>
        <v>0</v>
      </c>
      <c r="BX276" s="47">
        <f t="shared" si="13"/>
        <v>0</v>
      </c>
      <c r="BY276" s="47">
        <f t="shared" si="13"/>
        <v>0</v>
      </c>
      <c r="BZ276" s="47">
        <f t="shared" si="13"/>
        <v>0</v>
      </c>
      <c r="CA276" s="47">
        <f t="shared" si="13"/>
        <v>0</v>
      </c>
      <c r="CB276" s="47">
        <f t="shared" si="13"/>
        <v>0</v>
      </c>
      <c r="CC276" s="47">
        <f t="shared" si="13"/>
        <v>0</v>
      </c>
      <c r="CD276" s="47">
        <f t="shared" si="13"/>
        <v>0</v>
      </c>
      <c r="CE276" s="47">
        <f t="shared" si="13"/>
        <v>0</v>
      </c>
      <c r="CF276" s="47">
        <f t="shared" si="13"/>
        <v>0</v>
      </c>
      <c r="CG276" s="47">
        <f t="shared" si="13"/>
        <v>0</v>
      </c>
      <c r="CH276" s="47">
        <f t="shared" si="13"/>
        <v>0</v>
      </c>
      <c r="CI276" s="47">
        <f t="shared" si="13"/>
        <v>0</v>
      </c>
      <c r="CJ276" s="47">
        <f t="shared" si="13"/>
        <v>0</v>
      </c>
      <c r="CK276" s="47">
        <f t="shared" si="13"/>
        <v>0</v>
      </c>
      <c r="CL276" s="47">
        <f t="shared" si="13"/>
        <v>0</v>
      </c>
      <c r="CM276" s="47">
        <f t="shared" si="13"/>
        <v>0</v>
      </c>
      <c r="CN276" s="47">
        <f t="shared" si="13"/>
        <v>0</v>
      </c>
      <c r="CO276" s="47">
        <f t="shared" si="13"/>
        <v>0</v>
      </c>
      <c r="CP276" s="47">
        <f t="shared" si="13"/>
        <v>0</v>
      </c>
      <c r="CQ276" s="47">
        <f t="shared" si="13"/>
        <v>0</v>
      </c>
      <c r="CR276" s="47">
        <f t="shared" si="13"/>
        <v>0</v>
      </c>
      <c r="CS276" s="47">
        <f t="shared" si="13"/>
        <v>0</v>
      </c>
      <c r="CT276" s="47">
        <f t="shared" si="13"/>
        <v>0</v>
      </c>
      <c r="CU276" s="47">
        <f t="shared" si="13"/>
        <v>0</v>
      </c>
      <c r="CV276" s="47">
        <f t="shared" si="13"/>
        <v>0</v>
      </c>
      <c r="CW276" s="47">
        <f t="shared" si="13"/>
        <v>0</v>
      </c>
      <c r="CX276" s="47">
        <f t="shared" si="13"/>
        <v>0</v>
      </c>
      <c r="DB276" s="3" vm="525">
        <f ca="1">IF(Returns!A285&lt;&gt;0,Returns!A285,"")</f>
        <v>42163</v>
      </c>
      <c r="DC276" s="13">
        <f ca="1">IF(Returns!B289&gt;0,Returns!B289/Returns!B288-1,"")</f>
        <v>1.5695744038635606E-2</v>
      </c>
      <c r="DD276" s="13">
        <f ca="1">IF(Returns!D281&gt;0,Returns!D281/Returns!D280-1,"")</f>
        <v>4.4770872458435029E-3</v>
      </c>
    </row>
    <row r="277" spans="2:108" x14ac:dyDescent="0.3">
      <c r="B277" s="9" t="s">
        <v>205</v>
      </c>
      <c r="C277" s="13">
        <f>IF(C4&lt;&gt;0,C$5/C$53-1,0)</f>
        <v>0</v>
      </c>
      <c r="D277" s="13">
        <f t="shared" ref="D277:BO277" si="14">IF(D4&lt;&gt;0,D$5/D$53-1,0)</f>
        <v>0</v>
      </c>
      <c r="E277" s="13">
        <f t="shared" si="14"/>
        <v>0</v>
      </c>
      <c r="F277" s="13">
        <f t="shared" si="14"/>
        <v>0</v>
      </c>
      <c r="G277" s="13">
        <f t="shared" si="14"/>
        <v>0</v>
      </c>
      <c r="H277" s="13">
        <f t="shared" si="14"/>
        <v>0</v>
      </c>
      <c r="I277" s="13">
        <f t="shared" si="14"/>
        <v>0</v>
      </c>
      <c r="J277" s="13">
        <f t="shared" si="14"/>
        <v>0</v>
      </c>
      <c r="K277" s="13">
        <f t="shared" si="14"/>
        <v>0</v>
      </c>
      <c r="L277" s="13">
        <f t="shared" si="14"/>
        <v>0</v>
      </c>
      <c r="M277" s="13">
        <f t="shared" si="14"/>
        <v>0</v>
      </c>
      <c r="N277" s="13">
        <f t="shared" si="14"/>
        <v>0</v>
      </c>
      <c r="O277" s="13">
        <f t="shared" si="14"/>
        <v>0</v>
      </c>
      <c r="P277" s="13">
        <f t="shared" si="14"/>
        <v>0</v>
      </c>
      <c r="Q277" s="13">
        <f t="shared" si="14"/>
        <v>0</v>
      </c>
      <c r="R277" s="13">
        <f t="shared" si="14"/>
        <v>0</v>
      </c>
      <c r="S277" s="13">
        <f t="shared" si="14"/>
        <v>0</v>
      </c>
      <c r="T277" s="13">
        <f t="shared" si="14"/>
        <v>0</v>
      </c>
      <c r="U277" s="13">
        <f t="shared" si="14"/>
        <v>0</v>
      </c>
      <c r="V277" s="13">
        <f t="shared" si="14"/>
        <v>0</v>
      </c>
      <c r="W277" s="13">
        <f t="shared" si="14"/>
        <v>0</v>
      </c>
      <c r="X277" s="13">
        <f t="shared" si="14"/>
        <v>0</v>
      </c>
      <c r="Y277" s="13">
        <f t="shared" si="14"/>
        <v>0</v>
      </c>
      <c r="Z277" s="13">
        <f t="shared" si="14"/>
        <v>0</v>
      </c>
      <c r="AA277" s="13">
        <f t="shared" si="14"/>
        <v>0</v>
      </c>
      <c r="AB277" s="13">
        <f t="shared" si="14"/>
        <v>0</v>
      </c>
      <c r="AC277" s="13">
        <f t="shared" si="14"/>
        <v>0</v>
      </c>
      <c r="AD277" s="13">
        <f t="shared" si="14"/>
        <v>0</v>
      </c>
      <c r="AE277" s="13">
        <f t="shared" si="14"/>
        <v>0</v>
      </c>
      <c r="AF277" s="13">
        <f t="shared" si="14"/>
        <v>0</v>
      </c>
      <c r="AG277" s="13">
        <f t="shared" si="14"/>
        <v>0</v>
      </c>
      <c r="AH277" s="13">
        <f t="shared" si="14"/>
        <v>0</v>
      </c>
      <c r="AI277" s="13">
        <f t="shared" si="14"/>
        <v>0</v>
      </c>
      <c r="AJ277" s="13">
        <f t="shared" si="14"/>
        <v>0</v>
      </c>
      <c r="AK277" s="13">
        <f t="shared" si="14"/>
        <v>0</v>
      </c>
      <c r="AL277" s="13">
        <f t="shared" si="14"/>
        <v>0</v>
      </c>
      <c r="AM277" s="13">
        <f t="shared" si="14"/>
        <v>0</v>
      </c>
      <c r="AN277" s="13">
        <f t="shared" si="14"/>
        <v>0</v>
      </c>
      <c r="AO277" s="13">
        <f t="shared" si="14"/>
        <v>0</v>
      </c>
      <c r="AP277" s="13">
        <f t="shared" si="14"/>
        <v>0</v>
      </c>
      <c r="AQ277" s="13">
        <f t="shared" si="14"/>
        <v>0</v>
      </c>
      <c r="AR277" s="13">
        <f t="shared" si="14"/>
        <v>0</v>
      </c>
      <c r="AS277" s="13">
        <f t="shared" si="14"/>
        <v>0</v>
      </c>
      <c r="AT277" s="13">
        <f t="shared" si="14"/>
        <v>0</v>
      </c>
      <c r="AU277" s="13">
        <f t="shared" si="14"/>
        <v>0</v>
      </c>
      <c r="AV277" s="13">
        <f t="shared" si="14"/>
        <v>0</v>
      </c>
      <c r="AW277" s="13">
        <f t="shared" si="14"/>
        <v>0</v>
      </c>
      <c r="AX277" s="13">
        <f t="shared" si="14"/>
        <v>0</v>
      </c>
      <c r="AY277" s="13">
        <f t="shared" si="14"/>
        <v>0</v>
      </c>
      <c r="AZ277" s="13">
        <f t="shared" si="14"/>
        <v>0</v>
      </c>
      <c r="BA277" s="13">
        <f t="shared" si="14"/>
        <v>0</v>
      </c>
      <c r="BB277" s="13">
        <f t="shared" si="14"/>
        <v>0</v>
      </c>
      <c r="BC277" s="13">
        <f t="shared" si="14"/>
        <v>0</v>
      </c>
      <c r="BD277" s="13">
        <f t="shared" si="14"/>
        <v>0</v>
      </c>
      <c r="BE277" s="13">
        <f t="shared" si="14"/>
        <v>0</v>
      </c>
      <c r="BF277" s="13">
        <f t="shared" si="14"/>
        <v>0</v>
      </c>
      <c r="BG277" s="13">
        <f t="shared" si="14"/>
        <v>0</v>
      </c>
      <c r="BH277" s="13">
        <f t="shared" si="14"/>
        <v>0</v>
      </c>
      <c r="BI277" s="13">
        <f t="shared" si="14"/>
        <v>0</v>
      </c>
      <c r="BJ277" s="13">
        <f t="shared" si="14"/>
        <v>0</v>
      </c>
      <c r="BK277" s="13">
        <f t="shared" si="14"/>
        <v>0</v>
      </c>
      <c r="BL277" s="13">
        <f t="shared" si="14"/>
        <v>0</v>
      </c>
      <c r="BM277" s="13">
        <f t="shared" si="14"/>
        <v>0</v>
      </c>
      <c r="BN277" s="13">
        <f t="shared" si="14"/>
        <v>0</v>
      </c>
      <c r="BO277" s="13">
        <f t="shared" si="14"/>
        <v>0</v>
      </c>
      <c r="BP277" s="13">
        <f t="shared" ref="BP277:CX277" si="15">IF(BP4&lt;&gt;0,BP$5/BP$53-1,0)</f>
        <v>0</v>
      </c>
      <c r="BQ277" s="13">
        <f t="shared" si="15"/>
        <v>0</v>
      </c>
      <c r="BR277" s="13">
        <f t="shared" si="15"/>
        <v>0</v>
      </c>
      <c r="BS277" s="13">
        <f t="shared" si="15"/>
        <v>0</v>
      </c>
      <c r="BT277" s="13">
        <f t="shared" si="15"/>
        <v>0</v>
      </c>
      <c r="BU277" s="13">
        <f t="shared" si="15"/>
        <v>0</v>
      </c>
      <c r="BV277" s="13">
        <f t="shared" si="15"/>
        <v>0</v>
      </c>
      <c r="BW277" s="13">
        <f t="shared" si="15"/>
        <v>0</v>
      </c>
      <c r="BX277" s="13">
        <f t="shared" si="15"/>
        <v>0</v>
      </c>
      <c r="BY277" s="13">
        <f t="shared" si="15"/>
        <v>0</v>
      </c>
      <c r="BZ277" s="13">
        <f t="shared" si="15"/>
        <v>0</v>
      </c>
      <c r="CA277" s="13">
        <f t="shared" si="15"/>
        <v>0</v>
      </c>
      <c r="CB277" s="13">
        <f t="shared" si="15"/>
        <v>0</v>
      </c>
      <c r="CC277" s="13">
        <f t="shared" si="15"/>
        <v>0</v>
      </c>
      <c r="CD277" s="13">
        <f t="shared" si="15"/>
        <v>0</v>
      </c>
      <c r="CE277" s="13">
        <f t="shared" si="15"/>
        <v>0</v>
      </c>
      <c r="CF277" s="13">
        <f t="shared" si="15"/>
        <v>0</v>
      </c>
      <c r="CG277" s="13">
        <f t="shared" si="15"/>
        <v>0</v>
      </c>
      <c r="CH277" s="13">
        <f t="shared" si="15"/>
        <v>0</v>
      </c>
      <c r="CI277" s="13">
        <f t="shared" si="15"/>
        <v>0</v>
      </c>
      <c r="CJ277" s="13">
        <f t="shared" si="15"/>
        <v>0</v>
      </c>
      <c r="CK277" s="13">
        <f t="shared" si="15"/>
        <v>0</v>
      </c>
      <c r="CL277" s="13">
        <f t="shared" si="15"/>
        <v>0</v>
      </c>
      <c r="CM277" s="13">
        <f t="shared" si="15"/>
        <v>0</v>
      </c>
      <c r="CN277" s="13">
        <f t="shared" si="15"/>
        <v>0</v>
      </c>
      <c r="CO277" s="13">
        <f t="shared" si="15"/>
        <v>0</v>
      </c>
      <c r="CP277" s="13">
        <f t="shared" si="15"/>
        <v>0</v>
      </c>
      <c r="CQ277" s="13">
        <f t="shared" si="15"/>
        <v>0</v>
      </c>
      <c r="CR277" s="13">
        <f t="shared" si="15"/>
        <v>0</v>
      </c>
      <c r="CS277" s="13">
        <f t="shared" si="15"/>
        <v>0</v>
      </c>
      <c r="CT277" s="13">
        <f t="shared" si="15"/>
        <v>0</v>
      </c>
      <c r="CU277" s="13">
        <f t="shared" si="15"/>
        <v>0</v>
      </c>
      <c r="CV277" s="13">
        <f t="shared" si="15"/>
        <v>0</v>
      </c>
      <c r="CW277" s="13">
        <f t="shared" si="15"/>
        <v>0</v>
      </c>
      <c r="CX277" s="13">
        <f t="shared" si="15"/>
        <v>0</v>
      </c>
      <c r="DB277" s="3" vm="526">
        <f ca="1">IF(Returns!A286&lt;&gt;0,Returns!A286,"")</f>
        <v>42170</v>
      </c>
      <c r="DC277" s="13">
        <f ca="1">IF(Returns!B290&gt;0,Returns!B290/Returns!B289-1,"")</f>
        <v>1.9019316493313454E-2</v>
      </c>
      <c r="DD277" s="13">
        <f ca="1">IF(Returns!D282&gt;0,Returns!D282/Returns!D281-1,"")</f>
        <v>-2.2185237553132842E-3</v>
      </c>
    </row>
    <row r="278" spans="2:108" x14ac:dyDescent="0.3">
      <c r="B278" s="9" t="s">
        <v>1313</v>
      </c>
      <c r="C278" s="47">
        <f>C277*C263</f>
        <v>0</v>
      </c>
      <c r="D278" s="47">
        <f t="shared" ref="D278:BO278" si="16">D277*D263</f>
        <v>0</v>
      </c>
      <c r="E278" s="47">
        <f t="shared" si="16"/>
        <v>0</v>
      </c>
      <c r="F278" s="47">
        <f t="shared" si="16"/>
        <v>0</v>
      </c>
      <c r="G278" s="47">
        <f t="shared" si="16"/>
        <v>0</v>
      </c>
      <c r="H278" s="47">
        <f t="shared" si="16"/>
        <v>0</v>
      </c>
      <c r="I278" s="47">
        <f t="shared" si="16"/>
        <v>0</v>
      </c>
      <c r="J278" s="47">
        <f t="shared" si="16"/>
        <v>0</v>
      </c>
      <c r="K278" s="47">
        <f t="shared" si="16"/>
        <v>0</v>
      </c>
      <c r="L278" s="47">
        <f t="shared" si="16"/>
        <v>0</v>
      </c>
      <c r="M278" s="47">
        <f t="shared" si="16"/>
        <v>0</v>
      </c>
      <c r="N278" s="47">
        <f t="shared" si="16"/>
        <v>0</v>
      </c>
      <c r="O278" s="47">
        <f t="shared" si="16"/>
        <v>0</v>
      </c>
      <c r="P278" s="47">
        <f t="shared" si="16"/>
        <v>0</v>
      </c>
      <c r="Q278" s="47">
        <f t="shared" si="16"/>
        <v>0</v>
      </c>
      <c r="R278" s="47">
        <f t="shared" si="16"/>
        <v>0</v>
      </c>
      <c r="S278" s="47">
        <f t="shared" si="16"/>
        <v>0</v>
      </c>
      <c r="T278" s="47">
        <f t="shared" si="16"/>
        <v>0</v>
      </c>
      <c r="U278" s="47">
        <f t="shared" si="16"/>
        <v>0</v>
      </c>
      <c r="V278" s="47">
        <f t="shared" si="16"/>
        <v>0</v>
      </c>
      <c r="W278" s="47">
        <f t="shared" si="16"/>
        <v>0</v>
      </c>
      <c r="X278" s="47">
        <f t="shared" si="16"/>
        <v>0</v>
      </c>
      <c r="Y278" s="47">
        <f t="shared" si="16"/>
        <v>0</v>
      </c>
      <c r="Z278" s="47">
        <f t="shared" si="16"/>
        <v>0</v>
      </c>
      <c r="AA278" s="47">
        <f t="shared" si="16"/>
        <v>0</v>
      </c>
      <c r="AB278" s="47">
        <f t="shared" si="16"/>
        <v>0</v>
      </c>
      <c r="AC278" s="47">
        <f t="shared" si="16"/>
        <v>0</v>
      </c>
      <c r="AD278" s="47">
        <f t="shared" si="16"/>
        <v>0</v>
      </c>
      <c r="AE278" s="47">
        <f t="shared" si="16"/>
        <v>0</v>
      </c>
      <c r="AF278" s="47">
        <f t="shared" si="16"/>
        <v>0</v>
      </c>
      <c r="AG278" s="47">
        <f t="shared" si="16"/>
        <v>0</v>
      </c>
      <c r="AH278" s="47">
        <f t="shared" si="16"/>
        <v>0</v>
      </c>
      <c r="AI278" s="47">
        <f t="shared" si="16"/>
        <v>0</v>
      </c>
      <c r="AJ278" s="47">
        <f t="shared" si="16"/>
        <v>0</v>
      </c>
      <c r="AK278" s="47">
        <f t="shared" si="16"/>
        <v>0</v>
      </c>
      <c r="AL278" s="47">
        <f t="shared" si="16"/>
        <v>0</v>
      </c>
      <c r="AM278" s="47">
        <f t="shared" si="16"/>
        <v>0</v>
      </c>
      <c r="AN278" s="47">
        <f t="shared" si="16"/>
        <v>0</v>
      </c>
      <c r="AO278" s="47">
        <f t="shared" si="16"/>
        <v>0</v>
      </c>
      <c r="AP278" s="47">
        <f t="shared" si="16"/>
        <v>0</v>
      </c>
      <c r="AQ278" s="47">
        <f t="shared" si="16"/>
        <v>0</v>
      </c>
      <c r="AR278" s="47">
        <f t="shared" si="16"/>
        <v>0</v>
      </c>
      <c r="AS278" s="47">
        <f t="shared" si="16"/>
        <v>0</v>
      </c>
      <c r="AT278" s="47">
        <f t="shared" si="16"/>
        <v>0</v>
      </c>
      <c r="AU278" s="47">
        <f t="shared" si="16"/>
        <v>0</v>
      </c>
      <c r="AV278" s="47">
        <f t="shared" si="16"/>
        <v>0</v>
      </c>
      <c r="AW278" s="47">
        <f t="shared" si="16"/>
        <v>0</v>
      </c>
      <c r="AX278" s="47">
        <f t="shared" si="16"/>
        <v>0</v>
      </c>
      <c r="AY278" s="47">
        <f t="shared" si="16"/>
        <v>0</v>
      </c>
      <c r="AZ278" s="47">
        <f t="shared" si="16"/>
        <v>0</v>
      </c>
      <c r="BA278" s="47">
        <f t="shared" si="16"/>
        <v>0</v>
      </c>
      <c r="BB278" s="47">
        <f t="shared" si="16"/>
        <v>0</v>
      </c>
      <c r="BC278" s="47">
        <f t="shared" si="16"/>
        <v>0</v>
      </c>
      <c r="BD278" s="47">
        <f t="shared" si="16"/>
        <v>0</v>
      </c>
      <c r="BE278" s="47">
        <f t="shared" si="16"/>
        <v>0</v>
      </c>
      <c r="BF278" s="47">
        <f t="shared" si="16"/>
        <v>0</v>
      </c>
      <c r="BG278" s="47">
        <f t="shared" si="16"/>
        <v>0</v>
      </c>
      <c r="BH278" s="47">
        <f t="shared" si="16"/>
        <v>0</v>
      </c>
      <c r="BI278" s="47">
        <f t="shared" si="16"/>
        <v>0</v>
      </c>
      <c r="BJ278" s="47">
        <f t="shared" si="16"/>
        <v>0</v>
      </c>
      <c r="BK278" s="47">
        <f t="shared" si="16"/>
        <v>0</v>
      </c>
      <c r="BL278" s="47">
        <f t="shared" si="16"/>
        <v>0</v>
      </c>
      <c r="BM278" s="47">
        <f t="shared" si="16"/>
        <v>0</v>
      </c>
      <c r="BN278" s="47">
        <f t="shared" si="16"/>
        <v>0</v>
      </c>
      <c r="BO278" s="47">
        <f t="shared" si="16"/>
        <v>0</v>
      </c>
      <c r="BP278" s="47">
        <f t="shared" ref="BP278:CX278" si="17">BP277*BP263</f>
        <v>0</v>
      </c>
      <c r="BQ278" s="47">
        <f t="shared" si="17"/>
        <v>0</v>
      </c>
      <c r="BR278" s="47">
        <f t="shared" si="17"/>
        <v>0</v>
      </c>
      <c r="BS278" s="47">
        <f t="shared" si="17"/>
        <v>0</v>
      </c>
      <c r="BT278" s="47">
        <f t="shared" si="17"/>
        <v>0</v>
      </c>
      <c r="BU278" s="47">
        <f t="shared" si="17"/>
        <v>0</v>
      </c>
      <c r="BV278" s="47">
        <f t="shared" si="17"/>
        <v>0</v>
      </c>
      <c r="BW278" s="47">
        <f t="shared" si="17"/>
        <v>0</v>
      </c>
      <c r="BX278" s="47">
        <f t="shared" si="17"/>
        <v>0</v>
      </c>
      <c r="BY278" s="47">
        <f t="shared" si="17"/>
        <v>0</v>
      </c>
      <c r="BZ278" s="47">
        <f t="shared" si="17"/>
        <v>0</v>
      </c>
      <c r="CA278" s="47">
        <f t="shared" si="17"/>
        <v>0</v>
      </c>
      <c r="CB278" s="47">
        <f t="shared" si="17"/>
        <v>0</v>
      </c>
      <c r="CC278" s="47">
        <f t="shared" si="17"/>
        <v>0</v>
      </c>
      <c r="CD278" s="47">
        <f t="shared" si="17"/>
        <v>0</v>
      </c>
      <c r="CE278" s="47">
        <f t="shared" si="17"/>
        <v>0</v>
      </c>
      <c r="CF278" s="47">
        <f t="shared" si="17"/>
        <v>0</v>
      </c>
      <c r="CG278" s="47">
        <f t="shared" si="17"/>
        <v>0</v>
      </c>
      <c r="CH278" s="47">
        <f t="shared" si="17"/>
        <v>0</v>
      </c>
      <c r="CI278" s="47">
        <f t="shared" si="17"/>
        <v>0</v>
      </c>
      <c r="CJ278" s="47">
        <f t="shared" si="17"/>
        <v>0</v>
      </c>
      <c r="CK278" s="47">
        <f t="shared" si="17"/>
        <v>0</v>
      </c>
      <c r="CL278" s="47">
        <f t="shared" si="17"/>
        <v>0</v>
      </c>
      <c r="CM278" s="47">
        <f t="shared" si="17"/>
        <v>0</v>
      </c>
      <c r="CN278" s="47">
        <f t="shared" si="17"/>
        <v>0</v>
      </c>
      <c r="CO278" s="47">
        <f t="shared" si="17"/>
        <v>0</v>
      </c>
      <c r="CP278" s="47">
        <f t="shared" si="17"/>
        <v>0</v>
      </c>
      <c r="CQ278" s="47">
        <f t="shared" si="17"/>
        <v>0</v>
      </c>
      <c r="CR278" s="47">
        <f t="shared" si="17"/>
        <v>0</v>
      </c>
      <c r="CS278" s="47">
        <f t="shared" si="17"/>
        <v>0</v>
      </c>
      <c r="CT278" s="47">
        <f t="shared" si="17"/>
        <v>0</v>
      </c>
      <c r="CU278" s="47">
        <f t="shared" si="17"/>
        <v>0</v>
      </c>
      <c r="CV278" s="47">
        <f t="shared" si="17"/>
        <v>0</v>
      </c>
      <c r="CW278" s="47">
        <f t="shared" si="17"/>
        <v>0</v>
      </c>
      <c r="CX278" s="47">
        <f t="shared" si="17"/>
        <v>0</v>
      </c>
      <c r="DB278" s="3" vm="527">
        <f ca="1">IF(Returns!A287&lt;&gt;0,Returns!A287,"")</f>
        <v>42177</v>
      </c>
      <c r="DC278" s="13">
        <f ca="1">IF(Returns!B291&gt;0,Returns!B291/Returns!B290-1,"")</f>
        <v>-2.6538349372994929E-2</v>
      </c>
      <c r="DD278" s="13">
        <f ca="1">IF(Returns!D283&gt;0,Returns!D283/Returns!D282-1,"")</f>
        <v>-1.2140268772550145E-2</v>
      </c>
    </row>
    <row r="279" spans="2:108" x14ac:dyDescent="0.3">
      <c r="B279" s="9" t="s">
        <v>210</v>
      </c>
      <c r="C279" s="13">
        <f>IF(C4&lt;&gt;0,C$5/C$258-1,0)</f>
        <v>0</v>
      </c>
      <c r="D279" s="13">
        <f>IF(D4&lt;&gt;0,D$5/D$257-1,0)</f>
        <v>0</v>
      </c>
      <c r="E279" s="13">
        <f t="shared" ref="E279:BP279" si="18">IF(E4&lt;&gt;0,E$5/E$257-1,0)</f>
        <v>0</v>
      </c>
      <c r="F279" s="13">
        <f t="shared" si="18"/>
        <v>0</v>
      </c>
      <c r="G279" s="13">
        <f t="shared" si="18"/>
        <v>0</v>
      </c>
      <c r="H279" s="13">
        <f t="shared" si="18"/>
        <v>0</v>
      </c>
      <c r="I279" s="13">
        <f t="shared" si="18"/>
        <v>0</v>
      </c>
      <c r="J279" s="13">
        <f t="shared" si="18"/>
        <v>0</v>
      </c>
      <c r="K279" s="13">
        <f t="shared" si="18"/>
        <v>0</v>
      </c>
      <c r="L279" s="13">
        <f t="shared" si="18"/>
        <v>0</v>
      </c>
      <c r="M279" s="13">
        <f t="shared" si="18"/>
        <v>0</v>
      </c>
      <c r="N279" s="13">
        <f t="shared" si="18"/>
        <v>0</v>
      </c>
      <c r="O279" s="13">
        <f t="shared" si="18"/>
        <v>0</v>
      </c>
      <c r="P279" s="13">
        <f t="shared" si="18"/>
        <v>0</v>
      </c>
      <c r="Q279" s="13">
        <f t="shared" si="18"/>
        <v>0</v>
      </c>
      <c r="R279" s="13">
        <f t="shared" si="18"/>
        <v>0</v>
      </c>
      <c r="S279" s="13">
        <f t="shared" si="18"/>
        <v>0</v>
      </c>
      <c r="T279" s="13">
        <f t="shared" si="18"/>
        <v>0</v>
      </c>
      <c r="U279" s="13">
        <f t="shared" si="18"/>
        <v>0</v>
      </c>
      <c r="V279" s="13">
        <f t="shared" si="18"/>
        <v>0</v>
      </c>
      <c r="W279" s="13">
        <f t="shared" si="18"/>
        <v>0</v>
      </c>
      <c r="X279" s="13">
        <f t="shared" si="18"/>
        <v>0</v>
      </c>
      <c r="Y279" s="13">
        <f t="shared" si="18"/>
        <v>0</v>
      </c>
      <c r="Z279" s="13">
        <f t="shared" si="18"/>
        <v>0</v>
      </c>
      <c r="AA279" s="13">
        <f t="shared" si="18"/>
        <v>0</v>
      </c>
      <c r="AB279" s="13">
        <f t="shared" si="18"/>
        <v>0</v>
      </c>
      <c r="AC279" s="13">
        <f t="shared" si="18"/>
        <v>0</v>
      </c>
      <c r="AD279" s="13">
        <f t="shared" si="18"/>
        <v>0</v>
      </c>
      <c r="AE279" s="13">
        <f t="shared" si="18"/>
        <v>0</v>
      </c>
      <c r="AF279" s="13">
        <f t="shared" si="18"/>
        <v>0</v>
      </c>
      <c r="AG279" s="13">
        <f t="shared" si="18"/>
        <v>0</v>
      </c>
      <c r="AH279" s="13">
        <f t="shared" si="18"/>
        <v>0</v>
      </c>
      <c r="AI279" s="13">
        <f t="shared" si="18"/>
        <v>0</v>
      </c>
      <c r="AJ279" s="13">
        <f t="shared" si="18"/>
        <v>0</v>
      </c>
      <c r="AK279" s="13">
        <f t="shared" si="18"/>
        <v>0</v>
      </c>
      <c r="AL279" s="13">
        <f t="shared" si="18"/>
        <v>0</v>
      </c>
      <c r="AM279" s="13">
        <f t="shared" si="18"/>
        <v>0</v>
      </c>
      <c r="AN279" s="13">
        <f t="shared" si="18"/>
        <v>0</v>
      </c>
      <c r="AO279" s="13">
        <f t="shared" si="18"/>
        <v>0</v>
      </c>
      <c r="AP279" s="13">
        <f t="shared" si="18"/>
        <v>0</v>
      </c>
      <c r="AQ279" s="13">
        <f t="shared" si="18"/>
        <v>0</v>
      </c>
      <c r="AR279" s="13">
        <f t="shared" si="18"/>
        <v>0</v>
      </c>
      <c r="AS279" s="13">
        <f t="shared" si="18"/>
        <v>0</v>
      </c>
      <c r="AT279" s="13">
        <f t="shared" si="18"/>
        <v>0</v>
      </c>
      <c r="AU279" s="13">
        <f t="shared" si="18"/>
        <v>0</v>
      </c>
      <c r="AV279" s="13">
        <f t="shared" si="18"/>
        <v>0</v>
      </c>
      <c r="AW279" s="13">
        <f t="shared" si="18"/>
        <v>0</v>
      </c>
      <c r="AX279" s="13">
        <f t="shared" si="18"/>
        <v>0</v>
      </c>
      <c r="AY279" s="13">
        <f t="shared" si="18"/>
        <v>0</v>
      </c>
      <c r="AZ279" s="13">
        <f t="shared" si="18"/>
        <v>0</v>
      </c>
      <c r="BA279" s="13">
        <f t="shared" si="18"/>
        <v>0</v>
      </c>
      <c r="BB279" s="13">
        <f t="shared" si="18"/>
        <v>0</v>
      </c>
      <c r="BC279" s="13">
        <f t="shared" si="18"/>
        <v>0</v>
      </c>
      <c r="BD279" s="13">
        <f t="shared" si="18"/>
        <v>0</v>
      </c>
      <c r="BE279" s="13">
        <f t="shared" si="18"/>
        <v>0</v>
      </c>
      <c r="BF279" s="13">
        <f t="shared" si="18"/>
        <v>0</v>
      </c>
      <c r="BG279" s="13">
        <f t="shared" si="18"/>
        <v>0</v>
      </c>
      <c r="BH279" s="13">
        <f t="shared" si="18"/>
        <v>0</v>
      </c>
      <c r="BI279" s="13">
        <f t="shared" si="18"/>
        <v>0</v>
      </c>
      <c r="BJ279" s="13">
        <f t="shared" si="18"/>
        <v>0</v>
      </c>
      <c r="BK279" s="13">
        <f t="shared" si="18"/>
        <v>0</v>
      </c>
      <c r="BL279" s="13">
        <f t="shared" si="18"/>
        <v>0</v>
      </c>
      <c r="BM279" s="13">
        <f t="shared" si="18"/>
        <v>0</v>
      </c>
      <c r="BN279" s="13">
        <f t="shared" si="18"/>
        <v>0</v>
      </c>
      <c r="BO279" s="13">
        <f t="shared" si="18"/>
        <v>0</v>
      </c>
      <c r="BP279" s="13">
        <f t="shared" si="18"/>
        <v>0</v>
      </c>
      <c r="BQ279" s="13">
        <f t="shared" ref="BQ279:CX279" si="19">IF(BQ4&lt;&gt;0,BQ$5/BQ$257-1,0)</f>
        <v>0</v>
      </c>
      <c r="BR279" s="13">
        <f t="shared" si="19"/>
        <v>0</v>
      </c>
      <c r="BS279" s="13">
        <f t="shared" si="19"/>
        <v>0</v>
      </c>
      <c r="BT279" s="13">
        <f t="shared" si="19"/>
        <v>0</v>
      </c>
      <c r="BU279" s="13">
        <f t="shared" si="19"/>
        <v>0</v>
      </c>
      <c r="BV279" s="13">
        <f t="shared" si="19"/>
        <v>0</v>
      </c>
      <c r="BW279" s="13">
        <f t="shared" si="19"/>
        <v>0</v>
      </c>
      <c r="BX279" s="13">
        <f t="shared" si="19"/>
        <v>0</v>
      </c>
      <c r="BY279" s="13">
        <f t="shared" si="19"/>
        <v>0</v>
      </c>
      <c r="BZ279" s="13">
        <f t="shared" si="19"/>
        <v>0</v>
      </c>
      <c r="CA279" s="13">
        <f t="shared" si="19"/>
        <v>0</v>
      </c>
      <c r="CB279" s="13">
        <f t="shared" si="19"/>
        <v>0</v>
      </c>
      <c r="CC279" s="13">
        <f t="shared" si="19"/>
        <v>0</v>
      </c>
      <c r="CD279" s="13">
        <f t="shared" si="19"/>
        <v>0</v>
      </c>
      <c r="CE279" s="13">
        <f t="shared" si="19"/>
        <v>0</v>
      </c>
      <c r="CF279" s="13">
        <f t="shared" si="19"/>
        <v>0</v>
      </c>
      <c r="CG279" s="13">
        <f t="shared" si="19"/>
        <v>0</v>
      </c>
      <c r="CH279" s="13">
        <f t="shared" si="19"/>
        <v>0</v>
      </c>
      <c r="CI279" s="13">
        <f t="shared" si="19"/>
        <v>0</v>
      </c>
      <c r="CJ279" s="13">
        <f t="shared" si="19"/>
        <v>0</v>
      </c>
      <c r="CK279" s="13">
        <f t="shared" si="19"/>
        <v>0</v>
      </c>
      <c r="CL279" s="13">
        <f t="shared" si="19"/>
        <v>0</v>
      </c>
      <c r="CM279" s="13">
        <f t="shared" si="19"/>
        <v>0</v>
      </c>
      <c r="CN279" s="13">
        <f t="shared" si="19"/>
        <v>0</v>
      </c>
      <c r="CO279" s="13">
        <f t="shared" si="19"/>
        <v>0</v>
      </c>
      <c r="CP279" s="13">
        <f t="shared" si="19"/>
        <v>0</v>
      </c>
      <c r="CQ279" s="13">
        <f t="shared" si="19"/>
        <v>0</v>
      </c>
      <c r="CR279" s="13">
        <f t="shared" si="19"/>
        <v>0</v>
      </c>
      <c r="CS279" s="13">
        <f t="shared" si="19"/>
        <v>0</v>
      </c>
      <c r="CT279" s="13">
        <f t="shared" si="19"/>
        <v>0</v>
      </c>
      <c r="CU279" s="13">
        <f t="shared" si="19"/>
        <v>0</v>
      </c>
      <c r="CV279" s="13">
        <f t="shared" si="19"/>
        <v>0</v>
      </c>
      <c r="CW279" s="13">
        <f t="shared" si="19"/>
        <v>0</v>
      </c>
      <c r="CX279" s="13">
        <f t="shared" si="19"/>
        <v>0</v>
      </c>
      <c r="DB279" s="3" vm="528">
        <f ca="1">IF(Returns!A288&lt;&gt;0,Returns!A288,"")</f>
        <v>42184</v>
      </c>
      <c r="DC279" s="13">
        <f ca="1">IF(Returns!B292&gt;0,Returns!B292/Returns!B291-1,"")</f>
        <v>2.0970641102455723E-3</v>
      </c>
      <c r="DD279" s="13">
        <f ca="1">IF(Returns!D284&gt;0,Returns!D284/Returns!D283-1,"")</f>
        <v>-8.9512628801033944E-3</v>
      </c>
    </row>
    <row r="280" spans="2:108" x14ac:dyDescent="0.3">
      <c r="B280" s="9" t="s">
        <v>1314</v>
      </c>
      <c r="C280" s="47">
        <f>C279*C263</f>
        <v>0</v>
      </c>
      <c r="D280" s="47">
        <f t="shared" ref="D280:BO280" si="20">D279*D263</f>
        <v>0</v>
      </c>
      <c r="E280" s="47">
        <f t="shared" si="20"/>
        <v>0</v>
      </c>
      <c r="F280" s="47">
        <f t="shared" si="20"/>
        <v>0</v>
      </c>
      <c r="G280" s="47">
        <f t="shared" si="20"/>
        <v>0</v>
      </c>
      <c r="H280" s="47">
        <f t="shared" si="20"/>
        <v>0</v>
      </c>
      <c r="I280" s="47">
        <f t="shared" si="20"/>
        <v>0</v>
      </c>
      <c r="J280" s="47">
        <f t="shared" si="20"/>
        <v>0</v>
      </c>
      <c r="K280" s="47">
        <f t="shared" si="20"/>
        <v>0</v>
      </c>
      <c r="L280" s="47">
        <f t="shared" si="20"/>
        <v>0</v>
      </c>
      <c r="M280" s="47">
        <f t="shared" si="20"/>
        <v>0</v>
      </c>
      <c r="N280" s="47">
        <f t="shared" si="20"/>
        <v>0</v>
      </c>
      <c r="O280" s="47">
        <f t="shared" si="20"/>
        <v>0</v>
      </c>
      <c r="P280" s="47">
        <f t="shared" si="20"/>
        <v>0</v>
      </c>
      <c r="Q280" s="47">
        <f t="shared" si="20"/>
        <v>0</v>
      </c>
      <c r="R280" s="47">
        <f t="shared" si="20"/>
        <v>0</v>
      </c>
      <c r="S280" s="47">
        <f t="shared" si="20"/>
        <v>0</v>
      </c>
      <c r="T280" s="47">
        <f t="shared" si="20"/>
        <v>0</v>
      </c>
      <c r="U280" s="47">
        <f t="shared" si="20"/>
        <v>0</v>
      </c>
      <c r="V280" s="47">
        <f t="shared" si="20"/>
        <v>0</v>
      </c>
      <c r="W280" s="47">
        <f t="shared" si="20"/>
        <v>0</v>
      </c>
      <c r="X280" s="47">
        <f t="shared" si="20"/>
        <v>0</v>
      </c>
      <c r="Y280" s="47">
        <f t="shared" si="20"/>
        <v>0</v>
      </c>
      <c r="Z280" s="47">
        <f t="shared" si="20"/>
        <v>0</v>
      </c>
      <c r="AA280" s="47">
        <f t="shared" si="20"/>
        <v>0</v>
      </c>
      <c r="AB280" s="47">
        <f t="shared" si="20"/>
        <v>0</v>
      </c>
      <c r="AC280" s="47">
        <f t="shared" si="20"/>
        <v>0</v>
      </c>
      <c r="AD280" s="47">
        <f t="shared" si="20"/>
        <v>0</v>
      </c>
      <c r="AE280" s="47">
        <f t="shared" si="20"/>
        <v>0</v>
      </c>
      <c r="AF280" s="47">
        <f t="shared" si="20"/>
        <v>0</v>
      </c>
      <c r="AG280" s="47">
        <f t="shared" si="20"/>
        <v>0</v>
      </c>
      <c r="AH280" s="47">
        <f t="shared" si="20"/>
        <v>0</v>
      </c>
      <c r="AI280" s="47">
        <f t="shared" si="20"/>
        <v>0</v>
      </c>
      <c r="AJ280" s="47">
        <f t="shared" si="20"/>
        <v>0</v>
      </c>
      <c r="AK280" s="47">
        <f t="shared" si="20"/>
        <v>0</v>
      </c>
      <c r="AL280" s="47">
        <f t="shared" si="20"/>
        <v>0</v>
      </c>
      <c r="AM280" s="47">
        <f t="shared" si="20"/>
        <v>0</v>
      </c>
      <c r="AN280" s="47">
        <f t="shared" si="20"/>
        <v>0</v>
      </c>
      <c r="AO280" s="47">
        <f t="shared" si="20"/>
        <v>0</v>
      </c>
      <c r="AP280" s="47">
        <f t="shared" si="20"/>
        <v>0</v>
      </c>
      <c r="AQ280" s="47">
        <f t="shared" si="20"/>
        <v>0</v>
      </c>
      <c r="AR280" s="47">
        <f t="shared" si="20"/>
        <v>0</v>
      </c>
      <c r="AS280" s="47">
        <f t="shared" si="20"/>
        <v>0</v>
      </c>
      <c r="AT280" s="47">
        <f t="shared" si="20"/>
        <v>0</v>
      </c>
      <c r="AU280" s="47">
        <f t="shared" si="20"/>
        <v>0</v>
      </c>
      <c r="AV280" s="47">
        <f t="shared" si="20"/>
        <v>0</v>
      </c>
      <c r="AW280" s="47">
        <f t="shared" si="20"/>
        <v>0</v>
      </c>
      <c r="AX280" s="47">
        <f t="shared" si="20"/>
        <v>0</v>
      </c>
      <c r="AY280" s="47">
        <f t="shared" si="20"/>
        <v>0</v>
      </c>
      <c r="AZ280" s="47">
        <f t="shared" si="20"/>
        <v>0</v>
      </c>
      <c r="BA280" s="47">
        <f t="shared" si="20"/>
        <v>0</v>
      </c>
      <c r="BB280" s="47">
        <f t="shared" si="20"/>
        <v>0</v>
      </c>
      <c r="BC280" s="47">
        <f t="shared" si="20"/>
        <v>0</v>
      </c>
      <c r="BD280" s="47">
        <f t="shared" si="20"/>
        <v>0</v>
      </c>
      <c r="BE280" s="47">
        <f t="shared" si="20"/>
        <v>0</v>
      </c>
      <c r="BF280" s="47">
        <f t="shared" si="20"/>
        <v>0</v>
      </c>
      <c r="BG280" s="47">
        <f t="shared" si="20"/>
        <v>0</v>
      </c>
      <c r="BH280" s="47">
        <f t="shared" si="20"/>
        <v>0</v>
      </c>
      <c r="BI280" s="47">
        <f t="shared" si="20"/>
        <v>0</v>
      </c>
      <c r="BJ280" s="47">
        <f t="shared" si="20"/>
        <v>0</v>
      </c>
      <c r="BK280" s="47">
        <f t="shared" si="20"/>
        <v>0</v>
      </c>
      <c r="BL280" s="47">
        <f t="shared" si="20"/>
        <v>0</v>
      </c>
      <c r="BM280" s="47">
        <f t="shared" si="20"/>
        <v>0</v>
      </c>
      <c r="BN280" s="47">
        <f t="shared" si="20"/>
        <v>0</v>
      </c>
      <c r="BO280" s="47">
        <f t="shared" si="20"/>
        <v>0</v>
      </c>
      <c r="BP280" s="47">
        <f t="shared" ref="BP280:CX280" si="21">BP279*BP263</f>
        <v>0</v>
      </c>
      <c r="BQ280" s="47">
        <f t="shared" si="21"/>
        <v>0</v>
      </c>
      <c r="BR280" s="47">
        <f t="shared" si="21"/>
        <v>0</v>
      </c>
      <c r="BS280" s="47">
        <f t="shared" si="21"/>
        <v>0</v>
      </c>
      <c r="BT280" s="47">
        <f t="shared" si="21"/>
        <v>0</v>
      </c>
      <c r="BU280" s="47">
        <f t="shared" si="21"/>
        <v>0</v>
      </c>
      <c r="BV280" s="47">
        <f t="shared" si="21"/>
        <v>0</v>
      </c>
      <c r="BW280" s="47">
        <f t="shared" si="21"/>
        <v>0</v>
      </c>
      <c r="BX280" s="47">
        <f t="shared" si="21"/>
        <v>0</v>
      </c>
      <c r="BY280" s="47">
        <f t="shared" si="21"/>
        <v>0</v>
      </c>
      <c r="BZ280" s="47">
        <f t="shared" si="21"/>
        <v>0</v>
      </c>
      <c r="CA280" s="47">
        <f t="shared" si="21"/>
        <v>0</v>
      </c>
      <c r="CB280" s="47">
        <f t="shared" si="21"/>
        <v>0</v>
      </c>
      <c r="CC280" s="47">
        <f t="shared" si="21"/>
        <v>0</v>
      </c>
      <c r="CD280" s="47">
        <f t="shared" si="21"/>
        <v>0</v>
      </c>
      <c r="CE280" s="47">
        <f t="shared" si="21"/>
        <v>0</v>
      </c>
      <c r="CF280" s="47">
        <f t="shared" si="21"/>
        <v>0</v>
      </c>
      <c r="CG280" s="47">
        <f t="shared" si="21"/>
        <v>0</v>
      </c>
      <c r="CH280" s="47">
        <f t="shared" si="21"/>
        <v>0</v>
      </c>
      <c r="CI280" s="47">
        <f t="shared" si="21"/>
        <v>0</v>
      </c>
      <c r="CJ280" s="47">
        <f t="shared" si="21"/>
        <v>0</v>
      </c>
      <c r="CK280" s="47">
        <f t="shared" si="21"/>
        <v>0</v>
      </c>
      <c r="CL280" s="47">
        <f t="shared" si="21"/>
        <v>0</v>
      </c>
      <c r="CM280" s="47">
        <f t="shared" si="21"/>
        <v>0</v>
      </c>
      <c r="CN280" s="47">
        <f t="shared" si="21"/>
        <v>0</v>
      </c>
      <c r="CO280" s="47">
        <f t="shared" si="21"/>
        <v>0</v>
      </c>
      <c r="CP280" s="47">
        <f t="shared" si="21"/>
        <v>0</v>
      </c>
      <c r="CQ280" s="47">
        <f t="shared" si="21"/>
        <v>0</v>
      </c>
      <c r="CR280" s="47">
        <f t="shared" si="21"/>
        <v>0</v>
      </c>
      <c r="CS280" s="47">
        <f t="shared" si="21"/>
        <v>0</v>
      </c>
      <c r="CT280" s="47">
        <f t="shared" si="21"/>
        <v>0</v>
      </c>
      <c r="CU280" s="47">
        <f t="shared" si="21"/>
        <v>0</v>
      </c>
      <c r="CV280" s="47">
        <f t="shared" si="21"/>
        <v>0</v>
      </c>
      <c r="CW280" s="47">
        <f t="shared" si="21"/>
        <v>0</v>
      </c>
      <c r="CX280" s="47">
        <f t="shared" si="21"/>
        <v>0</v>
      </c>
      <c r="DB280" s="3" vm="529">
        <f ca="1">IF(Returns!A289&lt;&gt;0,Returns!A289,"")</f>
        <v>42191</v>
      </c>
      <c r="DC280" s="13">
        <f ca="1">IF(Returns!B293&gt;0,Returns!B293/Returns!B292-1,"")</f>
        <v>3.8863976083705065E-3</v>
      </c>
      <c r="DD280" s="13">
        <f ca="1">IF(Returns!D285&gt;0,Returns!D285/Returns!D284-1,"")</f>
        <v>2.7664593203169385E-3</v>
      </c>
    </row>
    <row r="281" spans="2:108" x14ac:dyDescent="0.3">
      <c r="DB281" s="3" vm="530">
        <f ca="1">IF(Returns!A290&lt;&gt;0,Returns!A290,"")</f>
        <v>42198</v>
      </c>
      <c r="DC281" s="13">
        <f ca="1">IF(Returns!B294&gt;0,Returns!B294/Returns!B293-1,"")</f>
        <v>2.4121500893389047E-2</v>
      </c>
      <c r="DD281" s="13">
        <f ca="1">IF(Returns!D286&gt;0,Returns!D286/Returns!D285-1,"")</f>
        <v>6.5428940135665581E-3</v>
      </c>
    </row>
    <row r="282" spans="2:108" x14ac:dyDescent="0.3">
      <c r="B282" s="9" t="s">
        <v>1315</v>
      </c>
      <c r="C282" s="47">
        <f>SUM($C$276:$CX$276)</f>
        <v>0</v>
      </c>
      <c r="DB282" s="3" vm="531">
        <f ca="1">IF(Returns!A291&lt;&gt;0,Returns!A291,"")</f>
        <v>42205</v>
      </c>
      <c r="DC282" s="13">
        <f ca="1">IF(Returns!B295&gt;0,Returns!B295/Returns!B294-1,"")</f>
        <v>-5.0014539110206369E-2</v>
      </c>
      <c r="DD282" s="13">
        <f ca="1">IF(Returns!D287&gt;0,Returns!D287/Returns!D286-1,"")</f>
        <v>-3.8446602549622177E-3</v>
      </c>
    </row>
    <row r="283" spans="2:108" x14ac:dyDescent="0.3">
      <c r="B283" s="9" t="s">
        <v>1316</v>
      </c>
      <c r="C283" s="47">
        <f>SUM($C$278:$CX$278)</f>
        <v>0</v>
      </c>
      <c r="DB283" s="3" vm="532">
        <f ca="1">IF(Returns!A292&lt;&gt;0,Returns!A292,"")</f>
        <v>42212</v>
      </c>
      <c r="DC283" s="13">
        <f ca="1">IF(Returns!B296&gt;0,Returns!B296/Returns!B295-1,"")</f>
        <v>-8.5705540250995416E-3</v>
      </c>
      <c r="DD283" s="13">
        <f ca="1">IF(Returns!D288&gt;0,Returns!D288/Returns!D287-1,"")</f>
        <v>-1.2067399864365003E-2</v>
      </c>
    </row>
    <row r="284" spans="2:108" x14ac:dyDescent="0.3">
      <c r="B284" s="9" t="s">
        <v>1317</v>
      </c>
      <c r="C284" s="47">
        <f>SUM($C$280:$CX$280)</f>
        <v>0</v>
      </c>
      <c r="DB284" s="3" vm="533">
        <f ca="1">IF(Returns!A293&lt;&gt;0,Returns!A293,"")</f>
        <v>42219</v>
      </c>
      <c r="DC284" s="13">
        <f ca="1">IF(Returns!B297&gt;0,Returns!B297/Returns!B296-1,"")</f>
        <v>-3.8592158073479488E-2</v>
      </c>
      <c r="DD284" s="13">
        <f ca="1">IF(Returns!D289&gt;0,Returns!D289/Returns!D288-1,"")</f>
        <v>1.7088723381641913E-3</v>
      </c>
    </row>
    <row r="285" spans="2:108" x14ac:dyDescent="0.3">
      <c r="F285" s="65" t="s">
        <v>1351</v>
      </c>
      <c r="G285" s="65"/>
      <c r="H285" s="22">
        <f ca="1">SUM(_xlfn.ANCHORARRAY(E5))</f>
        <v>0</v>
      </c>
      <c r="DB285" s="3" vm="534">
        <f ca="1">IF(Returns!A294&lt;&gt;0,Returns!A294,"")</f>
        <v>42226</v>
      </c>
      <c r="DC285" s="13">
        <f ca="1">IF(Returns!B298&gt;0,Returns!B298/Returns!B297-1,"")</f>
        <v>2.0873474630699995E-2</v>
      </c>
      <c r="DD285" s="13">
        <f ca="1">IF(Returns!D290&gt;0,Returns!D290/Returns!D289-1,"")</f>
        <v>1.8357389767039933E-2</v>
      </c>
    </row>
    <row r="286" spans="2:108" x14ac:dyDescent="0.3">
      <c r="B286" s="9" t="s">
        <v>1324</v>
      </c>
      <c r="C286" s="13">
        <f ca="1">B5/B29-1</f>
        <v>0.10267991386585362</v>
      </c>
      <c r="DB286" s="3" vm="535">
        <f ca="1">IF(Returns!A295&lt;&gt;0,Returns!A295,"")</f>
        <v>42233</v>
      </c>
      <c r="DC286" s="13">
        <f ca="1">IF(Returns!B299&gt;0,Returns!B299/Returns!B298-1,"")</f>
        <v>-1.2582573136206365E-2</v>
      </c>
      <c r="DD286" s="13">
        <f ca="1">IF(Returns!D291&gt;0,Returns!D291/Returns!D290-1,"")</f>
        <v>-2.863549232846796E-2</v>
      </c>
    </row>
    <row r="287" spans="2:108" x14ac:dyDescent="0.3">
      <c r="B287" s="9" t="s">
        <v>1325</v>
      </c>
      <c r="C287" s="13">
        <f ca="1">B5/B53-1</f>
        <v>0.16173249994017991</v>
      </c>
      <c r="DB287" s="3" vm="536">
        <f ca="1">IF(Returns!A296&lt;&gt;0,Returns!A296,"")</f>
        <v>42240</v>
      </c>
      <c r="DC287" s="13">
        <f ca="1">IF(Returns!B300&gt;0,Returns!B300/Returns!B299-1,"")</f>
        <v>-3.504300732717458E-3</v>
      </c>
      <c r="DD287" s="13">
        <f ca="1">IF(Returns!D292&gt;0,Returns!D292/Returns!D291-1,"")</f>
        <v>6.9059667944255665E-3</v>
      </c>
    </row>
    <row r="288" spans="2:108" x14ac:dyDescent="0.3">
      <c r="B288" s="9" t="s">
        <v>1326</v>
      </c>
      <c r="C288" s="13">
        <f ca="1">B5/B258-1</f>
        <v>0.91602573643180274</v>
      </c>
      <c r="DB288" s="3" vm="537">
        <f ca="1">IF(Returns!A297&lt;&gt;0,Returns!A297,"")</f>
        <v>42247</v>
      </c>
      <c r="DC288" s="13">
        <f ca="1">IF(Returns!B301&gt;0,Returns!B301/Returns!B300-1,"")</f>
        <v>-6.0741687979539716E-3</v>
      </c>
      <c r="DD288" s="13">
        <f ca="1">IF(Returns!D293&gt;0,Returns!D293/Returns!D292-1,"")</f>
        <v>-1.7890526086077108E-2</v>
      </c>
    </row>
    <row r="289" spans="2:108" x14ac:dyDescent="0.3">
      <c r="DB289" s="3" vm="538">
        <f ca="1">IF(Returns!A298&lt;&gt;0,Returns!A298,"")</f>
        <v>42255</v>
      </c>
      <c r="DC289" s="13">
        <f ca="1">IF(Returns!B302&gt;0,Returns!B302/Returns!B301-1,"")</f>
        <v>2.8304921196526278E-2</v>
      </c>
      <c r="DD289" s="13">
        <f ca="1">IF(Returns!D294&gt;0,Returns!D294/Returns!D293-1,"")</f>
        <v>5.9875399022837339E-3</v>
      </c>
    </row>
    <row r="290" spans="2:108" x14ac:dyDescent="0.3">
      <c r="DB290" s="3" vm="539">
        <f ca="1">IF(Returns!A299&lt;&gt;0,Returns!A299,"")</f>
        <v>42261</v>
      </c>
      <c r="DC290" s="13">
        <f ca="1">IF(Returns!B303&gt;0,Returns!B303/Returns!B302-1,"")</f>
        <v>-2.03315608382858E-2</v>
      </c>
      <c r="DD290" s="13">
        <f ca="1">IF(Returns!D295&gt;0,Returns!D295/Returns!D294-1,"")</f>
        <v>-5.8226963791210506E-2</v>
      </c>
    </row>
    <row r="291" spans="2:108" x14ac:dyDescent="0.3">
      <c r="B291" s="9"/>
      <c r="DB291" s="3" vm="540">
        <f ca="1">IF(Returns!A300&lt;&gt;0,Returns!A300,"")</f>
        <v>42268</v>
      </c>
      <c r="DC291" s="13">
        <f ca="1">IF(Returns!B304&gt;0,Returns!B304/Returns!B303-1,"")</f>
        <v>2.3307790549169649E-2</v>
      </c>
      <c r="DD291" s="13">
        <f ca="1">IF(Returns!D296&gt;0,Returns!D296/Returns!D295-1,"")</f>
        <v>1.1133883366504227E-2</v>
      </c>
    </row>
    <row r="292" spans="2:108" x14ac:dyDescent="0.3">
      <c r="DB292" s="3" vm="541">
        <f ca="1">IF(Returns!A301&lt;&gt;0,Returns!A301,"")</f>
        <v>42275</v>
      </c>
      <c r="DC292" s="13">
        <f ca="1">IF(Returns!B305&gt;0,Returns!B305/Returns!B304-1,"")</f>
        <v>6.8642745709830422E-3</v>
      </c>
      <c r="DD292" s="13">
        <f ca="1">IF(Returns!D297&gt;0,Returns!D297/Returns!D296-1,"")</f>
        <v>-3.2483900325804171E-2</v>
      </c>
    </row>
    <row r="293" spans="2:108" x14ac:dyDescent="0.3">
      <c r="DB293" s="3" vm="542">
        <f ca="1">IF(Returns!A302&lt;&gt;0,Returns!A302,"")</f>
        <v>42282</v>
      </c>
      <c r="DC293" s="13">
        <f ca="1">IF(Returns!B306&gt;0,Returns!B306/Returns!B305-1,"")</f>
        <v>-4.9581654787729246E-3</v>
      </c>
      <c r="DD293" s="13">
        <f ca="1">IF(Returns!D298&gt;0,Returns!D298/Returns!D297-1,"")</f>
        <v>2.0538053702851222E-2</v>
      </c>
    </row>
    <row r="294" spans="2:108" x14ac:dyDescent="0.3">
      <c r="DB294" s="3" vm="543">
        <f ca="1">IF(Returns!A306&lt;&gt;0,Returns!A306,"")</f>
        <v>42310</v>
      </c>
      <c r="DC294" s="13">
        <f ca="1">IF(Returns!B307&gt;0,Returns!B307/Returns!B306-1,"")</f>
        <v>-2.3980068514481423E-2</v>
      </c>
      <c r="DD294" s="13">
        <f ca="1">IF(Returns!D299&gt;0,Returns!D299/Returns!D298-1,"")</f>
        <v>-2.9516300383031213E-3</v>
      </c>
    </row>
    <row r="295" spans="2:108" x14ac:dyDescent="0.3">
      <c r="DB295" s="3" vm="544">
        <f ca="1">IF(Returns!A307&lt;&gt;0,Returns!A307,"")</f>
        <v>42317</v>
      </c>
      <c r="DC295" s="13">
        <f ca="1">IF(Returns!B308&gt;0,Returns!B308/Returns!B307-1,"")</f>
        <v>3.9566049776643242E-2</v>
      </c>
      <c r="DD295" s="13">
        <f ca="1">IF(Returns!D300&gt;0,Returns!D300/Returns!D299-1,"")</f>
        <v>-4.2672426812595532E-3</v>
      </c>
    </row>
    <row r="296" spans="2:108" x14ac:dyDescent="0.3">
      <c r="DB296" s="3" vm="545">
        <f ca="1">IF(Returns!A308&lt;&gt;0,Returns!A308,"")</f>
        <v>42324</v>
      </c>
      <c r="DC296" s="13">
        <f ca="1">IF(Returns!B309&gt;0,Returns!B309/Returns!B308-1,"")</f>
        <v>-5.5248618784530246E-3</v>
      </c>
      <c r="DD296" s="13">
        <f ca="1">IF(Returns!D301&gt;0,Returns!D301/Returns!D300-1,"")</f>
        <v>9.6665099753578954E-3</v>
      </c>
    </row>
    <row r="297" spans="2:108" x14ac:dyDescent="0.3">
      <c r="DB297" s="3" vm="546">
        <f ca="1">IF(Returns!A309&lt;&gt;0,Returns!A309,"")</f>
        <v>42331</v>
      </c>
      <c r="DC297" s="13">
        <f ca="1">IF(Returns!B310&gt;0,Returns!B310/Returns!B309-1,"")</f>
        <v>1.9135802469135932E-2</v>
      </c>
      <c r="DD297" s="13">
        <f ca="1">IF(Returns!D302&gt;0,Returns!D302/Returns!D301-1,"")</f>
        <v>3.7160217915890081E-2</v>
      </c>
    </row>
    <row r="298" spans="2:108" x14ac:dyDescent="0.3">
      <c r="DB298" s="3" vm="547">
        <f ca="1">IF(Returns!A310&lt;&gt;0,Returns!A310,"")</f>
        <v>42338</v>
      </c>
      <c r="DC298" s="13">
        <f ca="1">IF(Returns!B311&gt;0,Returns!B311/Returns!B310-1,"")</f>
        <v>-3.0284675953967333E-2</v>
      </c>
      <c r="DD298" s="13">
        <f ca="1">IF(Returns!D303&gt;0,Returns!D303/Returns!D302-1,"")</f>
        <v>7.6960385614770477E-3</v>
      </c>
    </row>
    <row r="299" spans="2:108" x14ac:dyDescent="0.3">
      <c r="DB299" s="3" vm="548">
        <f ca="1">IF(Returns!A311&lt;&gt;0,Returns!A311,"")</f>
        <v>42345</v>
      </c>
      <c r="DC299" s="13">
        <f ca="1">IF(Returns!B312&gt;0,Returns!B312/Returns!B311-1,"")</f>
        <v>-2.4047470331043153E-2</v>
      </c>
      <c r="DD299" s="13">
        <f ca="1">IF(Returns!D304&gt;0,Returns!D304/Returns!D303-1,"")</f>
        <v>2.5019014753722812E-2</v>
      </c>
    </row>
    <row r="300" spans="2:108" x14ac:dyDescent="0.3">
      <c r="DB300" s="3" vm="549">
        <f ca="1">IF(Returns!A312&lt;&gt;0,Returns!A312,"")</f>
        <v>42352</v>
      </c>
      <c r="DC300" s="13">
        <f ca="1">IF(Returns!B313&gt;0,Returns!B313/Returns!B312-1,"")</f>
        <v>2.6559999999999917E-2</v>
      </c>
      <c r="DD300" s="13">
        <f ca="1">IF(Returns!D305&gt;0,Returns!D305/Returns!D304-1,"")</f>
        <v>9.540707111455049E-4</v>
      </c>
    </row>
    <row r="301" spans="2:108" x14ac:dyDescent="0.3">
      <c r="DB301" s="3" vm="550">
        <f ca="1">IF(Returns!A313&lt;&gt;0,Returns!A313,"")</f>
        <v>42359</v>
      </c>
      <c r="DC301" s="13">
        <f ca="1">IF(Returns!B314&gt;0,Returns!B314/Returns!B313-1,"")</f>
        <v>6.2344139650871711E-4</v>
      </c>
      <c r="DD301" s="13">
        <f ca="1">IF(Returns!D306&gt;0,Returns!D306/Returns!D305-1,"")</f>
        <v>1.3972156629154187E-2</v>
      </c>
    </row>
    <row r="302" spans="2:108" x14ac:dyDescent="0.3">
      <c r="DB302" s="3" vm="551">
        <f ca="1">IF(Returns!A314&lt;&gt;0,Returns!A314,"")</f>
        <v>42366</v>
      </c>
      <c r="DC302" s="13">
        <f ca="1">IF(Returns!B315&gt;0,Returns!B315/Returns!B314-1,"")</f>
        <v>-5.9190031152648093E-2</v>
      </c>
      <c r="DD302" s="13">
        <f ca="1">IF(Returns!D307&gt;0,Returns!D307/Returns!D306-1,"")</f>
        <v>-3.7134856829556639E-2</v>
      </c>
    </row>
    <row r="303" spans="2:108" x14ac:dyDescent="0.3">
      <c r="DB303" s="3" vm="552">
        <f ca="1">IF(Returns!A315&lt;&gt;0,Returns!A315,"")</f>
        <v>42373</v>
      </c>
      <c r="DC303" s="13">
        <f ca="1">IF(Returns!B316&gt;0,Returns!B316/Returns!B315-1,"")</f>
        <v>-1.0927152317880773E-2</v>
      </c>
      <c r="DD303" s="13">
        <f ca="1">IF(Returns!D308&gt;0,Returns!D308/Returns!D307-1,"")</f>
        <v>3.3550029693416805E-2</v>
      </c>
    </row>
    <row r="304" spans="2:108" x14ac:dyDescent="0.3">
      <c r="DB304" s="3" vm="553">
        <f ca="1">IF(Returns!A316&lt;&gt;0,Returns!A316,"")</f>
        <v>42380</v>
      </c>
      <c r="DC304" s="13">
        <f ca="1">IF(Returns!B317&gt;0,Returns!B317/Returns!B316-1,"")</f>
        <v>-1.5734851021091512E-2</v>
      </c>
      <c r="DD304" s="13">
        <f ca="1">IF(Returns!D309&gt;0,Returns!D309/Returns!D308-1,"")</f>
        <v>-1.4206330285703173E-3</v>
      </c>
    </row>
    <row r="305" spans="106:108" x14ac:dyDescent="0.3">
      <c r="DB305" s="3" vm="554">
        <f ca="1">IF(Returns!A317&lt;&gt;0,Returns!A317,"")</f>
        <v>42388</v>
      </c>
      <c r="DC305" s="13">
        <f ca="1">IF(Returns!B318&gt;0,Returns!B318/Returns!B317-1,"")</f>
        <v>2.8911564625850428E-2</v>
      </c>
      <c r="DD305" s="13">
        <f ca="1">IF(Returns!D310&gt;0,Returns!D310/Returns!D309-1,"")</f>
        <v>2.7608516107180403E-3</v>
      </c>
    </row>
    <row r="306" spans="106:108" x14ac:dyDescent="0.3">
      <c r="DB306" s="3" vm="555">
        <f ca="1">IF(Returns!A318&lt;&gt;0,Returns!A318,"")</f>
        <v>42394</v>
      </c>
      <c r="DC306" s="13">
        <f ca="1">IF(Returns!B319&gt;0,Returns!B319/Returns!B318-1,"")</f>
        <v>4.1322314049586861E-2</v>
      </c>
      <c r="DD306" s="13">
        <f ca="1">IF(Returns!D311&gt;0,Returns!D311/Returns!D310-1,"")</f>
        <v>-3.2632882455049583E-2</v>
      </c>
    </row>
    <row r="307" spans="106:108" x14ac:dyDescent="0.3">
      <c r="DB307" s="3" vm="556">
        <f ca="1">IF(Returns!A319&lt;&gt;0,Returns!A319,"")</f>
        <v>42401</v>
      </c>
      <c r="DC307" s="13">
        <f ca="1">IF(Returns!B320&gt;0,Returns!B320/Returns!B319-1,"")</f>
        <v>-4.1269841269840901E-3</v>
      </c>
      <c r="DD307" s="13">
        <f ca="1">IF(Returns!D312&gt;0,Returns!D312/Returns!D311-1,"")</f>
        <v>-7.9153787445309653E-3</v>
      </c>
    </row>
    <row r="308" spans="106:108" x14ac:dyDescent="0.3">
      <c r="DB308" s="3" vm="557">
        <f ca="1">IF(Returns!A320&lt;&gt;0,Returns!A320,"")</f>
        <v>42408</v>
      </c>
      <c r="DC308" s="13">
        <f ca="1">IF(Returns!B321&gt;0,Returns!B321/Returns!B320-1,"")</f>
        <v>3.5065349059610895E-3</v>
      </c>
      <c r="DD308" s="13">
        <f ca="1">IF(Returns!D313&gt;0,Returns!D313/Returns!D312-1,"")</f>
        <v>2.4731535542557248E-2</v>
      </c>
    </row>
    <row r="309" spans="106:108" x14ac:dyDescent="0.3">
      <c r="DB309" s="3" vm="558">
        <f ca="1">IF(Returns!A321&lt;&gt;0,Returns!A321,"")</f>
        <v>42416</v>
      </c>
      <c r="DC309" s="13">
        <f ca="1">IF(Returns!B322&gt;0,Returns!B322/Returns!B321-1,"")</f>
        <v>3.0813214739517258E-2</v>
      </c>
      <c r="DD309" s="13">
        <f ca="1">IF(Returns!D314&gt;0,Returns!D314/Returns!D313-1,"")</f>
        <v>-7.2434927795272941E-3</v>
      </c>
    </row>
    <row r="310" spans="106:108" x14ac:dyDescent="0.3">
      <c r="DB310" s="3" vm="559">
        <f ca="1">IF(Returns!A322&lt;&gt;0,Returns!A322,"")</f>
        <v>42422</v>
      </c>
      <c r="DC310" s="13">
        <f ca="1">IF(Returns!B323&gt;0,Returns!B323/Returns!B322-1,"")</f>
        <v>3.6363636363636376E-2</v>
      </c>
      <c r="DD310" s="13">
        <f ca="1">IF(Returns!D315&gt;0,Returns!D315/Returns!D314-1,"")</f>
        <v>-6.1898073086100514E-2</v>
      </c>
    </row>
    <row r="311" spans="106:108" x14ac:dyDescent="0.3">
      <c r="DB311" s="3" vm="560">
        <f ca="1">IF(Returns!A323&lt;&gt;0,Returns!A323,"")</f>
        <v>42429</v>
      </c>
      <c r="DC311" s="13">
        <f ca="1">IF(Returns!B324&gt;0,Returns!B324/Returns!B323-1,"")</f>
        <v>2.1706809396372151E-2</v>
      </c>
      <c r="DD311" s="13">
        <f ca="1">IF(Returns!D316&gt;0,Returns!D316/Returns!D315-1,"")</f>
        <v>-2.1923557361343216E-2</v>
      </c>
    </row>
    <row r="312" spans="106:108" x14ac:dyDescent="0.3">
      <c r="DB312" s="3" vm="561">
        <f ca="1">IF(Returns!A324&lt;&gt;0,Returns!A324,"")</f>
        <v>42436</v>
      </c>
      <c r="DC312" s="13">
        <f ca="1">IF(Returns!B325&gt;0,Returns!B325/Returns!B324-1,"")</f>
        <v>2.4447031431897637E-2</v>
      </c>
      <c r="DD312" s="13">
        <f ca="1">IF(Returns!D317&gt;0,Returns!D317/Returns!D316-1,"")</f>
        <v>6.5942749875804729E-3</v>
      </c>
    </row>
    <row r="313" spans="106:108" x14ac:dyDescent="0.3">
      <c r="DB313" s="3" vm="562">
        <f ca="1">IF(Returns!A325&lt;&gt;0,Returns!A325,"")</f>
        <v>42443</v>
      </c>
      <c r="DC313" s="13">
        <f ca="1">IF(Returns!B326&gt;0,Returns!B326/Returns!B325-1,"")</f>
        <v>5.6818181818174551E-4</v>
      </c>
      <c r="DD313" s="13">
        <f ca="1">IF(Returns!D318&gt;0,Returns!D318/Returns!D317-1,"")</f>
        <v>2.3163883499276672E-2</v>
      </c>
    </row>
    <row r="314" spans="106:108" x14ac:dyDescent="0.3">
      <c r="DB314" s="3" vm="563">
        <f ca="1">IF(Returns!A326&lt;&gt;0,Returns!A326,"")</f>
        <v>42450</v>
      </c>
      <c r="DC314" s="13">
        <f ca="1">IF(Returns!B327&gt;0,Returns!B327/Returns!B326-1,"")</f>
        <v>1.1073253833049357E-2</v>
      </c>
      <c r="DD314" s="13">
        <f ca="1">IF(Returns!D319&gt;0,Returns!D319/Returns!D318-1,"")</f>
        <v>-1.5870706972361037E-2</v>
      </c>
    </row>
    <row r="315" spans="106:108" x14ac:dyDescent="0.3">
      <c r="DB315" s="3" vm="564">
        <f ca="1">IF(Returns!A327&lt;&gt;0,Returns!A327,"")</f>
        <v>42457</v>
      </c>
      <c r="DC315" s="13">
        <f ca="1">IF(Returns!B328&gt;0,Returns!B328/Returns!B327-1,"")</f>
        <v>-2.7239539455209183E-2</v>
      </c>
      <c r="DD315" s="13">
        <f ca="1">IF(Returns!D320&gt;0,Returns!D320/Returns!D319-1,"")</f>
        <v>-1.426295424437396E-2</v>
      </c>
    </row>
    <row r="316" spans="106:108" x14ac:dyDescent="0.3">
      <c r="DB316" s="3" vm="565">
        <f ca="1">IF(Returns!A328&lt;&gt;0,Returns!A328,"")</f>
        <v>42464</v>
      </c>
      <c r="DC316" s="13">
        <f ca="1">IF(Returns!B329&gt;0,Returns!B329/Returns!B328-1,"")</f>
        <v>2.5404157043879882E-2</v>
      </c>
      <c r="DD316" s="13">
        <f ca="1">IF(Returns!D321&gt;0,Returns!D321/Returns!D320-1,"")</f>
        <v>2.6177694411175123E-2</v>
      </c>
    </row>
    <row r="317" spans="106:108" x14ac:dyDescent="0.3">
      <c r="DB317" s="3" vm="566">
        <f ca="1">IF(Returns!A329&lt;&gt;0,Returns!A329,"")</f>
        <v>42471</v>
      </c>
      <c r="DC317" s="13">
        <f ca="1">IF(Returns!B330&gt;0,Returns!B330/Returns!B329-1,"")</f>
        <v>-2.3367117117117253E-2</v>
      </c>
      <c r="DD317" s="13">
        <f ca="1">IF(Returns!D322&gt;0,Returns!D322/Returns!D321-1,"")</f>
        <v>1.5127970121366019E-2</v>
      </c>
    </row>
    <row r="318" spans="106:108" x14ac:dyDescent="0.3">
      <c r="DB318" s="3" vm="567">
        <f ca="1">IF(Returns!A330&lt;&gt;0,Returns!A330,"")</f>
        <v>42478</v>
      </c>
      <c r="DC318" s="13">
        <f ca="1">IF(Returns!B331&gt;0,Returns!B331/Returns!B330-1,"")</f>
        <v>1.2107235514557502E-2</v>
      </c>
      <c r="DD318" s="13">
        <f ca="1">IF(Returns!D323&gt;0,Returns!D323/Returns!D322-1,"")</f>
        <v>2.2043054051070765E-2</v>
      </c>
    </row>
    <row r="319" spans="106:108" x14ac:dyDescent="0.3">
      <c r="DB319" s="3" vm="568">
        <f ca="1">IF(Returns!A331&lt;&gt;0,Returns!A331,"")</f>
        <v>42485</v>
      </c>
      <c r="DC319" s="13">
        <f ca="1">IF(Returns!B332&gt;0,Returns!B332/Returns!B331-1,"")</f>
        <v>-6.2660210766163349E-3</v>
      </c>
      <c r="DD319" s="13">
        <f ca="1">IF(Returns!D324&gt;0,Returns!D324/Returns!D323-1,"")</f>
        <v>1.2144888649240348E-2</v>
      </c>
    </row>
    <row r="320" spans="106:108" x14ac:dyDescent="0.3">
      <c r="DB320" s="3" vm="569">
        <f ca="1">IF(Returns!A332&lt;&gt;0,Returns!A332,"")</f>
        <v>42492</v>
      </c>
      <c r="DC320" s="13">
        <f ca="1">IF(Returns!B333&gt;0,Returns!B333/Returns!B332-1,"")</f>
        <v>6.8787618228718372E-3</v>
      </c>
      <c r="DD320" s="13">
        <f ca="1">IF(Returns!D325&gt;0,Returns!D325/Returns!D324-1,"")</f>
        <v>2.2597881070308912E-2</v>
      </c>
    </row>
    <row r="321" spans="106:108" x14ac:dyDescent="0.3">
      <c r="DB321" s="3" vm="570">
        <f ca="1">IF(Returns!A333&lt;&gt;0,Returns!A333,"")</f>
        <v>42499</v>
      </c>
      <c r="DC321" s="13">
        <f ca="1">IF(Returns!B334&gt;0,Returns!B334/Returns!B333-1,"")</f>
        <v>1.9925989183033899E-3</v>
      </c>
      <c r="DD321" s="13">
        <f ca="1">IF(Returns!D326&gt;0,Returns!D326/Returns!D325-1,"")</f>
        <v>-4.9176989817248939E-3</v>
      </c>
    </row>
    <row r="322" spans="106:108" x14ac:dyDescent="0.3">
      <c r="DB322" s="3" vm="571">
        <f ca="1">IF(Returns!A334&lt;&gt;0,Returns!A334,"")</f>
        <v>42506</v>
      </c>
      <c r="DC322" s="13">
        <f ca="1">IF(Returns!B335&gt;0,Returns!B335/Returns!B334-1,"")</f>
        <v>2.1874999999999867E-2</v>
      </c>
      <c r="DD322" s="13">
        <f ca="1">IF(Returns!D327&gt;0,Returns!D327/Returns!D326-1,"")</f>
        <v>1.5815174545976474E-2</v>
      </c>
    </row>
    <row r="323" spans="106:108" x14ac:dyDescent="0.3">
      <c r="DB323" s="3" vm="572">
        <f ca="1">IF(Returns!A335&lt;&gt;0,Returns!A335,"")</f>
        <v>42513</v>
      </c>
      <c r="DC323" s="13">
        <f ca="1">IF(Returns!B336&gt;0,Returns!B336/Returns!B335-1,"")</f>
        <v>2.7800945232137053E-4</v>
      </c>
      <c r="DD323" s="13">
        <f ca="1">IF(Returns!D328&gt;0,Returns!D328/Returns!D327-1,"")</f>
        <v>-1.2127996635033611E-2</v>
      </c>
    </row>
    <row r="324" spans="106:108" x14ac:dyDescent="0.3">
      <c r="DB324" s="3" vm="573">
        <f ca="1">IF(Returns!A336&lt;&gt;0,Returns!A336,"")</f>
        <v>42521</v>
      </c>
      <c r="DC324" s="13">
        <f ca="1">IF(Returns!B337&gt;0,Returns!B337/Returns!B336-1,"")</f>
        <v>1.1951083935519691E-2</v>
      </c>
      <c r="DD324" s="13">
        <f ca="1">IF(Returns!D329&gt;0,Returns!D329/Returns!D328-1,"")</f>
        <v>1.8234167087359365E-2</v>
      </c>
    </row>
    <row r="325" spans="106:108" x14ac:dyDescent="0.3">
      <c r="DB325" s="3" vm="574">
        <f ca="1">IF(Returns!A337&lt;&gt;0,Returns!A337,"")</f>
        <v>42527</v>
      </c>
      <c r="DC325" s="13">
        <f ca="1">IF(Returns!B338&gt;0,Returns!B338/Returns!B337-1,"")</f>
        <v>-2.1971985718209242E-2</v>
      </c>
      <c r="DD325" s="13">
        <f ca="1">IF(Returns!D330&gt;0,Returns!D330/Returns!D329-1,"")</f>
        <v>5.938602527270298E-3</v>
      </c>
    </row>
    <row r="326" spans="106:108" x14ac:dyDescent="0.3">
      <c r="DB326" s="3" vm="575">
        <f ca="1">IF(Returns!A338&lt;&gt;0,Returns!A338,"")</f>
        <v>42534</v>
      </c>
      <c r="DC326" s="13">
        <f ca="1">IF(Returns!B339&gt;0,Returns!B339/Returns!B338-1,"")</f>
        <v>0</v>
      </c>
      <c r="DD326" s="13">
        <f ca="1">IF(Returns!D331&gt;0,Returns!D331/Returns!D330-1,"")</f>
        <v>-1.2780868150120583E-2</v>
      </c>
    </row>
    <row r="327" spans="106:108" x14ac:dyDescent="0.3">
      <c r="DB327" s="3" vm="576">
        <f ca="1">IF(Returns!A339&lt;&gt;0,Returns!A339,"")</f>
        <v>42541</v>
      </c>
      <c r="DC327" s="13">
        <f ca="1">IF(Returns!B340&gt;0,Returns!B340/Returns!B339-1,"")</f>
        <v>4.1842179163156468E-2</v>
      </c>
      <c r="DD327" s="13">
        <f ca="1">IF(Returns!D332&gt;0,Returns!D332/Returns!D331-1,"")</f>
        <v>-1.857177028127599E-3</v>
      </c>
    </row>
    <row r="328" spans="106:108" x14ac:dyDescent="0.3">
      <c r="DB328" s="3" vm="577">
        <f ca="1">IF(Returns!A340&lt;&gt;0,Returns!A340,"")</f>
        <v>42548</v>
      </c>
      <c r="DC328" s="13">
        <f ca="1">IF(Returns!B341&gt;0,Returns!B341/Returns!B340-1,"")</f>
        <v>6.4690026954179469E-3</v>
      </c>
      <c r="DD328" s="13">
        <f ca="1">IF(Returns!D333&gt;0,Returns!D333/Returns!D332-1,"")</f>
        <v>-1.1573014072879584E-2</v>
      </c>
    </row>
    <row r="329" spans="106:108" x14ac:dyDescent="0.3">
      <c r="DB329" s="3" vm="578">
        <f ca="1">IF(Returns!A341&lt;&gt;0,Returns!A341,"")</f>
        <v>42556</v>
      </c>
      <c r="DC329" s="13">
        <f ca="1">IF(Returns!B342&gt;0,Returns!B342/Returns!B341-1,"")</f>
        <v>-3.4815211569362736E-2</v>
      </c>
      <c r="DD329" s="13">
        <f ca="1">IF(Returns!D334&gt;0,Returns!D334/Returns!D333-1,"")</f>
        <v>-1.960528717558585E-3</v>
      </c>
    </row>
    <row r="330" spans="106:108" x14ac:dyDescent="0.3">
      <c r="DB330" s="3" vm="579">
        <f ca="1">IF(Returns!A342&lt;&gt;0,Returns!A342,"")</f>
        <v>42562</v>
      </c>
      <c r="DC330" s="13">
        <f ca="1">IF(Returns!B343&gt;0,Returns!B343/Returns!B342-1,"")</f>
        <v>2.8579356270810319E-2</v>
      </c>
      <c r="DD330" s="13">
        <f ca="1">IF(Returns!D335&gt;0,Returns!D335/Returns!D334-1,"")</f>
        <v>2.1271683182453538E-2</v>
      </c>
    </row>
    <row r="331" spans="106:108" x14ac:dyDescent="0.3">
      <c r="DB331" s="3" vm="580">
        <f ca="1">IF(Returns!A343&lt;&gt;0,Returns!A343,"")</f>
        <v>42569</v>
      </c>
      <c r="DC331" s="13">
        <f ca="1">IF(Returns!B344&gt;0,Returns!B344/Returns!B343-1,"")</f>
        <v>-1.1060156460749981E-2</v>
      </c>
      <c r="DD331" s="13">
        <f ca="1">IF(Returns!D336&gt;0,Returns!D336/Returns!D335-1,"")</f>
        <v>-3.7013370754835906E-3</v>
      </c>
    </row>
    <row r="332" spans="106:108" x14ac:dyDescent="0.3">
      <c r="DB332" s="3" vm="581">
        <f ca="1">IF(Returns!A344&lt;&gt;0,Returns!A344,"")</f>
        <v>42576</v>
      </c>
      <c r="DC332" s="13">
        <f ca="1">IF(Returns!B345&gt;0,Returns!B345/Returns!B344-1,"")</f>
        <v>5.1827605019094669E-3</v>
      </c>
      <c r="DD332" s="13">
        <f ca="1">IF(Returns!D337&gt;0,Returns!D337/Returns!D336-1,"")</f>
        <v>3.2728138982160981E-3</v>
      </c>
    </row>
    <row r="333" spans="106:108" x14ac:dyDescent="0.3">
      <c r="DB333" s="3" vm="582">
        <f ca="1">IF(Returns!A345&lt;&gt;0,Returns!A345,"")</f>
        <v>42583</v>
      </c>
      <c r="DC333" s="13">
        <f ca="1">IF(Returns!B346&gt;0,Returns!B346/Returns!B345-1,"")</f>
        <v>-9.2265943012213025E-3</v>
      </c>
      <c r="DD333" s="13">
        <f ca="1">IF(Returns!D338&gt;0,Returns!D338/Returns!D337-1,"")</f>
        <v>-1.0645069571914911E-2</v>
      </c>
    </row>
    <row r="334" spans="106:108" x14ac:dyDescent="0.3">
      <c r="DB334" s="3" vm="583">
        <f ca="1">IF(Returns!A346&lt;&gt;0,Returns!A346,"")</f>
        <v>42590</v>
      </c>
      <c r="DC334" s="13">
        <f ca="1">IF(Returns!B347&gt;0,Returns!B347/Returns!B346-1,"")</f>
        <v>1.6433853738702098E-3</v>
      </c>
      <c r="DD334" s="13">
        <f ca="1">IF(Returns!D339&gt;0,Returns!D339/Returns!D338-1,"")</f>
        <v>-1.5525287873717764E-2</v>
      </c>
    </row>
    <row r="335" spans="106:108" x14ac:dyDescent="0.3">
      <c r="DB335" s="3" vm="584">
        <f ca="1">IF(Returns!A347&lt;&gt;0,Returns!A347,"")</f>
        <v>42597</v>
      </c>
      <c r="DC335" s="13">
        <f ca="1">IF(Returns!B348&gt;0,Returns!B348/Returns!B347-1,"")</f>
        <v>8.4768936286574448E-3</v>
      </c>
      <c r="DD335" s="13">
        <f ca="1">IF(Returns!D340&gt;0,Returns!D340/Returns!D339-1,"")</f>
        <v>3.1528448823192612E-2</v>
      </c>
    </row>
    <row r="336" spans="106:108" x14ac:dyDescent="0.3">
      <c r="DB336" s="3" vm="585">
        <f ca="1">IF(Returns!A348&lt;&gt;0,Returns!A348,"")</f>
        <v>42604</v>
      </c>
      <c r="DC336" s="13">
        <f ca="1">IF(Returns!B349&gt;0,Returns!B349/Returns!B348-1,"")</f>
        <v>3.0368763557483636E-2</v>
      </c>
      <c r="DD336" s="13">
        <f ca="1">IF(Returns!D341&gt;0,Returns!D341/Returns!D340-1,"")</f>
        <v>1.0995839904153426E-2</v>
      </c>
    </row>
    <row r="337" spans="106:108" x14ac:dyDescent="0.3">
      <c r="DB337" s="3" vm="586">
        <f ca="1">IF(Returns!A349&lt;&gt;0,Returns!A349,"")</f>
        <v>42611</v>
      </c>
      <c r="DC337" s="13">
        <f ca="1">IF(Returns!B350&gt;0,Returns!B350/Returns!B349-1,"")</f>
        <v>-3.0789473684210589E-2</v>
      </c>
      <c r="DD337" s="13">
        <f ca="1">IF(Returns!D342&gt;0,Returns!D342/Returns!D341-1,"")</f>
        <v>2.0378824547452323E-2</v>
      </c>
    </row>
    <row r="338" spans="106:108" x14ac:dyDescent="0.3">
      <c r="DB338" s="3" vm="587">
        <f ca="1">IF(Returns!A350&lt;&gt;0,Returns!A350,"")</f>
        <v>42619</v>
      </c>
      <c r="DC338" s="13">
        <f ca="1">IF(Returns!B351&gt;0,Returns!B351/Returns!B350-1,"")</f>
        <v>2.9866956285635737E-3</v>
      </c>
      <c r="DD338" s="13">
        <f ca="1">IF(Returns!D343&gt;0,Returns!D343/Returns!D342-1,"")</f>
        <v>2.9328955310605753E-3</v>
      </c>
    </row>
    <row r="339" spans="106:108" x14ac:dyDescent="0.3">
      <c r="DB339" s="3" vm="588">
        <f ca="1">IF(Returns!A351&lt;&gt;0,Returns!A351,"")</f>
        <v>42625</v>
      </c>
      <c r="DC339" s="13">
        <f ca="1">IF(Returns!B352&gt;0,Returns!B352/Returns!B351-1,"")</f>
        <v>1.4889009204114956E-2</v>
      </c>
      <c r="DD339" s="13">
        <f ca="1">IF(Returns!D344&gt;0,Returns!D344/Returns!D343-1,"")</f>
        <v>-7.4638405982259126E-3</v>
      </c>
    </row>
    <row r="340" spans="106:108" x14ac:dyDescent="0.3">
      <c r="DB340" s="3" vm="589">
        <f ca="1">IF(Returns!A352&lt;&gt;0,Returns!A352,"")</f>
        <v>42632</v>
      </c>
      <c r="DC340" s="13">
        <f ca="1">IF(Returns!B353&gt;0,Returns!B353/Returns!B352-1,"")</f>
        <v>5.8682315284075415E-3</v>
      </c>
      <c r="DD340" s="13">
        <f ca="1">IF(Returns!D345&gt;0,Returns!D345/Returns!D344-1,"")</f>
        <v>6.0375228629909738E-3</v>
      </c>
    </row>
    <row r="341" spans="106:108" x14ac:dyDescent="0.3">
      <c r="DB341" s="3" vm="590">
        <f ca="1">IF(Returns!A353&lt;&gt;0,Returns!A353,"")</f>
        <v>42639</v>
      </c>
      <c r="DC341" s="13">
        <f ca="1">IF(Returns!B354&gt;0,Returns!B354/Returns!B353-1,"")</f>
        <v>1.3259082471492878E-2</v>
      </c>
      <c r="DD341" s="13">
        <f ca="1">IF(Returns!D346&gt;0,Returns!D346/Returns!D345-1,"")</f>
        <v>1.7763823824266112E-3</v>
      </c>
    </row>
    <row r="342" spans="106:108" x14ac:dyDescent="0.3">
      <c r="DB342" s="3" vm="591">
        <f ca="1">IF(Returns!A354&lt;&gt;0,Returns!A354,"")</f>
        <v>42646</v>
      </c>
      <c r="DC342" s="13">
        <f ca="1">IF(Returns!B355&gt;0,Returns!B355/Returns!B354-1,"")</f>
        <v>-2.0151792724417805E-2</v>
      </c>
      <c r="DD342" s="13">
        <f ca="1">IF(Returns!D347&gt;0,Returns!D347/Returns!D346-1,"")</f>
        <v>-1.2866060928343748E-3</v>
      </c>
    </row>
    <row r="343" spans="106:108" x14ac:dyDescent="0.3">
      <c r="DB343" s="3" vm="592">
        <f ca="1">IF(Returns!A355&lt;&gt;0,Returns!A355,"")</f>
        <v>42653</v>
      </c>
      <c r="DC343" s="13">
        <f ca="1">IF(Returns!B356&gt;0,Returns!B356/Returns!B355-1,"")</f>
        <v>4.8076923076922906E-3</v>
      </c>
      <c r="DD343" s="13">
        <f ca="1">IF(Returns!D348&gt;0,Returns!D348/Returns!D347-1,"")</f>
        <v>-8.4715433869436696E-3</v>
      </c>
    </row>
    <row r="344" spans="106:108" x14ac:dyDescent="0.3">
      <c r="DB344" s="3" vm="593">
        <f ca="1">IF(Returns!A356&lt;&gt;0,Returns!A356,"")</f>
        <v>42660</v>
      </c>
      <c r="DC344" s="13">
        <f ca="1">IF(Returns!B357&gt;0,Returns!B357/Returns!B356-1,"")</f>
        <v>-2.2860180754917581E-2</v>
      </c>
      <c r="DD344" s="13">
        <f ca="1">IF(Returns!D349&gt;0,Returns!D349/Returns!D348-1,"")</f>
        <v>5.2492087845719126E-3</v>
      </c>
    </row>
    <row r="345" spans="106:108" x14ac:dyDescent="0.3">
      <c r="DB345" s="3" vm="594">
        <f ca="1">IF(Returns!A357&lt;&gt;0,Returns!A357,"")</f>
        <v>42667</v>
      </c>
      <c r="DC345" s="13">
        <f ca="1">IF(Returns!B358&gt;0,Returns!B358/Returns!B357-1,"")</f>
        <v>-1.3057671381936808E-2</v>
      </c>
      <c r="DD345" s="13">
        <f ca="1">IF(Returns!D350&gt;0,Returns!D350/Returns!D349-1,"")</f>
        <v>-2.1983394493419461E-2</v>
      </c>
    </row>
    <row r="346" spans="106:108" x14ac:dyDescent="0.3">
      <c r="DB346" s="3" vm="595">
        <f ca="1">IF(Returns!A358&lt;&gt;0,Returns!A358,"")</f>
        <v>42674</v>
      </c>
      <c r="DC346" s="13">
        <f ca="1">IF(Returns!B359&gt;0,Returns!B359/Returns!B358-1,"")</f>
        <v>7.9106945975744081E-2</v>
      </c>
      <c r="DD346" s="13">
        <f ca="1">IF(Returns!D351&gt;0,Returns!D351/Returns!D350-1,"")</f>
        <v>2.120522755587384E-3</v>
      </c>
    </row>
    <row r="347" spans="106:108" x14ac:dyDescent="0.3">
      <c r="DB347" s="3" vm="596">
        <f ca="1">IF(Returns!A359&lt;&gt;0,Returns!A359,"")</f>
        <v>42681</v>
      </c>
      <c r="DC347" s="13">
        <f ca="1">IF(Returns!B360&gt;0,Returns!B360/Returns!B359-1,"")</f>
        <v>8.148148148148171E-2</v>
      </c>
      <c r="DD347" s="13">
        <f ca="1">IF(Returns!D352&gt;0,Returns!D352/Returns!D351-1,"")</f>
        <v>7.5950531932418297E-3</v>
      </c>
    </row>
    <row r="348" spans="106:108" x14ac:dyDescent="0.3">
      <c r="DB348" s="3" vm="597">
        <f ca="1">IF(Returns!A360&lt;&gt;0,Returns!A360,"")</f>
        <v>42688</v>
      </c>
      <c r="DC348" s="13">
        <f ca="1">IF(Returns!B361&gt;0,Returns!B361/Returns!B360-1,"")</f>
        <v>1.9839395370807589E-2</v>
      </c>
      <c r="DD348" s="13">
        <f ca="1">IF(Returns!D353&gt;0,Returns!D353/Returns!D352-1,"")</f>
        <v>2.557601141802035E-3</v>
      </c>
    </row>
    <row r="349" spans="106:108" x14ac:dyDescent="0.3">
      <c r="DB349" s="3" vm="598">
        <f ca="1">IF(Returns!A361&lt;&gt;0,Returns!A361,"")</f>
        <v>42695</v>
      </c>
      <c r="DC349" s="13">
        <f ca="1">IF(Returns!B362&gt;0,Returns!B362/Returns!B361-1,"")</f>
        <v>9.2635479388603059E-4</v>
      </c>
      <c r="DD349" s="13">
        <f ca="1">IF(Returns!D354&gt;0,Returns!D354/Returns!D353-1,"")</f>
        <v>-3.6956976775167627E-3</v>
      </c>
    </row>
    <row r="350" spans="106:108" x14ac:dyDescent="0.3">
      <c r="DB350" s="3" vm="599">
        <f ca="1">IF(Returns!A362&lt;&gt;0,Returns!A362,"")</f>
        <v>42702</v>
      </c>
      <c r="DC350" s="13">
        <f ca="1">IF(Returns!B363&gt;0,Returns!B363/Returns!B362-1,"")</f>
        <v>2.7764923646460105E-2</v>
      </c>
      <c r="DD350" s="13">
        <f ca="1">IF(Returns!D355&gt;0,Returns!D355/Returns!D354-1,"")</f>
        <v>-5.597897249701278E-3</v>
      </c>
    </row>
    <row r="351" spans="106:108" x14ac:dyDescent="0.3">
      <c r="DB351" s="3" vm="600">
        <f ca="1">IF(Returns!A363&lt;&gt;0,Returns!A363,"")</f>
        <v>42709</v>
      </c>
      <c r="DC351" s="13">
        <f ca="1">IF(Returns!B364&gt;0,Returns!B364/Returns!B363-1,"")</f>
        <v>1.0355695632597861E-2</v>
      </c>
      <c r="DD351" s="13">
        <f ca="1">IF(Returns!D356&gt;0,Returns!D356/Returns!D355-1,"")</f>
        <v>4.0398858914847402E-4</v>
      </c>
    </row>
    <row r="352" spans="106:108" x14ac:dyDescent="0.3">
      <c r="DB352" s="3" vm="601">
        <f ca="1">IF(Returns!A364&lt;&gt;0,Returns!A364,"")</f>
        <v>42716</v>
      </c>
      <c r="DC352" s="13">
        <f ca="1">IF(Returns!B365&gt;0,Returns!B365/Returns!B364-1,"")</f>
        <v>2.2281639928700692E-4</v>
      </c>
      <c r="DD352" s="13">
        <f ca="1">IF(Returns!D357&gt;0,Returns!D357/Returns!D356-1,"")</f>
        <v>8.5293983487999547E-4</v>
      </c>
    </row>
    <row r="353" spans="106:108" x14ac:dyDescent="0.3">
      <c r="DB353" s="3" vm="602">
        <f ca="1">IF(Returns!A365&lt;&gt;0,Returns!A365,"")</f>
        <v>42723</v>
      </c>
      <c r="DC353" s="13">
        <f ca="1">IF(Returns!B366&gt;0,Returns!B366/Returns!B365-1,"")</f>
        <v>-6.6830028959685706E-4</v>
      </c>
      <c r="DD353" s="13">
        <f ca="1">IF(Returns!D358&gt;0,Returns!D358/Returns!D357-1,"")</f>
        <v>-1.5026846948920758E-2</v>
      </c>
    </row>
    <row r="354" spans="106:108" x14ac:dyDescent="0.3">
      <c r="DB354" s="3" vm="603">
        <f ca="1">IF(Returns!A366&lt;&gt;0,Returns!A366,"")</f>
        <v>42731</v>
      </c>
      <c r="DC354" s="13">
        <f ca="1">IF(Returns!B367&gt;0,Returns!B367/Returns!B366-1,"")</f>
        <v>1.1145786892554632E-3</v>
      </c>
      <c r="DD354" s="13">
        <f ca="1">IF(Returns!D359&gt;0,Returns!D359/Returns!D358-1,"")</f>
        <v>5.3631793204345968E-2</v>
      </c>
    </row>
    <row r="355" spans="106:108" x14ac:dyDescent="0.3">
      <c r="DB355" s="3" vm="604">
        <f ca="1">IF(Returns!A367&lt;&gt;0,Returns!A367,"")</f>
        <v>42738</v>
      </c>
      <c r="DC355" s="13">
        <f ca="1">IF(Returns!B368&gt;0,Returns!B368/Returns!B367-1,"")</f>
        <v>-1.4473391226898169E-2</v>
      </c>
      <c r="DD355" s="13">
        <f ca="1">IF(Returns!D360&gt;0,Returns!D360/Returns!D359-1,"")</f>
        <v>1.0755179111376911E-3</v>
      </c>
    </row>
    <row r="356" spans="106:108" x14ac:dyDescent="0.3">
      <c r="DB356" s="3" vm="605">
        <f ca="1">IF(Returns!A368&lt;&gt;0,Returns!A368,"")</f>
        <v>42744</v>
      </c>
      <c r="DC356" s="13">
        <f ca="1">IF(Returns!B369&gt;0,Returns!B369/Returns!B368-1,"")</f>
        <v>-9.7153185720740831E-3</v>
      </c>
      <c r="DD356" s="13">
        <f ca="1">IF(Returns!D361&gt;0,Returns!D361/Returns!D360-1,"")</f>
        <v>1.5062862099777918E-2</v>
      </c>
    </row>
    <row r="357" spans="106:108" x14ac:dyDescent="0.3">
      <c r="DB357" s="3" vm="606">
        <f ca="1">IF(Returns!A369&lt;&gt;0,Returns!A369,"")</f>
        <v>42752</v>
      </c>
      <c r="DC357" s="13">
        <f ca="1">IF(Returns!B370&gt;0,Returns!B370/Returns!B369-1,"")</f>
        <v>-1.3004791238877433E-2</v>
      </c>
      <c r="DD357" s="13">
        <f ca="1">IF(Returns!D362&gt;0,Returns!D362/Returns!D361-1,"")</f>
        <v>9.5472882380098767E-4</v>
      </c>
    </row>
    <row r="358" spans="106:108" x14ac:dyDescent="0.3">
      <c r="DB358" s="3" vm="607">
        <f ca="1">IF(Returns!A370&lt;&gt;0,Returns!A370,"")</f>
        <v>42758</v>
      </c>
      <c r="DC358" s="13">
        <f ca="1">IF(Returns!B371&gt;0,Returns!B371/Returns!B370-1,"")</f>
        <v>-1.687471104946825E-2</v>
      </c>
      <c r="DD358" s="13">
        <f ca="1">IF(Returns!D363&gt;0,Returns!D363/Returns!D362-1,"")</f>
        <v>3.0589895633508446E-2</v>
      </c>
    </row>
    <row r="359" spans="106:108" x14ac:dyDescent="0.3">
      <c r="DB359" s="3" vm="608">
        <f ca="1">IF(Returns!A371&lt;&gt;0,Returns!A371,"")</f>
        <v>42765</v>
      </c>
      <c r="DC359" s="13">
        <f ca="1">IF(Returns!B372&gt;0,Returns!B372/Returns!B371-1,"")</f>
        <v>1.0580766517751972E-2</v>
      </c>
      <c r="DD359" s="13">
        <f ca="1">IF(Returns!D364&gt;0,Returns!D364/Returns!D363-1,"")</f>
        <v>4.3814027140556266E-3</v>
      </c>
    </row>
    <row r="360" spans="106:108" x14ac:dyDescent="0.3">
      <c r="DB360" s="3" vm="609">
        <f ca="1">IF(Returns!A372&lt;&gt;0,Returns!A372,"")</f>
        <v>42772</v>
      </c>
      <c r="DC360" s="13">
        <f ca="1">IF(Returns!B373&gt;0,Returns!B373/Returns!B372-1,"")</f>
        <v>2.0707305723592473E-2</v>
      </c>
      <c r="DD360" s="13">
        <f ca="1">IF(Returns!D365&gt;0,Returns!D365/Returns!D364-1,"")</f>
        <v>4.5555579688953962E-3</v>
      </c>
    </row>
    <row r="361" spans="106:108" x14ac:dyDescent="0.3">
      <c r="DB361" s="3" vm="610">
        <f ca="1">IF(Returns!A373&lt;&gt;0,Returns!A373,"")</f>
        <v>42779</v>
      </c>
      <c r="DC361" s="13">
        <f ca="1">IF(Returns!B374&gt;0,Returns!B374/Returns!B373-1,"")</f>
        <v>-1.0257579211305989E-2</v>
      </c>
      <c r="DD361" s="13">
        <f ca="1">IF(Returns!D366&gt;0,Returns!D366/Returns!D365-1,"")</f>
        <v>-8.5888210775674212E-3</v>
      </c>
    </row>
    <row r="362" spans="106:108" x14ac:dyDescent="0.3">
      <c r="DB362" s="3" vm="611">
        <f ca="1">IF(Returns!A374&lt;&gt;0,Returns!A374,"")</f>
        <v>42787</v>
      </c>
      <c r="DC362" s="13">
        <f ca="1">IF(Returns!B375&gt;0,Returns!B375/Returns!B374-1,"")</f>
        <v>4.1455550437585753E-3</v>
      </c>
      <c r="DD362" s="13">
        <f ca="1">IF(Returns!D367&gt;0,Returns!D367/Returns!D366-1,"")</f>
        <v>1.0181029378681705E-2</v>
      </c>
    </row>
    <row r="363" spans="106:108" x14ac:dyDescent="0.3">
      <c r="DB363" s="3" vm="612">
        <f ca="1">IF(Returns!A375&lt;&gt;0,Returns!A375,"")</f>
        <v>42793</v>
      </c>
      <c r="DC363" s="13">
        <f ca="1">IF(Returns!B376&gt;0,Returns!B376/Returns!B375-1,"")</f>
        <v>-8.9449541284404299E-3</v>
      </c>
      <c r="DD363" s="13">
        <f ca="1">IF(Returns!D368&gt;0,Returns!D368/Returns!D367-1,"")</f>
        <v>-3.9106227383286507E-3</v>
      </c>
    </row>
    <row r="364" spans="106:108" x14ac:dyDescent="0.3">
      <c r="DB364" s="3" vm="613">
        <f ca="1">IF(Returns!A376&lt;&gt;0,Returns!A376,"")</f>
        <v>42800</v>
      </c>
      <c r="DC364" s="13">
        <f ca="1">IF(Returns!B377&gt;0,Returns!B377/Returns!B376-1,"")</f>
        <v>1.2728535061328428E-2</v>
      </c>
      <c r="DD364" s="13">
        <f ca="1">IF(Returns!D369&gt;0,Returns!D369/Returns!D368-1,"")</f>
        <v>-2.9410333588129056E-3</v>
      </c>
    </row>
    <row r="365" spans="106:108" x14ac:dyDescent="0.3">
      <c r="DB365" s="3" vm="614">
        <f ca="1">IF(Returns!A377&lt;&gt;0,Returns!A377,"")</f>
        <v>42807</v>
      </c>
      <c r="DC365" s="13">
        <f ca="1">IF(Returns!B378&gt;0,Returns!B378/Returns!B377-1,"")</f>
        <v>-2.6279707495429627E-2</v>
      </c>
      <c r="DD365" s="13">
        <f ca="1">IF(Returns!D370&gt;0,Returns!D370/Returns!D369-1,"")</f>
        <v>1.3442940414269522E-2</v>
      </c>
    </row>
    <row r="366" spans="106:108" x14ac:dyDescent="0.3">
      <c r="DB366" s="3" vm="615">
        <f ca="1">IF(Returns!A378&lt;&gt;0,Returns!A378,"")</f>
        <v>42814</v>
      </c>
      <c r="DC366" s="13">
        <f ca="1">IF(Returns!B379&gt;0,Returns!B379/Returns!B378-1,"")</f>
        <v>-2.0887115700539804E-2</v>
      </c>
      <c r="DD366" s="13">
        <f ca="1">IF(Returns!D371&gt;0,Returns!D371/Returns!D370-1,"")</f>
        <v>-1.1110650216771267E-3</v>
      </c>
    </row>
    <row r="367" spans="106:108" x14ac:dyDescent="0.3">
      <c r="DB367" s="3" vm="616">
        <f ca="1">IF(Returns!A379&lt;&gt;0,Returns!A379,"")</f>
        <v>42821</v>
      </c>
      <c r="DC367" s="13">
        <f ca="1">IF(Returns!B380&gt;0,Returns!B380/Returns!B379-1,"")</f>
        <v>2.157238734419975E-3</v>
      </c>
      <c r="DD367" s="13">
        <f ca="1">IF(Returns!D372&gt;0,Returns!D372/Returns!D371-1,"")</f>
        <v>9.8605891012004676E-3</v>
      </c>
    </row>
    <row r="368" spans="106:108" x14ac:dyDescent="0.3">
      <c r="DB368" s="3" vm="617">
        <f ca="1">IF(Returns!A380&lt;&gt;0,Returns!A380,"")</f>
        <v>42828</v>
      </c>
      <c r="DC368" s="13">
        <f ca="1">IF(Returns!B381&gt;0,Returns!B381/Returns!B380-1,"")</f>
        <v>-1.1719684286055965E-2</v>
      </c>
      <c r="DD368" s="13">
        <f ca="1">IF(Returns!D373&gt;0,Returns!D373/Returns!D372-1,"")</f>
        <v>1.7498038814656169E-2</v>
      </c>
    </row>
    <row r="369" spans="106:108" x14ac:dyDescent="0.3">
      <c r="DB369" s="3" vm="618">
        <f ca="1">IF(Returns!A381&lt;&gt;0,Returns!A381,"")</f>
        <v>42835</v>
      </c>
      <c r="DC369" s="13">
        <f ca="1">IF(Returns!B382&gt;0,Returns!B382/Returns!B381-1,"")</f>
        <v>2.8557599225556674E-2</v>
      </c>
      <c r="DD369" s="13">
        <f ca="1">IF(Returns!D374&gt;0,Returns!D374/Returns!D373-1,"")</f>
        <v>9.5864251910926512E-3</v>
      </c>
    </row>
    <row r="370" spans="106:108" x14ac:dyDescent="0.3">
      <c r="DB370" s="3" vm="619">
        <f ca="1">IF(Returns!A382&lt;&gt;0,Returns!A382,"")</f>
        <v>42842</v>
      </c>
      <c r="DC370" s="13">
        <f ca="1">IF(Returns!B383&gt;0,Returns!B383/Returns!B382-1,"")</f>
        <v>9.4117647058822307E-3</v>
      </c>
      <c r="DD370" s="13">
        <f ca="1">IF(Returns!D375&gt;0,Returns!D375/Returns!D374-1,"")</f>
        <v>8.8343062034006437E-3</v>
      </c>
    </row>
    <row r="371" spans="106:108" x14ac:dyDescent="0.3">
      <c r="DB371" s="3" vm="620">
        <f ca="1">IF(Returns!A383&lt;&gt;0,Returns!A383,"")</f>
        <v>42849</v>
      </c>
      <c r="DC371" s="13">
        <f ca="1">IF(Returns!B384&gt;0,Returns!B384/Returns!B383-1,"")</f>
        <v>4.1958041958041203E-3</v>
      </c>
      <c r="DD371" s="13">
        <f ca="1">IF(Returns!D376&gt;0,Returns!D376/Returns!D375-1,"")</f>
        <v>-4.8903285104626715E-3</v>
      </c>
    </row>
    <row r="372" spans="106:108" x14ac:dyDescent="0.3">
      <c r="DB372" s="3" vm="621">
        <f ca="1">IF(Returns!A384&lt;&gt;0,Returns!A384,"")</f>
        <v>42856</v>
      </c>
      <c r="DC372" s="13">
        <f ca="1">IF(Returns!B385&gt;0,Returns!B385/Returns!B384-1,"")</f>
        <v>-1.8337975858867206E-2</v>
      </c>
      <c r="DD372" s="13">
        <f ca="1">IF(Returns!D377&gt;0,Returns!D377/Returns!D376-1,"")</f>
        <v>5.5696363225843371E-4</v>
      </c>
    </row>
    <row r="373" spans="106:108" x14ac:dyDescent="0.3">
      <c r="DB373" s="3" vm="622">
        <f ca="1">IF(Returns!A385&lt;&gt;0,Returns!A385,"")</f>
        <v>42863</v>
      </c>
      <c r="DC373" s="13">
        <f ca="1">IF(Returns!B386&gt;0,Returns!B386/Returns!B385-1,"")</f>
        <v>-5.2021754551903054E-3</v>
      </c>
      <c r="DD373" s="13">
        <f ca="1">IF(Returns!D378&gt;0,Returns!D378/Returns!D377-1,"")</f>
        <v>-1.5199839033195439E-2</v>
      </c>
    </row>
    <row r="374" spans="106:108" x14ac:dyDescent="0.3">
      <c r="DB374" s="3" vm="623">
        <f ca="1">IF(Returns!A386&lt;&gt;0,Returns!A386,"")</f>
        <v>42870</v>
      </c>
      <c r="DC374" s="13">
        <f ca="1">IF(Returns!B387&gt;0,Returns!B387/Returns!B386-1,"")</f>
        <v>1.9015925837889247E-2</v>
      </c>
      <c r="DD374" s="13">
        <f ca="1">IF(Returns!D379&gt;0,Returns!D379/Returns!D378-1,"")</f>
        <v>3.2285328639083399E-3</v>
      </c>
    </row>
    <row r="375" spans="106:108" x14ac:dyDescent="0.3">
      <c r="DB375" s="3" vm="624">
        <f ca="1">IF(Returns!A387&lt;&gt;0,Returns!A387,"")</f>
        <v>42877</v>
      </c>
      <c r="DC375" s="13">
        <f ca="1">IF(Returns!B388&gt;0,Returns!B388/Returns!B387-1,"")</f>
        <v>2.1926755306741486E-2</v>
      </c>
      <c r="DD375" s="13">
        <f ca="1">IF(Returns!D380&gt;0,Returns!D380/Returns!D379-1,"")</f>
        <v>-3.4468488555250421E-4</v>
      </c>
    </row>
    <row r="376" spans="106:108" x14ac:dyDescent="0.3">
      <c r="DB376" s="3" vm="625">
        <f ca="1">IF(Returns!A388&lt;&gt;0,Returns!A388,"")</f>
        <v>42885</v>
      </c>
      <c r="DC376" s="13">
        <f ca="1">IF(Returns!B389&gt;0,Returns!B389/Returns!B388-1,"")</f>
        <v>9.1303355398308916E-4</v>
      </c>
      <c r="DD376" s="13">
        <f ca="1">IF(Returns!D381&gt;0,Returns!D381/Returns!D380-1,"")</f>
        <v>-9.8202038034402861E-3</v>
      </c>
    </row>
    <row r="377" spans="106:108" x14ac:dyDescent="0.3">
      <c r="DB377" s="3" vm="626">
        <f ca="1">IF(Returns!A389&lt;&gt;0,Returns!A389,"")</f>
        <v>42891</v>
      </c>
      <c r="DC377" s="13">
        <f ca="1">IF(Returns!B390&gt;0,Returns!B390/Returns!B389-1,"")</f>
        <v>1.094640820980608E-2</v>
      </c>
      <c r="DD377" s="13">
        <f ca="1">IF(Returns!D382&gt;0,Returns!D382/Returns!D381-1,"")</f>
        <v>4.6206198107852092E-3</v>
      </c>
    </row>
    <row r="378" spans="106:108" x14ac:dyDescent="0.3">
      <c r="DB378" s="3" vm="627">
        <f ca="1">IF(Returns!A390&lt;&gt;0,Returns!A390,"")</f>
        <v>42898</v>
      </c>
      <c r="DC378" s="13">
        <f ca="1">IF(Returns!B391&gt;0,Returns!B391/Returns!B390-1,"")</f>
        <v>-3.1581321903902504E-2</v>
      </c>
      <c r="DD378" s="13">
        <f ca="1">IF(Returns!D383&gt;0,Returns!D383/Returns!D382-1,"")</f>
        <v>1.9114055769703819E-2</v>
      </c>
    </row>
    <row r="379" spans="106:108" x14ac:dyDescent="0.3">
      <c r="DB379" s="3" vm="628">
        <f ca="1">IF(Returns!A391&lt;&gt;0,Returns!A391,"")</f>
        <v>42905</v>
      </c>
      <c r="DC379" s="13">
        <f ca="1">IF(Returns!B392&gt;0,Returns!B392/Returns!B391-1,"")</f>
        <v>3.2611227579781854E-3</v>
      </c>
      <c r="DD379" s="13">
        <f ca="1">IF(Returns!D384&gt;0,Returns!D384/Returns!D383-1,"")</f>
        <v>3.1722580731488037E-3</v>
      </c>
    </row>
    <row r="380" spans="106:108" x14ac:dyDescent="0.3">
      <c r="DB380" s="3" vm="629">
        <f ca="1">IF(Returns!A392&lt;&gt;0,Returns!A392,"")</f>
        <v>42912</v>
      </c>
      <c r="DC380" s="13">
        <f ca="1">IF(Returns!B393&gt;0,Returns!B393/Returns!B392-1,"")</f>
        <v>2.0896215463197532E-3</v>
      </c>
      <c r="DD380" s="13">
        <f ca="1">IF(Returns!D385&gt;0,Returns!D385/Returns!D384-1,"")</f>
        <v>-5.2519029415333263E-3</v>
      </c>
    </row>
    <row r="381" spans="106:108" x14ac:dyDescent="0.3">
      <c r="DB381" s="3" vm="630">
        <f ca="1">IF(Returns!A393&lt;&gt;0,Returns!A393,"")</f>
        <v>42919</v>
      </c>
      <c r="DC381" s="13">
        <f ca="1">IF(Returns!B394&gt;0,Returns!B394/Returns!B393-1,"")</f>
        <v>3.2437442075996525E-3</v>
      </c>
      <c r="DD381" s="13">
        <f ca="1">IF(Returns!D386&gt;0,Returns!D386/Returns!D385-1,"")</f>
        <v>-4.3915014222138948E-3</v>
      </c>
    </row>
    <row r="382" spans="106:108" x14ac:dyDescent="0.3">
      <c r="DB382" s="3" vm="631">
        <f ca="1">IF(Returns!A394&lt;&gt;0,Returns!A394,"")</f>
        <v>42926</v>
      </c>
      <c r="DC382" s="13">
        <f ca="1">IF(Returns!B395&gt;0,Returns!B395/Returns!B394-1,"")</f>
        <v>1.7782909930716073E-2</v>
      </c>
      <c r="DD382" s="13">
        <f ca="1">IF(Returns!D387&gt;0,Returns!D387/Returns!D386-1,"")</f>
        <v>1.3239195513898627E-2</v>
      </c>
    </row>
    <row r="383" spans="106:108" x14ac:dyDescent="0.3">
      <c r="DB383" s="3" vm="632">
        <f ca="1">IF(Returns!A395&lt;&gt;0,Returns!A395,"")</f>
        <v>42933</v>
      </c>
      <c r="DC383" s="13">
        <f ca="1">IF(Returns!B396&gt;0,Returns!B396/Returns!B395-1,"")</f>
        <v>1.1572498298161982E-2</v>
      </c>
      <c r="DD383" s="13">
        <f ca="1">IF(Returns!D388&gt;0,Returns!D388/Returns!D387-1,"")</f>
        <v>5.9775761271068095E-3</v>
      </c>
    </row>
    <row r="384" spans="106:108" x14ac:dyDescent="0.3">
      <c r="DB384" s="3" vm="633">
        <f ca="1">IF(Returns!A396&lt;&gt;0,Returns!A396,"")</f>
        <v>42940</v>
      </c>
      <c r="DC384" s="13">
        <f ca="1">IF(Returns!B397&gt;0,Returns!B397/Returns!B396-1,"")</f>
        <v>-1.1664423508299548E-2</v>
      </c>
      <c r="DD384" s="13">
        <f ca="1">IF(Returns!D389&gt;0,Returns!D389/Returns!D388-1,"")</f>
        <v>3.0969722637892438E-3</v>
      </c>
    </row>
    <row r="385" spans="106:108" x14ac:dyDescent="0.3">
      <c r="DB385" s="3" vm="634">
        <f ca="1">IF(Returns!A397&lt;&gt;0,Returns!A397,"")</f>
        <v>42947</v>
      </c>
      <c r="DC385" s="13">
        <f ca="1">IF(Returns!B398&gt;0,Returns!B398/Returns!B397-1,"")</f>
        <v>-1.1802088061734106E-2</v>
      </c>
      <c r="DD385" s="13">
        <f ca="1">IF(Returns!D390&gt;0,Returns!D390/Returns!D389-1,"")</f>
        <v>5.2798312092225963E-3</v>
      </c>
    </row>
    <row r="386" spans="106:108" x14ac:dyDescent="0.3">
      <c r="DB386" s="3" vm="635">
        <f ca="1">IF(Returns!A398&lt;&gt;0,Returns!A398,"")</f>
        <v>42954</v>
      </c>
      <c r="DC386" s="13">
        <f ca="1">IF(Returns!B399&gt;0,Returns!B399/Returns!B398-1,"")</f>
        <v>2.0670647680294252E-3</v>
      </c>
      <c r="DD386" s="13">
        <f ca="1">IF(Returns!D391&gt;0,Returns!D391/Returns!D390-1,"")</f>
        <v>4.8998609506645252E-4</v>
      </c>
    </row>
    <row r="387" spans="106:108" x14ac:dyDescent="0.3">
      <c r="DB387" s="3" vm="636">
        <f ca="1">IF(Returns!A399&lt;&gt;0,Returns!A399,"")</f>
        <v>42961</v>
      </c>
      <c r="DC387" s="13">
        <f ca="1">IF(Returns!B400&gt;0,Returns!B400/Returns!B399-1,"")</f>
        <v>1.5127206050882247E-2</v>
      </c>
      <c r="DD387" s="13">
        <f ca="1">IF(Returns!D392&gt;0,Returns!D392/Returns!D391-1,"")</f>
        <v>-2.1094138745190172E-3</v>
      </c>
    </row>
    <row r="388" spans="106:108" x14ac:dyDescent="0.3">
      <c r="DB388" s="3" vm="637">
        <f ca="1">IF(Returns!A400&lt;&gt;0,Returns!A400,"")</f>
        <v>42968</v>
      </c>
      <c r="DC388" s="13">
        <f ca="1">IF(Returns!B401&gt;0,Returns!B401/Returns!B400-1,"")</f>
        <v>1.7159629713253466E-2</v>
      </c>
      <c r="DD388" s="13">
        <f ca="1">IF(Returns!D393&gt;0,Returns!D393/Returns!D392-1,"")</f>
        <v>3.0312753132339942E-3</v>
      </c>
    </row>
    <row r="389" spans="106:108" x14ac:dyDescent="0.3">
      <c r="DB389" s="3" vm="638">
        <f ca="1">IF(Returns!A401&lt;&gt;0,Returns!A401,"")</f>
        <v>42975</v>
      </c>
      <c r="DC389" s="13">
        <f ca="1">IF(Returns!B402&gt;0,Returns!B402/Returns!B401-1,"")</f>
        <v>6.8368479467258769E-2</v>
      </c>
      <c r="DD389" s="13">
        <f ca="1">IF(Returns!D394&gt;0,Returns!D394/Returns!D393-1,"")</f>
        <v>1.0431890642274899E-2</v>
      </c>
    </row>
    <row r="390" spans="106:108" x14ac:dyDescent="0.3">
      <c r="DB390" s="3" vm="639">
        <f ca="1">IF(Returns!A402&lt;&gt;0,Returns!A402,"")</f>
        <v>42983</v>
      </c>
      <c r="DC390" s="13">
        <f ca="1">IF(Returns!B403&gt;0,Returns!B403/Returns!B402-1,"")</f>
        <v>-3.5528776231040893E-2</v>
      </c>
      <c r="DD390" s="13">
        <f ca="1">IF(Returns!D395&gt;0,Returns!D395/Returns!D394-1,"")</f>
        <v>-2.6649229106522343E-3</v>
      </c>
    </row>
    <row r="391" spans="106:108" x14ac:dyDescent="0.3">
      <c r="DB391" s="3" vm="640">
        <f ca="1">IF(Returns!A403&lt;&gt;0,Returns!A403,"")</f>
        <v>42989</v>
      </c>
      <c r="DC391" s="13">
        <f ca="1">IF(Returns!B404&gt;0,Returns!B404/Returns!B403-1,"")</f>
        <v>2.1542438604049918E-2</v>
      </c>
      <c r="DD391" s="13">
        <f ca="1">IF(Returns!D396&gt;0,Returns!D396/Returns!D395-1,"")</f>
        <v>1.1595766700277732E-2</v>
      </c>
    </row>
    <row r="392" spans="106:108" x14ac:dyDescent="0.3">
      <c r="DB392" s="3" vm="641">
        <f ca="1">IF(Returns!A404&lt;&gt;0,Returns!A404,"")</f>
        <v>42996</v>
      </c>
      <c r="DC392" s="13">
        <f ca="1">IF(Returns!B405&gt;0,Returns!B405/Returns!B404-1,"")</f>
        <v>1.6237874314635192E-2</v>
      </c>
      <c r="DD392" s="13">
        <f ca="1">IF(Returns!D397&gt;0,Returns!D397/Returns!D396-1,"")</f>
        <v>1.2024381952008056E-2</v>
      </c>
    </row>
    <row r="393" spans="106:108" x14ac:dyDescent="0.3">
      <c r="DB393" s="3" vm="642">
        <f ca="1">IF(Returns!A405&lt;&gt;0,Returns!A405,"")</f>
        <v>43003</v>
      </c>
      <c r="DC393" s="13">
        <f ca="1">IF(Returns!B406&gt;0,Returns!B406/Returns!B405-1,"")</f>
        <v>1.1205644324548736E-2</v>
      </c>
      <c r="DD393" s="13">
        <f ca="1">IF(Returns!D398&gt;0,Returns!D398/Returns!D397-1,"")</f>
        <v>-1.0613698742638622E-2</v>
      </c>
    </row>
    <row r="394" spans="106:108" x14ac:dyDescent="0.3">
      <c r="DB394" s="3" vm="643">
        <f ca="1">IF(Returns!A406&lt;&gt;0,Returns!A406,"")</f>
        <v>43010</v>
      </c>
      <c r="DC394" s="13">
        <f ca="1">IF(Returns!B407&gt;0,Returns!B407/Returns!B406-1,"")</f>
        <v>1.3544018058690765E-2</v>
      </c>
      <c r="DD394" s="13">
        <f ca="1">IF(Returns!D399&gt;0,Returns!D399/Returns!D398-1,"")</f>
        <v>-8.409099751157556E-3</v>
      </c>
    </row>
    <row r="395" spans="106:108" x14ac:dyDescent="0.3">
      <c r="DB395" s="3" vm="644">
        <f ca="1">IF(Returns!A407&lt;&gt;0,Returns!A407,"")</f>
        <v>43017</v>
      </c>
      <c r="DC395" s="13">
        <f ca="1">IF(Returns!B408&gt;0,Returns!B408/Returns!B407-1,"")</f>
        <v>-1.4172909495849817E-3</v>
      </c>
      <c r="DD395" s="13">
        <f ca="1">IF(Returns!D400&gt;0,Returns!D400/Returns!D399-1,"")</f>
        <v>6.4203429355180752E-3</v>
      </c>
    </row>
    <row r="396" spans="106:108" x14ac:dyDescent="0.3">
      <c r="DB396" s="3" vm="645">
        <f ca="1">IF(Returns!A408&lt;&gt;0,Returns!A408,"")</f>
        <v>43024</v>
      </c>
      <c r="DC396" s="13">
        <f ca="1">IF(Returns!B409&gt;0,Returns!B409/Returns!B408-1,"")</f>
        <v>7.2992700729925808E-3</v>
      </c>
      <c r="DD396" s="13">
        <f ca="1">IF(Returns!D401&gt;0,Returns!D401/Returns!D400-1,"")</f>
        <v>7.9714280813034666E-3</v>
      </c>
    </row>
    <row r="397" spans="106:108" x14ac:dyDescent="0.3">
      <c r="DB397" s="3" vm="646">
        <f ca="1">IF(Returns!A409&lt;&gt;0,Returns!A409,"")</f>
        <v>43031</v>
      </c>
      <c r="DC397" s="13">
        <f ca="1">IF(Returns!B410&gt;0,Returns!B410/Returns!B409-1,"")</f>
        <v>1.4291465378421853E-2</v>
      </c>
      <c r="DD397" s="13">
        <f ca="1">IF(Returns!D402&gt;0,Returns!D402/Returns!D401-1,"")</f>
        <v>-8.6304635614365965E-3</v>
      </c>
    </row>
    <row r="398" spans="106:108" x14ac:dyDescent="0.3">
      <c r="DB398" s="3" vm="647">
        <f ca="1">IF(Returns!A410&lt;&gt;0,Returns!A410,"")</f>
        <v>43038</v>
      </c>
      <c r="DC398" s="13">
        <f ca="1">IF(Returns!B411&gt;0,Returns!B411/Returns!B410-1,"")</f>
        <v>-1.805913871799969E-2</v>
      </c>
      <c r="DD398" s="13">
        <f ca="1">IF(Returns!D403&gt;0,Returns!D403/Returns!D402-1,"")</f>
        <v>2.1587098191146792E-2</v>
      </c>
    </row>
    <row r="399" spans="106:108" x14ac:dyDescent="0.3">
      <c r="DB399" s="3" vm="648">
        <f ca="1">IF(Returns!A411&lt;&gt;0,Returns!A411,"")</f>
        <v>43045</v>
      </c>
      <c r="DC399" s="13">
        <f ca="1">IF(Returns!B412&gt;0,Returns!B412/Returns!B411-1,"")</f>
        <v>8.0840743734844622E-3</v>
      </c>
      <c r="DD399" s="13">
        <f ca="1">IF(Returns!D404&gt;0,Returns!D404/Returns!D403-1,"")</f>
        <v>3.6485963783514652E-3</v>
      </c>
    </row>
    <row r="400" spans="106:108" x14ac:dyDescent="0.3">
      <c r="DB400" s="3" vm="649">
        <f ca="1">IF(Returns!A412&lt;&gt;0,Returns!A412,"")</f>
        <v>43052</v>
      </c>
      <c r="DC400" s="13">
        <f ca="1">IF(Returns!B413&gt;0,Returns!B413/Returns!B412-1,"")</f>
        <v>3.4081796311145052E-3</v>
      </c>
      <c r="DD400" s="13">
        <f ca="1">IF(Returns!D405&gt;0,Returns!D405/Returns!D404-1,"")</f>
        <v>2.4831146361308232E-3</v>
      </c>
    </row>
    <row r="401" spans="106:108" x14ac:dyDescent="0.3">
      <c r="DB401" s="3" vm="650">
        <f ca="1">IF(Returns!A413&lt;&gt;0,Returns!A413,"")</f>
        <v>43059</v>
      </c>
      <c r="DC401" s="13">
        <f ca="1">IF(Returns!B414&gt;0,Returns!B414/Returns!B413-1,"")</f>
        <v>3.3966033966033926E-2</v>
      </c>
      <c r="DD401" s="13">
        <f ca="1">IF(Returns!D406&gt;0,Returns!D406/Returns!D405-1,"")</f>
        <v>1.6450624230950561E-2</v>
      </c>
    </row>
    <row r="402" spans="106:108" x14ac:dyDescent="0.3">
      <c r="DB402" s="3" vm="651">
        <f ca="1">IF(Returns!A414&lt;&gt;0,Returns!A414,"")</f>
        <v>43066</v>
      </c>
      <c r="DC402" s="13">
        <f ca="1">IF(Returns!B415&gt;0,Returns!B415/Returns!B414-1,"")</f>
        <v>3.4782608695651529E-3</v>
      </c>
      <c r="DD402" s="13">
        <f ca="1">IF(Returns!D407&gt;0,Returns!D407/Returns!D406-1,"")</f>
        <v>4.3053541307864762E-3</v>
      </c>
    </row>
    <row r="403" spans="106:108" x14ac:dyDescent="0.3">
      <c r="DB403" s="3" vm="652">
        <f ca="1">IF(Returns!A415&lt;&gt;0,Returns!A415,"")</f>
        <v>43073</v>
      </c>
      <c r="DC403" s="13">
        <f ca="1">IF(Returns!B416&gt;0,Returns!B416/Returns!B415-1,"")</f>
        <v>-1.444251877527436E-2</v>
      </c>
      <c r="DD403" s="13">
        <f ca="1">IF(Returns!D408&gt;0,Returns!D408/Returns!D407-1,"")</f>
        <v>1.9977421544865814E-2</v>
      </c>
    </row>
    <row r="404" spans="106:108" x14ac:dyDescent="0.3">
      <c r="DB404" s="3" vm="653">
        <f ca="1">IF(Returns!A416&lt;&gt;0,Returns!A416,"")</f>
        <v>43080</v>
      </c>
      <c r="DC404" s="13">
        <f ca="1">IF(Returns!B417&gt;0,Returns!B417/Returns!B416-1,"")</f>
        <v>-1.3677217663149444E-3</v>
      </c>
      <c r="DD404" s="13">
        <f ca="1">IF(Returns!D409&gt;0,Returns!D409/Returns!D408-1,"")</f>
        <v>4.524645685094475E-3</v>
      </c>
    </row>
    <row r="405" spans="106:108" x14ac:dyDescent="0.3">
      <c r="DB405" s="3" vm="654">
        <f ca="1">IF(Returns!A417&lt;&gt;0,Returns!A417,"")</f>
        <v>43087</v>
      </c>
      <c r="DC405" s="13">
        <f ca="1">IF(Returns!B418&gt;0,Returns!B418/Returns!B417-1,"")</f>
        <v>6.8479749559773317E-3</v>
      </c>
      <c r="DD405" s="13">
        <f ca="1">IF(Returns!D410&gt;0,Returns!D410/Returns!D409-1,"")</f>
        <v>4.4807613574102678E-3</v>
      </c>
    </row>
    <row r="406" spans="106:108" x14ac:dyDescent="0.3">
      <c r="DB406" s="3" vm="655">
        <f ca="1">IF(Returns!A418&lt;&gt;0,Returns!A418,"")</f>
        <v>43095</v>
      </c>
      <c r="DC406" s="13">
        <f ca="1">IF(Returns!B419&gt;0,Returns!B419/Returns!B418-1,"")</f>
        <v>1.6129032258064502E-2</v>
      </c>
      <c r="DD406" s="13">
        <f ca="1">IF(Returns!D411&gt;0,Returns!D411/Returns!D410-1,"")</f>
        <v>-4.9697376801421944E-3</v>
      </c>
    </row>
    <row r="407" spans="106:108" x14ac:dyDescent="0.3">
      <c r="DB407" s="3" vm="656">
        <f ca="1">IF(Returns!A419&lt;&gt;0,Returns!A419,"")</f>
        <v>43102</v>
      </c>
      <c r="DC407" s="13">
        <f ca="1">IF(Returns!B420&gt;0,Returns!B420/Returns!B419-1,"")</f>
        <v>2.4861350162554974E-3</v>
      </c>
      <c r="DD407" s="13">
        <f ca="1">IF(Returns!D412&gt;0,Returns!D412/Returns!D411-1,"")</f>
        <v>-2.7309894992174621E-3</v>
      </c>
    </row>
    <row r="408" spans="106:108" x14ac:dyDescent="0.3">
      <c r="DB408" s="3" vm="657">
        <f ca="1">IF(Returns!A420&lt;&gt;0,Returns!A420,"")</f>
        <v>43108</v>
      </c>
      <c r="DC408" s="13">
        <f ca="1">IF(Returns!B421&gt;0,Returns!B421/Returns!B420-1,"")</f>
        <v>1.5261350629529602E-3</v>
      </c>
      <c r="DD408" s="13">
        <f ca="1">IF(Returns!D413&gt;0,Returns!D413/Returns!D412-1,"")</f>
        <v>8.5514445443659604E-3</v>
      </c>
    </row>
    <row r="409" spans="106:108" x14ac:dyDescent="0.3">
      <c r="DB409" s="3" vm="658">
        <f ca="1">IF(Returns!A421&lt;&gt;0,Returns!A421,"")</f>
        <v>43116</v>
      </c>
      <c r="DC409" s="13">
        <f ca="1">IF(Returns!B422&gt;0,Returns!B422/Returns!B421-1,"")</f>
        <v>2.4190476190476318E-2</v>
      </c>
      <c r="DD409" s="13">
        <f ca="1">IF(Returns!D414&gt;0,Returns!D414/Returns!D413-1,"")</f>
        <v>2.8593389094010657E-2</v>
      </c>
    </row>
    <row r="410" spans="106:108" x14ac:dyDescent="0.3">
      <c r="DB410" s="3" vm="659">
        <f ca="1">IF(Returns!A422&lt;&gt;0,Returns!A422,"")</f>
        <v>43122</v>
      </c>
      <c r="DC410" s="13">
        <f ca="1">IF(Returns!B423&gt;0,Returns!B423/Returns!B422-1,"")</f>
        <v>-1.4692207550678904E-2</v>
      </c>
      <c r="DD410" s="13">
        <f ca="1">IF(Returns!D415&gt;0,Returns!D415/Returns!D414-1,"")</f>
        <v>4.026425818419499E-3</v>
      </c>
    </row>
    <row r="411" spans="106:108" x14ac:dyDescent="0.3">
      <c r="DB411" s="3" vm="660">
        <f ca="1">IF(Returns!A423&lt;&gt;0,Returns!A423,"")</f>
        <v>43129</v>
      </c>
      <c r="DC411" s="13">
        <f ca="1">IF(Returns!B424&gt;0,Returns!B424/Returns!B423-1,"")</f>
        <v>-4.6998867497168639E-2</v>
      </c>
      <c r="DD411" s="13">
        <f ca="1">IF(Returns!D416&gt;0,Returns!D416/Returns!D415-1,"")</f>
        <v>1.3259107278226656E-2</v>
      </c>
    </row>
    <row r="412" spans="106:108" x14ac:dyDescent="0.3">
      <c r="DB412" s="3" vm="661">
        <f ca="1">IF(Returns!A424&lt;&gt;0,Returns!A424,"")</f>
        <v>43136</v>
      </c>
      <c r="DC412" s="13">
        <f ca="1">IF(Returns!B425&gt;0,Returns!B425/Returns!B424-1,"")</f>
        <v>4.3771043771043683E-2</v>
      </c>
      <c r="DD412" s="13">
        <f ca="1">IF(Returns!D417&gt;0,Returns!D417/Returns!D416-1,"")</f>
        <v>4.1505265447858708E-3</v>
      </c>
    </row>
    <row r="413" spans="106:108" x14ac:dyDescent="0.3">
      <c r="DB413" s="3" vm="662">
        <f ca="1">IF(Returns!A425&lt;&gt;0,Returns!A425,"")</f>
        <v>43143</v>
      </c>
      <c r="DC413" s="13">
        <f ca="1">IF(Returns!B426&gt;0,Returns!B426/Returns!B425-1,"")</f>
        <v>3.4155597722960174E-3</v>
      </c>
      <c r="DD413" s="13">
        <f ca="1">IF(Returns!D418&gt;0,Returns!D418/Returns!D417-1,"")</f>
        <v>-1.4074581567383726E-3</v>
      </c>
    </row>
    <row r="414" spans="106:108" x14ac:dyDescent="0.3">
      <c r="DB414" s="3" vm="663">
        <f ca="1">IF(Returns!A426&lt;&gt;0,Returns!A426,"")</f>
        <v>43151</v>
      </c>
      <c r="DC414" s="13">
        <f ca="1">IF(Returns!B427&gt;0,Returns!B427/Returns!B426-1,"")</f>
        <v>-1.1535552193645993E-2</v>
      </c>
      <c r="DD414" s="13">
        <f ca="1">IF(Returns!D419&gt;0,Returns!D419/Returns!D418-1,"")</f>
        <v>2.3328234776496926E-2</v>
      </c>
    </row>
    <row r="415" spans="106:108" x14ac:dyDescent="0.3">
      <c r="DB415" s="3" vm="664">
        <f ca="1">IF(Returns!A427&lt;&gt;0,Returns!A427,"")</f>
        <v>43157</v>
      </c>
      <c r="DC415" s="13">
        <f ca="1">IF(Returns!B428&gt;0,Returns!B428/Returns!B427-1,"")</f>
        <v>2.6018748804285341E-2</v>
      </c>
      <c r="DD415" s="13">
        <f ca="1">IF(Returns!D420&gt;0,Returns!D420/Returns!D419-1,"")</f>
        <v>2.0055417894100147E-2</v>
      </c>
    </row>
    <row r="416" spans="106:108" x14ac:dyDescent="0.3">
      <c r="DB416" s="3" vm="665">
        <f ca="1">IF(Returns!A428&lt;&gt;0,Returns!A428,"")</f>
        <v>43164</v>
      </c>
      <c r="DC416" s="13">
        <f ca="1">IF(Returns!B429&gt;0,Returns!B429/Returns!B428-1,"")</f>
        <v>-1.6408726459071432E-2</v>
      </c>
      <c r="DD416" s="13">
        <f ca="1">IF(Returns!D421&gt;0,Returns!D421/Returns!D420-1,"")</f>
        <v>1.0406941085401522E-2</v>
      </c>
    </row>
    <row r="417" spans="106:108" x14ac:dyDescent="0.3">
      <c r="DB417" s="3" vm="666">
        <f ca="1">IF(Returns!A429&lt;&gt;0,Returns!A429,"")</f>
        <v>43171</v>
      </c>
      <c r="DC417" s="13">
        <f ca="1">IF(Returns!B430&gt;0,Returns!B430/Returns!B429-1,"")</f>
        <v>-5.3270142180094848E-2</v>
      </c>
      <c r="DD417" s="13">
        <f ca="1">IF(Returns!D422&gt;0,Returns!D422/Returns!D421-1,"")</f>
        <v>2.0903208841836385E-2</v>
      </c>
    </row>
    <row r="418" spans="106:108" x14ac:dyDescent="0.3">
      <c r="DB418" s="3" vm="667">
        <f ca="1">IF(Returns!A430&lt;&gt;0,Returns!A430,"")</f>
        <v>43178</v>
      </c>
      <c r="DC418" s="13">
        <f ca="1">IF(Returns!B431&gt;0,Returns!B431/Returns!B430-1,"")</f>
        <v>1.8822587104525557E-2</v>
      </c>
      <c r="DD418" s="13">
        <f ca="1">IF(Returns!D423&gt;0,Returns!D423/Returns!D422-1,"")</f>
        <v>-4.116772205830066E-2</v>
      </c>
    </row>
    <row r="419" spans="106:108" x14ac:dyDescent="0.3">
      <c r="DB419" s="3" vm="668">
        <f ca="1">IF(Returns!A431&lt;&gt;0,Returns!A431,"")</f>
        <v>43185</v>
      </c>
      <c r="DC419" s="13">
        <f ca="1">IF(Returns!B432&gt;0,Returns!B432/Returns!B431-1,"")</f>
        <v>-1.3757861635220192E-2</v>
      </c>
      <c r="DD419" s="13">
        <f ca="1">IF(Returns!D424&gt;0,Returns!D424/Returns!D423-1,"")</f>
        <v>-5.2116413702481101E-2</v>
      </c>
    </row>
    <row r="420" spans="106:108" x14ac:dyDescent="0.3">
      <c r="DB420" s="3" vm="669">
        <f ca="1">IF(Returns!A432&lt;&gt;0,Returns!A432,"")</f>
        <v>43192</v>
      </c>
      <c r="DC420" s="13">
        <f ca="1">IF(Returns!B433&gt;0,Returns!B433/Returns!B432-1,"")</f>
        <v>2.5109605420486236E-2</v>
      </c>
      <c r="DD420" s="13">
        <f ca="1">IF(Returns!D425&gt;0,Returns!D425/Returns!D424-1,"")</f>
        <v>4.2515099615714647E-2</v>
      </c>
    </row>
    <row r="421" spans="106:108" x14ac:dyDescent="0.3">
      <c r="DB421" s="3" vm="670">
        <f ca="1">IF(Returns!A433&lt;&gt;0,Returns!A433,"")</f>
        <v>43199</v>
      </c>
      <c r="DC421" s="13">
        <f ca="1">IF(Returns!B434&gt;0,Returns!B434/Returns!B433-1,"")</f>
        <v>8.9424572317262641E-3</v>
      </c>
      <c r="DD421" s="13">
        <f ca="1">IF(Returns!D426&gt;0,Returns!D426/Returns!D425-1,"")</f>
        <v>3.5929716023301861E-3</v>
      </c>
    </row>
    <row r="422" spans="106:108" x14ac:dyDescent="0.3">
      <c r="DB422" s="3" vm="671">
        <f ca="1">IF(Returns!A434&lt;&gt;0,Returns!A434,"")</f>
        <v>43206</v>
      </c>
      <c r="DC422" s="13">
        <f ca="1">IF(Returns!B435&gt;0,Returns!B435/Returns!B434-1,"")</f>
        <v>6.8593448940269752E-2</v>
      </c>
      <c r="DD422" s="13">
        <f ca="1">IF(Returns!D427&gt;0,Returns!D427/Returns!D426-1,"")</f>
        <v>-3.0498904227058588E-2</v>
      </c>
    </row>
    <row r="423" spans="106:108" x14ac:dyDescent="0.3">
      <c r="DB423" s="3" vm="672">
        <f ca="1">IF(Returns!A435&lt;&gt;0,Returns!A435,"")</f>
        <v>43213</v>
      </c>
      <c r="DC423" s="13">
        <f ca="1">IF(Returns!B436&gt;0,Returns!B436/Returns!B435-1,"")</f>
        <v>-7.933645870897954E-3</v>
      </c>
      <c r="DD423" s="13">
        <f ca="1">IF(Returns!D428&gt;0,Returns!D428/Returns!D427-1,"")</f>
        <v>3.2507800708019285E-2</v>
      </c>
    </row>
    <row r="424" spans="106:108" x14ac:dyDescent="0.3">
      <c r="DB424" s="3" vm="673">
        <f ca="1">IF(Returns!A436&lt;&gt;0,Returns!A436,"")</f>
        <v>43220</v>
      </c>
      <c r="DC424" s="13">
        <f ca="1">IF(Returns!B437&gt;0,Returns!B437/Returns!B436-1,"")</f>
        <v>-2.1810250817885235E-3</v>
      </c>
      <c r="DD424" s="13">
        <f ca="1">IF(Returns!D429&gt;0,Returns!D429/Returns!D428-1,"")</f>
        <v>-1.5363040814340589E-2</v>
      </c>
    </row>
    <row r="425" spans="106:108" x14ac:dyDescent="0.3">
      <c r="DB425" s="3" vm="674">
        <f ca="1">IF(Returns!A437&lt;&gt;0,Returns!A437,"")</f>
        <v>43227</v>
      </c>
      <c r="DC425" s="13">
        <f ca="1">IF(Returns!B438&gt;0,Returns!B438/Returns!B437-1,"")</f>
        <v>5.8287795992713054E-3</v>
      </c>
      <c r="DD425" s="13">
        <f ca="1">IF(Returns!D430&gt;0,Returns!D430/Returns!D429-1,"")</f>
        <v>-5.6653453927645314E-2</v>
      </c>
    </row>
    <row r="426" spans="106:108" x14ac:dyDescent="0.3">
      <c r="DB426" s="3" vm="675">
        <f ca="1">IF(Returns!A438&lt;&gt;0,Returns!A438,"")</f>
        <v>43234</v>
      </c>
      <c r="DC426" s="13">
        <f ca="1">IF(Returns!B439&gt;0,Returns!B439/Returns!B438-1,"")</f>
        <v>7.243752263672576E-3</v>
      </c>
      <c r="DD426" s="13">
        <f ca="1">IF(Returns!D431&gt;0,Returns!D431/Returns!D430-1,"")</f>
        <v>2.4217191238056879E-2</v>
      </c>
    </row>
    <row r="427" spans="106:108" x14ac:dyDescent="0.3">
      <c r="DB427" s="3" vm="676">
        <f ca="1">IF(Returns!A439&lt;&gt;0,Returns!A439,"")</f>
        <v>43241</v>
      </c>
      <c r="DC427" s="13">
        <f ca="1">IF(Returns!B440&gt;0,Returns!B440/Returns!B439-1,"")</f>
        <v>8.2704063286587193E-3</v>
      </c>
      <c r="DD427" s="13">
        <f ca="1">IF(Returns!D432&gt;0,Returns!D432/Returns!D431-1,"")</f>
        <v>-7.0673832359493538E-3</v>
      </c>
    </row>
    <row r="428" spans="106:108" x14ac:dyDescent="0.3">
      <c r="DB428" s="3" vm="677">
        <f ca="1">IF(Returns!A440&lt;&gt;0,Returns!A440,"")</f>
        <v>43249</v>
      </c>
      <c r="DC428" s="13">
        <f ca="1">IF(Returns!B441&gt;0,Returns!B441/Returns!B440-1,"")</f>
        <v>1.5691868758915817E-2</v>
      </c>
      <c r="DD428" s="13">
        <f ca="1">IF(Returns!D433&gt;0,Returns!D433/Returns!D432-1,"")</f>
        <v>1.7857504360998977E-2</v>
      </c>
    </row>
    <row r="429" spans="106:108" x14ac:dyDescent="0.3">
      <c r="DB429" s="3" vm="678">
        <f ca="1">IF(Returns!A441&lt;&gt;0,Returns!A441,"")</f>
        <v>43255</v>
      </c>
      <c r="DC429" s="13">
        <f ca="1">IF(Returns!B442&gt;0,Returns!B442/Returns!B441-1,"")</f>
        <v>-7.7247191011236005E-3</v>
      </c>
      <c r="DD429" s="13">
        <f ca="1">IF(Returns!D434&gt;0,Returns!D434/Returns!D433-1,"")</f>
        <v>4.2199919423293597E-3</v>
      </c>
    </row>
    <row r="430" spans="106:108" x14ac:dyDescent="0.3">
      <c r="DB430" s="3" vm="679">
        <f ca="1">IF(Returns!A442&lt;&gt;0,Returns!A442,"")</f>
        <v>43262</v>
      </c>
      <c r="DC430" s="13">
        <f ca="1">IF(Returns!B443&gt;0,Returns!B443/Returns!B442-1,"")</f>
        <v>-1.4154281670206714E-3</v>
      </c>
      <c r="DD430" s="13">
        <f ca="1">IF(Returns!D435&gt;0,Returns!D435/Returns!D434-1,"")</f>
        <v>-6.2034691830532562E-3</v>
      </c>
    </row>
    <row r="431" spans="106:108" x14ac:dyDescent="0.3">
      <c r="DB431" s="3" vm="680">
        <f ca="1">IF(Returns!A443&lt;&gt;0,Returns!A443,"")</f>
        <v>43269</v>
      </c>
      <c r="DC431" s="13">
        <f ca="1">IF(Returns!B444&gt;0,Returns!B444/Returns!B443-1,"")</f>
        <v>-1.7363571934797983E-2</v>
      </c>
      <c r="DD431" s="13">
        <f ca="1">IF(Returns!D436&gt;0,Returns!D436/Returns!D435-1,"")</f>
        <v>-2.0023745612605115E-3</v>
      </c>
    </row>
    <row r="432" spans="106:108" x14ac:dyDescent="0.3">
      <c r="DB432" s="3" vm="681">
        <f ca="1">IF(Returns!A444&lt;&gt;0,Returns!A444,"")</f>
        <v>43276</v>
      </c>
      <c r="DC432" s="13">
        <f ca="1">IF(Returns!B445&gt;0,Returns!B445/Returns!B444-1,"")</f>
        <v>2.0555355210962967E-2</v>
      </c>
      <c r="DD432" s="13">
        <f ca="1">IF(Returns!D437&gt;0,Returns!D437/Returns!D436-1,"")</f>
        <v>2.3438168630703249E-2</v>
      </c>
    </row>
    <row r="433" spans="106:108" x14ac:dyDescent="0.3">
      <c r="DB433" s="3" vm="682">
        <f ca="1">IF(Returns!A445&lt;&gt;0,Returns!A445,"")</f>
        <v>43283</v>
      </c>
      <c r="DC433" s="13">
        <f ca="1">IF(Returns!B446&gt;0,Returns!B446/Returns!B445-1,"")</f>
        <v>1.5901060070671269E-2</v>
      </c>
      <c r="DD433" s="13">
        <f ca="1">IF(Returns!D438&gt;0,Returns!D438/Returns!D437-1,"")</f>
        <v>-4.6751151649113698E-3</v>
      </c>
    </row>
    <row r="434" spans="106:108" x14ac:dyDescent="0.3">
      <c r="DB434" s="3" vm="683">
        <f ca="1">IF(Returns!A446&lt;&gt;0,Returns!A446,"")</f>
        <v>43290</v>
      </c>
      <c r="DC434" s="13">
        <f ca="1">IF(Returns!B447&gt;0,Returns!B447/Returns!B446-1,"")</f>
        <v>3.2000000000000028E-2</v>
      </c>
      <c r="DD434" s="13">
        <f ca="1">IF(Returns!D439&gt;0,Returns!D439/Returns!D438-1,"")</f>
        <v>1.5378299839849952E-3</v>
      </c>
    </row>
    <row r="435" spans="106:108" x14ac:dyDescent="0.3">
      <c r="DB435" s="3" vm="684">
        <f ca="1">IF(Returns!A447&lt;&gt;0,Returns!A447,"")</f>
        <v>43297</v>
      </c>
      <c r="DC435" s="13">
        <f ca="1">IF(Returns!B448&gt;0,Returns!B448/Returns!B447-1,"")</f>
        <v>-1.3144590495449915E-2</v>
      </c>
      <c r="DD435" s="13">
        <f ca="1">IF(Returns!D440&gt;0,Returns!D440/Returns!D439-1,"")</f>
        <v>-4.762180552350781E-3</v>
      </c>
    </row>
    <row r="436" spans="106:108" x14ac:dyDescent="0.3">
      <c r="DB436" s="3" vm="685">
        <f ca="1">IF(Returns!A448&lt;&gt;0,Returns!A448,"")</f>
        <v>43304</v>
      </c>
      <c r="DC436" s="13">
        <f ca="1">IF(Returns!B449&gt;0,Returns!B449/Returns!B448-1,"")</f>
        <v>3.4153005464476749E-4</v>
      </c>
      <c r="DD436" s="13">
        <f ca="1">IF(Returns!D441&gt;0,Returns!D441/Returns!D440-1,"")</f>
        <v>2.7656117809275571E-2</v>
      </c>
    </row>
    <row r="437" spans="106:108" x14ac:dyDescent="0.3">
      <c r="DB437" s="3" vm="686">
        <f ca="1">IF(Returns!A449&lt;&gt;0,Returns!A449,"")</f>
        <v>43311</v>
      </c>
      <c r="DC437" s="13">
        <f ca="1">IF(Returns!B450&gt;0,Returns!B450/Returns!B449-1,"")</f>
        <v>1.2290884260839796E-2</v>
      </c>
      <c r="DD437" s="13">
        <f ca="1">IF(Returns!D442&gt;0,Returns!D442/Returns!D441-1,"")</f>
        <v>-8.9289096110729549E-3</v>
      </c>
    </row>
    <row r="438" spans="106:108" x14ac:dyDescent="0.3">
      <c r="DB438" s="3" vm="687">
        <f ca="1">IF(Returns!A450&lt;&gt;0,Returns!A450,"")</f>
        <v>43318</v>
      </c>
      <c r="DC438" s="13">
        <f ca="1">IF(Returns!B451&gt;0,Returns!B451/Returns!B450-1,"")</f>
        <v>5.7335581787520962E-3</v>
      </c>
      <c r="DD438" s="13">
        <f ca="1">IF(Returns!D443&gt;0,Returns!D443/Returns!D442-1,"")</f>
        <v>-2.0310153411532417E-2</v>
      </c>
    </row>
    <row r="439" spans="106:108" x14ac:dyDescent="0.3">
      <c r="DB439" s="3" vm="688">
        <f ca="1">IF(Returns!A451&lt;&gt;0,Returns!A451,"")</f>
        <v>43325</v>
      </c>
      <c r="DC439" s="13">
        <f ca="1">IF(Returns!B452&gt;0,Returns!B452/Returns!B451-1,"")</f>
        <v>1.8779342723004744E-2</v>
      </c>
      <c r="DD439" s="13">
        <f ca="1">IF(Returns!D444&gt;0,Returns!D444/Returns!D443-1,"")</f>
        <v>-1.2590216124245379E-2</v>
      </c>
    </row>
    <row r="440" spans="106:108" x14ac:dyDescent="0.3">
      <c r="DB440" s="3" vm="689">
        <f ca="1">IF(Returns!A452&lt;&gt;0,Returns!A452,"")</f>
        <v>43332</v>
      </c>
      <c r="DC440" s="13">
        <f ca="1">IF(Returns!B453&gt;0,Returns!B453/Returns!B452-1,"")</f>
        <v>3.2916392363397939E-3</v>
      </c>
      <c r="DD440" s="13">
        <f ca="1">IF(Returns!D445&gt;0,Returns!D445/Returns!D444-1,"")</f>
        <v>7.6252265839735767E-3</v>
      </c>
    </row>
    <row r="441" spans="106:108" x14ac:dyDescent="0.3">
      <c r="DB441" s="3" vm="690">
        <f ca="1">IF(Returns!A453&lt;&gt;0,Returns!A453,"")</f>
        <v>43339</v>
      </c>
      <c r="DC441" s="13">
        <f ca="1">IF(Returns!B454&gt;0,Returns!B454/Returns!B453-1,"")</f>
        <v>1.1154855643044526E-2</v>
      </c>
      <c r="DD441" s="13">
        <f ca="1">IF(Returns!D446&gt;0,Returns!D446/Returns!D445-1,"")</f>
        <v>2.3017248893359987E-2</v>
      </c>
    </row>
    <row r="442" spans="106:108" x14ac:dyDescent="0.3">
      <c r="DB442" s="3" vm="691">
        <f ca="1">IF(Returns!A454&lt;&gt;0,Returns!A454,"")</f>
        <v>43347</v>
      </c>
      <c r="DC442" s="13">
        <f ca="1">IF(Returns!B455&gt;0,Returns!B455/Returns!B454-1,"")</f>
        <v>8.1116158338740973E-3</v>
      </c>
      <c r="DD442" s="13">
        <f ca="1">IF(Returns!D447&gt;0,Returns!D447/Returns!D446-1,"")</f>
        <v>1.5474787912528321E-3</v>
      </c>
    </row>
    <row r="443" spans="106:108" x14ac:dyDescent="0.3">
      <c r="DB443" s="3" vm="692">
        <f ca="1">IF(Returns!A455&lt;&gt;0,Returns!A455,"")</f>
        <v>43353</v>
      </c>
      <c r="DC443" s="13">
        <f ca="1">IF(Returns!B456&gt;0,Returns!B456/Returns!B455-1,"")</f>
        <v>-2.5748310267138752E-2</v>
      </c>
      <c r="DD443" s="13">
        <f ca="1">IF(Returns!D448&gt;0,Returns!D448/Returns!D447-1,"")</f>
        <v>1.5680851337831037E-2</v>
      </c>
    </row>
    <row r="444" spans="106:108" x14ac:dyDescent="0.3">
      <c r="DB444" s="3" vm="693">
        <f ca="1">IF(Returns!A456&lt;&gt;0,Returns!A456,"")</f>
        <v>43360</v>
      </c>
      <c r="DC444" s="13">
        <f ca="1">IF(Returns!B457&gt;0,Returns!B457/Returns!B456-1,"")</f>
        <v>-2.312520647505778E-2</v>
      </c>
      <c r="DD444" s="13">
        <f ca="1">IF(Returns!D449&gt;0,Returns!D449/Returns!D448-1,"")</f>
        <v>4.529045938668208E-4</v>
      </c>
    </row>
    <row r="445" spans="106:108" x14ac:dyDescent="0.3">
      <c r="DB445" s="3" vm="694">
        <f ca="1">IF(Returns!A457&lt;&gt;0,Returns!A457,"")</f>
        <v>43367</v>
      </c>
      <c r="DC445" s="13">
        <f ca="1">IF(Returns!B458&gt;0,Returns!B458/Returns!B457-1,"")</f>
        <v>-8.4545147108555652E-3</v>
      </c>
      <c r="DD445" s="13">
        <f ca="1">IF(Returns!D450&gt;0,Returns!D450/Returns!D449-1,"")</f>
        <v>-5.8691297318330671E-3</v>
      </c>
    </row>
    <row r="446" spans="106:108" x14ac:dyDescent="0.3">
      <c r="DB446" s="3" vm="695">
        <f ca="1">IF(Returns!A458&lt;&gt;0,Returns!A458,"")</f>
        <v>43374</v>
      </c>
      <c r="DC446" s="13">
        <f ca="1">IF(Returns!B459&gt;0,Returns!B459/Returns!B458-1,"")</f>
        <v>-4.8090040927694422E-2</v>
      </c>
      <c r="DD446" s="13">
        <f ca="1">IF(Returns!D451&gt;0,Returns!D451/Returns!D450-1,"")</f>
        <v>1.4071036222678357E-2</v>
      </c>
    </row>
    <row r="447" spans="106:108" x14ac:dyDescent="0.3">
      <c r="DB447" s="3" vm="696">
        <f ca="1">IF(Returns!A459&lt;&gt;0,Returns!A459,"")</f>
        <v>43381</v>
      </c>
      <c r="DC447" s="13">
        <f ca="1">IF(Returns!B460&gt;0,Returns!B460/Returns!B459-1,"")</f>
        <v>3.3679684700824053E-2</v>
      </c>
      <c r="DD447" s="13">
        <f ca="1">IF(Returns!D452&gt;0,Returns!D452/Returns!D451-1,"")</f>
        <v>4.7150759505469875E-3</v>
      </c>
    </row>
    <row r="448" spans="106:108" x14ac:dyDescent="0.3">
      <c r="DB448" s="3" vm="697">
        <f ca="1">IF(Returns!A460&lt;&gt;0,Returns!A460,"")</f>
        <v>43388</v>
      </c>
      <c r="DC448" s="13">
        <f ca="1">IF(Returns!B461&gt;0,Returns!B461/Returns!B460-1,"")</f>
        <v>-3.1542461005199307E-2</v>
      </c>
      <c r="DD448" s="13">
        <f ca="1">IF(Returns!D453&gt;0,Returns!D453/Returns!D452-1,"")</f>
        <v>6.7646802617389312E-3</v>
      </c>
    </row>
    <row r="449" spans="106:108" x14ac:dyDescent="0.3">
      <c r="DB449" s="3" vm="698">
        <f ca="1">IF(Returns!A461&lt;&gt;0,Returns!A461,"")</f>
        <v>43395</v>
      </c>
      <c r="DC449" s="13">
        <f ca="1">IF(Returns!B462&gt;0,Returns!B462/Returns!B461-1,"")</f>
        <v>8.589835361488829E-3</v>
      </c>
      <c r="DD449" s="13">
        <f ca="1">IF(Returns!D454&gt;0,Returns!D454/Returns!D453-1,"")</f>
        <v>-1.8593429215565394E-3</v>
      </c>
    </row>
    <row r="450" spans="106:108" x14ac:dyDescent="0.3">
      <c r="DB450" s="3" vm="699">
        <f ca="1">IF(Returns!A462&lt;&gt;0,Returns!A462,"")</f>
        <v>43402</v>
      </c>
      <c r="DC450" s="13">
        <f ca="1">IF(Returns!B463&gt;0,Returns!B463/Returns!B462-1,"")</f>
        <v>3.9389638041164021E-2</v>
      </c>
      <c r="DD450" s="13">
        <f ca="1">IF(Returns!D455&gt;0,Returns!D455/Returns!D454-1,"")</f>
        <v>9.1884486957869438E-3</v>
      </c>
    </row>
    <row r="451" spans="106:108" x14ac:dyDescent="0.3">
      <c r="DB451" s="3" vm="700">
        <f ca="1">IF(Returns!A463&lt;&gt;0,Returns!A463,"")</f>
        <v>43409</v>
      </c>
      <c r="DC451" s="13">
        <f ca="1">IF(Returns!B464&gt;0,Returns!B464/Returns!B463-1,"")</f>
        <v>-1.4339364970979762E-2</v>
      </c>
      <c r="DD451" s="13">
        <f ca="1">IF(Returns!D456&gt;0,Returns!D456/Returns!D455-1,"")</f>
        <v>2.2513097372695245E-2</v>
      </c>
    </row>
    <row r="452" spans="106:108" x14ac:dyDescent="0.3">
      <c r="DB452" s="3" vm="701">
        <f ca="1">IF(Returns!A464&lt;&gt;0,Returns!A464,"")</f>
        <v>43416</v>
      </c>
      <c r="DC452" s="13">
        <f ca="1">IF(Returns!B465&gt;0,Returns!B465/Returns!B464-1,"")</f>
        <v>-1.4201593349497776E-2</v>
      </c>
      <c r="DD452" s="13">
        <f ca="1">IF(Returns!D457&gt;0,Returns!D457/Returns!D456-1,"")</f>
        <v>-1.0663893875324626E-2</v>
      </c>
    </row>
    <row r="453" spans="106:108" x14ac:dyDescent="0.3">
      <c r="DB453" s="3" vm="702">
        <f ca="1">IF(Returns!A465&lt;&gt;0,Returns!A465,"")</f>
        <v>43423</v>
      </c>
      <c r="DC453" s="13">
        <f ca="1">IF(Returns!B466&gt;0,Returns!B466/Returns!B465-1,"")</f>
        <v>1.9676739283204459E-2</v>
      </c>
      <c r="DD453" s="13">
        <f ca="1">IF(Returns!D458&gt;0,Returns!D458/Returns!D457-1,"")</f>
        <v>-4.2541272455387524E-4</v>
      </c>
    </row>
    <row r="454" spans="106:108" x14ac:dyDescent="0.3">
      <c r="DB454" s="3" vm="703">
        <f ca="1">IF(Returns!A466&lt;&gt;0,Returns!A466,"")</f>
        <v>43430</v>
      </c>
      <c r="DC454" s="13">
        <f ca="1">IF(Returns!B467&gt;0,Returns!B467/Returns!B466-1,"")</f>
        <v>-4.927636113025502E-2</v>
      </c>
      <c r="DD454" s="13">
        <f ca="1">IF(Returns!D459&gt;0,Returns!D459/Returns!D458-1,"")</f>
        <v>-4.1859488737991724E-2</v>
      </c>
    </row>
    <row r="455" spans="106:108" x14ac:dyDescent="0.3">
      <c r="DB455" s="3" vm="704">
        <f ca="1">IF(Returns!A467&lt;&gt;0,Returns!A467,"")</f>
        <v>43437</v>
      </c>
      <c r="DC455" s="13">
        <f ca="1">IF(Returns!B468&gt;0,Returns!B468/Returns!B467-1,"")</f>
        <v>1.0873504893078589E-3</v>
      </c>
      <c r="DD455" s="13">
        <f ca="1">IF(Returns!D460&gt;0,Returns!D460/Returns!D459-1,"")</f>
        <v>4.1180994616170086E-3</v>
      </c>
    </row>
    <row r="456" spans="106:108" x14ac:dyDescent="0.3">
      <c r="DB456" s="3" vm="705">
        <f ca="1">IF(Returns!A468&lt;&gt;0,Returns!A468,"")</f>
        <v>43444</v>
      </c>
      <c r="DC456" s="13">
        <f ca="1">IF(Returns!B469&gt;0,Returns!B469/Returns!B468-1,"")</f>
        <v>-3.9464156408399731E-2</v>
      </c>
      <c r="DD456" s="13">
        <f ca="1">IF(Returns!D461&gt;0,Returns!D461/Returns!D460-1,"")</f>
        <v>-2.9713127430432196E-2</v>
      </c>
    </row>
    <row r="457" spans="106:108" x14ac:dyDescent="0.3">
      <c r="DB457" s="3" vm="706">
        <f ca="1">IF(Returns!A469&lt;&gt;0,Returns!A469,"")</f>
        <v>43451</v>
      </c>
      <c r="DC457" s="13">
        <f ca="1">IF(Returns!B470&gt;0,Returns!B470/Returns!B469-1,"")</f>
        <v>2.4500565397662877E-2</v>
      </c>
      <c r="DD457" s="13">
        <f ca="1">IF(Returns!D462&gt;0,Returns!D462/Returns!D461-1,"")</f>
        <v>2.3594841345125905E-2</v>
      </c>
    </row>
    <row r="458" spans="106:108" x14ac:dyDescent="0.3">
      <c r="DB458" s="3" vm="707">
        <f ca="1">IF(Returns!A470&lt;&gt;0,Returns!A470,"")</f>
        <v>43458</v>
      </c>
      <c r="DC458" s="13">
        <f ca="1">IF(Returns!B471&gt;0,Returns!B471/Returns!B470-1,"")</f>
        <v>7.7262693156732176E-3</v>
      </c>
      <c r="DD458" s="13">
        <f ca="1">IF(Returns!D463&gt;0,Returns!D463/Returns!D462-1,"")</f>
        <v>2.8430678367230122E-2</v>
      </c>
    </row>
    <row r="459" spans="106:108" x14ac:dyDescent="0.3">
      <c r="DB459" s="3" vm="708">
        <f ca="1">IF(Returns!A471&lt;&gt;0,Returns!A471,"")</f>
        <v>43465</v>
      </c>
      <c r="DC459" s="13">
        <f ca="1">IF(Returns!B472&gt;0,Returns!B472/Returns!B471-1,"")</f>
        <v>1.4238773274917849E-2</v>
      </c>
      <c r="DD459" s="13">
        <f ca="1">IF(Returns!D464&gt;0,Returns!D464/Returns!D463-1,"")</f>
        <v>-2.2165868336699868E-2</v>
      </c>
    </row>
    <row r="460" spans="106:108" x14ac:dyDescent="0.3">
      <c r="DB460" s="3" vm="709">
        <f ca="1">IF(Returns!A472&lt;&gt;0,Returns!A472,"")</f>
        <v>43472</v>
      </c>
      <c r="DC460" s="13">
        <f ca="1">IF(Returns!B473&gt;0,Returns!B473/Returns!B472-1,"")</f>
        <v>3.0957523398128073E-2</v>
      </c>
      <c r="DD460" s="13">
        <f ca="1">IF(Returns!D465&gt;0,Returns!D465/Returns!D464-1,"")</f>
        <v>-4.4357464168816585E-2</v>
      </c>
    </row>
    <row r="461" spans="106:108" x14ac:dyDescent="0.3">
      <c r="DB461" s="3" vm="710">
        <f ca="1">IF(Returns!A473&lt;&gt;0,Returns!A473,"")</f>
        <v>43479</v>
      </c>
      <c r="DC461" s="13">
        <f ca="1">IF(Returns!B474&gt;0,Returns!B474/Returns!B473-1,"")</f>
        <v>-1.5363128491620137E-2</v>
      </c>
      <c r="DD461" s="13">
        <f ca="1">IF(Returns!D466&gt;0,Returns!D466/Returns!D465-1,"")</f>
        <v>5.1573131318732202E-2</v>
      </c>
    </row>
    <row r="462" spans="106:108" x14ac:dyDescent="0.3">
      <c r="DB462" s="3" vm="711">
        <f ca="1">IF(Returns!A474&lt;&gt;0,Returns!A474,"")</f>
        <v>43487</v>
      </c>
      <c r="DC462" s="13">
        <f ca="1">IF(Returns!B475&gt;0,Returns!B475/Returns!B474-1,"")</f>
        <v>-1.1702127659574457E-2</v>
      </c>
      <c r="DD462" s="13">
        <f ca="1">IF(Returns!D467&gt;0,Returns!D467/Returns!D466-1,"")</f>
        <v>-4.5010789375495852E-2</v>
      </c>
    </row>
    <row r="463" spans="106:108" x14ac:dyDescent="0.3">
      <c r="DB463" s="3" vm="712">
        <f ca="1">IF(Returns!A475&lt;&gt;0,Returns!A475,"")</f>
        <v>43493</v>
      </c>
      <c r="DC463" s="13">
        <f ca="1">IF(Returns!B476&gt;0,Returns!B476/Returns!B475-1,"")</f>
        <v>-1.4352350197345265E-3</v>
      </c>
      <c r="DD463" s="13">
        <f ca="1">IF(Returns!D468&gt;0,Returns!D468/Returns!D467-1,"")</f>
        <v>-1.1826851575045483E-2</v>
      </c>
    </row>
    <row r="464" spans="106:108" x14ac:dyDescent="0.3">
      <c r="DB464" s="3" vm="713">
        <f ca="1">IF(Returns!A476&lt;&gt;0,Returns!A476,"")</f>
        <v>43500</v>
      </c>
      <c r="DC464" s="13">
        <f ca="1">IF(Returns!B477&gt;0,Returns!B477/Returns!B476-1,"")</f>
        <v>4.4196909809558038E-2</v>
      </c>
      <c r="DD464" s="13">
        <f ca="1">IF(Returns!D469&gt;0,Returns!D469/Returns!D468-1,"")</f>
        <v>-6.8676217265511208E-2</v>
      </c>
    </row>
    <row r="465" spans="106:108" x14ac:dyDescent="0.3">
      <c r="DB465" s="3" vm="714">
        <f ca="1">IF(Returns!A477&lt;&gt;0,Returns!A477,"")</f>
        <v>43507</v>
      </c>
      <c r="DC465" s="13">
        <f ca="1">IF(Returns!B478&gt;0,Returns!B478/Returns!B477-1,"")</f>
        <v>1.5485203028217542E-2</v>
      </c>
      <c r="DD465" s="13">
        <f ca="1">IF(Returns!D470&gt;0,Returns!D470/Returns!D469-1,"")</f>
        <v>2.7490287464393637E-2</v>
      </c>
    </row>
    <row r="466" spans="106:108" x14ac:dyDescent="0.3">
      <c r="DB466" s="3" vm="715">
        <f ca="1">IF(Returns!A478&lt;&gt;0,Returns!A478,"")</f>
        <v>43515</v>
      </c>
      <c r="DC466" s="13">
        <f ca="1">IF(Returns!B479&gt;0,Returns!B479/Returns!B478-1,"")</f>
        <v>1.2199254490003364E-2</v>
      </c>
      <c r="DD466" s="13">
        <f ca="1">IF(Returns!D471&gt;0,Returns!D471/Returns!D470-1,"")</f>
        <v>1.6076394012065842E-2</v>
      </c>
    </row>
    <row r="467" spans="106:108" x14ac:dyDescent="0.3">
      <c r="DB467" s="3" vm="716">
        <f ca="1">IF(Returns!A479&lt;&gt;0,Returns!A479,"")</f>
        <v>43521</v>
      </c>
      <c r="DC467" s="13">
        <f ca="1">IF(Returns!B480&gt;0,Returns!B480/Returns!B479-1,"")</f>
        <v>-3.3478406427854046E-2</v>
      </c>
      <c r="DD467" s="13">
        <f ca="1">IF(Returns!D472&gt;0,Returns!D472/Returns!D471-1,"")</f>
        <v>2.4016619488019808E-2</v>
      </c>
    </row>
    <row r="468" spans="106:108" x14ac:dyDescent="0.3">
      <c r="DB468" s="3" vm="717">
        <f ca="1">IF(Returns!A480&lt;&gt;0,Returns!A480,"")</f>
        <v>43528</v>
      </c>
      <c r="DC468" s="13">
        <f ca="1">IF(Returns!B481&gt;0,Returns!B481/Returns!B480-1,"")</f>
        <v>2.0436439210252955E-2</v>
      </c>
      <c r="DD468" s="13">
        <f ca="1">IF(Returns!D473&gt;0,Returns!D473/Returns!D472-1,"")</f>
        <v>2.9604912372275693E-2</v>
      </c>
    </row>
    <row r="469" spans="106:108" x14ac:dyDescent="0.3">
      <c r="DB469" s="3" vm="718">
        <f ca="1">IF(Returns!A481&lt;&gt;0,Returns!A481,"")</f>
        <v>43535</v>
      </c>
      <c r="DC469" s="13">
        <f ca="1">IF(Returns!B482&gt;0,Returns!B482/Returns!B481-1,"")</f>
        <v>-1.9687712152070658E-2</v>
      </c>
      <c r="DD469" s="13">
        <f ca="1">IF(Returns!D474&gt;0,Returns!D474/Returns!D473-1,"")</f>
        <v>1.2487276498787114E-3</v>
      </c>
    </row>
    <row r="470" spans="106:108" x14ac:dyDescent="0.3">
      <c r="DB470" s="3" vm="719">
        <f ca="1">IF(Returns!A482&lt;&gt;0,Returns!A482,"")</f>
        <v>43542</v>
      </c>
      <c r="DC470" s="13">
        <f ca="1">IF(Returns!B483&gt;0,Returns!B483/Returns!B482-1,"")</f>
        <v>2.1814404432133117E-2</v>
      </c>
      <c r="DD470" s="13">
        <f ca="1">IF(Returns!D475&gt;0,Returns!D475/Returns!D474-1,"")</f>
        <v>1.3206292760802096E-2</v>
      </c>
    </row>
    <row r="471" spans="106:108" x14ac:dyDescent="0.3">
      <c r="DB471" s="3" vm="720">
        <f ca="1">IF(Returns!A483&lt;&gt;0,Returns!A483,"")</f>
        <v>43549</v>
      </c>
      <c r="DC471" s="13">
        <f ca="1">IF(Returns!B484&gt;0,Returns!B484/Returns!B483-1,"")</f>
        <v>1.4232463571670628E-2</v>
      </c>
      <c r="DD471" s="13">
        <f ca="1">IF(Returns!D476&gt;0,Returns!D476/Returns!D475-1,"")</f>
        <v>1.6935242799918093E-3</v>
      </c>
    </row>
    <row r="472" spans="106:108" x14ac:dyDescent="0.3">
      <c r="DB472" s="3" vm="721">
        <f ca="1">IF(Returns!A484&lt;&gt;0,Returns!A484,"")</f>
        <v>43556</v>
      </c>
      <c r="DC472" s="13">
        <f ca="1">IF(Returns!B485&gt;0,Returns!B485/Returns!B484-1,"")</f>
        <v>1.9378549949883084E-2</v>
      </c>
      <c r="DD472" s="13">
        <f ca="1">IF(Returns!D477&gt;0,Returns!D477/Returns!D476-1,"")</f>
        <v>3.094498556909886E-2</v>
      </c>
    </row>
    <row r="473" spans="106:108" x14ac:dyDescent="0.3">
      <c r="DB473" s="3" vm="722">
        <f ca="1">IF(Returns!A485&lt;&gt;0,Returns!A485,"")</f>
        <v>43563</v>
      </c>
      <c r="DC473" s="13">
        <f ca="1">IF(Returns!B486&gt;0,Returns!B486/Returns!B485-1,"")</f>
        <v>1.9665683382497079E-3</v>
      </c>
      <c r="DD473" s="13">
        <f ca="1">IF(Returns!D478&gt;0,Returns!D478/Returns!D477-1,"")</f>
        <v>5.7396893049088682E-3</v>
      </c>
    </row>
    <row r="474" spans="106:108" x14ac:dyDescent="0.3">
      <c r="DB474" s="3" vm="723">
        <f ca="1">IF(Returns!A486&lt;&gt;0,Returns!A486,"")</f>
        <v>43570</v>
      </c>
      <c r="DC474" s="13">
        <f ca="1">IF(Returns!B487&gt;0,Returns!B487/Returns!B486-1,"")</f>
        <v>3.6310107948969605E-2</v>
      </c>
      <c r="DD474" s="13">
        <f ca="1">IF(Returns!D479&gt;0,Returns!D479/Returns!D478-1,"")</f>
        <v>-2.1098418071929803E-4</v>
      </c>
    </row>
    <row r="475" spans="106:108" x14ac:dyDescent="0.3">
      <c r="DB475" s="3" vm="724">
        <f ca="1">IF(Returns!A487&lt;&gt;0,Returns!A487,"")</f>
        <v>43577</v>
      </c>
      <c r="DC475" s="13">
        <f ca="1">IF(Returns!B488&gt;0,Returns!B488/Returns!B487-1,"")</f>
        <v>2.0833333333333481E-2</v>
      </c>
      <c r="DD475" s="13">
        <f ca="1">IF(Returns!D480&gt;0,Returns!D480/Returns!D479-1,"")</f>
        <v>-2.2134337930838743E-2</v>
      </c>
    </row>
    <row r="476" spans="106:108" x14ac:dyDescent="0.3">
      <c r="DB476" s="3" vm="725">
        <f ca="1">IF(Returns!A488&lt;&gt;0,Returns!A488,"")</f>
        <v>43584</v>
      </c>
      <c r="DC476" s="13">
        <f ca="1">IF(Returns!B489&gt;0,Returns!B489/Returns!B488-1,"")</f>
        <v>-4.638218923933346E-3</v>
      </c>
      <c r="DD476" s="13">
        <f ca="1">IF(Returns!D481&gt;0,Returns!D481/Returns!D480-1,"")</f>
        <v>1.5663049552389507E-2</v>
      </c>
    </row>
    <row r="477" spans="106:108" x14ac:dyDescent="0.3">
      <c r="DB477" s="3" vm="726">
        <f ca="1">IF(Returns!A489&lt;&gt;0,Returns!A489,"")</f>
        <v>43591</v>
      </c>
      <c r="DC477" s="13">
        <f ca="1">IF(Returns!B490&gt;0,Returns!B490/Returns!B489-1,"")</f>
        <v>-1.5532774153463658E-2</v>
      </c>
      <c r="DD477" s="13">
        <f ca="1">IF(Returns!D482&gt;0,Returns!D482/Returns!D481-1,"")</f>
        <v>-1.3406922468097049E-2</v>
      </c>
    </row>
    <row r="478" spans="106:108" x14ac:dyDescent="0.3">
      <c r="DB478" s="3" vm="727">
        <f ca="1">IF(Returns!A490&lt;&gt;0,Returns!A490,"")</f>
        <v>43598</v>
      </c>
      <c r="DC478" s="13">
        <f ca="1">IF(Returns!B491&gt;0,Returns!B491/Returns!B490-1,"")</f>
        <v>5.0489113284948317E-3</v>
      </c>
      <c r="DD478" s="13">
        <f ca="1">IF(Returns!D483&gt;0,Returns!D483/Returns!D482-1,"")</f>
        <v>1.6718512610413239E-2</v>
      </c>
    </row>
    <row r="479" spans="106:108" x14ac:dyDescent="0.3">
      <c r="DB479" s="3" vm="728">
        <f ca="1">IF(Returns!A491&lt;&gt;0,Returns!A491,"")</f>
        <v>43605</v>
      </c>
      <c r="DC479" s="13">
        <f ca="1">IF(Returns!B492&gt;0,Returns!B492/Returns!B491-1,"")</f>
        <v>-8.791208791208871E-3</v>
      </c>
      <c r="DD479" s="13">
        <f ca="1">IF(Returns!D484&gt;0,Returns!D484/Returns!D483-1,"")</f>
        <v>1.9141273357588418E-2</v>
      </c>
    </row>
    <row r="480" spans="106:108" x14ac:dyDescent="0.3">
      <c r="DB480" s="3" vm="729">
        <f ca="1">IF(Returns!A492&lt;&gt;0,Returns!A492,"")</f>
        <v>43613</v>
      </c>
      <c r="DC480" s="13">
        <f ca="1">IF(Returns!B493&gt;0,Returns!B493/Returns!B492-1,"")</f>
        <v>4.1178333861260574E-2</v>
      </c>
      <c r="DD480" s="13">
        <f ca="1">IF(Returns!D485&gt;0,Returns!D485/Returns!D484-1,"")</f>
        <v>-4.7995107297160722E-4</v>
      </c>
    </row>
    <row r="481" spans="106:108" x14ac:dyDescent="0.3">
      <c r="DB481" s="3" vm="730">
        <f ca="1">IF(Returns!A493&lt;&gt;0,Returns!A493,"")</f>
        <v>43619</v>
      </c>
      <c r="DC481" s="13">
        <f ca="1">IF(Returns!B494&gt;0,Returns!B494/Returns!B493-1,"")</f>
        <v>-1.5211439002128513E-3</v>
      </c>
      <c r="DD481" s="13">
        <f ca="1">IF(Returns!D486&gt;0,Returns!D486/Returns!D485-1,"")</f>
        <v>5.5747014104505777E-3</v>
      </c>
    </row>
    <row r="482" spans="106:108" x14ac:dyDescent="0.3">
      <c r="DB482" s="3" vm="731">
        <f ca="1">IF(Returns!A494&lt;&gt;0,Returns!A494,"")</f>
        <v>43626</v>
      </c>
      <c r="DC482" s="13">
        <f ca="1">IF(Returns!B495&gt;0,Returns!B495/Returns!B494-1,"")</f>
        <v>2.4375380865324647E-3</v>
      </c>
      <c r="DD482" s="13">
        <f ca="1">IF(Returns!D487&gt;0,Returns!D487/Returns!D486-1,"")</f>
        <v>-6.1030417119523062E-4</v>
      </c>
    </row>
    <row r="483" spans="106:108" x14ac:dyDescent="0.3">
      <c r="DB483" s="3" vm="732">
        <f ca="1">IF(Returns!A495&lt;&gt;0,Returns!A495,"")</f>
        <v>43633</v>
      </c>
      <c r="DC483" s="13">
        <f ca="1">IF(Returns!B496&gt;0,Returns!B496/Returns!B495-1,"")</f>
        <v>1.8237082066869359E-2</v>
      </c>
      <c r="DD483" s="13">
        <f ca="1">IF(Returns!D488&gt;0,Returns!D488/Returns!D487-1,"")</f>
        <v>-1.4462011550334664E-3</v>
      </c>
    </row>
    <row r="484" spans="106:108" x14ac:dyDescent="0.3">
      <c r="DB484" s="3" vm="733">
        <f ca="1">IF(Returns!A496&lt;&gt;0,Returns!A496,"")</f>
        <v>43640</v>
      </c>
      <c r="DC484" s="13">
        <f ca="1">IF(Returns!B497&gt;0,Returns!B497/Returns!B496-1,"")</f>
        <v>3.761194029850734E-2</v>
      </c>
      <c r="DD484" s="13">
        <f ca="1">IF(Returns!D489&gt;0,Returns!D489/Returns!D488-1,"")</f>
        <v>-2.122547176740619E-2</v>
      </c>
    </row>
    <row r="485" spans="106:108" x14ac:dyDescent="0.3">
      <c r="DB485" s="3" vm="734">
        <f ca="1">IF(Returns!A497&lt;&gt;0,Returns!A497,"")</f>
        <v>43647</v>
      </c>
      <c r="DC485" s="13">
        <f ca="1">IF(Returns!B498&gt;0,Returns!B498/Returns!B497-1,"")</f>
        <v>6.6168009205984646E-3</v>
      </c>
      <c r="DD485" s="13">
        <f ca="1">IF(Returns!D490&gt;0,Returns!D490/Returns!D489-1,"")</f>
        <v>-6.8756563876816168E-3</v>
      </c>
    </row>
    <row r="486" spans="106:108" x14ac:dyDescent="0.3">
      <c r="DB486" s="3" vm="735">
        <f ca="1">IF(Returns!A498&lt;&gt;0,Returns!A498,"")</f>
        <v>43654</v>
      </c>
      <c r="DC486" s="13">
        <f ca="1">IF(Returns!B499&gt;0,Returns!B499/Returns!B498-1,"")</f>
        <v>-8.2880823092311706E-3</v>
      </c>
      <c r="DD486" s="13">
        <f ca="1">IF(Returns!D491&gt;0,Returns!D491/Returns!D490-1,"")</f>
        <v>-6.9206228723214247E-3</v>
      </c>
    </row>
    <row r="487" spans="106:108" x14ac:dyDescent="0.3">
      <c r="DB487" s="3" vm="736">
        <f ca="1">IF(Returns!A499&lt;&gt;0,Returns!A499,"")</f>
        <v>43661</v>
      </c>
      <c r="DC487" s="13">
        <f ca="1">IF(Returns!B500&gt;0,Returns!B500/Returns!B499-1,"")</f>
        <v>4.8703170028818299E-2</v>
      </c>
      <c r="DD487" s="13">
        <f ca="1">IF(Returns!D492&gt;0,Returns!D492/Returns!D491-1,"")</f>
        <v>-3.0120610647049406E-2</v>
      </c>
    </row>
    <row r="488" spans="106:108" x14ac:dyDescent="0.3">
      <c r="DB488" s="3" vm="737">
        <f ca="1">IF(Returns!A500&lt;&gt;0,Returns!A500,"")</f>
        <v>43668</v>
      </c>
      <c r="DC488" s="13">
        <f ca="1">IF(Returns!B501&gt;0,Returns!B501/Returns!B500-1,"")</f>
        <v>-1.483924154987637E-2</v>
      </c>
      <c r="DD488" s="13">
        <f ca="1">IF(Returns!D493&gt;0,Returns!D493/Returns!D492-1,"")</f>
        <v>4.710470624173646E-2</v>
      </c>
    </row>
    <row r="489" spans="106:108" x14ac:dyDescent="0.3">
      <c r="DB489" s="3" vm="738">
        <f ca="1">IF(Returns!A501&lt;&gt;0,Returns!A501,"")</f>
        <v>43675</v>
      </c>
      <c r="DC489" s="13">
        <f ca="1">IF(Returns!B502&gt;0,Returns!B502/Returns!B501-1,"")</f>
        <v>2.4825662482566235E-2</v>
      </c>
      <c r="DD489" s="13">
        <f ca="1">IF(Returns!D494&gt;0,Returns!D494/Returns!D493-1,"")</f>
        <v>4.0665886046065136E-3</v>
      </c>
    </row>
    <row r="490" spans="106:108" x14ac:dyDescent="0.3">
      <c r="DB490" s="3" vm="739">
        <f ca="1">IF(Returns!A502&lt;&gt;0,Returns!A502,"")</f>
        <v>43682</v>
      </c>
      <c r="DC490" s="13">
        <f ca="1">IF(Returns!B503&gt;0,Returns!B503/Returns!B502-1,"")</f>
        <v>-1.7964071856287567E-2</v>
      </c>
      <c r="DD490" s="13">
        <f ca="1">IF(Returns!D495&gt;0,Returns!D495/Returns!D494-1,"")</f>
        <v>2.4129148068360751E-2</v>
      </c>
    </row>
    <row r="491" spans="106:108" x14ac:dyDescent="0.3">
      <c r="DB491" s="3" vm="740">
        <f ca="1">IF(Returns!A503&lt;&gt;0,Returns!A503,"")</f>
        <v>43689</v>
      </c>
      <c r="DC491" s="13">
        <f ca="1">IF(Returns!B504&gt;0,Returns!B504/Returns!B503-1,"")</f>
        <v>-1.8292682926829174E-2</v>
      </c>
      <c r="DD491" s="13">
        <f ca="1">IF(Returns!D496&gt;0,Returns!D496/Returns!D495-1,"")</f>
        <v>-4.4598200463688009E-3</v>
      </c>
    </row>
    <row r="492" spans="106:108" x14ac:dyDescent="0.3">
      <c r="DB492" s="3" vm="741">
        <f ca="1">IF(Returns!A504&lt;&gt;0,Returns!A504,"")</f>
        <v>43696</v>
      </c>
      <c r="DC492" s="13">
        <f ca="1">IF(Returns!B505&gt;0,Returns!B505/Returns!B504-1,"")</f>
        <v>4.1501976284584963E-2</v>
      </c>
      <c r="DD492" s="13">
        <f ca="1">IF(Returns!D497&gt;0,Returns!D497/Returns!D496-1,"")</f>
        <v>1.21110122216741E-2</v>
      </c>
    </row>
    <row r="493" spans="106:108" x14ac:dyDescent="0.3">
      <c r="DB493" s="3" vm="742">
        <f ca="1">IF(Returns!A505&lt;&gt;0,Returns!A505,"")</f>
        <v>43703</v>
      </c>
      <c r="DC493" s="13">
        <f ca="1">IF(Returns!B506&gt;0,Returns!B506/Returns!B505-1,"")</f>
        <v>-2.1686093792354644E-3</v>
      </c>
      <c r="DD493" s="13">
        <f ca="1">IF(Returns!D498&gt;0,Returns!D498/Returns!D497-1,"")</f>
        <v>1.5225908642683583E-2</v>
      </c>
    </row>
    <row r="494" spans="106:108" x14ac:dyDescent="0.3">
      <c r="DB494" s="3" vm="743">
        <f ca="1">IF(Returns!A506&lt;&gt;0,Returns!A506,"")</f>
        <v>43711</v>
      </c>
      <c r="DC494" s="13">
        <f ca="1">IF(Returns!B507&gt;0,Returns!B507/Returns!B506-1,"")</f>
        <v>-2.2548220592230495E-2</v>
      </c>
      <c r="DD494" s="13">
        <f ca="1">IF(Returns!D499&gt;0,Returns!D499/Returns!D498-1,"")</f>
        <v>-6.5062197298612068E-3</v>
      </c>
    </row>
    <row r="495" spans="106:108" x14ac:dyDescent="0.3">
      <c r="DB495" s="3" vm="744">
        <f ca="1">IF(Returns!A507&lt;&gt;0,Returns!A507,"")</f>
        <v>43717</v>
      </c>
      <c r="DC495" s="13">
        <f ca="1">IF(Returns!B508&gt;0,Returns!B508/Returns!B507-1,"")</f>
        <v>6.9483046136742388E-3</v>
      </c>
      <c r="DD495" s="13">
        <f ca="1">IF(Returns!D500&gt;0,Returns!D500/Returns!D499-1,"")</f>
        <v>1.4086695949377948E-3</v>
      </c>
    </row>
    <row r="496" spans="106:108" x14ac:dyDescent="0.3">
      <c r="DB496" s="3" vm="745">
        <f ca="1">IF(Returns!A508&lt;&gt;0,Returns!A508,"")</f>
        <v>43724</v>
      </c>
      <c r="DC496" s="13">
        <f ca="1">IF(Returns!B509&gt;0,Returns!B509/Returns!B508-1,"")</f>
        <v>-1.2144631520839E-2</v>
      </c>
      <c r="DD496" s="13">
        <f ca="1">IF(Returns!D501&gt;0,Returns!D501/Returns!D500-1,"")</f>
        <v>-2.6016294623381175E-2</v>
      </c>
    </row>
    <row r="497" spans="106:108" x14ac:dyDescent="0.3">
      <c r="DB497" s="3" vm="746">
        <f ca="1">IF(Returns!A509&lt;&gt;0,Returns!A509,"")</f>
        <v>43731</v>
      </c>
      <c r="DC497" s="13">
        <f ca="1">IF(Returns!B510&gt;0,Returns!B510/Returns!B509-1,"")</f>
        <v>1.7323274657725651E-2</v>
      </c>
      <c r="DD497" s="13">
        <f ca="1">IF(Returns!D502&gt;0,Returns!D502/Returns!D501-1,"")</f>
        <v>-7.4594768943108125E-3</v>
      </c>
    </row>
    <row r="498" spans="106:108" x14ac:dyDescent="0.3">
      <c r="DB498" s="3" vm="747">
        <f ca="1">IF(Returns!A510&lt;&gt;0,Returns!A510,"")</f>
        <v>43738</v>
      </c>
      <c r="DC498" s="13">
        <f ca="1">IF(Returns!B511&gt;0,Returns!B511/Returns!B510-1,"")</f>
        <v>-1.0162043394671749E-2</v>
      </c>
      <c r="DD498" s="13">
        <f ca="1">IF(Returns!D503&gt;0,Returns!D503/Returns!D502-1,"")</f>
        <v>-1.5271017420750987E-2</v>
      </c>
    </row>
    <row r="499" spans="106:108" x14ac:dyDescent="0.3">
      <c r="DB499" s="3" vm="748">
        <f ca="1">IF(Returns!A511&lt;&gt;0,Returns!A511,"")</f>
        <v>43745</v>
      </c>
      <c r="DC499" s="13">
        <f ca="1">IF(Returns!B512&gt;0,Returns!B512/Returns!B511-1,"")</f>
        <v>7.769145394006749E-3</v>
      </c>
      <c r="DD499" s="13">
        <f ca="1">IF(Returns!D504&gt;0,Returns!D504/Returns!D503-1,"")</f>
        <v>-9.9324550132432465E-3</v>
      </c>
    </row>
    <row r="500" spans="106:108" x14ac:dyDescent="0.3">
      <c r="DB500" s="3" vm="749">
        <f ca="1">IF(Returns!A512&lt;&gt;0,Returns!A512,"")</f>
        <v>43752</v>
      </c>
      <c r="DC500" s="13">
        <f ca="1">IF(Returns!B513&gt;0,Returns!B513/Returns!B512-1,"")</f>
        <v>-9.9118942731277748E-3</v>
      </c>
      <c r="DD500" s="13">
        <f ca="1">IF(Returns!D505&gt;0,Returns!D505/Returns!D504-1,"")</f>
        <v>3.0215383375437943E-2</v>
      </c>
    </row>
    <row r="501" spans="106:108" x14ac:dyDescent="0.3">
      <c r="DB501" s="3" vm="750">
        <f ca="1">IF(Returns!A513&lt;&gt;0,Returns!A513,"")</f>
        <v>43759</v>
      </c>
      <c r="DC501" s="13">
        <f ca="1">IF(Returns!B514&gt;0,Returns!B514/Returns!B513-1,"")</f>
        <v>4.6440489432703069E-2</v>
      </c>
      <c r="DD501" s="13">
        <f ca="1">IF(Returns!D506&gt;0,Returns!D506/Returns!D505-1,"")</f>
        <v>1.4929166590776477E-2</v>
      </c>
    </row>
    <row r="502" spans="106:108" x14ac:dyDescent="0.3">
      <c r="DB502" s="3" vm="751">
        <f ca="1">IF(Returns!A514&lt;&gt;0,Returns!A514,"")</f>
        <v>43766</v>
      </c>
      <c r="DC502" s="13">
        <f ca="1">IF(Returns!B515&gt;0,Returns!B515/Returns!B514-1,"")</f>
        <v>3.1889449906987721E-3</v>
      </c>
      <c r="DD502" s="13">
        <f ca="1">IF(Returns!D507&gt;0,Returns!D507/Returns!D506-1,"")</f>
        <v>1.5749764325622806E-2</v>
      </c>
    </row>
    <row r="503" spans="106:108" x14ac:dyDescent="0.3">
      <c r="DB503" s="3" vm="752">
        <f ca="1">IF(Returns!A515&lt;&gt;0,Returns!A515,"")</f>
        <v>43773</v>
      </c>
      <c r="DC503" s="13">
        <f ca="1">IF(Returns!B516&gt;0,Returns!B516/Returns!B515-1,"")</f>
        <v>3.1788079470198571E-3</v>
      </c>
      <c r="DD503" s="13">
        <f ca="1">IF(Returns!D508&gt;0,Returns!D508/Returns!D507-1,"")</f>
        <v>-1.0449991485887988E-2</v>
      </c>
    </row>
    <row r="504" spans="106:108" x14ac:dyDescent="0.3">
      <c r="DB504" s="3" vm="753">
        <f ca="1">IF(Returns!A516&lt;&gt;0,Returns!A516,"")</f>
        <v>43780</v>
      </c>
      <c r="DC504" s="13">
        <f ca="1">IF(Returns!B517&gt;0,Returns!B517/Returns!B516-1,"")</f>
        <v>-5.2812252442557828E-4</v>
      </c>
      <c r="DD504" s="13">
        <f ca="1">IF(Returns!D509&gt;0,Returns!D509/Returns!D508-1,"")</f>
        <v>-4.262914277119445E-3</v>
      </c>
    </row>
    <row r="505" spans="106:108" x14ac:dyDescent="0.3">
      <c r="DB505" s="3" vm="754">
        <f ca="1">IF(Returns!A517&lt;&gt;0,Returns!A517,"")</f>
        <v>43787</v>
      </c>
      <c r="DC505" s="13">
        <f ca="1">IF(Returns!B518&gt;0,Returns!B518/Returns!B517-1,"")</f>
        <v>-2.9062087186261243E-3</v>
      </c>
      <c r="DD505" s="13">
        <f ca="1">IF(Returns!D510&gt;0,Returns!D510/Returns!D509-1,"")</f>
        <v>-9.191991331743532E-3</v>
      </c>
    </row>
    <row r="506" spans="106:108" x14ac:dyDescent="0.3">
      <c r="DB506" s="3" vm="755">
        <f ca="1">IF(Returns!A518&lt;&gt;0,Returns!A518,"")</f>
        <v>43794</v>
      </c>
      <c r="DC506" s="13">
        <f ca="1">IF(Returns!B519&gt;0,Returns!B519/Returns!B518-1,"")</f>
        <v>1.669316375198715E-2</v>
      </c>
      <c r="DD506" s="13">
        <f ca="1">IF(Returns!D511&gt;0,Returns!D511/Returns!D510-1,"")</f>
        <v>9.1394475140416098E-3</v>
      </c>
    </row>
    <row r="507" spans="106:108" x14ac:dyDescent="0.3">
      <c r="DB507" s="3" vm="756">
        <f ca="1">IF(Returns!A519&lt;&gt;0,Returns!A519,"")</f>
        <v>43801</v>
      </c>
      <c r="DC507" s="13">
        <f ca="1">IF(Returns!B520&gt;0,Returns!B520/Returns!B519-1,"")</f>
        <v>1.2770393536617242E-2</v>
      </c>
      <c r="DD507" s="13">
        <f ca="1">IF(Returns!D512&gt;0,Returns!D512/Returns!D511-1,"")</f>
        <v>-1.729899483480124E-3</v>
      </c>
    </row>
    <row r="508" spans="106:108" x14ac:dyDescent="0.3">
      <c r="DB508" s="3" vm="757">
        <f ca="1">IF(Returns!A520&lt;&gt;0,Returns!A520,"")</f>
        <v>43808</v>
      </c>
      <c r="DC508" s="13">
        <f ca="1">IF(Returns!B521&gt;0,Returns!B521/Returns!B520-1,"")</f>
        <v>3.5769428718476659E-2</v>
      </c>
      <c r="DD508" s="13">
        <f ca="1">IF(Returns!D513&gt;0,Returns!D513/Returns!D512-1,"")</f>
        <v>7.0177219838911675E-3</v>
      </c>
    </row>
    <row r="509" spans="106:108" x14ac:dyDescent="0.3">
      <c r="DB509" s="3" vm="758">
        <f ca="1">IF(Returns!A521&lt;&gt;0,Returns!A521,"")</f>
        <v>43815</v>
      </c>
      <c r="DC509" s="13">
        <f ca="1">IF(Returns!B522&gt;0,Returns!B522/Returns!B521-1,"")</f>
        <v>-2.3602484472049712E-2</v>
      </c>
      <c r="DD509" s="13">
        <f ca="1">IF(Returns!D514&gt;0,Returns!D514/Returns!D513-1,"")</f>
        <v>1.444079653972774E-2</v>
      </c>
    </row>
    <row r="510" spans="106:108" x14ac:dyDescent="0.3">
      <c r="DB510" s="3" vm="759">
        <f ca="1">IF(Returns!A522&lt;&gt;0,Returns!A522,"")</f>
        <v>43822</v>
      </c>
      <c r="DC510" s="13">
        <f ca="1">IF(Returns!B523&gt;0,Returns!B523/Returns!B522-1,"")</f>
        <v>8.9058524173029063E-3</v>
      </c>
      <c r="DD510" s="13">
        <f ca="1">IF(Returns!D515&gt;0,Returns!D515/Returns!D514-1,"")</f>
        <v>1.2209065733284064E-2</v>
      </c>
    </row>
    <row r="511" spans="106:108" x14ac:dyDescent="0.3">
      <c r="DB511" s="3" vm="760">
        <f ca="1">IF(Returns!A523&lt;&gt;0,Returns!A523,"")</f>
        <v>43829</v>
      </c>
      <c r="DC511" s="13">
        <f ca="1">IF(Returns!B524&gt;0,Returns!B524/Returns!B523-1,"")</f>
        <v>1.8915510718789497E-2</v>
      </c>
      <c r="DD511" s="13">
        <f ca="1">IF(Returns!D516&gt;0,Returns!D516/Returns!D515-1,"")</f>
        <v>1.1691837090965551E-2</v>
      </c>
    </row>
    <row r="512" spans="106:108" x14ac:dyDescent="0.3">
      <c r="DB512" s="3" vm="761">
        <f ca="1">IF(Returns!A524&lt;&gt;0,Returns!A524,"")</f>
        <v>43836</v>
      </c>
      <c r="DC512" s="13">
        <f ca="1">IF(Returns!B525&gt;0,Returns!B525/Returns!B524-1,"")</f>
        <v>2.4999999999999911E-2</v>
      </c>
      <c r="DD512" s="13">
        <f ca="1">IF(Returns!D517&gt;0,Returns!D517/Returns!D516-1,"")</f>
        <v>-4.6159047443465884E-3</v>
      </c>
    </row>
    <row r="513" spans="106:108" x14ac:dyDescent="0.3">
      <c r="DB513" s="3" vm="762">
        <f ca="1">IF(Returns!A525&lt;&gt;0,Returns!A525,"")</f>
        <v>43843</v>
      </c>
      <c r="DC513" s="13">
        <f ca="1">IF(Returns!B526&gt;0,Returns!B526/Returns!B525-1,"")</f>
        <v>1.0142477662400395E-2</v>
      </c>
      <c r="DD513" s="13">
        <f ca="1">IF(Returns!D518&gt;0,Returns!D518/Returns!D517-1,"")</f>
        <v>6.306352757822431E-3</v>
      </c>
    </row>
    <row r="514" spans="106:108" x14ac:dyDescent="0.3">
      <c r="DB514" s="3" vm="763">
        <f ca="1">IF(Returns!A526&lt;&gt;0,Returns!A526,"")</f>
        <v>43851</v>
      </c>
      <c r="DC514" s="13">
        <f ca="1">IF(Returns!B527&gt;0,Returns!B527/Returns!B526-1,"")</f>
        <v>7.3392302175472102E-2</v>
      </c>
      <c r="DD514" s="13">
        <f ca="1">IF(Returns!D519&gt;0,Returns!D519/Returns!D518-1,"")</f>
        <v>-1.2959203847067169E-3</v>
      </c>
    </row>
    <row r="515" spans="106:108" x14ac:dyDescent="0.3">
      <c r="DB515" s="3" vm="764">
        <f ca="1">IF(Returns!A527&lt;&gt;0,Returns!A527,"")</f>
        <v>43857</v>
      </c>
      <c r="DC515" s="13">
        <f ca="1">IF(Returns!B528&gt;0,Returns!B528/Returns!B527-1,"")</f>
        <v>4.120267260579058E-2</v>
      </c>
      <c r="DD515" s="13">
        <f ca="1">IF(Returns!D520&gt;0,Returns!D520/Returns!D519-1,"")</f>
        <v>4.294671885468837E-3</v>
      </c>
    </row>
    <row r="516" spans="106:108" x14ac:dyDescent="0.3">
      <c r="DB516" s="3" vm="765">
        <f ca="1">IF(Returns!A528&lt;&gt;0,Returns!A528,"")</f>
        <v>43864</v>
      </c>
      <c r="DC516" s="13">
        <f ca="1">IF(Returns!B529&gt;0,Returns!B529/Returns!B528-1,"")</f>
        <v>2.3529411764706021E-2</v>
      </c>
      <c r="DD516" s="13">
        <f ca="1">IF(Returns!D521&gt;0,Returns!D521/Returns!D520-1,"")</f>
        <v>1.1363309332790728E-2</v>
      </c>
    </row>
    <row r="517" spans="106:108" x14ac:dyDescent="0.3">
      <c r="DB517" s="3" vm="766">
        <f ca="1">IF(Returns!A529&lt;&gt;0,Returns!A529,"")</f>
        <v>43871</v>
      </c>
      <c r="DC517" s="13">
        <f ca="1">IF(Returns!B530&gt;0,Returns!B530/Returns!B529-1,"")</f>
        <v>1.0658307210031248E-2</v>
      </c>
      <c r="DD517" s="13">
        <f ca="1">IF(Returns!D522&gt;0,Returns!D522/Returns!D521-1,"")</f>
        <v>6.6832228851916309E-3</v>
      </c>
    </row>
    <row r="518" spans="106:108" x14ac:dyDescent="0.3">
      <c r="DB518" s="3" vm="767">
        <f ca="1">IF(Returns!A530&lt;&gt;0,Returns!A530,"")</f>
        <v>43879</v>
      </c>
      <c r="DC518" s="13">
        <f ca="1">IF(Returns!B531&gt;0,Returns!B531/Returns!B530-1,"")</f>
        <v>-0.11062861869313489</v>
      </c>
      <c r="DD518" s="13">
        <f ca="1">IF(Returns!D523&gt;0,Returns!D523/Returns!D522-1,"")</f>
        <v>-3.622484088153799E-4</v>
      </c>
    </row>
    <row r="519" spans="106:108" x14ac:dyDescent="0.3">
      <c r="DB519" s="3" vm="768">
        <f ca="1">IF(Returns!A531&lt;&gt;0,Returns!A531,"")</f>
        <v>43885</v>
      </c>
      <c r="DC519" s="13">
        <f ca="1">IF(Returns!B532&gt;0,Returns!B532/Returns!B531-1,"")</f>
        <v>4.9988374796558821E-2</v>
      </c>
      <c r="DD519" s="13">
        <f ca="1">IF(Returns!D524&gt;0,Returns!D524/Returns!D523-1,"")</f>
        <v>6.5962586745202945E-3</v>
      </c>
    </row>
    <row r="520" spans="106:108" x14ac:dyDescent="0.3">
      <c r="DB520" s="3" vm="769">
        <f ca="1">IF(Returns!A532&lt;&gt;0,Returns!A532,"")</f>
        <v>43892</v>
      </c>
      <c r="DC520" s="13">
        <f ca="1">IF(Returns!B533&gt;0,Returns!B533/Returns!B532-1,"")</f>
        <v>-0.11780336581045159</v>
      </c>
      <c r="DD520" s="13">
        <f ca="1">IF(Returns!D525&gt;0,Returns!D525/Returns!D524-1,"")</f>
        <v>1.819084589596387E-2</v>
      </c>
    </row>
    <row r="521" spans="106:108" x14ac:dyDescent="0.3">
      <c r="DB521" s="3" vm="770">
        <f ca="1">IF(Returns!A533&lt;&gt;0,Returns!A533,"")</f>
        <v>43899</v>
      </c>
      <c r="DC521" s="13">
        <f ca="1">IF(Returns!B534&gt;0,Returns!B534/Returns!B533-1,"")</f>
        <v>-0.15612449799196804</v>
      </c>
      <c r="DD521" s="13">
        <f ca="1">IF(Returns!D526&gt;0,Returns!D526/Returns!D525-1,"")</f>
        <v>-1.221098997718606E-2</v>
      </c>
    </row>
    <row r="522" spans="106:108" x14ac:dyDescent="0.3">
      <c r="DB522" s="3" vm="771">
        <f ca="1">IF(Returns!A534&lt;&gt;0,Returns!A534,"")</f>
        <v>43906</v>
      </c>
      <c r="DC522" s="13">
        <f ca="1">IF(Returns!B535&gt;0,Returns!B535/Returns!B534-1,"")</f>
        <v>6.8709101725163757E-2</v>
      </c>
      <c r="DD522" s="13">
        <f ca="1">IF(Returns!D527&gt;0,Returns!D527/Returns!D526-1,"")</f>
        <v>-2.530875576189473E-2</v>
      </c>
    </row>
    <row r="523" spans="106:108" x14ac:dyDescent="0.3">
      <c r="DB523" s="3" vm="772">
        <f ca="1">IF(Returns!A535&lt;&gt;0,Returns!A535,"")</f>
        <v>43913</v>
      </c>
      <c r="DC523" s="13">
        <f ca="1">IF(Returns!B536&gt;0,Returns!B536/Returns!B535-1,"")</f>
        <v>-7.0136376287225244E-2</v>
      </c>
      <c r="DD523" s="13">
        <f ca="1">IF(Returns!D528&gt;0,Returns!D528/Returns!D527-1,"")</f>
        <v>2.9957539367620356E-2</v>
      </c>
    </row>
    <row r="524" spans="106:108" x14ac:dyDescent="0.3">
      <c r="DB524" s="3" vm="773">
        <f ca="1">IF(Returns!A536&lt;&gt;0,Returns!A536,"")</f>
        <v>43920</v>
      </c>
      <c r="DC524" s="13">
        <f ca="1">IF(Returns!B537&gt;0,Returns!B537/Returns!B536-1,"")</f>
        <v>0.16821310984735116</v>
      </c>
      <c r="DD524" s="13">
        <f ca="1">IF(Returns!D529&gt;0,Returns!D529/Returns!D528-1,"")</f>
        <v>1.0156047174413319E-2</v>
      </c>
    </row>
    <row r="525" spans="106:108" x14ac:dyDescent="0.3">
      <c r="DB525" s="3" vm="774">
        <f ca="1">IF(Returns!A537&lt;&gt;0,Returns!A537,"")</f>
        <v>43927</v>
      </c>
      <c r="DC525" s="13">
        <f ca="1">IF(Returns!B538&gt;0,Returns!B538/Returns!B537-1,"")</f>
        <v>-2.3827824750192184E-2</v>
      </c>
      <c r="DD525" s="13">
        <f ca="1">IF(Returns!D530&gt;0,Returns!D530/Returns!D529-1,"")</f>
        <v>-1.3799363767973971E-2</v>
      </c>
    </row>
    <row r="526" spans="106:108" x14ac:dyDescent="0.3">
      <c r="DB526" s="3" vm="775">
        <f ca="1">IF(Returns!A538&lt;&gt;0,Returns!A538,"")</f>
        <v>43934</v>
      </c>
      <c r="DC526" s="13">
        <f ca="1">IF(Returns!B539&gt;0,Returns!B539/Returns!B538-1,"")</f>
        <v>-8.7664041994750752E-2</v>
      </c>
      <c r="DD526" s="13">
        <f ca="1">IF(Returns!D531&gt;0,Returns!D531/Returns!D530-1,"")</f>
        <v>-0.12358575548606099</v>
      </c>
    </row>
    <row r="527" spans="106:108" x14ac:dyDescent="0.3">
      <c r="DB527" s="3" vm="776">
        <f ca="1">IF(Returns!A539&lt;&gt;0,Returns!A539,"")</f>
        <v>43941</v>
      </c>
      <c r="DC527" s="13">
        <f ca="1">IF(Returns!B540&gt;0,Returns!B540/Returns!B539-1,"")</f>
        <v>8.6306098964328282E-3</v>
      </c>
      <c r="DD527" s="13">
        <f ca="1">IF(Returns!D532&gt;0,Returns!D532/Returns!D531-1,"")</f>
        <v>1.7923397345015246E-2</v>
      </c>
    </row>
    <row r="528" spans="106:108" x14ac:dyDescent="0.3">
      <c r="DB528" s="3" vm="777">
        <f ca="1">IF(Returns!A540&lt;&gt;0,Returns!A540,"")</f>
        <v>43948</v>
      </c>
      <c r="DC528" s="13">
        <f ca="1">IF(Returns!B541&gt;0,Returns!B541/Returns!B540-1,"")</f>
        <v>7.2447233314318238E-2</v>
      </c>
      <c r="DD528" s="13">
        <f ca="1">IF(Returns!D533&gt;0,Returns!D533/Returns!D532-1,"")</f>
        <v>-0.10358318199271366</v>
      </c>
    </row>
    <row r="529" spans="106:108" x14ac:dyDescent="0.3">
      <c r="DB529" s="3" vm="778">
        <f ca="1">IF(Returns!A541&lt;&gt;0,Returns!A541,"")</f>
        <v>43955</v>
      </c>
      <c r="DC529" s="13">
        <f ca="1">IF(Returns!B542&gt;0,Returns!B542/Returns!B541-1,"")</f>
        <v>-1.5957446808510634E-2</v>
      </c>
      <c r="DD529" s="13">
        <f ca="1">IF(Returns!D534&gt;0,Returns!D534/Returns!D533-1,"")</f>
        <v>-0.17302303391220542</v>
      </c>
    </row>
    <row r="530" spans="106:108" x14ac:dyDescent="0.3">
      <c r="DB530" s="3" vm="779">
        <f ca="1">IF(Returns!A542&lt;&gt;0,Returns!A542,"")</f>
        <v>43962</v>
      </c>
      <c r="DC530" s="13">
        <f ca="1">IF(Returns!B543&gt;0,Returns!B543/Returns!B542-1,"")</f>
        <v>3.837837837837843E-2</v>
      </c>
      <c r="DD530" s="13">
        <f ca="1">IF(Returns!D535&gt;0,Returns!D535/Returns!D534-1,"")</f>
        <v>0.12844520093276435</v>
      </c>
    </row>
    <row r="531" spans="106:108" x14ac:dyDescent="0.3">
      <c r="DB531" s="3" vm="780">
        <f ca="1">IF(Returns!A543&lt;&gt;0,Returns!A543,"")</f>
        <v>43969</v>
      </c>
      <c r="DC531" s="13">
        <f ca="1">IF(Returns!B544&gt;0,Returns!B544/Returns!B543-1,"")</f>
        <v>4.6330036439354627E-2</v>
      </c>
      <c r="DD531" s="13">
        <f ca="1">IF(Returns!D536&gt;0,Returns!D536/Returns!D535-1,"")</f>
        <v>-2.7002463749090322E-2</v>
      </c>
    </row>
    <row r="532" spans="106:108" x14ac:dyDescent="0.3">
      <c r="DB532" s="3" vm="781">
        <f ca="1">IF(Returns!A544&lt;&gt;0,Returns!A544,"")</f>
        <v>43977</v>
      </c>
      <c r="DC532" s="13">
        <f ca="1">IF(Returns!B545&gt;0,Returns!B545/Returns!B544-1,"")</f>
        <v>6.2935323383084496E-2</v>
      </c>
      <c r="DD532" s="13">
        <f ca="1">IF(Returns!D537&gt;0,Returns!D537/Returns!D536-1,"")</f>
        <v>0.12667539682679907</v>
      </c>
    </row>
    <row r="533" spans="106:108" x14ac:dyDescent="0.3">
      <c r="DB533" s="3" vm="782">
        <f ca="1">IF(Returns!A545&lt;&gt;0,Returns!A545,"")</f>
        <v>43983</v>
      </c>
      <c r="DC533" s="13">
        <f ca="1">IF(Returns!B546&gt;0,Returns!B546/Returns!B545-1,"")</f>
        <v>-4.8209688743271584E-2</v>
      </c>
      <c r="DD533" s="13">
        <f ca="1">IF(Returns!D538&gt;0,Returns!D538/Returns!D537-1,"")</f>
        <v>2.2054571172686721E-2</v>
      </c>
    </row>
    <row r="534" spans="106:108" x14ac:dyDescent="0.3">
      <c r="DB534" s="3" vm="783">
        <f ca="1">IF(Returns!A546&lt;&gt;0,Returns!A546,"")</f>
        <v>43990</v>
      </c>
      <c r="DC534" s="13">
        <f ca="1">IF(Returns!B547&gt;0,Returns!B547/Returns!B546-1,"")</f>
        <v>1.1310548315711877E-2</v>
      </c>
      <c r="DD534" s="13">
        <f ca="1">IF(Returns!D539&gt;0,Returns!D539/Returns!D538-1,"")</f>
        <v>-1.9272827610440246E-2</v>
      </c>
    </row>
    <row r="535" spans="106:108" x14ac:dyDescent="0.3">
      <c r="DB535" s="3" vm="784">
        <f ca="1">IF(Returns!A547&lt;&gt;0,Returns!A547,"")</f>
        <v>43997</v>
      </c>
      <c r="DC535" s="13">
        <f ca="1">IF(Returns!B548&gt;0,Returns!B548/Returns!B547-1,"")</f>
        <v>-2.5528811086798053E-2</v>
      </c>
      <c r="DD535" s="13">
        <f ca="1">IF(Returns!D540&gt;0,Returns!D540/Returns!D539-1,"")</f>
        <v>-2.1694052360838878E-3</v>
      </c>
    </row>
    <row r="536" spans="106:108" x14ac:dyDescent="0.3">
      <c r="DB536" s="3" vm="785">
        <f ca="1">IF(Returns!A548&lt;&gt;0,Returns!A548,"")</f>
        <v>44004</v>
      </c>
      <c r="DC536" s="13">
        <f ca="1">IF(Returns!B549&gt;0,Returns!B549/Returns!B548-1,"")</f>
        <v>1.9211576846307477E-2</v>
      </c>
      <c r="DD536" s="13">
        <f ca="1">IF(Returns!D541&gt;0,Returns!D541/Returns!D540-1,"")</f>
        <v>2.561241095084088E-2</v>
      </c>
    </row>
    <row r="537" spans="106:108" x14ac:dyDescent="0.3">
      <c r="DB537" s="3" vm="786">
        <f ca="1">IF(Returns!A549&lt;&gt;0,Returns!A549,"")</f>
        <v>44011</v>
      </c>
      <c r="DC537" s="13">
        <f ca="1">IF(Returns!B550&gt;0,Returns!B550/Returns!B549-1,"")</f>
        <v>1.3953488372093092E-2</v>
      </c>
      <c r="DD537" s="13">
        <f ca="1">IF(Returns!D542&gt;0,Returns!D542/Returns!D541-1,"")</f>
        <v>-2.6545753897806112E-2</v>
      </c>
    </row>
    <row r="538" spans="106:108" x14ac:dyDescent="0.3">
      <c r="DB538" s="3" vm="787">
        <f ca="1">IF(Returns!A550&lt;&gt;0,Returns!A550,"")</f>
        <v>44018</v>
      </c>
      <c r="DC538" s="13">
        <f ca="1">IF(Returns!B551&gt;0,Returns!B551/Returns!B550-1,"")</f>
        <v>5.5045871559633142E-2</v>
      </c>
      <c r="DD538" s="13">
        <f ca="1">IF(Returns!D543&gt;0,Returns!D543/Returns!D542-1,"")</f>
        <v>3.2920781537777888E-2</v>
      </c>
    </row>
    <row r="539" spans="106:108" x14ac:dyDescent="0.3">
      <c r="DB539" s="3" vm="788">
        <f ca="1">IF(Returns!A551&lt;&gt;0,Returns!A551,"")</f>
        <v>44025</v>
      </c>
      <c r="DC539" s="13">
        <f ca="1">IF(Returns!B552&gt;0,Returns!B552/Returns!B551-1,"")</f>
        <v>3.8901601830663601E-2</v>
      </c>
      <c r="DD539" s="13">
        <f ca="1">IF(Returns!D544&gt;0,Returns!D544/Returns!D543-1,"")</f>
        <v>3.7520589734845178E-2</v>
      </c>
    </row>
    <row r="540" spans="106:108" x14ac:dyDescent="0.3">
      <c r="DB540" s="3" vm="789">
        <f ca="1">IF(Returns!A552&lt;&gt;0,Returns!A552,"")</f>
        <v>44032</v>
      </c>
      <c r="DC540" s="13">
        <f ca="1">IF(Returns!B553&gt;0,Returns!B553/Returns!B552-1,"")</f>
        <v>1.5418502202644291E-3</v>
      </c>
      <c r="DD540" s="13">
        <f ca="1">IF(Returns!D545&gt;0,Returns!D545/Returns!D544-1,"")</f>
        <v>6.8071582665165664E-2</v>
      </c>
    </row>
    <row r="541" spans="106:108" x14ac:dyDescent="0.3">
      <c r="DB541" s="3" vm="790">
        <f ca="1">IF(Returns!A553&lt;&gt;0,Returns!A553,"")</f>
        <v>44039</v>
      </c>
      <c r="DC541" s="13">
        <f ca="1">IF(Returns!B554&gt;0,Returns!B554/Returns!B553-1,"")</f>
        <v>1.2975588299978025E-2</v>
      </c>
      <c r="DD541" s="13">
        <f ca="1">IF(Returns!D546&gt;0,Returns!D546/Returns!D545-1,"")</f>
        <v>-5.5528710959015237E-2</v>
      </c>
    </row>
    <row r="542" spans="106:108" x14ac:dyDescent="0.3">
      <c r="DB542" s="3" vm="791">
        <f ca="1">IF(Returns!A554&lt;&gt;0,Returns!A554,"")</f>
        <v>44046</v>
      </c>
      <c r="DC542" s="13">
        <f ca="1">IF(Returns!B555&gt;0,Returns!B555/Returns!B554-1,"")</f>
        <v>-5.21059487624842E-3</v>
      </c>
      <c r="DD542" s="13">
        <f ca="1">IF(Returns!D547&gt;0,Returns!D547/Returns!D546-1,"")</f>
        <v>1.0385079633558947E-2</v>
      </c>
    </row>
    <row r="543" spans="106:108" x14ac:dyDescent="0.3">
      <c r="DB543" s="3" vm="792">
        <f ca="1">IF(Returns!A555&lt;&gt;0,Returns!A555,"")</f>
        <v>44053</v>
      </c>
      <c r="DC543" s="13">
        <f ca="1">IF(Returns!B556&gt;0,Returns!B556/Returns!B555-1,"")</f>
        <v>-6.5473592317764062E-3</v>
      </c>
      <c r="DD543" s="13">
        <f ca="1">IF(Returns!D548&gt;0,Returns!D548/Returns!D547-1,"")</f>
        <v>-3.3083156352264775E-2</v>
      </c>
    </row>
    <row r="544" spans="106:108" x14ac:dyDescent="0.3">
      <c r="DB544" s="3" vm="793">
        <f ca="1">IF(Returns!A556&lt;&gt;0,Returns!A556,"")</f>
        <v>44060</v>
      </c>
      <c r="DC544" s="13">
        <f ca="1">IF(Returns!B557&gt;0,Returns!B557/Returns!B556-1,"")</f>
        <v>1.5158172231985789E-2</v>
      </c>
      <c r="DD544" s="13">
        <f ca="1">IF(Returns!D549&gt;0,Returns!D549/Returns!D548-1,"")</f>
        <v>3.2452116341337156E-2</v>
      </c>
    </row>
    <row r="545" spans="106:108" x14ac:dyDescent="0.3">
      <c r="DB545" s="3" vm="794">
        <f ca="1">IF(Returns!A557&lt;&gt;0,Returns!A557,"")</f>
        <v>44067</v>
      </c>
      <c r="DC545" s="13">
        <f ca="1">IF(Returns!B558&gt;0,Returns!B558/Returns!B557-1,"")</f>
        <v>-2.0774724085695806E-2</v>
      </c>
      <c r="DD545" s="13">
        <f ca="1">IF(Returns!D550&gt;0,Returns!D550/Returns!D549-1,"")</f>
        <v>9.6001114910859719E-3</v>
      </c>
    </row>
    <row r="546" spans="106:108" x14ac:dyDescent="0.3">
      <c r="DB546" s="3" vm="795">
        <f ca="1">IF(Returns!A558&lt;&gt;0,Returns!A558,"")</f>
        <v>44074</v>
      </c>
      <c r="DC546" s="13">
        <f ca="1">IF(Returns!B559&gt;0,Returns!B559/Returns!B558-1,"")</f>
        <v>-1.3480662983425429E-2</v>
      </c>
      <c r="DD546" s="13">
        <f ca="1">IF(Returns!D551&gt;0,Returns!D551/Returns!D550-1,"")</f>
        <v>2.2881691056783726E-2</v>
      </c>
    </row>
    <row r="547" spans="106:108" x14ac:dyDescent="0.3">
      <c r="DB547" s="3" vm="796">
        <f ca="1">IF(Returns!A559&lt;&gt;0,Returns!A559,"")</f>
        <v>44082</v>
      </c>
      <c r="DC547" s="13">
        <f ca="1">IF(Returns!B560&gt;0,Returns!B560/Returns!B559-1,"")</f>
        <v>3.5842293906809264E-3</v>
      </c>
      <c r="DD547" s="13">
        <f ca="1">IF(Returns!D552&gt;0,Returns!D552/Returns!D551-1,"")</f>
        <v>-7.5757568940744147E-3</v>
      </c>
    </row>
    <row r="548" spans="106:108" x14ac:dyDescent="0.3">
      <c r="DB548" s="3" vm="797">
        <f ca="1">IF(Returns!A560&lt;&gt;0,Returns!A560,"")</f>
        <v>44088</v>
      </c>
      <c r="DC548" s="13">
        <f ca="1">IF(Returns!B561&gt;0,Returns!B561/Returns!B560-1,"")</f>
        <v>-1.9196428571428559E-2</v>
      </c>
      <c r="DD548" s="13">
        <f ca="1">IF(Returns!D553&gt;0,Returns!D553/Returns!D552-1,"")</f>
        <v>-1.570252169478259E-3</v>
      </c>
    </row>
    <row r="549" spans="106:108" x14ac:dyDescent="0.3">
      <c r="DB549" s="3" vm="798">
        <f ca="1">IF(Returns!A561&lt;&gt;0,Returns!A561,"")</f>
        <v>44095</v>
      </c>
      <c r="DC549" s="13">
        <f ca="1">IF(Returns!B562&gt;0,Returns!B562/Returns!B561-1,"")</f>
        <v>3.2316795630405126E-2</v>
      </c>
      <c r="DD549" s="13">
        <f ca="1">IF(Returns!D554&gt;0,Returns!D554/Returns!D553-1,"")</f>
        <v>3.8033323353888537E-2</v>
      </c>
    </row>
    <row r="550" spans="106:108" x14ac:dyDescent="0.3">
      <c r="DB550" s="3" vm="799">
        <f ca="1">IF(Returns!A562&lt;&gt;0,Returns!A562,"")</f>
        <v>44102</v>
      </c>
      <c r="DC550" s="13">
        <f ca="1">IF(Returns!B563&gt;0,Returns!B563/Returns!B562-1,"")</f>
        <v>4.1005291005290934E-2</v>
      </c>
      <c r="DD550" s="13">
        <f ca="1">IF(Returns!D555&gt;0,Returns!D555/Returns!D554-1,"")</f>
        <v>1.813613432333927E-2</v>
      </c>
    </row>
    <row r="551" spans="106:108" x14ac:dyDescent="0.3">
      <c r="DB551" s="3" vm="800">
        <f ca="1">IF(Returns!A563&lt;&gt;0,Returns!A563,"")</f>
        <v>44109</v>
      </c>
      <c r="DC551" s="13">
        <f ca="1">IF(Returns!B564&gt;0,Returns!B564/Returns!B563-1,"")</f>
        <v>4.8708174502329893E-3</v>
      </c>
      <c r="DD551" s="13">
        <f ca="1">IF(Returns!D556&gt;0,Returns!D556/Returns!D555-1,"")</f>
        <v>-2.4556927632146675E-5</v>
      </c>
    </row>
    <row r="552" spans="106:108" x14ac:dyDescent="0.3">
      <c r="DB552" s="3" vm="801">
        <f ca="1">IF(Returns!A564&lt;&gt;0,Returns!A564,"")</f>
        <v>44116</v>
      </c>
      <c r="DC552" s="13">
        <f ca="1">IF(Returns!B565&gt;0,Returns!B565/Returns!B564-1,"")</f>
        <v>-1.5384615384615441E-2</v>
      </c>
      <c r="DD552" s="13">
        <f ca="1">IF(Returns!D557&gt;0,Returns!D557/Returns!D556-1,"")</f>
        <v>2.5904979735185796E-2</v>
      </c>
    </row>
    <row r="553" spans="106:108" x14ac:dyDescent="0.3">
      <c r="DB553" s="3" vm="802">
        <f ca="1">IF(Returns!A565&lt;&gt;0,Returns!A565,"")</f>
        <v>44123</v>
      </c>
      <c r="DC553" s="13">
        <f ca="1">IF(Returns!B566&gt;0,Returns!B566/Returns!B565-1,"")</f>
        <v>-6.8707191780821963E-2</v>
      </c>
      <c r="DD553" s="13">
        <f ca="1">IF(Returns!D558&gt;0,Returns!D558/Returns!D557-1,"")</f>
        <v>-1.8166975317848277E-2</v>
      </c>
    </row>
    <row r="554" spans="106:108" x14ac:dyDescent="0.3">
      <c r="DB554" s="3" vm="803">
        <f ca="1">IF(Returns!A566&lt;&gt;0,Returns!A566,"")</f>
        <v>44130</v>
      </c>
      <c r="DC554" s="13">
        <f ca="1">IF(Returns!B567&gt;0,Returns!B567/Returns!B566-1,"")</f>
        <v>5.1022753390025155E-2</v>
      </c>
      <c r="DD554" s="13">
        <f ca="1">IF(Returns!D559&gt;0,Returns!D559/Returns!D558-1,"")</f>
        <v>-1.6623402891629557E-2</v>
      </c>
    </row>
    <row r="555" spans="106:108" x14ac:dyDescent="0.3">
      <c r="DB555" s="3" vm="804">
        <f ca="1">IF(Returns!A567&lt;&gt;0,Returns!A567,"")</f>
        <v>44137</v>
      </c>
      <c r="DC555" s="13">
        <f ca="1">IF(Returns!B568&gt;0,Returns!B568/Returns!B567-1,"")</f>
        <v>3.1270500765361975E-2</v>
      </c>
      <c r="DD555" s="13">
        <f ca="1">IF(Returns!D560&gt;0,Returns!D560/Returns!D559-1,"")</f>
        <v>-2.972748674856529E-4</v>
      </c>
    </row>
    <row r="556" spans="106:108" x14ac:dyDescent="0.3">
      <c r="DB556" s="3" vm="805">
        <f ca="1">IF(Returns!A568&lt;&gt;0,Returns!A568,"")</f>
        <v>44144</v>
      </c>
      <c r="DC556" s="13">
        <f ca="1">IF(Returns!B569&gt;0,Returns!B569/Returns!B568-1,"")</f>
        <v>4.240882103478949E-4</v>
      </c>
      <c r="DD556" s="13">
        <f ca="1">IF(Returns!D561&gt;0,Returns!D561/Returns!D560-1,"")</f>
        <v>-1.7480381167185866E-2</v>
      </c>
    </row>
    <row r="557" spans="106:108" x14ac:dyDescent="0.3">
      <c r="DB557" s="3" vm="806">
        <f ca="1">IF(Returns!A569&lt;&gt;0,Returns!A569,"")</f>
        <v>44151</v>
      </c>
      <c r="DC557" s="13">
        <f ca="1">IF(Returns!B570&gt;0,Returns!B570/Returns!B569-1,"")</f>
        <v>-3.3064857990674046E-2</v>
      </c>
      <c r="DD557" s="13">
        <f ca="1">IF(Returns!D562&gt;0,Returns!D562/Returns!D561-1,"")</f>
        <v>1.8725985760343011E-2</v>
      </c>
    </row>
    <row r="558" spans="106:108" x14ac:dyDescent="0.3">
      <c r="DB558" s="3" vm="807">
        <f ca="1">IF(Returns!A570&lt;&gt;0,Returns!A570,"")</f>
        <v>44158</v>
      </c>
      <c r="DC558" s="13">
        <f ca="1">IF(Returns!B571&gt;0,Returns!B571/Returns!B570-1,"")</f>
        <v>-1.7755370451556285E-2</v>
      </c>
      <c r="DD558" s="13">
        <f ca="1">IF(Returns!D563&gt;0,Returns!D563/Returns!D562-1,"")</f>
        <v>3.2658890347507352E-2</v>
      </c>
    </row>
    <row r="559" spans="106:108" x14ac:dyDescent="0.3">
      <c r="DB559" s="3" vm="808">
        <f ca="1">IF(Returns!A571&lt;&gt;0,Returns!A571,"")</f>
        <v>44165</v>
      </c>
      <c r="DC559" s="13">
        <f ca="1">IF(Returns!B572&gt;0,Returns!B572/Returns!B571-1,"")</f>
        <v>4.4632894443203952E-3</v>
      </c>
      <c r="DD559" s="13">
        <f ca="1">IF(Returns!D564&gt;0,Returns!D564/Returns!D563-1,"")</f>
        <v>6.7896473603501484E-4</v>
      </c>
    </row>
    <row r="560" spans="106:108" x14ac:dyDescent="0.3">
      <c r="DB560" s="3" vm="809">
        <f ca="1">IF(Returns!A572&lt;&gt;0,Returns!A572,"")</f>
        <v>44172</v>
      </c>
      <c r="DC560" s="13">
        <f ca="1">IF(Returns!B573&gt;0,Returns!B573/Returns!B572-1,"")</f>
        <v>2.1328593645856486E-2</v>
      </c>
      <c r="DD560" s="13">
        <f ca="1">IF(Returns!D565&gt;0,Returns!D565/Returns!D564-1,"")</f>
        <v>-9.4645783775727521E-3</v>
      </c>
    </row>
    <row r="561" spans="106:108" x14ac:dyDescent="0.3">
      <c r="DB561" s="3" vm="810">
        <f ca="1">IF(Returns!A573&lt;&gt;0,Returns!A573,"")</f>
        <v>44179</v>
      </c>
      <c r="DC561" s="13">
        <f ca="1">IF(Returns!B574&gt;0,Returns!B574/Returns!B573-1,"")</f>
        <v>7.3961279095062782E-3</v>
      </c>
      <c r="DD561" s="13">
        <f ca="1">IF(Returns!D566&gt;0,Returns!D566/Returns!D565-1,"")</f>
        <v>-6.47233100031257E-2</v>
      </c>
    </row>
    <row r="562" spans="106:108" x14ac:dyDescent="0.3">
      <c r="DB562" s="3" vm="811">
        <f ca="1">IF(Returns!A574&lt;&gt;0,Returns!A574,"")</f>
        <v>44186</v>
      </c>
      <c r="DC562" s="13">
        <f ca="1">IF(Returns!B575&gt;0,Returns!B575/Returns!B574-1,"")</f>
        <v>2.375296912114E-2</v>
      </c>
      <c r="DD562" s="13">
        <f ca="1">IF(Returns!D567&gt;0,Returns!D567/Returns!D566-1,"")</f>
        <v>6.8743015868610646E-2</v>
      </c>
    </row>
    <row r="563" spans="106:108" x14ac:dyDescent="0.3">
      <c r="DB563" s="3" vm="812">
        <f ca="1">IF(Returns!A575&lt;&gt;0,Returns!A575,"")</f>
        <v>44193</v>
      </c>
      <c r="DC563" s="13">
        <f ca="1">IF(Returns!B576&gt;0,Returns!B576/Returns!B575-1,"")</f>
        <v>1.2866483864163891E-2</v>
      </c>
      <c r="DD563" s="13">
        <f ca="1">IF(Returns!D568&gt;0,Returns!D568/Returns!D567-1,"")</f>
        <v>4.0828940030568583E-2</v>
      </c>
    </row>
    <row r="564" spans="106:108" x14ac:dyDescent="0.3">
      <c r="DB564" s="3" vm="813">
        <f ca="1">IF(Returns!A576&lt;&gt;0,Returns!A576,"")</f>
        <v>44200</v>
      </c>
      <c r="DC564" s="13">
        <f ca="1">IF(Returns!B577&gt;0,Returns!B577/Returns!B576-1,"")</f>
        <v>-3.5818408996251661E-2</v>
      </c>
      <c r="DD564" s="13">
        <f ca="1">IF(Returns!D569&gt;0,Returns!D569/Returns!D568-1,"")</f>
        <v>-7.3383853266649757E-3</v>
      </c>
    </row>
    <row r="565" spans="106:108" x14ac:dyDescent="0.3">
      <c r="DB565" s="3" vm="814">
        <f ca="1">IF(Returns!A577&lt;&gt;0,Returns!A577,"")</f>
        <v>44207</v>
      </c>
      <c r="DC565" s="13">
        <f ca="1">IF(Returns!B578&gt;0,Returns!B578/Returns!B577-1,"")</f>
        <v>2.5701943844492536E-2</v>
      </c>
      <c r="DD565" s="13">
        <f ca="1">IF(Returns!D570&gt;0,Returns!D570/Returns!D569-1,"")</f>
        <v>2.2105956240310087E-2</v>
      </c>
    </row>
    <row r="566" spans="106:108" x14ac:dyDescent="0.3">
      <c r="DB566" s="3" vm="815">
        <f ca="1">IF(Returns!A578&lt;&gt;0,Returns!A578,"")</f>
        <v>44215</v>
      </c>
      <c r="DC566" s="13">
        <f ca="1">IF(Returns!B579&gt;0,Returns!B579/Returns!B578-1,"")</f>
        <v>-9.265108443882919E-2</v>
      </c>
      <c r="DD566" s="13">
        <f ca="1">IF(Returns!D571&gt;0,Returns!D571/Returns!D570-1,"")</f>
        <v>1.029368668304298E-2</v>
      </c>
    </row>
    <row r="567" spans="106:108" x14ac:dyDescent="0.3">
      <c r="DB567" s="3" vm="816">
        <f ca="1">IF(Returns!A579&lt;&gt;0,Returns!A579,"")</f>
        <v>44221</v>
      </c>
      <c r="DC567" s="13">
        <f ca="1">IF(Returns!B580&gt;0,Returns!B580/Returns!B579-1,"")</f>
        <v>3.8988164307263817E-2</v>
      </c>
      <c r="DD567" s="13">
        <f ca="1">IF(Returns!D572&gt;0,Returns!D572/Returns!D571-1,"")</f>
        <v>-5.6882692405965107E-3</v>
      </c>
    </row>
    <row r="568" spans="106:108" x14ac:dyDescent="0.3">
      <c r="DB568" s="3" vm="817">
        <f ca="1">IF(Returns!A580&lt;&gt;0,Returns!A580,"")</f>
        <v>44228</v>
      </c>
      <c r="DC568" s="13">
        <f ca="1">IF(Returns!B581&gt;0,Returns!B581/Returns!B580-1,"")</f>
        <v>6.7009157918240803E-4</v>
      </c>
      <c r="DD568" s="13">
        <f ca="1">IF(Returns!D573&gt;0,Returns!D573/Returns!D572-1,"")</f>
        <v>4.4156980477370045E-3</v>
      </c>
    </row>
    <row r="569" spans="106:108" x14ac:dyDescent="0.3">
      <c r="DB569" s="3" vm="818">
        <f ca="1">IF(Returns!A581&lt;&gt;0,Returns!A581,"")</f>
        <v>44235</v>
      </c>
      <c r="DC569" s="13">
        <f ca="1">IF(Returns!B582&gt;0,Returns!B582/Returns!B581-1,"")</f>
        <v>1.7633928571428648E-2</v>
      </c>
      <c r="DD569" s="13">
        <f ca="1">IF(Returns!D574&gt;0,Returns!D574/Returns!D573-1,"")</f>
        <v>6.9002180496346988E-4</v>
      </c>
    </row>
    <row r="570" spans="106:108" x14ac:dyDescent="0.3">
      <c r="DB570" s="3" vm="819">
        <f ca="1">IF(Returns!A582&lt;&gt;0,Returns!A582,"")</f>
        <v>44243</v>
      </c>
      <c r="DC570" s="13">
        <f ca="1">IF(Returns!B583&gt;0,Returns!B583/Returns!B582-1,"")</f>
        <v>6.799736784382393E-3</v>
      </c>
      <c r="DD570" s="13">
        <f ca="1">IF(Returns!D575&gt;0,Returns!D575/Returns!D574-1,"")</f>
        <v>1.3464080913856868E-2</v>
      </c>
    </row>
    <row r="571" spans="106:108" x14ac:dyDescent="0.3">
      <c r="DB571" s="3" vm="820">
        <f ca="1">IF(Returns!A583&lt;&gt;0,Returns!A583,"")</f>
        <v>44249</v>
      </c>
      <c r="DC571" s="13">
        <f ca="1">IF(Returns!B584&gt;0,Returns!B584/Returns!B583-1,"")</f>
        <v>3.0501089324619368E-3</v>
      </c>
      <c r="DD571" s="13">
        <f ca="1">IF(Returns!D576&gt;0,Returns!D576/Returns!D575-1,"")</f>
        <v>1.6058335874189256E-2</v>
      </c>
    </row>
    <row r="572" spans="106:108" x14ac:dyDescent="0.3">
      <c r="DB572" s="3" vm="821">
        <f ca="1">IF(Returns!A584&lt;&gt;0,Returns!A584,"")</f>
        <v>44256</v>
      </c>
      <c r="DC572" s="13">
        <f ca="1">IF(Returns!B585&gt;0,Returns!B585/Returns!B584-1,"")</f>
        <v>1.6941789748045277E-2</v>
      </c>
      <c r="DD572" s="13">
        <f ca="1">IF(Returns!D577&gt;0,Returns!D577/Returns!D576-1,"")</f>
        <v>-9.1230511446964702E-3</v>
      </c>
    </row>
    <row r="573" spans="106:108" x14ac:dyDescent="0.3">
      <c r="DB573" s="3" vm="822">
        <f ca="1">IF(Returns!A585&lt;&gt;0,Returns!A585,"")</f>
        <v>44263</v>
      </c>
      <c r="DC573" s="13">
        <f ca="1">IF(Returns!B586&gt;0,Returns!B586/Returns!B585-1,"")</f>
        <v>-4.3998291328492201E-2</v>
      </c>
      <c r="DD573" s="13">
        <f ca="1">IF(Returns!D578&gt;0,Returns!D578/Returns!D577-1,"")</f>
        <v>5.9294908116711564E-3</v>
      </c>
    </row>
    <row r="574" spans="106:108" x14ac:dyDescent="0.3">
      <c r="DB574" s="3" vm="823">
        <f ca="1">IF(Returns!A586&lt;&gt;0,Returns!A586,"")</f>
        <v>44270</v>
      </c>
      <c r="DC574" s="13">
        <f ca="1">IF(Returns!B587&gt;0,Returns!B587/Returns!B586-1,"")</f>
        <v>3.1948168007149169E-2</v>
      </c>
      <c r="DD574" s="13">
        <f ca="1">IF(Returns!D579&gt;0,Returns!D579/Returns!D578-1,"")</f>
        <v>-3.2724561401352381E-2</v>
      </c>
    </row>
    <row r="575" spans="106:108" x14ac:dyDescent="0.3">
      <c r="DB575" s="3" vm="824">
        <f ca="1">IF(Returns!A587&lt;&gt;0,Returns!A587,"")</f>
        <v>44277</v>
      </c>
      <c r="DC575" s="13">
        <f ca="1">IF(Returns!B588&gt;0,Returns!B588/Returns!B587-1,"")</f>
        <v>7.1444035505521253E-3</v>
      </c>
      <c r="DD575" s="13">
        <f ca="1">IF(Returns!D580&gt;0,Returns!D580/Returns!D579-1,"")</f>
        <v>3.8876708793567749E-2</v>
      </c>
    </row>
    <row r="576" spans="106:108" x14ac:dyDescent="0.3">
      <c r="DB576" s="3" vm="825">
        <f ca="1">IF(Returns!A588&lt;&gt;0,Returns!A588,"")</f>
        <v>44284</v>
      </c>
      <c r="DC576" s="13">
        <f ca="1">IF(Returns!B589&gt;0,Returns!B589/Returns!B588-1,"")</f>
        <v>2.8159931212381695E-2</v>
      </c>
      <c r="DD576" s="13">
        <f ca="1">IF(Returns!D581&gt;0,Returns!D581/Returns!D580-1,"")</f>
        <v>9.9574805518871656E-3</v>
      </c>
    </row>
    <row r="577" spans="106:108" x14ac:dyDescent="0.3">
      <c r="DB577" s="3" vm="826">
        <f ca="1">IF(Returns!A589&lt;&gt;0,Returns!A589,"")</f>
        <v>44291</v>
      </c>
      <c r="DC577" s="13">
        <f ca="1">IF(Returns!B590&gt;0,Returns!B590/Returns!B589-1,"")</f>
        <v>3.5960694125026116E-2</v>
      </c>
      <c r="DD577" s="13">
        <f ca="1">IF(Returns!D582&gt;0,Returns!D582/Returns!D581-1,"")</f>
        <v>1.1419557764773547E-3</v>
      </c>
    </row>
    <row r="578" spans="106:108" x14ac:dyDescent="0.3">
      <c r="DB578" s="3" vm="827">
        <f ca="1">IF(Returns!A590&lt;&gt;0,Returns!A590,"")</f>
        <v>44298</v>
      </c>
      <c r="DC578" s="13">
        <f ca="1">IF(Returns!B591&gt;0,Returns!B591/Returns!B590-1,"")</f>
        <v>1.8768920282542956E-2</v>
      </c>
      <c r="DD578" s="13">
        <f ca="1">IF(Returns!D583&gt;0,Returns!D583/Returns!D582-1,"")</f>
        <v>-1.784307938141505E-2</v>
      </c>
    </row>
    <row r="579" spans="106:108" x14ac:dyDescent="0.3">
      <c r="DB579" s="3" vm="828">
        <f ca="1">IF(Returns!A591&lt;&gt;0,Returns!A591,"")</f>
        <v>44305</v>
      </c>
      <c r="DC579" s="13">
        <f ca="1">IF(Returns!B592&gt;0,Returns!B592/Returns!B591-1,"")</f>
        <v>5.3486529318542031E-2</v>
      </c>
      <c r="DD579" s="13">
        <f ca="1">IF(Returns!D584&gt;0,Returns!D584/Returns!D583-1,"")</f>
        <v>1.8231049049689751E-2</v>
      </c>
    </row>
    <row r="580" spans="106:108" x14ac:dyDescent="0.3">
      <c r="DB580" s="3" vm="829">
        <f ca="1">IF(Returns!A592&lt;&gt;0,Returns!A592,"")</f>
        <v>44312</v>
      </c>
      <c r="DC580" s="13">
        <f ca="1">IF(Returns!B593&gt;0,Returns!B593/Returns!B592-1,"")</f>
        <v>9.5900714554344457E-3</v>
      </c>
      <c r="DD580" s="13">
        <f ca="1">IF(Returns!D585&gt;0,Returns!D585/Returns!D584-1,"")</f>
        <v>4.0714180475155182E-2</v>
      </c>
    </row>
    <row r="581" spans="106:108" x14ac:dyDescent="0.3">
      <c r="DB581" s="3" vm="830">
        <f ca="1">IF(Returns!A593&lt;&gt;0,Returns!A593,"")</f>
        <v>44319</v>
      </c>
      <c r="DC581" s="13">
        <f ca="1">IF(Returns!B594&gt;0,Returns!B594/Returns!B593-1,"")</f>
        <v>-2.1978021978022011E-2</v>
      </c>
      <c r="DD581" s="13">
        <f ca="1">IF(Returns!D586&gt;0,Returns!D586/Returns!D585-1,"")</f>
        <v>-4.5966119695060037E-3</v>
      </c>
    </row>
    <row r="582" spans="106:108" x14ac:dyDescent="0.3">
      <c r="DB582" s="3" vm="831">
        <f ca="1">IF(Returns!A594&lt;&gt;0,Returns!A594,"")</f>
        <v>44326</v>
      </c>
      <c r="DC582" s="13">
        <f ca="1">IF(Returns!B595&gt;0,Returns!B595/Returns!B594-1,"")</f>
        <v>-7.9984764806702024E-3</v>
      </c>
      <c r="DD582" s="13">
        <f ca="1">IF(Returns!D587&gt;0,Returns!D587/Returns!D586-1,"")</f>
        <v>1.3635729615396164E-2</v>
      </c>
    </row>
    <row r="583" spans="106:108" x14ac:dyDescent="0.3">
      <c r="DB583" s="3" vm="832">
        <f ca="1">IF(Returns!A595&lt;&gt;0,Returns!A595,"")</f>
        <v>44333</v>
      </c>
      <c r="DC583" s="13">
        <f ca="1">IF(Returns!B596&gt;0,Returns!B596/Returns!B595-1,"")</f>
        <v>8.254943367248968E-3</v>
      </c>
      <c r="DD583" s="13">
        <f ca="1">IF(Returns!D588&gt;0,Returns!D588/Returns!D587-1,"")</f>
        <v>2.4290538078635127E-3</v>
      </c>
    </row>
    <row r="584" spans="106:108" x14ac:dyDescent="0.3">
      <c r="DB584" s="3" vm="833">
        <f ca="1">IF(Returns!A596&lt;&gt;0,Returns!A596,"")</f>
        <v>44340</v>
      </c>
      <c r="DC584" s="13">
        <f ca="1">IF(Returns!B597&gt;0,Returns!B597/Returns!B596-1,"")</f>
        <v>-2.8560548362529525E-3</v>
      </c>
      <c r="DD584" s="13">
        <f ca="1">IF(Returns!D589&gt;0,Returns!D589/Returns!D588-1,"")</f>
        <v>1.952723515307353E-2</v>
      </c>
    </row>
    <row r="585" spans="106:108" x14ac:dyDescent="0.3">
      <c r="DB585" s="3" vm="834">
        <f ca="1">IF(Returns!A597&lt;&gt;0,Returns!A597,"")</f>
        <v>44348</v>
      </c>
      <c r="DC585" s="13">
        <f ca="1">IF(Returns!B598&gt;0,Returns!B598/Returns!B597-1,"")</f>
        <v>-3.8189803322512539E-3</v>
      </c>
      <c r="DD585" s="13">
        <f ca="1">IF(Returns!D590&gt;0,Returns!D590/Returns!D589-1,"")</f>
        <v>1.1836087202736767E-2</v>
      </c>
    </row>
    <row r="586" spans="106:108" x14ac:dyDescent="0.3">
      <c r="DB586" s="3" vm="835">
        <f ca="1">IF(Returns!A598&lt;&gt;0,Returns!A598,"")</f>
        <v>44354</v>
      </c>
      <c r="DC586" s="13">
        <f ca="1">IF(Returns!B599&gt;0,Returns!B599/Returns!B598-1,"")</f>
        <v>-6.9005175388153761E-3</v>
      </c>
      <c r="DD586" s="13">
        <f ca="1">IF(Returns!D591&gt;0,Returns!D591/Returns!D590-1,"")</f>
        <v>-4.5959448889412169E-3</v>
      </c>
    </row>
    <row r="587" spans="106:108" x14ac:dyDescent="0.3">
      <c r="DB587" s="3" vm="836">
        <f ca="1">IF(Returns!A599&lt;&gt;0,Returns!A599,"")</f>
        <v>44361</v>
      </c>
      <c r="DC587" s="13">
        <f ca="1">IF(Returns!B600&gt;0,Returns!B600/Returns!B599-1,"")</f>
        <v>3.2426172553561061E-2</v>
      </c>
      <c r="DD587" s="13">
        <f ca="1">IF(Returns!D592&gt;0,Returns!D592/Returns!D591-1,"")</f>
        <v>-4.9534526527993394E-3</v>
      </c>
    </row>
    <row r="588" spans="106:108" x14ac:dyDescent="0.3">
      <c r="DB588" s="3" vm="837">
        <f ca="1">IF(Returns!A600&lt;&gt;0,Returns!A600,"")</f>
        <v>44368</v>
      </c>
      <c r="DC588" s="13">
        <f ca="1">IF(Returns!B601&gt;0,Returns!B601/Returns!B600-1,"")</f>
        <v>3.3651149747615516E-3</v>
      </c>
      <c r="DD588" s="13">
        <f ca="1">IF(Returns!D593&gt;0,Returns!D593/Returns!D592-1,"")</f>
        <v>2.6654157682864277E-2</v>
      </c>
    </row>
    <row r="589" spans="106:108" x14ac:dyDescent="0.3">
      <c r="DB589" s="3" vm="838">
        <f ca="1">IF(Returns!A601&lt;&gt;0,Returns!A601,"")</f>
        <v>44375</v>
      </c>
      <c r="DC589" s="13">
        <f ca="1">IF(Returns!B602&gt;0,Returns!B602/Returns!B601-1,"")</f>
        <v>-1.3415315818893214E-2</v>
      </c>
      <c r="DD589" s="13">
        <f ca="1">IF(Returns!D594&gt;0,Returns!D594/Returns!D593-1,"")</f>
        <v>-1.1375824763088627E-2</v>
      </c>
    </row>
    <row r="590" spans="106:108" x14ac:dyDescent="0.3">
      <c r="DB590" s="3" vm="839">
        <f ca="1">IF(Returns!A602&lt;&gt;0,Returns!A602,"")</f>
        <v>44383</v>
      </c>
      <c r="DC590" s="13">
        <f ca="1">IF(Returns!B603&gt;0,Returns!B603/Returns!B602-1,"")</f>
        <v>1.491973559962223E-2</v>
      </c>
      <c r="DD590" s="13">
        <f ca="1">IF(Returns!D595&gt;0,Returns!D595/Returns!D594-1,"")</f>
        <v>-5.0692345041757347E-3</v>
      </c>
    </row>
    <row r="591" spans="106:108" x14ac:dyDescent="0.3">
      <c r="DB591" s="3" vm="840">
        <f ca="1">IF(Returns!A603&lt;&gt;0,Returns!A603,"")</f>
        <v>44389</v>
      </c>
      <c r="DC591" s="13">
        <f ca="1">IF(Returns!B604&gt;0,Returns!B604/Returns!B603-1,"")</f>
        <v>1.1350949013769984E-2</v>
      </c>
      <c r="DD591" s="13">
        <f ca="1">IF(Returns!D596&gt;0,Returns!D596/Returns!D595-1,"")</f>
        <v>9.4015369791118353E-3</v>
      </c>
    </row>
    <row r="592" spans="106:108" x14ac:dyDescent="0.3">
      <c r="DB592" s="3" vm="841">
        <f ca="1">IF(Returns!A604&lt;&gt;0,Returns!A604,"")</f>
        <v>44396</v>
      </c>
      <c r="DC592" s="13">
        <f ca="1">IF(Returns!B605&gt;0,Returns!B605/Returns!B604-1,"")</f>
        <v>9.1996320147180732E-4</v>
      </c>
      <c r="DD592" s="13">
        <f ca="1">IF(Returns!D597&gt;0,Returns!D597/Returns!D596-1,"")</f>
        <v>6.5723492629590208E-3</v>
      </c>
    </row>
    <row r="593" spans="106:108" x14ac:dyDescent="0.3">
      <c r="DB593" s="3" vm="842">
        <f ca="1">IF(Returns!A605&lt;&gt;0,Returns!A605,"")</f>
        <v>44403</v>
      </c>
      <c r="DC593" s="13">
        <f ca="1">IF(Returns!B606&gt;0,Returns!B606/Returns!B605-1,"")</f>
        <v>1.4705882352941124E-3</v>
      </c>
      <c r="DD593" s="13">
        <f ca="1">IF(Returns!D598&gt;0,Returns!D598/Returns!D597-1,"")</f>
        <v>-7.9636581807371876E-3</v>
      </c>
    </row>
    <row r="594" spans="106:108" x14ac:dyDescent="0.3">
      <c r="DB594" s="3" vm="843">
        <f ca="1">IF(Returns!A606&lt;&gt;0,Returns!A606,"")</f>
        <v>44410</v>
      </c>
      <c r="DC594" s="13">
        <f ca="1">IF(Returns!B607&gt;0,Returns!B607/Returns!B606-1,"")</f>
        <v>2.3311306901615314E-2</v>
      </c>
      <c r="DD594" s="13">
        <f ca="1">IF(Returns!D599&gt;0,Returns!D599/Returns!D598-1,"")</f>
        <v>-3.4499155222237898E-2</v>
      </c>
    </row>
    <row r="595" spans="106:108" x14ac:dyDescent="0.3">
      <c r="DB595" s="3" vm="844">
        <f ca="1">IF(Returns!A607&lt;&gt;0,Returns!A607,"")</f>
        <v>44417</v>
      </c>
      <c r="DC595" s="13">
        <f ca="1">IF(Returns!B608&gt;0,Returns!B608/Returns!B607-1,"")</f>
        <v>3.6053811659192858E-2</v>
      </c>
      <c r="DD595" s="13">
        <f ca="1">IF(Returns!D600&gt;0,Returns!D600/Returns!D599-1,"")</f>
        <v>3.4357342273669156E-2</v>
      </c>
    </row>
    <row r="596" spans="106:108" x14ac:dyDescent="0.3">
      <c r="DB596" s="3" vm="845">
        <f ca="1">IF(Returns!A608&lt;&gt;0,Returns!A608,"")</f>
        <v>44424</v>
      </c>
      <c r="DC596" s="13">
        <f ca="1">IF(Returns!B609&gt;0,Returns!B609/Returns!B608-1,"")</f>
        <v>6.7520775623268747E-3</v>
      </c>
      <c r="DD596" s="13">
        <f ca="1">IF(Returns!D601&gt;0,Returns!D601/Returns!D600-1,"")</f>
        <v>1.0237114838403505E-2</v>
      </c>
    </row>
    <row r="597" spans="106:108" x14ac:dyDescent="0.3">
      <c r="DB597" s="3" vm="846">
        <f ca="1">IF(Returns!A609&lt;&gt;0,Returns!A609,"")</f>
        <v>44431</v>
      </c>
      <c r="DC597" s="13">
        <f ca="1">IF(Returns!B610&gt;0,Returns!B610/Returns!B609-1,"")</f>
        <v>1.3585554600171967E-2</v>
      </c>
      <c r="DD597" s="13">
        <f ca="1">IF(Returns!D602&gt;0,Returns!D602/Returns!D601-1,"")</f>
        <v>2.4093735146202278E-3</v>
      </c>
    </row>
    <row r="598" spans="106:108" x14ac:dyDescent="0.3">
      <c r="DB598" s="3" vm="847">
        <f ca="1">IF(Returns!A610&lt;&gt;0,Returns!A610,"")</f>
        <v>44438</v>
      </c>
      <c r="DC598" s="13">
        <f ca="1">IF(Returns!B611&gt;0,Returns!B611/Returns!B610-1,"")</f>
        <v>-1.9850695622667058E-2</v>
      </c>
      <c r="DD598" s="13">
        <f ca="1">IF(Returns!D603&gt;0,Returns!D603/Returns!D602-1,"")</f>
        <v>-5.2282182022742596E-3</v>
      </c>
    </row>
    <row r="599" spans="106:108" x14ac:dyDescent="0.3">
      <c r="DB599" s="3" vm="848">
        <f ca="1">IF(Returns!A611&lt;&gt;0,Returns!A611,"")</f>
        <v>44446</v>
      </c>
      <c r="DC599" s="13">
        <f ca="1">IF(Returns!B612&gt;0,Returns!B612/Returns!B611-1,"")</f>
        <v>-1.3155617102302286E-2</v>
      </c>
      <c r="DD599" s="13">
        <f ca="1">IF(Returns!D604&gt;0,Returns!D604/Returns!D603-1,"")</f>
        <v>1.0773322585439393E-2</v>
      </c>
    </row>
    <row r="600" spans="106:108" x14ac:dyDescent="0.3">
      <c r="DB600" s="3" vm="849">
        <f ca="1">IF(Returns!A612&lt;&gt;0,Returns!A612,"")</f>
        <v>44452</v>
      </c>
      <c r="DC600" s="13">
        <f ca="1">IF(Returns!B613&gt;0,Returns!B613/Returns!B612-1,"")</f>
        <v>1.9119452727591746E-2</v>
      </c>
      <c r="DD600" s="13">
        <f ca="1">IF(Returns!D605&gt;0,Returns!D605/Returns!D604-1,"")</f>
        <v>-3.5960214837713611E-3</v>
      </c>
    </row>
    <row r="601" spans="106:108" x14ac:dyDescent="0.3">
      <c r="DB601" s="3" vm="850">
        <f ca="1">IF(Returns!A613&lt;&gt;0,Returns!A613,"")</f>
        <v>44459</v>
      </c>
      <c r="DC601" s="13">
        <f ca="1">IF(Returns!B614&gt;0,Returns!B614/Returns!B613-1,"")</f>
        <v>-8.6058519793459354E-3</v>
      </c>
      <c r="DD601" s="13">
        <f ca="1">IF(Returns!D606&gt;0,Returns!D606/Returns!D605-1,"")</f>
        <v>7.8154147712017341E-3</v>
      </c>
    </row>
    <row r="602" spans="106:108" x14ac:dyDescent="0.3">
      <c r="DB602" s="3" vm="851">
        <f ca="1">IF(Returns!A614&lt;&gt;0,Returns!A614,"")</f>
        <v>44466</v>
      </c>
      <c r="DC602" s="13">
        <f ca="1">IF(Returns!B615&gt;0,Returns!B615/Returns!B614-1,"")</f>
        <v>4.1493055555555491E-2</v>
      </c>
      <c r="DD602" s="13">
        <f ca="1">IF(Returns!D607&gt;0,Returns!D607/Returns!D606-1,"")</f>
        <v>8.7159788574617814E-3</v>
      </c>
    </row>
    <row r="603" spans="106:108" x14ac:dyDescent="0.3">
      <c r="DB603" s="3" vm="852">
        <f ca="1">IF(Returns!A615&lt;&gt;0,Returns!A615,"")</f>
        <v>44473</v>
      </c>
      <c r="DC603" s="13">
        <f ca="1">IF(Returns!B616&gt;0,Returns!B616/Returns!B615-1,"")</f>
        <v>7.2178696449407997E-2</v>
      </c>
      <c r="DD603" s="13">
        <f ca="1">IF(Returns!D608&gt;0,Returns!D608/Returns!D607-1,"")</f>
        <v>-1.1130351506019043E-2</v>
      </c>
    </row>
    <row r="604" spans="106:108" x14ac:dyDescent="0.3">
      <c r="DB604" s="3" vm="853">
        <f ca="1">IF(Returns!A616&lt;&gt;0,Returns!A616,"")</f>
        <v>44480</v>
      </c>
      <c r="DC604" s="13">
        <f ca="1">IF(Returns!B617&gt;0,Returns!B617/Returns!B616-1,"")</f>
        <v>3.3737562189054771E-2</v>
      </c>
      <c r="DD604" s="13">
        <f ca="1">IF(Returns!D609&gt;0,Returns!D609/Returns!D608-1,"")</f>
        <v>9.559037337854015E-3</v>
      </c>
    </row>
    <row r="605" spans="106:108" x14ac:dyDescent="0.3">
      <c r="DB605" s="3" vm="854">
        <f ca="1">IF(Returns!A617&lt;&gt;0,Returns!A617,"")</f>
        <v>44487</v>
      </c>
      <c r="DC605" s="13">
        <f ca="1">IF(Returns!B618&gt;0,Returns!B618/Returns!B617-1,"")</f>
        <v>-5.0834711986764813E-2</v>
      </c>
      <c r="DD605" s="13">
        <f ca="1">IF(Returns!D610&gt;0,Returns!D610/Returns!D609-1,"")</f>
        <v>-2.4455858543509512E-3</v>
      </c>
    </row>
    <row r="606" spans="106:108" x14ac:dyDescent="0.3">
      <c r="DB606" s="3" vm="855">
        <f ca="1">IF(Returns!A618&lt;&gt;0,Returns!A618,"")</f>
        <v>44494</v>
      </c>
      <c r="DC606" s="13">
        <f ca="1">IF(Returns!B619&gt;0,Returns!B619/Returns!B618-1,"")</f>
        <v>-1.8063698304547571E-2</v>
      </c>
      <c r="DD606" s="13">
        <f ca="1">IF(Returns!D611&gt;0,Returns!D611/Returns!D610-1,"")</f>
        <v>-2.1526274216746577E-2</v>
      </c>
    </row>
    <row r="607" spans="106:108" x14ac:dyDescent="0.3">
      <c r="DB607" s="3" vm="856">
        <f ca="1">IF(Returns!A619&lt;&gt;0,Returns!A619,"")</f>
        <v>44501</v>
      </c>
      <c r="DC607" s="13">
        <f ca="1">IF(Returns!B620&gt;0,Returns!B620/Returns!B619-1,"")</f>
        <v>4.1148943036953378E-2</v>
      </c>
      <c r="DD607" s="13">
        <f ca="1">IF(Returns!D612&gt;0,Returns!D612/Returns!D611-1,"")</f>
        <v>-6.6014743026776568E-4</v>
      </c>
    </row>
    <row r="608" spans="106:108" x14ac:dyDescent="0.3">
      <c r="DB608" s="3" vm="857">
        <f ca="1">IF(Returns!A620&lt;&gt;0,Returns!A620,"")</f>
        <v>44508</v>
      </c>
      <c r="DC608" s="13">
        <f ca="1">IF(Returns!B621&gt;0,Returns!B621/Returns!B620-1,"")</f>
        <v>3.09981401116044E-4</v>
      </c>
      <c r="DD608" s="13">
        <f ca="1">IF(Returns!D613&gt;0,Returns!D613/Returns!D612-1,"")</f>
        <v>6.1622742126974384E-3</v>
      </c>
    </row>
    <row r="609" spans="106:108" x14ac:dyDescent="0.3">
      <c r="DB609" s="3" vm="858">
        <f ca="1">IF(Returns!A621&lt;&gt;0,Returns!A621,"")</f>
        <v>44515</v>
      </c>
      <c r="DC609" s="13">
        <f ca="1">IF(Returns!B622&gt;0,Returns!B622/Returns!B621-1,"")</f>
        <v>3.4087387666563718E-3</v>
      </c>
      <c r="DD609" s="13">
        <f ca="1">IF(Returns!D614&gt;0,Returns!D614/Returns!D613-1,"")</f>
        <v>-1.3550790586833505E-2</v>
      </c>
    </row>
    <row r="610" spans="106:108" x14ac:dyDescent="0.3">
      <c r="DB610" s="3" vm="859">
        <f ca="1">IF(Returns!A622&lt;&gt;0,Returns!A622,"")</f>
        <v>44522</v>
      </c>
      <c r="DC610" s="13">
        <f ca="1">IF(Returns!B623&gt;0,Returns!B623/Returns!B622-1,"")</f>
        <v>6.9487337862876863E-3</v>
      </c>
      <c r="DD610" s="13">
        <f ca="1">IF(Returns!D615&gt;0,Returns!D615/Returns!D614-1,"")</f>
        <v>1.222936517995854E-2</v>
      </c>
    </row>
    <row r="611" spans="106:108" x14ac:dyDescent="0.3">
      <c r="DB611" s="3" vm="860">
        <f ca="1">IF(Returns!A623&lt;&gt;0,Returns!A623,"")</f>
        <v>44529</v>
      </c>
      <c r="DC611" s="13">
        <f ca="1">IF(Returns!B624&gt;0,Returns!B624/Returns!B623-1,"")</f>
        <v>3.0670142616163076E-2</v>
      </c>
      <c r="DD611" s="13">
        <f ca="1">IF(Returns!D616&gt;0,Returns!D616/Returns!D615-1,"")</f>
        <v>1.5786063425964558E-2</v>
      </c>
    </row>
    <row r="612" spans="106:108" x14ac:dyDescent="0.3">
      <c r="DB612" s="3" vm="861">
        <f ca="1">IF(Returns!A624&lt;&gt;0,Returns!A624,"")</f>
        <v>44536</v>
      </c>
      <c r="DC612" s="13">
        <f ca="1">IF(Returns!B625&gt;0,Returns!B625/Returns!B624-1,"")</f>
        <v>-1.9937509299211231E-2</v>
      </c>
      <c r="DD612" s="13">
        <f ca="1">IF(Returns!D617&gt;0,Returns!D617/Returns!D616-1,"")</f>
        <v>1.0830572080366307E-2</v>
      </c>
    </row>
    <row r="613" spans="106:108" x14ac:dyDescent="0.3">
      <c r="DB613" s="3" vm="862">
        <f ca="1">IF(Returns!A625&lt;&gt;0,Returns!A625,"")</f>
        <v>44543</v>
      </c>
      <c r="DC613" s="13">
        <f ca="1">IF(Returns!B626&gt;0,Returns!B626/Returns!B625-1,"")</f>
        <v>3.2791862759981694E-2</v>
      </c>
      <c r="DD613" s="13">
        <f ca="1">IF(Returns!D618&gt;0,Returns!D618/Returns!D617-1,"")</f>
        <v>3.9953422677403427E-3</v>
      </c>
    </row>
    <row r="614" spans="106:108" x14ac:dyDescent="0.3">
      <c r="DB614" s="3" vm="863">
        <f ca="1">IF(Returns!A626&lt;&gt;0,Returns!A626,"")</f>
        <v>44550</v>
      </c>
      <c r="DC614" s="13">
        <f ca="1">IF(Returns!B627&gt;0,Returns!B627/Returns!B626-1,"")</f>
        <v>3.3073643980596756E-2</v>
      </c>
      <c r="DD614" s="13">
        <f ca="1">IF(Returns!D619&gt;0,Returns!D619/Returns!D618-1,"")</f>
        <v>1.41930775900867E-2</v>
      </c>
    </row>
    <row r="615" spans="106:108" x14ac:dyDescent="0.3">
      <c r="DB615" s="3" vm="864">
        <f ca="1">IF(Returns!A627&lt;&gt;0,Returns!A627,"")</f>
        <v>44557</v>
      </c>
      <c r="DC615" s="13">
        <f ca="1">IF(Returns!B628&gt;0,Returns!B628/Returns!B627-1,"")</f>
        <v>-2.3904382470119612E-2</v>
      </c>
      <c r="DD615" s="13">
        <f ca="1">IF(Returns!D620&gt;0,Returns!D620/Returns!D619-1,"")</f>
        <v>-6.2663871412155236E-3</v>
      </c>
    </row>
    <row r="616" spans="106:108" x14ac:dyDescent="0.3">
      <c r="DB616" s="3" vm="865">
        <f ca="1">IF(Returns!A628&lt;&gt;0,Returns!A628,"")</f>
        <v>44564</v>
      </c>
      <c r="DC616" s="13">
        <f ca="1">IF(Returns!B629&gt;0,Returns!B629/Returns!B628-1,"")</f>
        <v>-2.2594752186588907E-2</v>
      </c>
      <c r="DD616" s="13">
        <f ca="1">IF(Returns!D621&gt;0,Returns!D621/Returns!D620-1,"")</f>
        <v>-1.380396916976756E-2</v>
      </c>
    </row>
    <row r="617" spans="106:108" x14ac:dyDescent="0.3">
      <c r="DB617" s="3" vm="866">
        <f ca="1">IF(Returns!A629&lt;&gt;0,Returns!A629,"")</f>
        <v>44571</v>
      </c>
      <c r="DC617" s="13">
        <f ca="1">IF(Returns!B630&gt;0,Returns!B630/Returns!B629-1,"")</f>
        <v>-5.8463832960477191E-2</v>
      </c>
      <c r="DD617" s="13">
        <f ca="1">IF(Returns!D622&gt;0,Returns!D622/Returns!D621-1,"")</f>
        <v>-1.9736013148505482E-2</v>
      </c>
    </row>
    <row r="618" spans="106:108" x14ac:dyDescent="0.3">
      <c r="DB618" s="3" vm="867">
        <f ca="1">IF(Returns!A630&lt;&gt;0,Returns!A630,"")</f>
        <v>44579</v>
      </c>
      <c r="DC618" s="13">
        <f ca="1">IF(Returns!B631&gt;0,Returns!B631/Returns!B630-1,"")</f>
        <v>1.9800411848566402E-2</v>
      </c>
      <c r="DD618" s="13">
        <f ca="1">IF(Returns!D623&gt;0,Returns!D623/Returns!D622-1,"")</f>
        <v>-9.1479246055353736E-3</v>
      </c>
    </row>
    <row r="619" spans="106:108" x14ac:dyDescent="0.3">
      <c r="DB619" s="3" vm="868">
        <f ca="1">IF(Returns!A631&lt;&gt;0,Returns!A631,"")</f>
        <v>44585</v>
      </c>
      <c r="DC619" s="13">
        <f ca="1">IF(Returns!B632&gt;0,Returns!B632/Returns!B631-1,"")</f>
        <v>4.892823858341111E-2</v>
      </c>
      <c r="DD619" s="13">
        <f ca="1">IF(Returns!D624&gt;0,Returns!D624/Returns!D623-1,"")</f>
        <v>4.0222995319204147E-2</v>
      </c>
    </row>
    <row r="620" spans="106:108" x14ac:dyDescent="0.3">
      <c r="DB620" s="3" vm="869">
        <f ca="1">IF(Returns!A632&lt;&gt;0,Returns!A632,"")</f>
        <v>44592</v>
      </c>
      <c r="DC620" s="13">
        <f ca="1">IF(Returns!B633&gt;0,Returns!B633/Returns!B632-1,"")</f>
        <v>-9.1811046942100738E-3</v>
      </c>
      <c r="DD620" s="13">
        <f ca="1">IF(Returns!D625&gt;0,Returns!D625/Returns!D624-1,"")</f>
        <v>-1.6834652708865305E-2</v>
      </c>
    </row>
    <row r="621" spans="106:108" x14ac:dyDescent="0.3">
      <c r="DB621" s="3" vm="870">
        <f ca="1">IF(Returns!A633&lt;&gt;0,Returns!A633,"")</f>
        <v>44599</v>
      </c>
      <c r="DC621" s="13">
        <f ca="1">IF(Returns!B634&gt;0,Returns!B634/Returns!B633-1,"")</f>
        <v>-1.1507995815274175E-2</v>
      </c>
      <c r="DD621" s="13">
        <f ca="1">IF(Returns!D626&gt;0,Returns!D626/Returns!D625-1,"")</f>
        <v>1.6545188685971102E-2</v>
      </c>
    </row>
    <row r="622" spans="106:108" x14ac:dyDescent="0.3">
      <c r="DB622" s="3" vm="871">
        <f ca="1">IF(Returns!A634&lt;&gt;0,Returns!A634,"")</f>
        <v>44606</v>
      </c>
      <c r="DC622" s="13">
        <f ca="1">IF(Returns!B635&gt;0,Returns!B635/Returns!B634-1,"")</f>
        <v>2.192319322648939E-2</v>
      </c>
      <c r="DD622" s="13">
        <f ca="1">IF(Returns!D627&gt;0,Returns!D627/Returns!D626-1,"")</f>
        <v>1.0785216323913493E-2</v>
      </c>
    </row>
    <row r="623" spans="106:108" x14ac:dyDescent="0.3">
      <c r="DB623" s="3" vm="872">
        <f ca="1">IF(Returns!A635&lt;&gt;0,Returns!A635,"")</f>
        <v>44614</v>
      </c>
      <c r="DC623" s="13">
        <f ca="1">IF(Returns!B636&gt;0,Returns!B636/Returns!B635-1,"")</f>
        <v>1.213197218523443E-2</v>
      </c>
      <c r="DD623" s="13">
        <f ca="1">IF(Returns!D628&gt;0,Returns!D628/Returns!D627-1,"")</f>
        <v>-2.9346063726041205E-3</v>
      </c>
    </row>
    <row r="624" spans="106:108" x14ac:dyDescent="0.3">
      <c r="DB624" s="3" vm="873">
        <f ca="1">IF(Returns!A636&lt;&gt;0,Returns!A636,"")</f>
        <v>44620</v>
      </c>
      <c r="DC624" s="13">
        <f ca="1">IF(Returns!B637&gt;0,Returns!B637/Returns!B636-1,"")</f>
        <v>-8.3321151878380295E-2</v>
      </c>
      <c r="DD624" s="13">
        <f ca="1">IF(Returns!D629&gt;0,Returns!D629/Returns!D628-1,"")</f>
        <v>-8.8279037710419228E-3</v>
      </c>
    </row>
    <row r="625" spans="106:108" x14ac:dyDescent="0.3">
      <c r="DB625" s="3" vm="874">
        <f ca="1">IF(Returns!A637&lt;&gt;0,Returns!A637,"")</f>
        <v>44627</v>
      </c>
      <c r="DC625" s="13">
        <f ca="1">IF(Returns!B638&gt;0,Returns!B638/Returns!B637-1,"")</f>
        <v>0.10971136979748053</v>
      </c>
      <c r="DD625" s="13">
        <f ca="1">IF(Returns!D630&gt;0,Returns!D630/Returns!D629-1,"")</f>
        <v>-4.5846709562212484E-2</v>
      </c>
    </row>
    <row r="626" spans="106:108" x14ac:dyDescent="0.3">
      <c r="DB626" s="3" vm="875">
        <f ca="1">IF(Returns!A638&lt;&gt;0,Returns!A638,"")</f>
        <v>44634</v>
      </c>
      <c r="DC626" s="13">
        <f ca="1">IF(Returns!B639&gt;0,Returns!B639/Returns!B638-1,"")</f>
        <v>1.1208506969392129E-2</v>
      </c>
      <c r="DD626" s="13">
        <f ca="1">IF(Returns!D631&gt;0,Returns!D631/Returns!D630-1,"")</f>
        <v>1.3427582538489968E-2</v>
      </c>
    </row>
    <row r="627" spans="106:108" x14ac:dyDescent="0.3">
      <c r="DB627" s="3" vm="876">
        <f ca="1">IF(Returns!A639&lt;&gt;0,Returns!A639,"")</f>
        <v>44641</v>
      </c>
      <c r="DC627" s="13">
        <f ca="1">IF(Returns!B640&gt;0,Returns!B640/Returns!B639-1,"")</f>
        <v>3.1121216427454801E-2</v>
      </c>
      <c r="DD627" s="13">
        <f ca="1">IF(Returns!D632&gt;0,Returns!D632/Returns!D631-1,"")</f>
        <v>1.049003442927976E-2</v>
      </c>
    </row>
    <row r="628" spans="106:108" x14ac:dyDescent="0.3">
      <c r="DB628" s="3" vm="877">
        <f ca="1">IF(Returns!A640&lt;&gt;0,Returns!A640,"")</f>
        <v>44648</v>
      </c>
      <c r="DC628" s="13">
        <f ca="1">IF(Returns!B641&gt;0,Returns!B641/Returns!B640-1,"")</f>
        <v>5.5126791620725424E-3</v>
      </c>
      <c r="DD628" s="13">
        <f ca="1">IF(Returns!D633&gt;0,Returns!D633/Returns!D632-1,"")</f>
        <v>-1.002238725385729E-2</v>
      </c>
    </row>
    <row r="629" spans="106:108" x14ac:dyDescent="0.3">
      <c r="DB629" s="3" vm="878">
        <f ca="1">IF(Returns!A641&lt;&gt;0,Returns!A641,"")</f>
        <v>44655</v>
      </c>
      <c r="DC629" s="13">
        <f ca="1">IF(Returns!B642&gt;0,Returns!B642/Returns!B641-1,"")</f>
        <v>-2.3300438596491113E-2</v>
      </c>
      <c r="DD629" s="13">
        <f ca="1">IF(Returns!D634&gt;0,Returns!D634/Returns!D633-1,"")</f>
        <v>-1.8967049015490955E-2</v>
      </c>
    </row>
    <row r="630" spans="106:108" x14ac:dyDescent="0.3">
      <c r="DB630" s="3" vm="879">
        <f ca="1">IF(Returns!A642&lt;&gt;0,Returns!A642,"")</f>
        <v>44662</v>
      </c>
      <c r="DC630" s="13">
        <f ca="1">IF(Returns!B643&gt;0,Returns!B643/Returns!B642-1,"")</f>
        <v>-4.9536907100757754E-2</v>
      </c>
      <c r="DD630" s="13">
        <f ca="1">IF(Returns!D635&gt;0,Returns!D635/Returns!D634-1,"")</f>
        <v>-5.9952729734225052E-4</v>
      </c>
    </row>
    <row r="631" spans="106:108" x14ac:dyDescent="0.3">
      <c r="DB631" s="3" vm="880">
        <f ca="1">IF(Returns!A643&lt;&gt;0,Returns!A643,"")</f>
        <v>44669</v>
      </c>
      <c r="DC631" s="13">
        <f ca="1">IF(Returns!B644&gt;0,Returns!B644/Returns!B643-1,"")</f>
        <v>-8.4895910231802874E-2</v>
      </c>
      <c r="DD631" s="13">
        <f ca="1">IF(Returns!D636&gt;0,Returns!D636/Returns!D635-1,"")</f>
        <v>-1.3034937852153927E-2</v>
      </c>
    </row>
    <row r="632" spans="106:108" x14ac:dyDescent="0.3">
      <c r="DB632" s="3" vm="881">
        <f ca="1">IF(Returns!A644&lt;&gt;0,Returns!A644,"")</f>
        <v>44676</v>
      </c>
      <c r="DC632" s="13">
        <f ca="1">IF(Returns!B645&gt;0,Returns!B645/Returns!B644-1,"")</f>
        <v>-6.0342045821232593E-2</v>
      </c>
      <c r="DD632" s="13">
        <f ca="1">IF(Returns!D637&gt;0,Returns!D637/Returns!D636-1,"")</f>
        <v>-1.9949845242409614E-2</v>
      </c>
    </row>
    <row r="633" spans="106:108" x14ac:dyDescent="0.3">
      <c r="DB633" s="3" vm="882">
        <f ca="1">IF(Returns!A645&lt;&gt;0,Returns!A645,"")</f>
        <v>44683</v>
      </c>
      <c r="DC633" s="13">
        <f ca="1">IF(Returns!B646&gt;0,Returns!B646/Returns!B645-1,"")</f>
        <v>-5.8379120879121782E-3</v>
      </c>
      <c r="DD633" s="13">
        <f ca="1">IF(Returns!D638&gt;0,Returns!D638/Returns!D637-1,"")</f>
        <v>5.4964048574141167E-2</v>
      </c>
    </row>
    <row r="634" spans="106:108" x14ac:dyDescent="0.3">
      <c r="DB634" s="3" vm="883">
        <f ca="1">IF(Returns!A646&lt;&gt;0,Returns!A646,"")</f>
        <v>44690</v>
      </c>
      <c r="DC634" s="13">
        <f ca="1">IF(Returns!B647&gt;0,Returns!B647/Returns!B646-1,"")</f>
        <v>-5.0086355785837644E-2</v>
      </c>
      <c r="DD634" s="13">
        <f ca="1">IF(Returns!D639&gt;0,Returns!D639/Returns!D638-1,"")</f>
        <v>3.0588175785002392E-3</v>
      </c>
    </row>
    <row r="635" spans="106:108" x14ac:dyDescent="0.3">
      <c r="DB635" s="3" vm="884">
        <f ca="1">IF(Returns!A647&lt;&gt;0,Returns!A647,"")</f>
        <v>44697</v>
      </c>
      <c r="DC635" s="13">
        <f ca="1">IF(Returns!B648&gt;0,Returns!B648/Returns!B647-1,"")</f>
        <v>9.000000000000008E-2</v>
      </c>
      <c r="DD635" s="13">
        <f ca="1">IF(Returns!D640&gt;0,Returns!D640/Returns!D639-1,"")</f>
        <v>-1.2326525830606005E-3</v>
      </c>
    </row>
    <row r="636" spans="106:108" x14ac:dyDescent="0.3">
      <c r="DB636" s="3" vm="885">
        <f ca="1">IF(Returns!A648&lt;&gt;0,Returns!A648,"")</f>
        <v>44704</v>
      </c>
      <c r="DC636" s="13">
        <f ca="1">IF(Returns!B649&gt;0,Returns!B649/Returns!B648-1,"")</f>
        <v>-2.0183486238532167E-2</v>
      </c>
      <c r="DD636" s="13">
        <f ca="1">IF(Returns!D641&gt;0,Returns!D641/Returns!D640-1,"")</f>
        <v>-2.7901386094705272E-3</v>
      </c>
    </row>
    <row r="637" spans="106:108" x14ac:dyDescent="0.3">
      <c r="DB637" s="3" vm="886">
        <f ca="1">IF(Returns!A649&lt;&gt;0,Returns!A649,"")</f>
        <v>44712</v>
      </c>
      <c r="DC637" s="13">
        <f ca="1">IF(Returns!B650&gt;0,Returns!B650/Returns!B649-1,"")</f>
        <v>-5.0902281239359914E-2</v>
      </c>
      <c r="DD637" s="13">
        <f ca="1">IF(Returns!D642&gt;0,Returns!D642/Returns!D641-1,"")</f>
        <v>-7.7731271728703755E-3</v>
      </c>
    </row>
    <row r="638" spans="106:108" x14ac:dyDescent="0.3">
      <c r="DB638" s="3" vm="887">
        <f ca="1">IF(Returns!A650&lt;&gt;0,Returns!A650,"")</f>
        <v>44718</v>
      </c>
      <c r="DC638" s="13">
        <f ca="1">IF(Returns!B651&gt;0,Returns!B651/Returns!B650-1,"")</f>
        <v>-4.035874439461884E-2</v>
      </c>
      <c r="DD638" s="13">
        <f ca="1">IF(Returns!D643&gt;0,Returns!D643/Returns!D642-1,"")</f>
        <v>-1.8572085437865038E-2</v>
      </c>
    </row>
    <row r="639" spans="106:108" x14ac:dyDescent="0.3">
      <c r="DB639" s="3" vm="888">
        <f ca="1">IF(Returns!A651&lt;&gt;0,Returns!A651,"")</f>
        <v>44725</v>
      </c>
      <c r="DC639" s="13">
        <f ca="1">IF(Returns!B652&gt;0,Returns!B652/Returns!B651-1,"")</f>
        <v>0.10392523364485995</v>
      </c>
      <c r="DD639" s="13">
        <f ca="1">IF(Returns!D644&gt;0,Returns!D644/Returns!D643-1,"")</f>
        <v>-2.4671936457406951E-2</v>
      </c>
    </row>
    <row r="640" spans="106:108" x14ac:dyDescent="0.3">
      <c r="DB640" s="3" vm="889">
        <f ca="1">IF(Returns!A652&lt;&gt;0,Returns!A652,"")</f>
        <v>44733</v>
      </c>
      <c r="DC640" s="13">
        <f ca="1">IF(Returns!B653&gt;0,Returns!B653/Returns!B652-1,"")</f>
        <v>4.5716220792413331E-3</v>
      </c>
      <c r="DD640" s="13">
        <f ca="1">IF(Returns!D645&gt;0,Returns!D645/Returns!D644-1,"")</f>
        <v>-2.360324222486998E-3</v>
      </c>
    </row>
    <row r="641" spans="106:108" x14ac:dyDescent="0.3">
      <c r="DB641" s="3" vm="890">
        <f ca="1">IF(Returns!A653&lt;&gt;0,Returns!A653,"")</f>
        <v>44739</v>
      </c>
      <c r="DC641" s="13">
        <f ca="1">IF(Returns!B654&gt;0,Returns!B654/Returns!B653-1,"")</f>
        <v>1.2641159615708775E-2</v>
      </c>
      <c r="DD641" s="13">
        <f ca="1">IF(Returns!D646&gt;0,Returns!D646/Returns!D645-1,"")</f>
        <v>-2.1359284452435623E-2</v>
      </c>
    </row>
    <row r="642" spans="106:108" x14ac:dyDescent="0.3">
      <c r="DB642" s="3" vm="891">
        <f ca="1">IF(Returns!A654&lt;&gt;0,Returns!A654,"")</f>
        <v>44747</v>
      </c>
      <c r="DC642" s="13">
        <f ca="1">IF(Returns!B655&gt;0,Returns!B655/Returns!B654-1,"")</f>
        <v>-1.2816245006657678E-2</v>
      </c>
      <c r="DD642" s="13">
        <f ca="1">IF(Returns!D647&gt;0,Returns!D647/Returns!D646-1,"")</f>
        <v>-2.9033064790077945E-2</v>
      </c>
    </row>
    <row r="643" spans="106:108" x14ac:dyDescent="0.3">
      <c r="DB643" s="3" vm="892">
        <f ca="1">IF(Returns!A655&lt;&gt;0,Returns!A655,"")</f>
        <v>44753</v>
      </c>
      <c r="DC643" s="13">
        <f ca="1">IF(Returns!B656&gt;0,Returns!B656/Returns!B655-1,"")</f>
        <v>4.4849097959871909E-2</v>
      </c>
      <c r="DD643" s="13">
        <f ca="1">IF(Returns!D648&gt;0,Returns!D648/Returns!D647-1,"")</f>
        <v>6.2410269555283726E-2</v>
      </c>
    </row>
    <row r="644" spans="106:108" x14ac:dyDescent="0.3">
      <c r="DB644" s="3" vm="893">
        <f ca="1">IF(Returns!A656&lt;&gt;0,Returns!A656,"")</f>
        <v>44760</v>
      </c>
      <c r="DC644" s="13">
        <f ca="1">IF(Returns!B657&gt;0,Returns!B657/Returns!B656-1,"")</f>
        <v>5.0508310472809459E-2</v>
      </c>
      <c r="DD644" s="13">
        <f ca="1">IF(Returns!D649&gt;0,Returns!D649/Returns!D648-1,"")</f>
        <v>-9.4318306796784546E-3</v>
      </c>
    </row>
    <row r="645" spans="106:108" x14ac:dyDescent="0.3">
      <c r="DB645" s="3" vm="894">
        <f ca="1">IF(Returns!A657&lt;&gt;0,Returns!A657,"")</f>
        <v>44767</v>
      </c>
      <c r="DC645" s="13">
        <f ca="1">IF(Returns!B658&gt;0,Returns!B658/Returns!B657-1,"")</f>
        <v>-3.072196620583556E-3</v>
      </c>
      <c r="DD645" s="13">
        <f ca="1">IF(Returns!D650&gt;0,Returns!D650/Returns!D649-1,"")</f>
        <v>-4.5803208767311698E-2</v>
      </c>
    </row>
    <row r="646" spans="106:108" x14ac:dyDescent="0.3">
      <c r="DB646" s="3" vm="895">
        <f ca="1">IF(Returns!A658&lt;&gt;0,Returns!A658,"")</f>
        <v>44774</v>
      </c>
      <c r="DC646" s="13">
        <f ca="1">IF(Returns!B659&gt;0,Returns!B659/Returns!B658-1,"")</f>
        <v>4.0832049306625429E-2</v>
      </c>
      <c r="DD646" s="13">
        <f ca="1">IF(Returns!D651&gt;0,Returns!D651/Returns!D650-1,"")</f>
        <v>-4.7909469498656487E-2</v>
      </c>
    </row>
    <row r="647" spans="106:108" x14ac:dyDescent="0.3">
      <c r="DB647" s="3" vm="896">
        <f ca="1">IF(Returns!A659&lt;&gt;0,Returns!A659,"")</f>
        <v>44781</v>
      </c>
      <c r="DC647" s="13">
        <f ca="1">IF(Returns!B660&gt;0,Returns!B660/Returns!B659-1,"")</f>
        <v>-4.1450777202072242E-3</v>
      </c>
      <c r="DD647" s="13">
        <f ca="1">IF(Returns!D652&gt;0,Returns!D652/Returns!D651-1,"")</f>
        <v>5.3930030817789465E-2</v>
      </c>
    </row>
    <row r="648" spans="106:108" x14ac:dyDescent="0.3">
      <c r="DB648" s="3" vm="897">
        <f ca="1">IF(Returns!A660&lt;&gt;0,Returns!A660,"")</f>
        <v>44788</v>
      </c>
      <c r="DC648" s="13">
        <f ca="1">IF(Returns!B661&gt;0,Returns!B661/Returns!B660-1,"")</f>
        <v>-3.2406719191318434E-2</v>
      </c>
      <c r="DD648" s="13">
        <f ca="1">IF(Returns!D653&gt;0,Returns!D653/Returns!D652-1,"")</f>
        <v>-1.2806724187882867E-2</v>
      </c>
    </row>
    <row r="649" spans="106:108" x14ac:dyDescent="0.3">
      <c r="DB649" s="3" vm="898">
        <f ca="1">IF(Returns!A661&lt;&gt;0,Returns!A661,"")</f>
        <v>44795</v>
      </c>
      <c r="DC649" s="13">
        <f ca="1">IF(Returns!B662&gt;0,Returns!B662/Returns!B661-1,"")</f>
        <v>-3.3799354739591392E-2</v>
      </c>
      <c r="DD649" s="13">
        <f ca="1">IF(Returns!D654&gt;0,Returns!D654/Returns!D653-1,"")</f>
        <v>7.7464161237186246E-3</v>
      </c>
    </row>
    <row r="650" spans="106:108" x14ac:dyDescent="0.3">
      <c r="DB650" s="3" vm="899">
        <f ca="1">IF(Returns!A662&lt;&gt;0,Returns!A662,"")</f>
        <v>44802</v>
      </c>
      <c r="DC650" s="13">
        <f ca="1">IF(Returns!B663&gt;0,Returns!B663/Returns!B662-1,"")</f>
        <v>4.0069963428208011E-2</v>
      </c>
      <c r="DD650" s="13">
        <f ca="1">IF(Returns!D655&gt;0,Returns!D655/Returns!D654-1,"")</f>
        <v>-1.5920531263520221E-3</v>
      </c>
    </row>
    <row r="651" spans="106:108" x14ac:dyDescent="0.3">
      <c r="DB651" s="3" vm="900">
        <f ca="1">IF(Returns!A663&lt;&gt;0,Returns!A663,"")</f>
        <v>44810</v>
      </c>
      <c r="DC651" s="13">
        <f ca="1">IF(Returns!B664&gt;0,Returns!B664/Returns!B663-1,"")</f>
        <v>-5.9165265249961796E-2</v>
      </c>
      <c r="DD651" s="13">
        <f ca="1">IF(Returns!D656&gt;0,Returns!D656/Returns!D655-1,"")</f>
        <v>1.9529035336329548E-2</v>
      </c>
    </row>
    <row r="652" spans="106:108" x14ac:dyDescent="0.3">
      <c r="DB652" s="3" vm="901">
        <f ca="1">IF(Returns!A664&lt;&gt;0,Returns!A664,"")</f>
        <v>44816</v>
      </c>
      <c r="DC652" s="13">
        <f ca="1">IF(Returns!B665&gt;0,Returns!B665/Returns!B664-1,"")</f>
        <v>-4.2573935651608719E-2</v>
      </c>
      <c r="DD652" s="13">
        <f ca="1">IF(Returns!D657&gt;0,Returns!D657/Returns!D656-1,"")</f>
        <v>2.9650825087232269E-2</v>
      </c>
    </row>
    <row r="653" spans="106:108" x14ac:dyDescent="0.3">
      <c r="DB653" s="3" vm="902">
        <f ca="1">IF(Returns!A665&lt;&gt;0,Returns!A665,"")</f>
        <v>44823</v>
      </c>
      <c r="DC653" s="13">
        <f ca="1">IF(Returns!B666&gt;0,Returns!B666/Returns!B665-1,"")</f>
        <v>2.6476578411405161E-2</v>
      </c>
      <c r="DD653" s="13">
        <f ca="1">IF(Returns!D658&gt;0,Returns!D658/Returns!D657-1,"")</f>
        <v>-1.2681820002898858E-3</v>
      </c>
    </row>
    <row r="654" spans="106:108" x14ac:dyDescent="0.3">
      <c r="DB654" s="3" vm="903">
        <f ca="1">IF(Returns!A666&lt;&gt;0,Returns!A666,"")</f>
        <v>44830</v>
      </c>
      <c r="DC654" s="13">
        <f ca="1">IF(Returns!B667&gt;0,Returns!B667/Returns!B666-1,"")</f>
        <v>1.2235449735449766E-2</v>
      </c>
      <c r="DD654" s="13">
        <f ca="1">IF(Returns!D659&gt;0,Returns!D659/Returns!D658-1,"")</f>
        <v>2.9191170156022128E-2</v>
      </c>
    </row>
    <row r="655" spans="106:108" x14ac:dyDescent="0.3">
      <c r="DB655" s="3" vm="904">
        <f ca="1">IF(Returns!A667&lt;&gt;0,Returns!A667,"")</f>
        <v>44837</v>
      </c>
      <c r="DC655" s="13">
        <f ca="1">IF(Returns!B668&gt;0,Returns!B668/Returns!B667-1,"")</f>
        <v>-2.8422084286180982E-2</v>
      </c>
      <c r="DD655" s="13">
        <f ca="1">IF(Returns!D660&gt;0,Returns!D660/Returns!D659-1,"")</f>
        <v>-1.6085964824413823E-3</v>
      </c>
    </row>
    <row r="656" spans="106:108" x14ac:dyDescent="0.3">
      <c r="DB656" s="3" vm="905">
        <f ca="1">IF(Returns!A668&lt;&gt;0,Returns!A668,"")</f>
        <v>44844</v>
      </c>
      <c r="DC656" s="13">
        <f ca="1">IF(Returns!B669&gt;0,Returns!B669/Returns!B668-1,"")</f>
        <v>3.4465366509751183E-2</v>
      </c>
      <c r="DD656" s="13">
        <f ca="1">IF(Returns!D661&gt;0,Returns!D661/Returns!D660-1,"")</f>
        <v>-4.222719183192869E-2</v>
      </c>
    </row>
    <row r="657" spans="106:108" x14ac:dyDescent="0.3">
      <c r="DB657" s="3" vm="906">
        <f ca="1">IF(Returns!A669&lt;&gt;0,Returns!A669,"")</f>
        <v>44851</v>
      </c>
      <c r="DC657" s="13">
        <f ca="1">IF(Returns!B670&gt;0,Returns!B670/Returns!B669-1,"")</f>
        <v>-4.6968958231756841E-2</v>
      </c>
      <c r="DD657" s="13">
        <f ca="1">IF(Returns!D662&gt;0,Returns!D662/Returns!D661-1,"")</f>
        <v>-2.98900853287829E-2</v>
      </c>
    </row>
    <row r="658" spans="106:108" x14ac:dyDescent="0.3">
      <c r="DB658" s="3" vm="907">
        <f ca="1">IF(Returns!A670&lt;&gt;0,Returns!A670,"")</f>
        <v>44858</v>
      </c>
      <c r="DC658" s="13">
        <f ca="1">IF(Returns!B671&gt;0,Returns!B671/Returns!B670-1,"")</f>
        <v>-4.8942701227830843E-2</v>
      </c>
      <c r="DD658" s="13">
        <f ca="1">IF(Returns!D663&gt;0,Returns!D663/Returns!D662-1,"")</f>
        <v>2.6606369886105208E-2</v>
      </c>
    </row>
    <row r="659" spans="106:108" x14ac:dyDescent="0.3">
      <c r="DB659" s="3" vm="908">
        <f ca="1">IF(Returns!A671&lt;&gt;0,Returns!A671,"")</f>
        <v>44865</v>
      </c>
      <c r="DC659" s="13">
        <f ca="1">IF(Returns!B672&gt;0,Returns!B672/Returns!B671-1,"")</f>
        <v>1.6137708445400634E-2</v>
      </c>
      <c r="DD659" s="13">
        <f ca="1">IF(Returns!D664&gt;0,Returns!D664/Returns!D663-1,"")</f>
        <v>-4.1344321616397561E-2</v>
      </c>
    </row>
    <row r="660" spans="106:108" x14ac:dyDescent="0.3">
      <c r="DB660" s="3" vm="909">
        <f ca="1">IF(Returns!A672&lt;&gt;0,Returns!A672,"")</f>
        <v>44872</v>
      </c>
      <c r="DC660" s="13">
        <f ca="1">IF(Returns!B673&gt;0,Returns!B673/Returns!B672-1,"")</f>
        <v>4.7644256220220615E-3</v>
      </c>
      <c r="DD660" s="13">
        <f ca="1">IF(Returns!D665&gt;0,Returns!D665/Returns!D664-1,"")</f>
        <v>-3.9971260403598774E-2</v>
      </c>
    </row>
    <row r="661" spans="106:108" x14ac:dyDescent="0.3">
      <c r="DB661" s="3" vm="910">
        <f ca="1">IF(Returns!A673&lt;&gt;0,Returns!A673,"")</f>
        <v>44879</v>
      </c>
      <c r="DC661" s="13">
        <f ca="1">IF(Returns!B674&gt;0,Returns!B674/Returns!B673-1,"")</f>
        <v>4.0744643484369458E-2</v>
      </c>
      <c r="DD661" s="13">
        <f ca="1">IF(Returns!D666&gt;0,Returns!D666/Returns!D665-1,"")</f>
        <v>-2.922925507086549E-2</v>
      </c>
    </row>
    <row r="662" spans="106:108" x14ac:dyDescent="0.3">
      <c r="DB662" s="3" vm="911">
        <f ca="1">IF(Returns!A674&lt;&gt;0,Returns!A674,"")</f>
        <v>44886</v>
      </c>
      <c r="DC662" s="13">
        <f ca="1">IF(Returns!B675&gt;0,Returns!B675/Returns!B674-1,"")</f>
        <v>4.3874451569356765E-3</v>
      </c>
      <c r="DD662" s="13">
        <f ca="1">IF(Returns!D667&gt;0,Returns!D667/Returns!D666-1,"")</f>
        <v>1.9887802639008578E-2</v>
      </c>
    </row>
    <row r="663" spans="106:108" x14ac:dyDescent="0.3">
      <c r="DB663" s="3" vm="912">
        <f ca="1">IF(Returns!A675&lt;&gt;0,Returns!A675,"")</f>
        <v>44893</v>
      </c>
      <c r="DC663" s="13">
        <f ca="1">IF(Returns!B676&gt;0,Returns!B676/Returns!B675-1,"")</f>
        <v>-3.393817204301075E-2</v>
      </c>
      <c r="DD663" s="13">
        <f ca="1">IF(Returns!D668&gt;0,Returns!D668/Returns!D667-1,"")</f>
        <v>1.1538470925154254E-2</v>
      </c>
    </row>
    <row r="664" spans="106:108" x14ac:dyDescent="0.3">
      <c r="DB664" s="3" vm="913">
        <f ca="1">IF(Returns!A676&lt;&gt;0,Returns!A676,"")</f>
        <v>44900</v>
      </c>
      <c r="DC664" s="13">
        <f ca="1">IF(Returns!B677&gt;0,Returns!B677/Returns!B676-1,"")</f>
        <v>-3.4782608695652195E-2</v>
      </c>
      <c r="DD664" s="13">
        <f ca="1">IF(Returns!D669&gt;0,Returns!D669/Returns!D668-1,"")</f>
        <v>4.8852199227964688E-2</v>
      </c>
    </row>
    <row r="665" spans="106:108" x14ac:dyDescent="0.3">
      <c r="DB665" s="3" vm="914">
        <f ca="1">IF(Returns!A677&lt;&gt;0,Returns!A677,"")</f>
        <v>44907</v>
      </c>
      <c r="DC665" s="13">
        <f ca="1">IF(Returns!B678&gt;0,Returns!B678/Returns!B677-1,"")</f>
        <v>2.5945945945945903E-2</v>
      </c>
      <c r="DD665" s="13">
        <f ca="1">IF(Returns!D670&gt;0,Returns!D670/Returns!D669-1,"")</f>
        <v>5.7242455942456916E-2</v>
      </c>
    </row>
    <row r="666" spans="106:108" x14ac:dyDescent="0.3">
      <c r="DB666" s="3" vm="915">
        <f ca="1">IF(Returns!A678&lt;&gt;0,Returns!A678,"")</f>
        <v>44914</v>
      </c>
      <c r="DC666" s="13">
        <f ca="1">IF(Returns!B679&gt;0,Returns!B679/Returns!B678-1,"")</f>
        <v>5.268703898841931E-4</v>
      </c>
      <c r="DD666" s="13">
        <f ca="1">IF(Returns!D671&gt;0,Returns!D671/Returns!D670-1,"")</f>
        <v>-1.3954964844198892E-2</v>
      </c>
    </row>
    <row r="667" spans="106:108" x14ac:dyDescent="0.3">
      <c r="DB667" s="3" vm="916">
        <f ca="1">IF(Returns!A679&lt;&gt;0,Returns!A679,"")</f>
        <v>44922</v>
      </c>
      <c r="DC667" s="13">
        <f ca="1">IF(Returns!B680&gt;0,Returns!B680/Returns!B679-1,"")</f>
        <v>3.2648762506582329E-2</v>
      </c>
      <c r="DD667" s="13">
        <f ca="1">IF(Returns!D672&gt;0,Returns!D672/Returns!D671-1,"")</f>
        <v>4.1497339216374662E-2</v>
      </c>
    </row>
    <row r="668" spans="106:108" x14ac:dyDescent="0.3">
      <c r="DB668" s="3" vm="917">
        <f ca="1">IF(Returns!A680&lt;&gt;0,Returns!A680,"")</f>
        <v>44929</v>
      </c>
      <c r="DC668" s="13">
        <f ca="1">IF(Returns!B681&gt;0,Returns!B681/Returns!B680-1,"")</f>
        <v>4.1475437701852913E-2</v>
      </c>
      <c r="DD668" s="13">
        <f ca="1">IF(Returns!D673&gt;0,Returns!D673/Returns!D672-1,"")</f>
        <v>-6.4448522174131995E-5</v>
      </c>
    </row>
    <row r="669" spans="106:108" x14ac:dyDescent="0.3">
      <c r="DB669" s="3" vm="918">
        <f ca="1">IF(Returns!A681&lt;&gt;0,Returns!A681,"")</f>
        <v>44935</v>
      </c>
      <c r="DC669" s="13">
        <f ca="1">IF(Returns!B682&gt;0,Returns!B682/Returns!B681-1,"")</f>
        <v>7.3445405581851197E-3</v>
      </c>
      <c r="DD669" s="13">
        <f ca="1">IF(Returns!D674&gt;0,Returns!D674/Returns!D673-1,"")</f>
        <v>1.7819792901787368E-2</v>
      </c>
    </row>
    <row r="670" spans="106:108" x14ac:dyDescent="0.3">
      <c r="DB670" s="3" vm="919">
        <f ca="1">IF(Returns!A682&lt;&gt;0,Returns!A682,"")</f>
        <v>44943</v>
      </c>
      <c r="DC670" s="13">
        <f ca="1">IF(Returns!B683&gt;0,Returns!B683/Returns!B682-1,"")</f>
        <v>-6.6753078418664846E-2</v>
      </c>
      <c r="DD670" s="13">
        <f ca="1">IF(Returns!D675&gt;0,Returns!D675/Returns!D674-1,"")</f>
        <v>2.4120221768924033E-3</v>
      </c>
    </row>
    <row r="671" spans="106:108" x14ac:dyDescent="0.3">
      <c r="DB671" s="3" vm="920">
        <f ca="1">IF(Returns!A683&lt;&gt;0,Returns!A683,"")</f>
        <v>44949</v>
      </c>
      <c r="DC671" s="13">
        <f ca="1">IF(Returns!B684&gt;0,Returns!B684/Returns!B683-1,"")</f>
        <v>1.3715277777777812E-2</v>
      </c>
      <c r="DD671" s="13">
        <f ca="1">IF(Returns!D676&gt;0,Returns!D676/Returns!D675-1,"")</f>
        <v>-2.7691635699908401E-2</v>
      </c>
    </row>
    <row r="672" spans="106:108" x14ac:dyDescent="0.3">
      <c r="DB672" s="3" vm="921">
        <f ca="1">IF(Returns!A684&lt;&gt;0,Returns!A684,"")</f>
        <v>44956</v>
      </c>
      <c r="DC672" s="13">
        <f ca="1">IF(Returns!B685&gt;0,Returns!B685/Returns!B684-1,"")</f>
        <v>-2.397670834046961E-3</v>
      </c>
      <c r="DD672" s="13">
        <f ca="1">IF(Returns!D677&gt;0,Returns!D677/Returns!D676-1,"")</f>
        <v>-1.6608588537311508E-2</v>
      </c>
    </row>
    <row r="673" spans="106:108" x14ac:dyDescent="0.3">
      <c r="DB673" s="3" vm="922">
        <f ca="1">IF(Returns!A685&lt;&gt;0,Returns!A685,"")</f>
        <v>44963</v>
      </c>
      <c r="DC673" s="13">
        <f ca="1">IF(Returns!B686&gt;0,Returns!B686/Returns!B685-1,"")</f>
        <v>-9.9570815450643613E-3</v>
      </c>
      <c r="DD673" s="13">
        <f ca="1">IF(Returns!D678&gt;0,Returns!D678/Returns!D677-1,"")</f>
        <v>8.6107149601428734E-3</v>
      </c>
    </row>
    <row r="674" spans="106:108" x14ac:dyDescent="0.3">
      <c r="DB674" s="3" vm="923">
        <f ca="1">IF(Returns!A686&lt;&gt;0,Returns!A686,"")</f>
        <v>44970</v>
      </c>
      <c r="DC674" s="13">
        <f ca="1">IF(Returns!B687&gt;0,Returns!B687/Returns!B686-1,"")</f>
        <v>-2.080804577770079E-2</v>
      </c>
      <c r="DD674" s="13">
        <f ca="1">IF(Returns!D679&gt;0,Returns!D679/Returns!D678-1,"")</f>
        <v>-1.707041958799338E-3</v>
      </c>
    </row>
    <row r="675" spans="106:108" x14ac:dyDescent="0.3">
      <c r="DB675" s="3" vm="924">
        <f ca="1">IF(Returns!A687&lt;&gt;0,Returns!A687,"")</f>
        <v>44978</v>
      </c>
      <c r="DC675" s="13">
        <f ca="1">IF(Returns!B688&gt;0,Returns!B688/Returns!B687-1,"")</f>
        <v>5.1354701611474596E-3</v>
      </c>
      <c r="DD675" s="13">
        <f ca="1">IF(Returns!D680&gt;0,Returns!D680/Returns!D679-1,"")</f>
        <v>1.4582398898056237E-2</v>
      </c>
    </row>
    <row r="676" spans="106:108" x14ac:dyDescent="0.3">
      <c r="DB676" s="3" vm="925">
        <f ca="1">IF(Returns!A688&lt;&gt;0,Returns!A688,"")</f>
        <v>44984</v>
      </c>
      <c r="DC676" s="13">
        <f ca="1">IF(Returns!B689&gt;0,Returns!B689/Returns!B688-1,"")</f>
        <v>-3.2417195207892768E-2</v>
      </c>
      <c r="DD676" s="13">
        <f ca="1">IF(Returns!D681&gt;0,Returns!D681/Returns!D680-1,"")</f>
        <v>1.9981617998902523E-2</v>
      </c>
    </row>
    <row r="677" spans="106:108" x14ac:dyDescent="0.3">
      <c r="DB677" s="3" vm="926">
        <f ca="1">IF(Returns!A689&lt;&gt;0,Returns!A689,"")</f>
        <v>44991</v>
      </c>
      <c r="DC677" s="13">
        <f ca="1">IF(Returns!B690&gt;0,Returns!B690/Returns!B689-1,"")</f>
        <v>-2.0393299344501181E-2</v>
      </c>
      <c r="DD677" s="13">
        <f ca="1">IF(Returns!D682&gt;0,Returns!D682/Returns!D681-1,"")</f>
        <v>-2.7027754652714564E-2</v>
      </c>
    </row>
    <row r="678" spans="106:108" x14ac:dyDescent="0.3">
      <c r="DB678" s="3" vm="927">
        <f ca="1">IF(Returns!A690&lt;&gt;0,Returns!A690,"")</f>
        <v>44998</v>
      </c>
      <c r="DC678" s="13">
        <f ca="1">IF(Returns!B691&gt;0,Returns!B691/Returns!B690-1,"")</f>
        <v>2.8996282527881112E-2</v>
      </c>
      <c r="DD678" s="13">
        <f ca="1">IF(Returns!D683&gt;0,Returns!D683/Returns!D682-1,"")</f>
        <v>1.8054969775496588E-2</v>
      </c>
    </row>
    <row r="679" spans="106:108" x14ac:dyDescent="0.3">
      <c r="DB679" s="3" vm="928">
        <f ca="1">IF(Returns!A691&lt;&gt;0,Returns!A691,"")</f>
        <v>45005</v>
      </c>
      <c r="DC679" s="13">
        <f ca="1">IF(Returns!B692&gt;0,Returns!B692/Returns!B691-1,"")</f>
        <v>3.7210982658959502E-2</v>
      </c>
      <c r="DD679" s="13">
        <f ca="1">IF(Returns!D684&gt;0,Returns!D684/Returns!D683-1,"")</f>
        <v>-1.5323702855850607E-3</v>
      </c>
    </row>
    <row r="680" spans="106:108" x14ac:dyDescent="0.3">
      <c r="DB680" s="3" vm="929">
        <f ca="1">IF(Returns!A692&lt;&gt;0,Returns!A692,"")</f>
        <v>45012</v>
      </c>
      <c r="DC680" s="13">
        <f ca="1">IF(Returns!B693&gt;0,Returns!B693/Returns!B692-1,"")</f>
        <v>2.9954719609891933E-2</v>
      </c>
      <c r="DD680" s="13">
        <f ca="1">IF(Returns!D685&gt;0,Returns!D685/Returns!D684-1,"")</f>
        <v>-1.6726545547001148E-3</v>
      </c>
    </row>
    <row r="681" spans="106:108" x14ac:dyDescent="0.3">
      <c r="DB681" s="3" vm="930">
        <f ca="1">IF(Returns!A693&lt;&gt;0,Returns!A693,"")</f>
        <v>45019</v>
      </c>
      <c r="DC681" s="13">
        <f ca="1">IF(Returns!B694&gt;0,Returns!B694/Returns!B693-1,"")</f>
        <v>-6.2563408860331071E-3</v>
      </c>
      <c r="DD681" s="13">
        <f ca="1">IF(Returns!D686&gt;0,Returns!D686/Returns!D685-1,"")</f>
        <v>-1.2570777145619605E-3</v>
      </c>
    </row>
    <row r="682" spans="106:108" x14ac:dyDescent="0.3">
      <c r="DB682" s="3" vm="931">
        <f ca="1">IF(Returns!A694&lt;&gt;0,Returns!A694,"")</f>
        <v>45026</v>
      </c>
      <c r="DC682" s="13">
        <f ca="1">IF(Returns!B695&gt;0,Returns!B695/Returns!B694-1,"")</f>
        <v>4.4750723158073713E-2</v>
      </c>
      <c r="DD682" s="13">
        <f ca="1">IF(Returns!D687&gt;0,Returns!D687/Returns!D686-1,"")</f>
        <v>-2.9851297806994026E-2</v>
      </c>
    </row>
    <row r="683" spans="106:108" x14ac:dyDescent="0.3">
      <c r="DB683" s="3" vm="932">
        <f ca="1">IF(Returns!A695&lt;&gt;0,Returns!A695,"")</f>
        <v>45033</v>
      </c>
      <c r="DC683" s="13">
        <f ca="1">IF(Returns!B696&gt;0,Returns!B696/Returns!B695-1,"")</f>
        <v>4.869706840390875E-2</v>
      </c>
      <c r="DD683" s="13">
        <f ca="1">IF(Returns!D688&gt;0,Returns!D688/Returns!D687-1,"")</f>
        <v>1.7492662588272534E-2</v>
      </c>
    </row>
    <row r="684" spans="106:108" x14ac:dyDescent="0.3">
      <c r="DB684" s="3" vm="933">
        <f ca="1">IF(Returns!A696&lt;&gt;0,Returns!A696,"")</f>
        <v>45040</v>
      </c>
      <c r="DC684" s="13">
        <f ca="1">IF(Returns!B697&gt;0,Returns!B697/Returns!B696-1,"")</f>
        <v>1.4287932908836787E-2</v>
      </c>
      <c r="DD684" s="13">
        <f ca="1">IF(Returns!D689&gt;0,Returns!D689/Returns!D688-1,"")</f>
        <v>-4.4363472730960862E-2</v>
      </c>
    </row>
    <row r="685" spans="106:108" x14ac:dyDescent="0.3">
      <c r="DB685" s="3" vm="934">
        <f ca="1">IF(Returns!A697&lt;&gt;0,Returns!A697,"")</f>
        <v>45047</v>
      </c>
      <c r="DC685" s="13">
        <f ca="1">IF(Returns!B698&gt;0,Returns!B698/Returns!B697-1,"")</f>
        <v>5.6652886234880295E-3</v>
      </c>
      <c r="DD685" s="13">
        <f ca="1">IF(Returns!D690&gt;0,Returns!D690/Returns!D689-1,"")</f>
        <v>-1.4933169778136302E-3</v>
      </c>
    </row>
    <row r="686" spans="106:108" x14ac:dyDescent="0.3">
      <c r="DB686" s="3" vm="935">
        <f ca="1">IF(Returns!A698&lt;&gt;0,Returns!A698,"")</f>
        <v>45054</v>
      </c>
      <c r="DC686" s="13">
        <f ca="1">IF(Returns!B699&gt;0,Returns!B699/Returns!B698-1,"")</f>
        <v>1.0353227771010776E-2</v>
      </c>
      <c r="DD686" s="13">
        <f ca="1">IF(Returns!D691&gt;0,Returns!D691/Returns!D690-1,"")</f>
        <v>1.1786510218572799E-2</v>
      </c>
    </row>
    <row r="687" spans="106:108" x14ac:dyDescent="0.3">
      <c r="DB687" s="3" vm="936">
        <f ca="1">IF(Returns!A699&lt;&gt;0,Returns!A699,"")</f>
        <v>45061</v>
      </c>
      <c r="DC687" s="13">
        <f ca="1">IF(Returns!B700&gt;0,Returns!B700/Returns!B699-1,"")</f>
        <v>-5.2591922845087402E-2</v>
      </c>
      <c r="DD687" s="13">
        <f ca="1">IF(Returns!D692&gt;0,Returns!D692/Returns!D691-1,"")</f>
        <v>3.2155941894001838E-2</v>
      </c>
    </row>
    <row r="688" spans="106:108" x14ac:dyDescent="0.3">
      <c r="DB688" s="3" vm="937">
        <f ca="1">IF(Returns!A700&lt;&gt;0,Returns!A700,"")</f>
        <v>45068</v>
      </c>
      <c r="DC688" s="13">
        <f ca="1">IF(Returns!B701&gt;0,Returns!B701/Returns!B700-1,"")</f>
        <v>1.4633370446954119E-2</v>
      </c>
      <c r="DD688" s="13">
        <f ca="1">IF(Returns!D693&gt;0,Returns!D693/Returns!D692-1,"")</f>
        <v>6.3453154222381514E-3</v>
      </c>
    </row>
    <row r="689" spans="106:108" x14ac:dyDescent="0.3">
      <c r="DB689" s="3" vm="938">
        <f ca="1">IF(Returns!A701&lt;&gt;0,Returns!A701,"")</f>
        <v>45076</v>
      </c>
      <c r="DC689" s="13">
        <f ca="1">IF(Returns!B702&gt;0,Returns!B702/Returns!B701-1,"")</f>
        <v>3.7623451951716014E-3</v>
      </c>
      <c r="DD689" s="13">
        <f ca="1">IF(Returns!D694&gt;0,Returns!D694/Returns!D693-1,"")</f>
        <v>1.1980774745360856E-2</v>
      </c>
    </row>
    <row r="690" spans="106:108" x14ac:dyDescent="0.3">
      <c r="DB690" s="3" vm="939">
        <f ca="1">IF(Returns!A702&lt;&gt;0,Returns!A702,"")</f>
        <v>45082</v>
      </c>
      <c r="DC690" s="13">
        <f ca="1">IF(Returns!B703&gt;0,Returns!B703/Returns!B702-1,"")</f>
        <v>3.4671247852569032E-2</v>
      </c>
      <c r="DD690" s="13">
        <f ca="1">IF(Returns!D695&gt;0,Returns!D695/Returns!D694-1,"")</f>
        <v>-2.2872640286328849E-3</v>
      </c>
    </row>
    <row r="691" spans="106:108" x14ac:dyDescent="0.3">
      <c r="DB691" s="3" vm="940">
        <f ca="1">IF(Returns!A703&lt;&gt;0,Returns!A703,"")</f>
        <v>45089</v>
      </c>
      <c r="DC691" s="13">
        <f ca="1">IF(Returns!B704&gt;0,Returns!B704/Returns!B703-1,"")</f>
        <v>2.7169811320755244E-3</v>
      </c>
      <c r="DD691" s="13">
        <f ca="1">IF(Returns!D696&gt;0,Returns!D696/Returns!D695-1,"")</f>
        <v>8.5540221126580995E-3</v>
      </c>
    </row>
    <row r="692" spans="106:108" x14ac:dyDescent="0.3">
      <c r="DB692" s="3" vm="941">
        <f ca="1">IF(Returns!A704&lt;&gt;0,Returns!A704,"")</f>
        <v>45097</v>
      </c>
      <c r="DC692" s="13">
        <f ca="1">IF(Returns!B705&gt;0,Returns!B705/Returns!B704-1,"")</f>
        <v>3.6278789703447112E-2</v>
      </c>
      <c r="DD692" s="13">
        <f ca="1">IF(Returns!D697&gt;0,Returns!D697/Returns!D696-1,"")</f>
        <v>-1.2428411247343507E-2</v>
      </c>
    </row>
    <row r="693" spans="106:108" x14ac:dyDescent="0.3">
      <c r="DB693" s="3" vm="942">
        <f ca="1">IF(Returns!A705&lt;&gt;0,Returns!A705,"")</f>
        <v>45103</v>
      </c>
      <c r="DC693" s="13">
        <f ca="1">IF(Returns!B706&gt;0,Returns!B706/Returns!B705-1,"")</f>
        <v>-1.5107495642068702E-2</v>
      </c>
      <c r="DD693" s="13">
        <f ca="1">IF(Returns!D698&gt;0,Returns!D698/Returns!D697-1,"")</f>
        <v>-1.1099302396609056E-2</v>
      </c>
    </row>
    <row r="694" spans="106:108" x14ac:dyDescent="0.3">
      <c r="DB694" s="3" vm="943">
        <f ca="1">IF(Returns!A706&lt;&gt;0,Returns!A706,"")</f>
        <v>45110</v>
      </c>
      <c r="DC694" s="13">
        <f ca="1">IF(Returns!B707&gt;0,Returns!B707/Returns!B706-1,"")</f>
        <v>1.3569321533923429E-2</v>
      </c>
      <c r="DD694" s="13">
        <f ca="1">IF(Returns!D699&gt;0,Returns!D699/Returns!D698-1,"")</f>
        <v>3.7841763014860863E-3</v>
      </c>
    </row>
    <row r="695" spans="106:108" x14ac:dyDescent="0.3">
      <c r="DB695" s="3" vm="944">
        <f ca="1">IF(Returns!A707&lt;&gt;0,Returns!A707,"")</f>
        <v>45117</v>
      </c>
      <c r="DC695" s="13">
        <f ca="1">IF(Returns!B708&gt;0,Returns!B708/Returns!B707-1,"")</f>
        <v>3.6088474970896511E-2</v>
      </c>
      <c r="DD695" s="13">
        <f ca="1">IF(Returns!D700&gt;0,Returns!D700/Returns!D699-1,"")</f>
        <v>-9.9709390694230349E-3</v>
      </c>
    </row>
    <row r="696" spans="106:108" x14ac:dyDescent="0.3">
      <c r="DB696" s="3" vm="945">
        <f ca="1">IF(Returns!A708&lt;&gt;0,Returns!A708,"")</f>
        <v>45124</v>
      </c>
      <c r="DC696" s="13">
        <f ca="1">IF(Returns!B709&gt;0,Returns!B709/Returns!B708-1,"")</f>
        <v>-8.5674157303370357E-3</v>
      </c>
      <c r="DD696" s="13">
        <f ca="1">IF(Returns!D701&gt;0,Returns!D701/Returns!D700-1,"")</f>
        <v>2.0228353527127041E-2</v>
      </c>
    </row>
    <row r="697" spans="106:108" x14ac:dyDescent="0.3">
      <c r="DB697" s="3" vm="946">
        <f ca="1">IF(Returns!A709&lt;&gt;0,Returns!A709,"")</f>
        <v>45131</v>
      </c>
      <c r="DC697" s="13">
        <f ca="1">IF(Returns!B710&gt;0,Returns!B710/Returns!B709-1,"")</f>
        <v>-8.3581243802238747E-3</v>
      </c>
      <c r="DD697" s="13">
        <f ca="1">IF(Returns!D702&gt;0,Returns!D702/Returns!D701-1,"")</f>
        <v>3.3770995325361763E-3</v>
      </c>
    </row>
    <row r="698" spans="106:108" x14ac:dyDescent="0.3">
      <c r="DB698" s="3" vm="947">
        <f ca="1">IF(Returns!A710&lt;&gt;0,Returns!A710,"")</f>
        <v>45138</v>
      </c>
      <c r="DC698" s="13">
        <f ca="1">IF(Returns!B711&gt;0,Returns!B711/Returns!B710-1,"")</f>
        <v>1.1142857142857121E-2</v>
      </c>
      <c r="DD698" s="13">
        <f ca="1">IF(Returns!D703&gt;0,Returns!D703/Returns!D702-1,"")</f>
        <v>1.2466828348109749E-2</v>
      </c>
    </row>
    <row r="699" spans="106:108" x14ac:dyDescent="0.3">
      <c r="DB699" s="3" vm="948">
        <f ca="1">IF(Returns!A711&lt;&gt;0,Returns!A711,"")</f>
        <v>45145</v>
      </c>
      <c r="DC699" s="13">
        <f ca="1">IF(Returns!B712&gt;0,Returns!B712/Returns!B711-1,"")</f>
        <v>8.6182537439953855E-3</v>
      </c>
      <c r="DD699" s="13">
        <f ca="1">IF(Returns!D704&gt;0,Returns!D704/Returns!D703-1,"")</f>
        <v>-1.666756372574596E-2</v>
      </c>
    </row>
    <row r="700" spans="106:108" x14ac:dyDescent="0.3">
      <c r="DB700" s="3" vm="949">
        <f ca="1">IF(Returns!A712&lt;&gt;0,Returns!A712,"")</f>
        <v>45152</v>
      </c>
      <c r="DC700" s="13">
        <f ca="1">IF(Returns!B713&gt;0,Returns!B713/Returns!B712-1,"")</f>
        <v>2.3532707662137442E-2</v>
      </c>
      <c r="DD700" s="13">
        <f ca="1">IF(Returns!D705&gt;0,Returns!D705/Returns!D704-1,"")</f>
        <v>2.0166571703416736E-2</v>
      </c>
    </row>
    <row r="701" spans="106:108" x14ac:dyDescent="0.3">
      <c r="DB701" s="3" vm="950">
        <f ca="1">IF(Returns!A713&lt;&gt;0,Returns!A713,"")</f>
        <v>45159</v>
      </c>
      <c r="DC701" s="13">
        <f ca="1">IF(Returns!B714&gt;0,Returns!B714/Returns!B713-1,"")</f>
        <v>1.5464622964280972E-2</v>
      </c>
      <c r="DD701" s="13">
        <f ca="1">IF(Returns!D706&gt;0,Returns!D706/Returns!D705-1,"")</f>
        <v>-1.9551468337086875E-2</v>
      </c>
    </row>
    <row r="702" spans="106:108" x14ac:dyDescent="0.3">
      <c r="DB702" s="3" vm="951">
        <f ca="1">IF(Returns!A714&lt;&gt;0,Returns!A714,"")</f>
        <v>45166</v>
      </c>
      <c r="DC702" s="13">
        <f ca="1">IF(Returns!B715&gt;0,Returns!B715/Returns!B714-1,"")</f>
        <v>-1.4555256064689992E-2</v>
      </c>
      <c r="DD702" s="13">
        <f ca="1">IF(Returns!D707&gt;0,Returns!D707/Returns!D706-1,"")</f>
        <v>2.2948084642409716E-2</v>
      </c>
    </row>
    <row r="703" spans="106:108" x14ac:dyDescent="0.3">
      <c r="DB703" s="3" vm="952">
        <f ca="1">IF(Returns!A715&lt;&gt;0,Returns!A715,"")</f>
        <v>45174</v>
      </c>
      <c r="DC703" s="13">
        <f ca="1">IF(Returns!B716&gt;0,Returns!B716/Returns!B715-1,"")</f>
        <v>-6.7013129102846403E-3</v>
      </c>
      <c r="DD703" s="13">
        <f ca="1">IF(Returns!D708&gt;0,Returns!D708/Returns!D707-1,"")</f>
        <v>2.0825177195568756E-2</v>
      </c>
    </row>
    <row r="704" spans="106:108" x14ac:dyDescent="0.3">
      <c r="DB704" s="3" vm="953">
        <f ca="1">IF(Returns!A716&lt;&gt;0,Returns!A716,"")</f>
        <v>45180</v>
      </c>
      <c r="DC704" s="13">
        <f ca="1">IF(Returns!B717&gt;0,Returns!B717/Returns!B716-1,"")</f>
        <v>-4.956629491945419E-3</v>
      </c>
      <c r="DD704" s="13">
        <f ca="1">IF(Returns!D709&gt;0,Returns!D709/Returns!D708-1,"")</f>
        <v>6.5743541662530713E-3</v>
      </c>
    </row>
    <row r="705" spans="106:108" x14ac:dyDescent="0.3">
      <c r="DB705" s="3" vm="954">
        <f ca="1">IF(Returns!A717&lt;&gt;0,Returns!A717,"")</f>
        <v>45187</v>
      </c>
      <c r="DC705" s="13">
        <f ca="1">IF(Returns!B718&gt;0,Returns!B718/Returns!B717-1,"")</f>
        <v>-3.3623910336239016E-2</v>
      </c>
      <c r="DD705" s="13">
        <f ca="1">IF(Returns!D710&gt;0,Returns!D710/Returns!D709-1,"")</f>
        <v>-1.1101920696506284E-2</v>
      </c>
    </row>
    <row r="706" spans="106:108" x14ac:dyDescent="0.3">
      <c r="DB706" s="3" vm="955">
        <f ca="1">IF(Returns!A718&lt;&gt;0,Returns!A718,"")</f>
        <v>45194</v>
      </c>
      <c r="DC706" s="13">
        <f ca="1">IF(Returns!B719&gt;0,Returns!B719/Returns!B718-1,"")</f>
        <v>1.6895761741122506E-2</v>
      </c>
      <c r="DD706" s="13">
        <f ca="1">IF(Returns!D711&gt;0,Returns!D711/Returns!D710-1,"")</f>
        <v>6.1536510909980802E-3</v>
      </c>
    </row>
    <row r="707" spans="106:108" x14ac:dyDescent="0.3">
      <c r="DB707" s="3" vm="956">
        <f ca="1">IF(Returns!A719&lt;&gt;0,Returns!A719,"")</f>
        <v>45201</v>
      </c>
      <c r="DC707" s="13">
        <f ca="1">IF(Returns!B720&gt;0,Returns!B720/Returns!B719-1,"")</f>
        <v>-1.844550830751901E-2</v>
      </c>
      <c r="DD707" s="13">
        <f ca="1">IF(Returns!D712&gt;0,Returns!D712/Returns!D711-1,"")</f>
        <v>-2.2128986701212217E-2</v>
      </c>
    </row>
    <row r="708" spans="106:108" x14ac:dyDescent="0.3">
      <c r="DB708" s="3" vm="957">
        <f ca="1">IF(Returns!A720&lt;&gt;0,Returns!A720,"")</f>
        <v>45208</v>
      </c>
      <c r="DC708" s="13">
        <f ca="1">IF(Returns!B721&gt;0,Returns!B721/Returns!B720-1,"")</f>
        <v>-3.6436666188495059E-2</v>
      </c>
      <c r="DD708" s="13">
        <f ca="1">IF(Returns!D713&gt;0,Returns!D713/Returns!D712-1,"")</f>
        <v>-4.4567986166200724E-3</v>
      </c>
    </row>
    <row r="709" spans="106:108" x14ac:dyDescent="0.3">
      <c r="DB709" s="3" vm="958">
        <f ca="1">IF(Returns!A721&lt;&gt;0,Returns!A721,"")</f>
        <v>45215</v>
      </c>
      <c r="DC709" s="13">
        <f ca="1">IF(Returns!B722&gt;0,Returns!B722/Returns!B721-1,"")</f>
        <v>6.8482953699566806E-3</v>
      </c>
      <c r="DD709" s="13">
        <f ca="1">IF(Returns!D714&gt;0,Returns!D714/Returns!D713-1,"")</f>
        <v>1.4289910172938569E-2</v>
      </c>
    </row>
    <row r="710" spans="106:108" x14ac:dyDescent="0.3">
      <c r="DB710" s="3" vm="959">
        <f ca="1">IF(Returns!A722&lt;&gt;0,Returns!A722,"")</f>
        <v>45222</v>
      </c>
      <c r="DC710" s="13">
        <f ca="1">IF(Returns!B723&gt;0,Returns!B723/Returns!B722-1,"")</f>
        <v>4.2880378530238072E-2</v>
      </c>
      <c r="DD710" s="13">
        <f ca="1">IF(Returns!D715&gt;0,Returns!D715/Returns!D714-1,"")</f>
        <v>-7.4954977670320666E-3</v>
      </c>
    </row>
    <row r="711" spans="106:108" x14ac:dyDescent="0.3">
      <c r="DB711" s="3" vm="960">
        <f ca="1">IF(Returns!A723&lt;&gt;0,Returns!A723,"")</f>
        <v>45229</v>
      </c>
      <c r="DC711" s="13">
        <f ca="1">IF(Returns!B724&gt;0,Returns!B724/Returns!B723-1,"")</f>
        <v>3.2893804055011966E-2</v>
      </c>
      <c r="DD711" s="13">
        <f ca="1">IF(Returns!D716&gt;0,Returns!D716/Returns!D715-1,"")</f>
        <v>1.204676447678299E-3</v>
      </c>
    </row>
    <row r="712" spans="106:108" x14ac:dyDescent="0.3">
      <c r="DB712" s="3" vm="961">
        <f ca="1">IF(Returns!A724&lt;&gt;0,Returns!A724,"")</f>
        <v>45236</v>
      </c>
      <c r="DC712" s="13">
        <f ca="1">IF(Returns!B725&gt;0,Returns!B725/Returns!B724-1,"")</f>
        <v>2.1962937542898686E-3</v>
      </c>
      <c r="DD712" s="13">
        <f ca="1">IF(Returns!D717&gt;0,Returns!D717/Returns!D716-1,"")</f>
        <v>-1.8903233921136908E-2</v>
      </c>
    </row>
    <row r="713" spans="106:108" x14ac:dyDescent="0.3">
      <c r="DB713" s="3" vm="962">
        <f ca="1">IF(Returns!A725&lt;&gt;0,Returns!A725,"")</f>
        <v>45243</v>
      </c>
      <c r="DC713" s="13">
        <f ca="1">IF(Returns!B726&gt;0,Returns!B726/Returns!B725-1,"")</f>
        <v>2.0819065881386045E-2</v>
      </c>
      <c r="DD713" s="13">
        <f ca="1">IF(Returns!D718&gt;0,Returns!D718/Returns!D717-1,"")</f>
        <v>-1.3436182351550641E-2</v>
      </c>
    </row>
    <row r="714" spans="106:108" x14ac:dyDescent="0.3">
      <c r="DB714" s="3" vm="963">
        <f ca="1">IF(Returns!A726&lt;&gt;0,Returns!A726,"")</f>
        <v>45250</v>
      </c>
      <c r="DC714" s="13">
        <f ca="1">IF(Returns!B727&gt;0,Returns!B727/Returns!B726-1,"")</f>
        <v>-5.2327921642292274E-3</v>
      </c>
      <c r="DD714" s="13">
        <f ca="1">IF(Returns!D719&gt;0,Returns!D719/Returns!D718-1,"")</f>
        <v>-2.9818966348115206E-3</v>
      </c>
    </row>
    <row r="715" spans="106:108" x14ac:dyDescent="0.3">
      <c r="DB715" s="3" vm="964">
        <f ca="1">IF(Returns!A727&lt;&gt;0,Returns!A727,"")</f>
        <v>45257</v>
      </c>
      <c r="DC715" s="13">
        <f ca="1">IF(Returns!B728&gt;0,Returns!B728/Returns!B727-1,"")</f>
        <v>1.34879956838585E-4</v>
      </c>
      <c r="DD715" s="13">
        <f ca="1">IF(Returns!D720&gt;0,Returns!D720/Returns!D719-1,"")</f>
        <v>7.8637145130124875E-3</v>
      </c>
    </row>
    <row r="716" spans="106:108" x14ac:dyDescent="0.3">
      <c r="DB716" s="3" vm="965">
        <f ca="1">IF(Returns!A728&lt;&gt;0,Returns!A728,"")</f>
        <v>45264</v>
      </c>
      <c r="DC716" s="13">
        <f ca="1">IF(Returns!B729&gt;0,Returns!B729/Returns!B728-1,"")</f>
        <v>-6.3115306810519356E-2</v>
      </c>
      <c r="DD716" s="13">
        <f ca="1">IF(Returns!D721&gt;0,Returns!D721/Returns!D720-1,"")</f>
        <v>-1.6127359729732893E-2</v>
      </c>
    </row>
    <row r="717" spans="106:108" x14ac:dyDescent="0.3">
      <c r="DB717" s="3" vm="966">
        <f ca="1">IF(Returns!A729&lt;&gt;0,Returns!A729,"")</f>
        <v>45271</v>
      </c>
      <c r="DC717" s="13">
        <f ca="1">IF(Returns!B730&gt;0,Returns!B730/Returns!B729-1,"")</f>
        <v>1.453864977688224E-2</v>
      </c>
      <c r="DD717" s="13">
        <f ca="1">IF(Returns!D722&gt;0,Returns!D722/Returns!D721-1,"")</f>
        <v>-2.1423226847394838E-2</v>
      </c>
    </row>
    <row r="718" spans="106:108" x14ac:dyDescent="0.3">
      <c r="DB718" s="3" vm="967">
        <f ca="1">IF(Returns!A730&lt;&gt;0,Returns!A730,"")</f>
        <v>45278</v>
      </c>
      <c r="DC718" s="13">
        <f ca="1">IF(Returns!B731&gt;0,Returns!B731/Returns!B730-1,"")</f>
        <v>8.9387060158909737E-3</v>
      </c>
      <c r="DD718" s="13">
        <f ca="1">IF(Returns!D723&gt;0,Returns!D723/Returns!D722-1,"")</f>
        <v>5.0705072258127259E-2</v>
      </c>
    </row>
    <row r="719" spans="106:108" x14ac:dyDescent="0.3">
      <c r="DB719" s="3" vm="968">
        <f ca="1">IF(Returns!A731&lt;&gt;0,Returns!A731,"")</f>
        <v>45286</v>
      </c>
      <c r="DC719" s="13">
        <f ca="1">IF(Returns!B732&gt;0,Returns!B732/Returns!B731-1,"")</f>
        <v>-2.1234706792293667E-2</v>
      </c>
      <c r="DD719" s="13">
        <f ca="1">IF(Returns!D724&gt;0,Returns!D724/Returns!D723-1,"")</f>
        <v>6.5111743228563057E-3</v>
      </c>
    </row>
    <row r="720" spans="106:108" x14ac:dyDescent="0.3">
      <c r="DB720" s="3" vm="969">
        <f ca="1">IF(Returns!A732&lt;&gt;0,Returns!A732,"")</f>
        <v>45293</v>
      </c>
      <c r="DC720" s="13">
        <f ca="1">IF(Returns!B733&gt;0,Returns!B733/Returns!B732-1,"")</f>
        <v>7.0114942528735735E-2</v>
      </c>
      <c r="DD720" s="13">
        <f ca="1">IF(Returns!D725&gt;0,Returns!D725/Returns!D724-1,"")</f>
        <v>1.9373510337472144E-2</v>
      </c>
    </row>
    <row r="721" spans="106:108" x14ac:dyDescent="0.3">
      <c r="DB721" s="3" vm="970">
        <f ca="1">IF(Returns!A733&lt;&gt;0,Returns!A733,"")</f>
        <v>45299</v>
      </c>
      <c r="DC721" s="13">
        <f ca="1">IF(Returns!B734&gt;0,Returns!B734/Returns!B733-1,"")</f>
        <v>4.6992481203007586E-3</v>
      </c>
      <c r="DD721" s="13">
        <f ca="1">IF(Returns!D726&gt;0,Returns!D726/Returns!D725-1,"")</f>
        <v>1.2672406672033176E-2</v>
      </c>
    </row>
    <row r="722" spans="106:108" x14ac:dyDescent="0.3">
      <c r="DB722" s="3" vm="971">
        <f ca="1">IF(Returns!A734&lt;&gt;0,Returns!A734,"")</f>
        <v>45307</v>
      </c>
      <c r="DC722" s="13">
        <f ca="1">IF(Returns!B735&gt;0,Returns!B735/Returns!B734-1,"")</f>
        <v>2.7395429640518554E-2</v>
      </c>
      <c r="DD722" s="13">
        <f ca="1">IF(Returns!D727&gt;0,Returns!D727/Returns!D726-1,"")</f>
        <v>2.4169128571043696E-2</v>
      </c>
    </row>
    <row r="723" spans="106:108" x14ac:dyDescent="0.3">
      <c r="DB723" s="3" vm="972">
        <f ca="1">IF(Returns!A735&lt;&gt;0,Returns!A735,"")</f>
        <v>45313</v>
      </c>
      <c r="DC723" s="13">
        <f ca="1">IF(Returns!B736&gt;0,Returns!B736/Returns!B735-1,"")</f>
        <v>1.053590010405836E-2</v>
      </c>
      <c r="DD723" s="13">
        <f ca="1">IF(Returns!D728&gt;0,Returns!D728/Returns!D727-1,"")</f>
        <v>6.5461919952491954E-5</v>
      </c>
    </row>
    <row r="724" spans="106:108" x14ac:dyDescent="0.3">
      <c r="DB724" s="3" vm="973">
        <f ca="1">IF(Returns!A736&lt;&gt;0,Returns!A736,"")</f>
        <v>45320</v>
      </c>
      <c r="DC724" s="13">
        <f ca="1">IF(Returns!B737&gt;0,Returns!B737/Returns!B736-1,"")</f>
        <v>4.2605225897798915E-2</v>
      </c>
      <c r="DD724" s="13">
        <f ca="1">IF(Returns!D729&gt;0,Returns!D729/Returns!D728-1,"")</f>
        <v>2.9168332649504691E-2</v>
      </c>
    </row>
    <row r="725" spans="106:108" x14ac:dyDescent="0.3">
      <c r="DB725" s="3" vm="974">
        <f ca="1">IF(Returns!A737&lt;&gt;0,Returns!A737,"")</f>
        <v>45327</v>
      </c>
      <c r="DC725" s="13">
        <f ca="1">IF(Returns!B738&gt;0,Returns!B738/Returns!B737-1,"")</f>
        <v>2.0864197530864104E-2</v>
      </c>
      <c r="DD725" s="13">
        <f ca="1">IF(Returns!D730&gt;0,Returns!D730/Returns!D729-1,"")</f>
        <v>2.1659951277948064E-3</v>
      </c>
    </row>
    <row r="726" spans="106:108" x14ac:dyDescent="0.3">
      <c r="DB726" s="3" vm="975">
        <f ca="1">IF(Returns!A738&lt;&gt;0,Returns!A738,"")</f>
        <v>45334</v>
      </c>
      <c r="DC726" s="13">
        <f ca="1">IF(Returns!B739&gt;0,Returns!B739/Returns!B738-1,"")</f>
        <v>1.8744709154673966E-2</v>
      </c>
      <c r="DD726" s="13">
        <f ca="1">IF(Returns!D731&gt;0,Returns!D731/Returns!D730-1,"")</f>
        <v>8.1199053809637434E-3</v>
      </c>
    </row>
    <row r="727" spans="106:108" x14ac:dyDescent="0.3">
      <c r="DB727" s="3" vm="976">
        <f ca="1">IF(Returns!A739&lt;&gt;0,Returns!A739,"")</f>
        <v>45342</v>
      </c>
      <c r="DC727" s="13">
        <f ca="1">IF(Returns!B740&gt;0,Returns!B740/Returns!B739-1,"")</f>
        <v>-5.9354226020892353E-3</v>
      </c>
      <c r="DD727" s="13">
        <f ca="1">IF(Returns!D732&gt;0,Returns!D732/Returns!D731-1,"")</f>
        <v>-5.9280884163293024E-3</v>
      </c>
    </row>
    <row r="728" spans="106:108" x14ac:dyDescent="0.3">
      <c r="DB728" s="3" vm="977">
        <f ca="1">IF(Returns!A740&lt;&gt;0,Returns!A740,"")</f>
        <v>45348</v>
      </c>
      <c r="DC728" s="13">
        <f ca="1">IF(Returns!B741&gt;0,Returns!B741/Returns!B740-1,"")</f>
        <v>1.731550035825169E-2</v>
      </c>
      <c r="DD728" s="13">
        <f ca="1">IF(Returns!D733&gt;0,Returns!D733/Returns!D732-1,"")</f>
        <v>3.3863191044809504E-3</v>
      </c>
    </row>
    <row r="729" spans="106:108" x14ac:dyDescent="0.3">
      <c r="DB729" s="3" vm="978">
        <f ca="1">IF(Returns!A741&lt;&gt;0,Returns!A741,"")</f>
        <v>45355</v>
      </c>
      <c r="DC729" s="13">
        <f ca="1">IF(Returns!B742&gt;0,Returns!B742/Returns!B741-1,"")</f>
        <v>-2.9346167390539302E-3</v>
      </c>
      <c r="DD729" s="13">
        <f ca="1">IF(Returns!D734&gt;0,Returns!D734/Returns!D733-1,"")</f>
        <v>7.2038554218407658E-3</v>
      </c>
    </row>
    <row r="730" spans="106:108" x14ac:dyDescent="0.3">
      <c r="DB730" s="3" vm="979">
        <f ca="1">IF(Returns!A742&lt;&gt;0,Returns!A742,"")</f>
        <v>45362</v>
      </c>
      <c r="DC730" s="13">
        <f ca="1">IF(Returns!B743&gt;0,Returns!B743/Returns!B742-1,"")</f>
        <v>1.2479397221568211E-2</v>
      </c>
      <c r="DD730" s="13">
        <f ca="1">IF(Returns!D735&gt;0,Returns!D735/Returns!D734-1,"")</f>
        <v>6.4874030034505203E-3</v>
      </c>
    </row>
    <row r="731" spans="106:108" x14ac:dyDescent="0.3">
      <c r="DB731" s="3" vm="980">
        <f ca="1">IF(Returns!A743&lt;&gt;0,Returns!A743,"")</f>
        <v>45369</v>
      </c>
      <c r="DC731" s="13">
        <f ca="1">IF(Returns!B744&gt;0,Returns!B744/Returns!B743-1,"")</f>
        <v>1.7906976744186176E-2</v>
      </c>
      <c r="DD731" s="13">
        <f ca="1">IF(Returns!D736&gt;0,Returns!D736/Returns!D735-1,"")</f>
        <v>1.4300661428626515E-2</v>
      </c>
    </row>
    <row r="732" spans="106:108" x14ac:dyDescent="0.3">
      <c r="DB732" s="3" vm="981">
        <f ca="1">IF(Returns!A744&lt;&gt;0,Returns!A744,"")</f>
        <v>45376</v>
      </c>
      <c r="DC732" s="13">
        <f ca="1">IF(Returns!B745&gt;0,Returns!B745/Returns!B744-1,"")</f>
        <v>-2.7301804889193537E-2</v>
      </c>
      <c r="DD732" s="13">
        <f ca="1">IF(Returns!D737&gt;0,Returns!D737/Returns!D736-1,"")</f>
        <v>4.4672248530663872E-4</v>
      </c>
    </row>
    <row r="733" spans="106:108" x14ac:dyDescent="0.3">
      <c r="DB733" s="3" vm="982">
        <f ca="1">IF(Returns!A745&lt;&gt;0,Returns!A745,"")</f>
        <v>45383</v>
      </c>
      <c r="DC733" s="13">
        <f ca="1">IF(Returns!B746&gt;0,Returns!B746/Returns!B745-1,"")</f>
        <v>-3.8167938931297662E-2</v>
      </c>
      <c r="DD733" s="13">
        <f ca="1">IF(Returns!D738&gt;0,Returns!D738/Returns!D737-1,"")</f>
        <v>-1.1299402449197471E-3</v>
      </c>
    </row>
    <row r="734" spans="106:108" x14ac:dyDescent="0.3">
      <c r="DB734" s="3" vm="983">
        <f ca="1">IF(Returns!A746&lt;&gt;0,Returns!A746,"")</f>
        <v>45390</v>
      </c>
      <c r="DC734" s="13">
        <f ca="1">IF(Returns!B747&gt;0,Returns!B747/Returns!B746-1,"")</f>
        <v>3.296703296703285E-3</v>
      </c>
      <c r="DD734" s="13">
        <f ca="1">IF(Returns!D739&gt;0,Returns!D739/Returns!D738-1,"")</f>
        <v>1.3035473602107217E-2</v>
      </c>
    </row>
    <row r="735" spans="106:108" x14ac:dyDescent="0.3">
      <c r="DB735" s="3" vm="984">
        <f ca="1">IF(Returns!A747&lt;&gt;0,Returns!A747,"")</f>
        <v>45397</v>
      </c>
      <c r="DC735" s="13">
        <f ca="1">IF(Returns!B748&gt;0,Returns!B748/Returns!B747-1,"")</f>
        <v>-8.6406230984544807E-3</v>
      </c>
      <c r="DD735" s="13">
        <f ca="1">IF(Returns!D740&gt;0,Returns!D740/Returns!D739-1,"")</f>
        <v>-1.1283075742875015E-3</v>
      </c>
    </row>
    <row r="736" spans="106:108" x14ac:dyDescent="0.3">
      <c r="DB736" s="3" vm="985">
        <f ca="1">IF(Returns!A748&lt;&gt;0,Returns!A748,"")</f>
        <v>45404</v>
      </c>
      <c r="DC736" s="13">
        <f ca="1">IF(Returns!B749&gt;0,Returns!B749/Returns!B748-1,"")</f>
        <v>2.5042965872821066E-2</v>
      </c>
      <c r="DD736" s="13">
        <f ca="1">IF(Returns!D741&gt;0,Returns!D741/Returns!D740-1,"")</f>
        <v>-9.3299432294203788E-3</v>
      </c>
    </row>
    <row r="737" spans="106:108" x14ac:dyDescent="0.3">
      <c r="DB737" s="3" vm="986">
        <f ca="1">IF(Returns!A749&lt;&gt;0,Returns!A749,"")</f>
        <v>45411</v>
      </c>
      <c r="DC737" s="13">
        <f ca="1">IF(Returns!B750&gt;0,Returns!B750/Returns!B749-1,"")</f>
        <v>4.2754491017964025E-2</v>
      </c>
      <c r="DD737" s="13">
        <f ca="1">IF(Returns!D742&gt;0,Returns!D742/Returns!D741-1,"")</f>
        <v>-2.046990889689182E-4</v>
      </c>
    </row>
    <row r="738" spans="106:108" x14ac:dyDescent="0.3">
      <c r="DB738" s="3" vm="987">
        <f ca="1">IF(Returns!A750&lt;&gt;0,Returns!A750,"")</f>
        <v>45418</v>
      </c>
      <c r="DC738" s="13">
        <f ca="1">IF(Returns!B751&gt;0,Returns!B751/Returns!B750-1,"")</f>
        <v>3.1698633283564925E-2</v>
      </c>
      <c r="DD738" s="13">
        <f ca="1">IF(Returns!D743&gt;0,Returns!D743/Returns!D742-1,"")</f>
        <v>1.9660131439356299E-2</v>
      </c>
    </row>
    <row r="739" spans="106:108" x14ac:dyDescent="0.3">
      <c r="DB739" s="3" vm="988">
        <f ca="1">IF(Returns!A751&lt;&gt;0,Returns!A751,"")</f>
        <v>45425</v>
      </c>
      <c r="DC739" s="13">
        <f ca="1">IF(Returns!B752&gt;0,Returns!B752/Returns!B751-1,"")</f>
        <v>-5.232105087387251E-3</v>
      </c>
      <c r="DD739" s="13">
        <f ca="1">IF(Returns!D744&gt;0,Returns!D744/Returns!D743-1,"")</f>
        <v>8.3967804765154863E-3</v>
      </c>
    </row>
    <row r="740" spans="106:108" x14ac:dyDescent="0.3">
      <c r="DB740" s="3" vm="989">
        <f ca="1">IF(Returns!A752&lt;&gt;0,Returns!A752,"")</f>
        <v>45432</v>
      </c>
      <c r="DC740" s="13">
        <f ca="1">IF(Returns!B753&gt;0,Returns!B753/Returns!B752-1,"")</f>
        <v>1.6786034019695695E-3</v>
      </c>
      <c r="DD740" s="13">
        <f ca="1">IF(Returns!D745&gt;0,Returns!D745/Returns!D744-1,"")</f>
        <v>-2.2692682231529759E-2</v>
      </c>
    </row>
    <row r="741" spans="106:108" x14ac:dyDescent="0.3">
      <c r="DB741" s="3" vm="990">
        <f ca="1">IF(Returns!A753&lt;&gt;0,Returns!A753,"")</f>
        <v>45440</v>
      </c>
      <c r="DC741" s="13">
        <f ca="1">IF(Returns!B754&gt;0,Returns!B754/Returns!B753-1,"")</f>
        <v>8.6023907943246769E-3</v>
      </c>
      <c r="DD741" s="13">
        <f ca="1">IF(Returns!D746&gt;0,Returns!D746/Returns!D745-1,"")</f>
        <v>-2.3668360352019246E-2</v>
      </c>
    </row>
    <row r="742" spans="106:108" x14ac:dyDescent="0.3">
      <c r="DB742" s="3" vm="991">
        <f ca="1">IF(Returns!A754&lt;&gt;0,Returns!A754,"")</f>
        <v>45446</v>
      </c>
      <c r="DC742" s="13">
        <f ca="1">IF(Returns!B755&gt;0,Returns!B755/Returns!B754-1,"")</f>
        <v>-2.2153300841826207E-3</v>
      </c>
      <c r="DD742" s="13">
        <f ca="1">IF(Returns!D747&gt;0,Returns!D747/Returns!D746-1,"")</f>
        <v>8.3020819211965247E-5</v>
      </c>
    </row>
    <row r="743" spans="106:108" x14ac:dyDescent="0.3">
      <c r="DB743" s="3" vm="992">
        <f ca="1">IF(Returns!A755&lt;&gt;0,Returns!A755,"")</f>
        <v>45453</v>
      </c>
      <c r="DC743" s="13">
        <f ca="1">IF(Returns!B756&gt;0,Returns!B756/Returns!B755-1,"")</f>
        <v>3.2637655417406819E-2</v>
      </c>
      <c r="DD743" s="13">
        <f ca="1">IF(Returns!D748&gt;0,Returns!D748/Returns!D747-1,"")</f>
        <v>6.6670708464402484E-3</v>
      </c>
    </row>
    <row r="744" spans="106:108" x14ac:dyDescent="0.3">
      <c r="DB744" s="3" vm="993">
        <f ca="1">IF(Returns!A756&lt;&gt;0,Returns!A756,"")</f>
        <v>45460</v>
      </c>
      <c r="DC744" s="13">
        <f ca="1">IF(Returns!B757&gt;0,Returns!B757/Returns!B756-1,"")</f>
        <v>-3.8808858310040883E-2</v>
      </c>
      <c r="DD744" s="13">
        <f ca="1">IF(Returns!D749&gt;0,Returns!D749/Returns!D748-1,"")</f>
        <v>1.1402409357511134E-2</v>
      </c>
    </row>
    <row r="745" spans="106:108" x14ac:dyDescent="0.3">
      <c r="DB745" s="3" vm="994">
        <f ca="1">IF(Returns!A757&lt;&gt;0,Returns!A757,"")</f>
        <v>45467</v>
      </c>
      <c r="DC745" s="13">
        <f ca="1">IF(Returns!B758&gt;0,Returns!B758/Returns!B757-1,"")</f>
        <v>1.241471871155353E-2</v>
      </c>
      <c r="DD745" s="13">
        <f ca="1">IF(Returns!D750&gt;0,Returns!D750/Returns!D749-1,"")</f>
        <v>2.1645742681617897E-2</v>
      </c>
    </row>
    <row r="746" spans="106:108" x14ac:dyDescent="0.3">
      <c r="DB746" s="3" vm="995">
        <f ca="1">IF(Returns!A758&lt;&gt;0,Returns!A758,"")</f>
        <v>45474</v>
      </c>
      <c r="DC746" s="13">
        <f ca="1">IF(Returns!B759&gt;0,Returns!B759/Returns!B758-1,"")</f>
        <v>3.5572249226690333E-2</v>
      </c>
      <c r="DD746" s="13">
        <f ca="1">IF(Returns!D751&gt;0,Returns!D751/Returns!D750-1,"")</f>
        <v>1.2419984560462893E-2</v>
      </c>
    </row>
    <row r="747" spans="106:108" x14ac:dyDescent="0.3">
      <c r="DB747" s="3" vm="996">
        <f ca="1">IF(Returns!A759&lt;&gt;0,Returns!A759,"")</f>
        <v>45481</v>
      </c>
      <c r="DC747" s="13">
        <f ca="1">IF(Returns!B760&gt;0,Returns!B760/Returns!B759-1,"")</f>
        <v>-1.3654789844250059E-2</v>
      </c>
      <c r="DD747" s="13">
        <f ca="1">IF(Returns!D752&gt;0,Returns!D752/Returns!D751-1,"")</f>
        <v>-2.3347893417540955E-2</v>
      </c>
    </row>
    <row r="748" spans="106:108" x14ac:dyDescent="0.3">
      <c r="DB748" s="3" vm="997">
        <f ca="1">IF(Returns!A760&lt;&gt;0,Returns!A760,"")</f>
        <v>45488</v>
      </c>
      <c r="DC748" s="13">
        <f ca="1">IF(Returns!B761&gt;0,Returns!B761/Returns!B760-1,"")</f>
        <v>7.2571922993727167E-2</v>
      </c>
      <c r="DD748" s="13">
        <f ca="1">IF(Returns!D753&gt;0,Returns!D753/Returns!D752-1,"")</f>
        <v>-9.8099411188377061E-3</v>
      </c>
    </row>
    <row r="749" spans="106:108" x14ac:dyDescent="0.3">
      <c r="DB749" s="3" vm="998">
        <f ca="1">IF(Returns!A761&lt;&gt;0,Returns!A761,"")</f>
        <v>45495</v>
      </c>
      <c r="DC749" s="13">
        <f ca="1">IF(Returns!B762&gt;0,Returns!B762/Returns!B761-1,"")</f>
        <v>2.0671574064737186E-2</v>
      </c>
      <c r="DD749" s="13">
        <f ca="1">IF(Returns!D754&gt;0,Returns!D754/Returns!D753-1,"")</f>
        <v>2.9123626766904831E-3</v>
      </c>
    </row>
    <row r="750" spans="106:108" x14ac:dyDescent="0.3">
      <c r="DB750" s="3" vm="999">
        <f ca="1">IF(Returns!A762&lt;&gt;0,Returns!A762,"")</f>
        <v>45502</v>
      </c>
      <c r="DC750" s="13">
        <f ca="1">IF(Returns!B763&gt;0,Returns!B763/Returns!B762-1,"")</f>
        <v>-8.8915234143450705E-3</v>
      </c>
      <c r="DD750" s="13">
        <f ca="1">IF(Returns!D755&gt;0,Returns!D755/Returns!D754-1,"")</f>
        <v>-5.4082051438941736E-3</v>
      </c>
    </row>
    <row r="751" spans="106:108" x14ac:dyDescent="0.3">
      <c r="DB751" s="3" vm="1000">
        <f ca="1">IF(Returns!A763&lt;&gt;0,Returns!A763,"")</f>
        <v>45509</v>
      </c>
      <c r="DC751" s="13">
        <f ca="1">IF(Returns!B764&gt;0,Returns!B764/Returns!B763-1,"")</f>
        <v>1.5450558213716326E-2</v>
      </c>
      <c r="DD751" s="13">
        <f ca="1">IF(Returns!D756&gt;0,Returns!D756/Returns!D755-1,"")</f>
        <v>1.4542297238434809E-2</v>
      </c>
    </row>
    <row r="752" spans="106:108" x14ac:dyDescent="0.3">
      <c r="DB752" s="3" vm="1001">
        <f ca="1">IF(Returns!A764&lt;&gt;0,Returns!A764,"")</f>
        <v>45516</v>
      </c>
      <c r="DC752" s="13">
        <f ca="1">IF(Returns!B765&gt;0,Returns!B765/Returns!B764-1,"")</f>
        <v>1.276136252085891E-3</v>
      </c>
      <c r="DD752" s="13">
        <f ca="1">IF(Returns!D757&gt;0,Returns!D757/Returns!D756-1,"")</f>
        <v>-8.0378372060108116E-4</v>
      </c>
    </row>
    <row r="753" spans="106:108" x14ac:dyDescent="0.3">
      <c r="DB753" s="3" vm="1002">
        <f ca="1">IF(Returns!A765&lt;&gt;0,Returns!A765,"")</f>
        <v>45523</v>
      </c>
      <c r="DC753" s="13">
        <f ca="1">IF(Returns!B766&gt;0,Returns!B766/Returns!B765-1,"")</f>
        <v>3.0686274509803768E-2</v>
      </c>
      <c r="DD753" s="13">
        <f ca="1">IF(Returns!D758&gt;0,Returns!D758/Returns!D757-1,"")</f>
        <v>6.5697894163296855E-3</v>
      </c>
    </row>
    <row r="754" spans="106:108" x14ac:dyDescent="0.3">
      <c r="DB754" s="3" vm="1003">
        <f ca="1">IF(Returns!A766&lt;&gt;0,Returns!A766,"")</f>
        <v>45530</v>
      </c>
      <c r="DC754" s="13">
        <f ca="1">IF(Returns!B767&gt;0,Returns!B767/Returns!B766-1,"")</f>
        <v>-1.1319318938457168E-2</v>
      </c>
      <c r="DD754" s="13">
        <f ca="1">IF(Returns!D759&gt;0,Returns!D759/Returns!D758-1,"")</f>
        <v>1.5873466394716873E-2</v>
      </c>
    </row>
    <row r="755" spans="106:108" x14ac:dyDescent="0.3">
      <c r="DB755" s="3" vm="1004">
        <f ca="1">IF(Returns!A767&lt;&gt;0,Returns!A767,"")</f>
        <v>45538</v>
      </c>
      <c r="DC755" s="13">
        <f ca="1">IF(Returns!B768&gt;0,Returns!B768/Returns!B767-1,"")</f>
        <v>-7.7929574754665998E-3</v>
      </c>
      <c r="DD755" s="13">
        <f ca="1">IF(Returns!D760&gt;0,Returns!D760/Returns!D759-1,"")</f>
        <v>7.1656265600275049E-3</v>
      </c>
    </row>
    <row r="756" spans="106:108" x14ac:dyDescent="0.3">
      <c r="DB756" s="3" vm="1005">
        <f ca="1">IF(Returns!A768&lt;&gt;0,Returns!A768,"")</f>
        <v>45544</v>
      </c>
      <c r="DC756" s="13">
        <f ca="1">IF(Returns!B769&gt;0,Returns!B769/Returns!B768-1,"")</f>
        <v>-2.0556579074953896E-2</v>
      </c>
      <c r="DD756" s="13">
        <f ca="1">IF(Returns!D761&gt;0,Returns!D761/Returns!D760-1,"")</f>
        <v>7.4913329446886223E-3</v>
      </c>
    </row>
    <row r="757" spans="106:108" x14ac:dyDescent="0.3">
      <c r="DB757" s="3" vm="1006">
        <f ca="1">IF(Returns!A769&lt;&gt;0,Returns!A769,"")</f>
        <v>45551</v>
      </c>
      <c r="DC757" s="13">
        <f ca="1">IF(Returns!B770&gt;0,Returns!B770/Returns!B769-1,"")</f>
        <v>1.6236016236016226E-2</v>
      </c>
      <c r="DD757" s="13">
        <f ca="1">IF(Returns!D762&gt;0,Returns!D762/Returns!D761-1,"")</f>
        <v>-2.0992626605393361E-2</v>
      </c>
    </row>
    <row r="758" spans="106:108" x14ac:dyDescent="0.3">
      <c r="DB758" s="3" vm="1007">
        <f ca="1">IF(Returns!A770&lt;&gt;0,Returns!A770,"")</f>
        <v>45558</v>
      </c>
      <c r="DC758" s="13">
        <f ca="1">IF(Returns!B771&gt;0,Returns!B771/Returns!B770-1,"")</f>
        <v>2.9225523623964911E-2</v>
      </c>
      <c r="DD758" s="13">
        <f ca="1">IF(Returns!D763&gt;0,Returns!D763/Returns!D762-1,"")</f>
        <v>-6.0326353046723513E-3</v>
      </c>
    </row>
    <row r="759" spans="106:108" x14ac:dyDescent="0.3">
      <c r="DB759" s="3" vm="1008">
        <f ca="1">IF(Returns!A771&lt;&gt;0,Returns!A771,"")</f>
        <v>45565</v>
      </c>
      <c r="DC759" s="13">
        <f ca="1">IF(Returns!B772&gt;0,Returns!B772/Returns!B771-1,"")</f>
        <v>-8.5186938002840273E-3</v>
      </c>
      <c r="DD759" s="13">
        <f ca="1">IF(Returns!D764&gt;0,Returns!D764/Returns!D763-1,"")</f>
        <v>2.9425123691247723E-2</v>
      </c>
    </row>
    <row r="760" spans="106:108" x14ac:dyDescent="0.3">
      <c r="DB760" s="3" vm="1009">
        <f ca="1">IF(Returns!A772&lt;&gt;0,Returns!A772,"")</f>
        <v>45572</v>
      </c>
      <c r="DC760" s="13">
        <f ca="1">IF(Returns!B773&gt;0,Returns!B773/Returns!B772-1,"")</f>
        <v>1.5656324582338899E-2</v>
      </c>
      <c r="DD760" s="13">
        <f ca="1">IF(Returns!D765&gt;0,Returns!D765/Returns!D764-1,"")</f>
        <v>1.2673955773472301E-2</v>
      </c>
    </row>
    <row r="761" spans="106:108" x14ac:dyDescent="0.3">
      <c r="DB761" s="3" vm="1010">
        <f ca="1">IF(Returns!A773&lt;&gt;0,Returns!A773,"")</f>
        <v>45579</v>
      </c>
      <c r="DC761" s="13">
        <f ca="1">IF(Returns!B774&gt;0,Returns!B774/Returns!B773-1,"")</f>
        <v>-2.26525049346743E-2</v>
      </c>
      <c r="DD761" s="13">
        <f ca="1">IF(Returns!D766&gt;0,Returns!D766/Returns!D765-1,"")</f>
        <v>9.4231753769513649E-3</v>
      </c>
    </row>
    <row r="762" spans="106:108" x14ac:dyDescent="0.3">
      <c r="DB762" s="3" vm="1011">
        <f ca="1">IF(Returns!A774&lt;&gt;0,Returns!A774,"")</f>
        <v>45586</v>
      </c>
      <c r="DC762" s="13">
        <f ca="1">IF(Returns!B775&gt;0,Returns!B775/Returns!B774-1,"")</f>
        <v>1.8272744758607296E-3</v>
      </c>
      <c r="DD762" s="13">
        <f ca="1">IF(Returns!D767&gt;0,Returns!D767/Returns!D766-1,"")</f>
        <v>-2.9296914473133318E-2</v>
      </c>
    </row>
    <row r="763" spans="106:108" x14ac:dyDescent="0.3">
      <c r="DB763" s="3" vm="1012">
        <f ca="1">IF(Returns!A775&lt;&gt;0,Returns!A775,"")</f>
        <v>45593</v>
      </c>
      <c r="DC763" s="13">
        <f ca="1">IF(Returns!B776&gt;0,Returns!B776/Returns!B775-1,"")</f>
        <v>7.9293462609196563E-2</v>
      </c>
      <c r="DD763" s="13">
        <f ca="1">IF(Returns!D768&gt;0,Returns!D768/Returns!D767-1,"")</f>
        <v>2.5984864201404667E-2</v>
      </c>
    </row>
    <row r="764" spans="106:108" x14ac:dyDescent="0.3">
      <c r="DB764" s="3" vm="1013">
        <f ca="1">IF(Returns!A776&lt;&gt;0,Returns!A776,"")</f>
        <v>45600</v>
      </c>
      <c r="DC764" s="13">
        <f ca="1">IF(Returns!B777&gt;0,Returns!B777/Returns!B776-1,"")</f>
        <v>-2.1168727208040639E-2</v>
      </c>
      <c r="DD764" s="13">
        <f ca="1">IF(Returns!D769&gt;0,Returns!D769/Returns!D768-1,"")</f>
        <v>1.6175860237939155E-2</v>
      </c>
    </row>
    <row r="765" spans="106:108" x14ac:dyDescent="0.3">
      <c r="DB765" s="3" vm="1014">
        <f ca="1">IF(Returns!A777&lt;&gt;0,Returns!A777,"")</f>
        <v>45607</v>
      </c>
      <c r="DC765" s="13">
        <f ca="1">IF(Returns!B778&gt;0,Returns!B778/Returns!B777-1,"")</f>
        <v>1.8173557473875501E-2</v>
      </c>
      <c r="DD765" s="13">
        <f ca="1">IF(Returns!D770&gt;0,Returns!D770/Returns!D769-1,"")</f>
        <v>5.9348563690584388E-3</v>
      </c>
    </row>
    <row r="766" spans="106:108" x14ac:dyDescent="0.3">
      <c r="DB766" s="3" vm="1015">
        <f ca="1">IF(Returns!A778&lt;&gt;0,Returns!A778,"")</f>
        <v>45614</v>
      </c>
      <c r="DC766" s="13">
        <f ca="1">IF(Returns!B779&gt;0,Returns!B779/Returns!B778-1,"")</f>
        <v>9.3708165997321569E-3</v>
      </c>
      <c r="DD766" s="13">
        <f ca="1">IF(Returns!D771&gt;0,Returns!D771/Returns!D770-1,"")</f>
        <v>9.3942759908305362E-4</v>
      </c>
    </row>
    <row r="767" spans="106:108" x14ac:dyDescent="0.3">
      <c r="DB767" s="3" vm="1016">
        <f ca="1">IF(Returns!A779&lt;&gt;0,Returns!A779,"")</f>
        <v>45621</v>
      </c>
      <c r="DC767" s="13">
        <f ca="1">IF(Returns!B780&gt;0,Returns!B780/Returns!B779-1,"")</f>
        <v>-3.4659593280282786E-2</v>
      </c>
      <c r="DD767" s="13">
        <f ca="1">IF(Returns!D772&gt;0,Returns!D772/Returns!D771-1,"")</f>
        <v>1.2067929473292827E-2</v>
      </c>
    </row>
    <row r="768" spans="106:108" x14ac:dyDescent="0.3">
      <c r="DB768" s="3" vm="1017">
        <f ca="1">IF(Returns!A780&lt;&gt;0,Returns!A780,"")</f>
        <v>45628</v>
      </c>
      <c r="DC768" s="13">
        <f ca="1">IF(Returns!B781&gt;0,Returns!B781/Returns!B780-1,"")</f>
        <v>-4.5704341454478881E-2</v>
      </c>
      <c r="DD768" s="13">
        <f ca="1">IF(Returns!D773&gt;0,Returns!D773/Returns!D772-1,"")</f>
        <v>9.6129933235131748E-3</v>
      </c>
    </row>
    <row r="769" spans="106:108" x14ac:dyDescent="0.3">
      <c r="DB769" s="3" vm="1018">
        <f ca="1">IF(Returns!A781&lt;&gt;0,Returns!A781,"")</f>
        <v>45635</v>
      </c>
      <c r="DC769" s="13">
        <f ca="1">IF(Returns!B782&gt;0,Returns!B782/Returns!B781-1,"")</f>
        <v>-1.2093291102792891E-2</v>
      </c>
      <c r="DD769" s="13">
        <f ca="1">IF(Returns!D774&gt;0,Returns!D774/Returns!D773-1,"")</f>
        <v>-2.6839643579996353E-2</v>
      </c>
    </row>
    <row r="770" spans="106:108" x14ac:dyDescent="0.3">
      <c r="DB770" s="3" vm="1019">
        <f ca="1">IF(Returns!A782&lt;&gt;0,Returns!A782,"")</f>
        <v>45642</v>
      </c>
      <c r="DC770" s="13">
        <f ca="1">IF(Returns!B783&gt;0,Returns!B783/Returns!B782-1,"")</f>
        <v>-3.886136209074742E-4</v>
      </c>
      <c r="DD770" s="13">
        <f ca="1">IF(Returns!D775&gt;0,Returns!D775/Returns!D774-1,"")</f>
        <v>-1.4771669547708477E-3</v>
      </c>
    </row>
    <row r="771" spans="106:108" x14ac:dyDescent="0.3">
      <c r="DB771" s="3" vm="1020">
        <f ca="1">IF(Returns!A783&lt;&gt;0,Returns!A783,"")</f>
        <v>45649</v>
      </c>
      <c r="DC771" s="13">
        <f ca="1">IF(Returns!B784&gt;0,Returns!B784/Returns!B783-1,"")</f>
        <v>-1.2634852755369796E-2</v>
      </c>
      <c r="DD771" s="13">
        <f ca="1">IF(Returns!D776&gt;0,Returns!D776/Returns!D775-1,"")</f>
        <v>4.6057054341283932E-2</v>
      </c>
    </row>
    <row r="772" spans="106:108" x14ac:dyDescent="0.3">
      <c r="DB772" s="3" vm="1021">
        <f ca="1">IF(Returns!A784&lt;&gt;0,Returns!A784,"")</f>
        <v>45656</v>
      </c>
      <c r="DC772" s="13">
        <f ca="1">IF(Returns!B785&gt;0,Returns!B785/Returns!B784-1,"")</f>
        <v>3.5436558716408495E-3</v>
      </c>
      <c r="DD772" s="13">
        <f ca="1">IF(Returns!D777&gt;0,Returns!D777/Returns!D776-1,"")</f>
        <v>-1.2366730856971264E-2</v>
      </c>
    </row>
    <row r="773" spans="106:108" x14ac:dyDescent="0.3">
      <c r="DB773" s="3" vm="1022">
        <f ca="1">IF(Returns!A785&lt;&gt;0,Returns!A785,"")</f>
        <v>45663</v>
      </c>
      <c r="DC773" s="13">
        <f ca="1">IF(Returns!B786&gt;0,Returns!B786/Returns!B785-1,"")</f>
        <v>3.531142717018132E-2</v>
      </c>
      <c r="DD773" s="13">
        <f ca="1">IF(Returns!D778&gt;0,Returns!D778/Returns!D777-1,"")</f>
        <v>1.9599958476224755E-2</v>
      </c>
    </row>
    <row r="774" spans="106:108" x14ac:dyDescent="0.3">
      <c r="DB774" s="3" vm="1023">
        <f ca="1">IF(Returns!A786&lt;&gt;0,Returns!A786,"")</f>
        <v>45670</v>
      </c>
      <c r="DC774" s="13">
        <f ca="1">IF(Returns!B787&gt;0,Returns!B787/Returns!B786-1,"")</f>
        <v>4.2633822832780499E-3</v>
      </c>
      <c r="DD774" s="13">
        <f ca="1">IF(Returns!D779&gt;0,Returns!D779/Returns!D778-1,"")</f>
        <v>1.3864297661373204E-2</v>
      </c>
    </row>
    <row r="775" spans="106:108" x14ac:dyDescent="0.3">
      <c r="DB775" s="3" vm="1024">
        <f ca="1">IF(Returns!A787&lt;&gt;0,Returns!A787,"")</f>
        <v>45678</v>
      </c>
      <c r="DC775" s="13">
        <f ca="1">IF(Returns!B788&gt;0,Returns!B788/Returns!B787-1,"")</f>
        <v>-1.264150943396225E-2</v>
      </c>
      <c r="DD775" s="13">
        <f ca="1">IF(Returns!D780&gt;0,Returns!D780/Returns!D779-1,"")</f>
        <v>-5.9702988044039174E-3</v>
      </c>
    </row>
    <row r="776" spans="106:108" x14ac:dyDescent="0.3">
      <c r="DB776" s="3" vm="1025">
        <f ca="1">IF(Returns!A788&lt;&gt;0,Returns!A788,"")</f>
        <v>45684</v>
      </c>
      <c r="DC776" s="13">
        <f ca="1">IF(Returns!B789&gt;0,Returns!B789/Returns!B788-1,"")</f>
        <v>3.7454614943627007E-2</v>
      </c>
      <c r="DD776" s="13">
        <f ca="1">IF(Returns!D781&gt;0,Returns!D781/Returns!D780-1,"")</f>
        <v>-1.8244041779003517E-2</v>
      </c>
    </row>
    <row r="777" spans="106:108" x14ac:dyDescent="0.3">
      <c r="DB777" s="3" vm="1026">
        <f ca="1">IF(Returns!A789&lt;&gt;0,Returns!A789,"")</f>
        <v>45691</v>
      </c>
      <c r="DC777" s="13">
        <f ca="1">IF(Returns!B790&gt;0,Returns!B790/Returns!B789-1,"")</f>
        <v>1.8603794437281218E-2</v>
      </c>
      <c r="DD777" s="13">
        <f ca="1">IF(Returns!D782&gt;0,Returns!D782/Returns!D781-1,"")</f>
        <v>-2.2538072641134388E-2</v>
      </c>
    </row>
    <row r="778" spans="106:108" x14ac:dyDescent="0.3">
      <c r="DD778" s="13">
        <f ca="1">IF(Returns!D783&gt;0,Returns!D783/Returns!D782-1,"")</f>
        <v>3.5468972410530597E-3</v>
      </c>
    </row>
    <row r="779" spans="106:108" x14ac:dyDescent="0.3">
      <c r="DD779" s="13">
        <f ca="1">IF(Returns!D784&gt;0,Returns!D784/Returns!D783-1,"")</f>
        <v>-6.0494680315341665E-3</v>
      </c>
    </row>
    <row r="780" spans="106:108" x14ac:dyDescent="0.3">
      <c r="DD780" s="13">
        <f ca="1">IF(Returns!D785&gt;0,Returns!D785/Returns!D784-1,"")</f>
        <v>-1.8573377924292589E-2</v>
      </c>
    </row>
    <row r="781" spans="106:108" x14ac:dyDescent="0.3">
      <c r="DD781" s="13">
        <f ca="1">IF(Returns!D786&gt;0,Returns!D786/Returns!D785-1,"")</f>
        <v>3.6944140758659483E-2</v>
      </c>
    </row>
    <row r="782" spans="106:108" x14ac:dyDescent="0.3">
      <c r="DD782" s="13">
        <f ca="1">IF(Returns!D787&gt;0,Returns!D787/Returns!D786-1,"")</f>
        <v>2.1532920819456791E-2</v>
      </c>
    </row>
    <row r="783" spans="106:108" x14ac:dyDescent="0.3">
      <c r="DD783" s="13">
        <f ca="1">IF(Returns!D788&gt;0,Returns!D788/Returns!D787-1,"")</f>
        <v>2.7104565637012801E-3</v>
      </c>
    </row>
    <row r="784" spans="106:108" x14ac:dyDescent="0.3">
      <c r="DD784" s="13">
        <f ca="1">IF(Returns!D789&gt;0,Returns!D789/Returns!D788-1,"")</f>
        <v>-5.4161374225328851E-3</v>
      </c>
    </row>
  </sheetData>
  <mergeCells count="1">
    <mergeCell ref="F285:G28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5B132-5BA0-4FEB-A6AD-78827F1F2B02}">
  <sheetPr codeName="Sheet1">
    <tabColor theme="4" tint="0.59999389629810485"/>
  </sheetPr>
  <dimension ref="A5:N508"/>
  <sheetViews>
    <sheetView workbookViewId="0">
      <selection activeCell="P9" sqref="P9"/>
    </sheetView>
  </sheetViews>
  <sheetFormatPr defaultColWidth="9.109375" defaultRowHeight="14.4" x14ac:dyDescent="0.3"/>
  <cols>
    <col min="1" max="1" width="45.44140625" style="3" bestFit="1" customWidth="1"/>
    <col min="2" max="4" width="9.109375" style="3"/>
    <col min="5" max="5" width="40.6640625" style="3" bestFit="1" customWidth="1"/>
    <col min="6" max="8" width="9.109375" style="3"/>
    <col min="9" max="9" width="47.109375" style="3" bestFit="1" customWidth="1"/>
    <col min="10" max="11" width="9.109375" style="3"/>
    <col min="12" max="12" width="28.77734375" style="3" customWidth="1"/>
    <col min="13" max="16384" width="9.109375" style="3"/>
  </cols>
  <sheetData>
    <row r="5" spans="1:14" x14ac:dyDescent="0.3">
      <c r="A5" s="21" t="s">
        <v>219</v>
      </c>
      <c r="B5" s="53"/>
      <c r="E5" s="8" t="s">
        <v>220</v>
      </c>
      <c r="I5" s="8" t="s">
        <v>1233</v>
      </c>
      <c r="L5" s="8" t="s">
        <v>1331</v>
      </c>
    </row>
    <row r="6" spans="1:14" x14ac:dyDescent="0.3">
      <c r="A6" s="3" t="s">
        <v>21</v>
      </c>
      <c r="B6" s="56" t="s">
        <v>20</v>
      </c>
      <c r="E6" s="3" t="s">
        <v>665</v>
      </c>
      <c r="F6" s="56" t="s">
        <v>666</v>
      </c>
      <c r="I6" s="3" t="s">
        <v>1252</v>
      </c>
      <c r="J6" s="56" t="s">
        <v>1277</v>
      </c>
      <c r="L6" s="3" t="s">
        <v>1332</v>
      </c>
      <c r="M6" s="3" t="s">
        <v>1341</v>
      </c>
      <c r="N6" s="3" t="s">
        <v>1345</v>
      </c>
    </row>
    <row r="7" spans="1:14" x14ac:dyDescent="0.3">
      <c r="A7" s="3" t="s">
        <v>117</v>
      </c>
      <c r="B7" s="56" t="s">
        <v>116</v>
      </c>
      <c r="E7" s="3" t="s">
        <v>221</v>
      </c>
      <c r="F7" s="56" t="s">
        <v>222</v>
      </c>
      <c r="I7" s="3" t="s">
        <v>1249</v>
      </c>
      <c r="J7" s="56" t="s">
        <v>1274</v>
      </c>
      <c r="L7" s="3" t="s">
        <v>1333</v>
      </c>
      <c r="M7" s="3" t="s">
        <v>1340</v>
      </c>
      <c r="N7" s="3" t="s">
        <v>1346</v>
      </c>
    </row>
    <row r="8" spans="1:14" x14ac:dyDescent="0.3">
      <c r="A8" s="3" t="s">
        <v>179</v>
      </c>
      <c r="B8" s="56" t="s">
        <v>178</v>
      </c>
      <c r="E8" s="3" t="s">
        <v>269</v>
      </c>
      <c r="F8" s="56" t="s">
        <v>270</v>
      </c>
      <c r="I8" s="3" t="s">
        <v>1251</v>
      </c>
      <c r="J8" s="56" t="s">
        <v>1276</v>
      </c>
      <c r="L8" s="3" t="s">
        <v>1336</v>
      </c>
      <c r="M8" s="3" t="s">
        <v>1337</v>
      </c>
      <c r="N8" s="3" t="s">
        <v>1347</v>
      </c>
    </row>
    <row r="9" spans="1:14" x14ac:dyDescent="0.3">
      <c r="A9" s="3" t="s">
        <v>17</v>
      </c>
      <c r="B9" s="56" t="s">
        <v>16</v>
      </c>
      <c r="E9" s="3" t="s">
        <v>541</v>
      </c>
      <c r="F9" s="56" t="s">
        <v>542</v>
      </c>
      <c r="I9" s="3" t="s">
        <v>1235</v>
      </c>
      <c r="J9" s="56" t="s">
        <v>1260</v>
      </c>
      <c r="L9" s="3" t="s">
        <v>1334</v>
      </c>
      <c r="M9" s="3" t="s">
        <v>1339</v>
      </c>
      <c r="N9" s="3" t="s">
        <v>1348</v>
      </c>
    </row>
    <row r="10" spans="1:14" x14ac:dyDescent="0.3">
      <c r="A10" s="3" t="s">
        <v>55</v>
      </c>
      <c r="B10" s="56" t="s">
        <v>54</v>
      </c>
      <c r="E10" s="3" t="s">
        <v>303</v>
      </c>
      <c r="F10" s="56" t="s">
        <v>304</v>
      </c>
      <c r="I10" s="3" t="s">
        <v>1256</v>
      </c>
      <c r="J10" s="56" t="s">
        <v>1281</v>
      </c>
      <c r="L10" s="3" t="s">
        <v>1335</v>
      </c>
      <c r="M10" s="3" t="s">
        <v>1338</v>
      </c>
      <c r="N10" s="3" t="s">
        <v>1349</v>
      </c>
    </row>
    <row r="11" spans="1:14" x14ac:dyDescent="0.3">
      <c r="A11" s="3" t="s">
        <v>127</v>
      </c>
      <c r="B11" s="56" t="s">
        <v>126</v>
      </c>
      <c r="E11" s="3" t="s">
        <v>725</v>
      </c>
      <c r="F11" s="56" t="s">
        <v>726</v>
      </c>
      <c r="I11" s="3" t="s">
        <v>1240</v>
      </c>
      <c r="J11" s="56" t="s">
        <v>1265</v>
      </c>
    </row>
    <row r="12" spans="1:14" x14ac:dyDescent="0.3">
      <c r="A12" s="3" t="s">
        <v>147</v>
      </c>
      <c r="B12" s="56" t="s">
        <v>146</v>
      </c>
      <c r="E12" s="3" t="s">
        <v>287</v>
      </c>
      <c r="F12" s="56" t="s">
        <v>288</v>
      </c>
      <c r="I12" s="3" t="s">
        <v>1238</v>
      </c>
      <c r="J12" s="56" t="s">
        <v>1263</v>
      </c>
    </row>
    <row r="13" spans="1:14" x14ac:dyDescent="0.3">
      <c r="A13" s="3" t="s">
        <v>123</v>
      </c>
      <c r="B13" s="56" t="s">
        <v>122</v>
      </c>
      <c r="E13" s="3" t="s">
        <v>277</v>
      </c>
      <c r="F13" s="56" t="s">
        <v>278</v>
      </c>
      <c r="I13" s="3" t="s">
        <v>1250</v>
      </c>
      <c r="J13" s="56" t="s">
        <v>1275</v>
      </c>
    </row>
    <row r="14" spans="1:14" x14ac:dyDescent="0.3">
      <c r="A14" s="3" t="s">
        <v>139</v>
      </c>
      <c r="B14" s="56" t="s">
        <v>138</v>
      </c>
      <c r="E14" s="3" t="s">
        <v>401</v>
      </c>
      <c r="F14" s="56" t="s">
        <v>402</v>
      </c>
      <c r="I14" s="3" t="s">
        <v>1255</v>
      </c>
      <c r="J14" s="56" t="s">
        <v>1280</v>
      </c>
    </row>
    <row r="15" spans="1:14" x14ac:dyDescent="0.3">
      <c r="A15" s="3" t="s">
        <v>93</v>
      </c>
      <c r="B15" s="56" t="s">
        <v>92</v>
      </c>
      <c r="E15" s="3" t="s">
        <v>857</v>
      </c>
      <c r="F15" s="56" t="s">
        <v>858</v>
      </c>
      <c r="I15" s="3" t="s">
        <v>1241</v>
      </c>
      <c r="J15" s="56" t="s">
        <v>1266</v>
      </c>
    </row>
    <row r="16" spans="1:14" x14ac:dyDescent="0.3">
      <c r="A16" s="3" t="s">
        <v>183</v>
      </c>
      <c r="B16" s="56" t="s">
        <v>182</v>
      </c>
      <c r="E16" s="3" t="s">
        <v>379</v>
      </c>
      <c r="F16" s="56" t="s">
        <v>380</v>
      </c>
      <c r="I16" s="3" t="s">
        <v>1246</v>
      </c>
      <c r="J16" s="56" t="s">
        <v>1272</v>
      </c>
    </row>
    <row r="17" spans="1:10" x14ac:dyDescent="0.3">
      <c r="A17" s="3" t="s">
        <v>65</v>
      </c>
      <c r="B17" s="56" t="s">
        <v>64</v>
      </c>
      <c r="E17" s="3" t="s">
        <v>513</v>
      </c>
      <c r="F17" s="56" t="s">
        <v>514</v>
      </c>
      <c r="I17" s="3" t="s">
        <v>1247</v>
      </c>
      <c r="J17" s="56" t="s">
        <v>1271</v>
      </c>
    </row>
    <row r="18" spans="1:10" x14ac:dyDescent="0.3">
      <c r="A18" s="3" t="s">
        <v>197</v>
      </c>
      <c r="B18" s="56" t="s">
        <v>196</v>
      </c>
      <c r="E18" s="3" t="s">
        <v>881</v>
      </c>
      <c r="F18" s="56" t="s">
        <v>882</v>
      </c>
      <c r="I18" s="3" t="s">
        <v>1242</v>
      </c>
      <c r="J18" s="56" t="s">
        <v>1267</v>
      </c>
    </row>
    <row r="19" spans="1:10" x14ac:dyDescent="0.3">
      <c r="A19" s="3" t="s">
        <v>187</v>
      </c>
      <c r="B19" s="56" t="s">
        <v>186</v>
      </c>
      <c r="E19" s="3" t="s">
        <v>603</v>
      </c>
      <c r="F19" s="56" t="s">
        <v>604</v>
      </c>
      <c r="I19" s="3" t="s">
        <v>1254</v>
      </c>
      <c r="J19" s="56" t="s">
        <v>1279</v>
      </c>
    </row>
    <row r="20" spans="1:10" x14ac:dyDescent="0.3">
      <c r="A20" s="3" t="s">
        <v>43</v>
      </c>
      <c r="B20" s="56" t="s">
        <v>42</v>
      </c>
      <c r="E20" s="3" t="s">
        <v>1165</v>
      </c>
      <c r="F20" s="56" t="s">
        <v>1166</v>
      </c>
      <c r="I20" s="3" t="s">
        <v>1236</v>
      </c>
      <c r="J20" s="56" t="s">
        <v>1261</v>
      </c>
    </row>
    <row r="21" spans="1:10" x14ac:dyDescent="0.3">
      <c r="A21" s="3" t="s">
        <v>141</v>
      </c>
      <c r="B21" s="56" t="s">
        <v>140</v>
      </c>
      <c r="E21" s="3" t="s">
        <v>583</v>
      </c>
      <c r="F21" s="56" t="s">
        <v>584</v>
      </c>
      <c r="I21" s="3" t="s">
        <v>1244</v>
      </c>
      <c r="J21" s="56" t="s">
        <v>1269</v>
      </c>
    </row>
    <row r="22" spans="1:10" x14ac:dyDescent="0.3">
      <c r="A22" s="3" t="s">
        <v>121</v>
      </c>
      <c r="B22" s="56" t="s">
        <v>120</v>
      </c>
      <c r="E22" s="3" t="s">
        <v>613</v>
      </c>
      <c r="F22" s="56" t="s">
        <v>614</v>
      </c>
      <c r="I22" s="3" t="s">
        <v>1258</v>
      </c>
      <c r="J22" s="56" t="s">
        <v>1283</v>
      </c>
    </row>
    <row r="23" spans="1:10" x14ac:dyDescent="0.3">
      <c r="A23" s="3" t="s">
        <v>73</v>
      </c>
      <c r="B23" s="56" t="s">
        <v>72</v>
      </c>
      <c r="E23" s="3" t="s">
        <v>1139</v>
      </c>
      <c r="F23" s="56" t="s">
        <v>1140</v>
      </c>
      <c r="I23" s="3" t="s">
        <v>1239</v>
      </c>
      <c r="J23" s="56" t="s">
        <v>1264</v>
      </c>
    </row>
    <row r="24" spans="1:10" x14ac:dyDescent="0.3">
      <c r="A24" s="3" t="s">
        <v>131</v>
      </c>
      <c r="B24" s="56" t="s">
        <v>130</v>
      </c>
      <c r="E24" s="3" t="s">
        <v>533</v>
      </c>
      <c r="F24" s="56" t="s">
        <v>534</v>
      </c>
      <c r="I24" s="3" t="s">
        <v>1245</v>
      </c>
      <c r="J24" s="56" t="s">
        <v>1270</v>
      </c>
    </row>
    <row r="25" spans="1:10" x14ac:dyDescent="0.3">
      <c r="A25" s="3" t="s">
        <v>19</v>
      </c>
      <c r="B25" s="56" t="s">
        <v>18</v>
      </c>
      <c r="E25" s="3" t="s">
        <v>1061</v>
      </c>
      <c r="F25" s="56" t="s">
        <v>1062</v>
      </c>
      <c r="I25" s="3" t="s">
        <v>1257</v>
      </c>
      <c r="J25" s="56" t="s">
        <v>1282</v>
      </c>
    </row>
    <row r="26" spans="1:10" x14ac:dyDescent="0.3">
      <c r="A26" s="3" t="s">
        <v>37</v>
      </c>
      <c r="B26" s="56" t="s">
        <v>36</v>
      </c>
      <c r="E26" s="3" t="s">
        <v>1113</v>
      </c>
      <c r="F26" s="56" t="s">
        <v>1114</v>
      </c>
      <c r="I26" s="3" t="s">
        <v>1248</v>
      </c>
      <c r="J26" s="56" t="s">
        <v>1273</v>
      </c>
    </row>
    <row r="27" spans="1:10" x14ac:dyDescent="0.3">
      <c r="A27" s="3" t="s">
        <v>181</v>
      </c>
      <c r="B27" s="56" t="s">
        <v>180</v>
      </c>
      <c r="E27" s="3" t="s">
        <v>1027</v>
      </c>
      <c r="F27" s="56" t="s">
        <v>1028</v>
      </c>
      <c r="I27" s="3" t="s">
        <v>1253</v>
      </c>
      <c r="J27" s="56" t="s">
        <v>1278</v>
      </c>
    </row>
    <row r="28" spans="1:10" x14ac:dyDescent="0.3">
      <c r="A28" s="3" t="s">
        <v>25</v>
      </c>
      <c r="B28" s="56" t="s">
        <v>24</v>
      </c>
      <c r="E28" s="3" t="s">
        <v>595</v>
      </c>
      <c r="F28" s="56" t="s">
        <v>596</v>
      </c>
      <c r="I28" s="3" t="s">
        <v>1243</v>
      </c>
      <c r="J28" s="56" t="s">
        <v>1268</v>
      </c>
    </row>
    <row r="29" spans="1:10" x14ac:dyDescent="0.3">
      <c r="A29" s="3" t="s">
        <v>27</v>
      </c>
      <c r="B29" s="56" t="s">
        <v>26</v>
      </c>
      <c r="E29" s="3" t="s">
        <v>1111</v>
      </c>
      <c r="F29" s="56" t="s">
        <v>1112</v>
      </c>
      <c r="I29" s="3" t="s">
        <v>1234</v>
      </c>
      <c r="J29" s="56" t="s">
        <v>1259</v>
      </c>
    </row>
    <row r="30" spans="1:10" x14ac:dyDescent="0.3">
      <c r="A30" s="3" t="s">
        <v>53</v>
      </c>
      <c r="B30" s="56" t="s">
        <v>52</v>
      </c>
      <c r="E30" s="3" t="s">
        <v>361</v>
      </c>
      <c r="F30" s="56" t="s">
        <v>362</v>
      </c>
      <c r="I30" s="3" t="s">
        <v>1237</v>
      </c>
      <c r="J30" s="56" t="s">
        <v>1262</v>
      </c>
    </row>
    <row r="31" spans="1:10" x14ac:dyDescent="0.3">
      <c r="A31" s="3" t="s">
        <v>135</v>
      </c>
      <c r="B31" s="56" t="s">
        <v>134</v>
      </c>
      <c r="E31" s="3" t="s">
        <v>1071</v>
      </c>
      <c r="F31" s="56" t="s">
        <v>1072</v>
      </c>
    </row>
    <row r="32" spans="1:10" x14ac:dyDescent="0.3">
      <c r="A32" s="3" t="s">
        <v>171</v>
      </c>
      <c r="B32" s="56" t="s">
        <v>170</v>
      </c>
      <c r="E32" s="3" t="s">
        <v>297</v>
      </c>
      <c r="F32" s="56" t="s">
        <v>298</v>
      </c>
    </row>
    <row r="33" spans="1:6" x14ac:dyDescent="0.3">
      <c r="A33" s="3" t="s">
        <v>193</v>
      </c>
      <c r="B33" s="56" t="s">
        <v>192</v>
      </c>
      <c r="E33" s="3" t="s">
        <v>641</v>
      </c>
      <c r="F33" s="56" t="s">
        <v>642</v>
      </c>
    </row>
    <row r="34" spans="1:6" x14ac:dyDescent="0.3">
      <c r="A34" s="3" t="s">
        <v>107</v>
      </c>
      <c r="B34" s="56" t="s">
        <v>106</v>
      </c>
      <c r="E34" s="3" t="s">
        <v>347</v>
      </c>
      <c r="F34" s="56" t="s">
        <v>348</v>
      </c>
    </row>
    <row r="35" spans="1:6" x14ac:dyDescent="0.3">
      <c r="A35" s="3" t="s">
        <v>8</v>
      </c>
      <c r="B35" s="56" t="s">
        <v>2</v>
      </c>
      <c r="E35" s="3" t="s">
        <v>577</v>
      </c>
      <c r="F35" s="56" t="s">
        <v>578</v>
      </c>
    </row>
    <row r="36" spans="1:6" x14ac:dyDescent="0.3">
      <c r="A36" s="3" t="s">
        <v>61</v>
      </c>
      <c r="B36" s="56" t="s">
        <v>60</v>
      </c>
      <c r="E36" s="3" t="s">
        <v>425</v>
      </c>
      <c r="F36" s="56" t="s">
        <v>426</v>
      </c>
    </row>
    <row r="37" spans="1:6" x14ac:dyDescent="0.3">
      <c r="A37" s="3" t="s">
        <v>89</v>
      </c>
      <c r="B37" s="56" t="s">
        <v>88</v>
      </c>
      <c r="E37" s="3" t="s">
        <v>1225</v>
      </c>
      <c r="F37" s="56" t="s">
        <v>1226</v>
      </c>
    </row>
    <row r="38" spans="1:6" x14ac:dyDescent="0.3">
      <c r="A38" s="3" t="s">
        <v>57</v>
      </c>
      <c r="B38" s="56" t="s">
        <v>56</v>
      </c>
      <c r="E38" s="3" t="s">
        <v>227</v>
      </c>
      <c r="F38" s="56" t="s">
        <v>228</v>
      </c>
    </row>
    <row r="39" spans="1:6" x14ac:dyDescent="0.3">
      <c r="A39" s="3" t="s">
        <v>23</v>
      </c>
      <c r="B39" s="56" t="s">
        <v>22</v>
      </c>
      <c r="E39" s="3" t="s">
        <v>399</v>
      </c>
      <c r="F39" s="56" t="s">
        <v>400</v>
      </c>
    </row>
    <row r="40" spans="1:6" x14ac:dyDescent="0.3">
      <c r="A40" s="3" t="s">
        <v>35</v>
      </c>
      <c r="B40" s="56" t="s">
        <v>34</v>
      </c>
      <c r="E40" s="3" t="s">
        <v>795</v>
      </c>
      <c r="F40" s="56" t="s">
        <v>796</v>
      </c>
    </row>
    <row r="41" spans="1:6" x14ac:dyDescent="0.3">
      <c r="A41" s="3" t="s">
        <v>85</v>
      </c>
      <c r="B41" s="56" t="s">
        <v>84</v>
      </c>
      <c r="E41" s="3" t="s">
        <v>473</v>
      </c>
      <c r="F41" s="56" t="s">
        <v>474</v>
      </c>
    </row>
    <row r="42" spans="1:6" x14ac:dyDescent="0.3">
      <c r="A42" s="3" t="s">
        <v>95</v>
      </c>
      <c r="B42" s="56" t="s">
        <v>94</v>
      </c>
      <c r="E42" s="3" t="s">
        <v>1177</v>
      </c>
      <c r="F42" s="56" t="s">
        <v>1178</v>
      </c>
    </row>
    <row r="43" spans="1:6" x14ac:dyDescent="0.3">
      <c r="A43" s="3" t="s">
        <v>195</v>
      </c>
      <c r="B43" s="56" t="s">
        <v>194</v>
      </c>
      <c r="E43" s="3" t="s">
        <v>1193</v>
      </c>
      <c r="F43" s="56" t="s">
        <v>1194</v>
      </c>
    </row>
    <row r="44" spans="1:6" x14ac:dyDescent="0.3">
      <c r="A44" s="3" t="s">
        <v>101</v>
      </c>
      <c r="B44" s="56" t="s">
        <v>100</v>
      </c>
      <c r="E44" s="3" t="s">
        <v>505</v>
      </c>
      <c r="F44" s="56" t="s">
        <v>506</v>
      </c>
    </row>
    <row r="45" spans="1:6" x14ac:dyDescent="0.3">
      <c r="A45" s="3" t="s">
        <v>191</v>
      </c>
      <c r="B45" s="56" t="s">
        <v>190</v>
      </c>
      <c r="E45" s="3" t="s">
        <v>441</v>
      </c>
      <c r="F45" s="56" t="s">
        <v>442</v>
      </c>
    </row>
    <row r="46" spans="1:6" x14ac:dyDescent="0.3">
      <c r="A46" s="3" t="s">
        <v>145</v>
      </c>
      <c r="B46" s="56" t="s">
        <v>144</v>
      </c>
      <c r="E46" s="3" t="s">
        <v>1049</v>
      </c>
      <c r="F46" s="56" t="s">
        <v>1050</v>
      </c>
    </row>
    <row r="47" spans="1:6" x14ac:dyDescent="0.3">
      <c r="A47" s="3" t="s">
        <v>133</v>
      </c>
      <c r="B47" s="56" t="s">
        <v>132</v>
      </c>
      <c r="E47" s="3" t="s">
        <v>1039</v>
      </c>
      <c r="F47" s="56" t="s">
        <v>1040</v>
      </c>
    </row>
    <row r="48" spans="1:6" x14ac:dyDescent="0.3">
      <c r="A48" s="3" t="s">
        <v>109</v>
      </c>
      <c r="B48" s="56" t="s">
        <v>108</v>
      </c>
      <c r="E48" s="3" t="s">
        <v>913</v>
      </c>
      <c r="F48" s="56" t="s">
        <v>914</v>
      </c>
    </row>
    <row r="49" spans="1:6" x14ac:dyDescent="0.3">
      <c r="A49" s="3" t="s">
        <v>151</v>
      </c>
      <c r="B49" s="56" t="s">
        <v>150</v>
      </c>
      <c r="E49" s="3" t="s">
        <v>767</v>
      </c>
      <c r="F49" s="56" t="s">
        <v>768</v>
      </c>
    </row>
    <row r="50" spans="1:6" x14ac:dyDescent="0.3">
      <c r="A50" s="3" t="s">
        <v>155</v>
      </c>
      <c r="B50" s="56" t="s">
        <v>154</v>
      </c>
      <c r="E50" s="3" t="s">
        <v>237</v>
      </c>
      <c r="F50" s="56" t="s">
        <v>238</v>
      </c>
    </row>
    <row r="51" spans="1:6" x14ac:dyDescent="0.3">
      <c r="A51" s="3" t="s">
        <v>81</v>
      </c>
      <c r="B51" s="56" t="s">
        <v>80</v>
      </c>
      <c r="E51" s="3" t="s">
        <v>1043</v>
      </c>
      <c r="F51" s="56" t="s">
        <v>1044</v>
      </c>
    </row>
    <row r="52" spans="1:6" x14ac:dyDescent="0.3">
      <c r="A52" s="3" t="s">
        <v>10</v>
      </c>
      <c r="B52" s="56" t="s">
        <v>4</v>
      </c>
      <c r="E52" s="3" t="s">
        <v>853</v>
      </c>
      <c r="F52" s="56" t="s">
        <v>854</v>
      </c>
    </row>
    <row r="53" spans="1:6" x14ac:dyDescent="0.3">
      <c r="A53" s="3" t="s">
        <v>97</v>
      </c>
      <c r="B53" s="56" t="s">
        <v>96</v>
      </c>
      <c r="E53" s="3" t="s">
        <v>621</v>
      </c>
      <c r="F53" s="56" t="s">
        <v>622</v>
      </c>
    </row>
    <row r="54" spans="1:6" x14ac:dyDescent="0.3">
      <c r="A54" s="3" t="s">
        <v>71</v>
      </c>
      <c r="B54" s="56" t="s">
        <v>70</v>
      </c>
      <c r="E54" s="3" t="s">
        <v>325</v>
      </c>
      <c r="F54" s="56" t="s">
        <v>326</v>
      </c>
    </row>
    <row r="55" spans="1:6" x14ac:dyDescent="0.3">
      <c r="A55" s="3" t="s">
        <v>45</v>
      </c>
      <c r="B55" s="56" t="s">
        <v>44</v>
      </c>
      <c r="E55" s="3" t="s">
        <v>561</v>
      </c>
      <c r="F55" s="56" t="s">
        <v>562</v>
      </c>
    </row>
    <row r="56" spans="1:6" x14ac:dyDescent="0.3">
      <c r="A56" s="3" t="s">
        <v>125</v>
      </c>
      <c r="B56" s="56" t="s">
        <v>124</v>
      </c>
      <c r="E56" s="3" t="s">
        <v>381</v>
      </c>
      <c r="F56" s="56" t="s">
        <v>382</v>
      </c>
    </row>
    <row r="57" spans="1:6" x14ac:dyDescent="0.3">
      <c r="A57" s="3" t="s">
        <v>49</v>
      </c>
      <c r="B57" s="56" t="s">
        <v>48</v>
      </c>
      <c r="E57" s="3" t="s">
        <v>267</v>
      </c>
      <c r="F57" s="56" t="s">
        <v>268</v>
      </c>
    </row>
    <row r="58" spans="1:6" x14ac:dyDescent="0.3">
      <c r="A58" s="3" t="s">
        <v>83</v>
      </c>
      <c r="B58" s="56" t="s">
        <v>82</v>
      </c>
      <c r="E58" s="3" t="s">
        <v>1007</v>
      </c>
      <c r="F58" s="56" t="s">
        <v>1008</v>
      </c>
    </row>
    <row r="59" spans="1:6" x14ac:dyDescent="0.3">
      <c r="A59" s="3" t="s">
        <v>103</v>
      </c>
      <c r="B59" s="56" t="s">
        <v>102</v>
      </c>
      <c r="E59" s="3" t="s">
        <v>1045</v>
      </c>
      <c r="F59" s="56" t="s">
        <v>1046</v>
      </c>
    </row>
    <row r="60" spans="1:6" x14ac:dyDescent="0.3">
      <c r="A60" s="3" t="s">
        <v>69</v>
      </c>
      <c r="B60" s="56" t="s">
        <v>68</v>
      </c>
      <c r="E60" s="3" t="s">
        <v>1017</v>
      </c>
      <c r="F60" s="56" t="s">
        <v>1018</v>
      </c>
    </row>
    <row r="61" spans="1:6" x14ac:dyDescent="0.3">
      <c r="A61" s="3" t="s">
        <v>173</v>
      </c>
      <c r="B61" s="56" t="s">
        <v>172</v>
      </c>
      <c r="E61" s="3" t="s">
        <v>521</v>
      </c>
      <c r="F61" s="56" t="s">
        <v>522</v>
      </c>
    </row>
    <row r="62" spans="1:6" x14ac:dyDescent="0.3">
      <c r="A62" s="3" t="s">
        <v>143</v>
      </c>
      <c r="B62" s="56" t="s">
        <v>142</v>
      </c>
      <c r="E62" s="3" t="s">
        <v>1213</v>
      </c>
      <c r="F62" s="56" t="s">
        <v>1214</v>
      </c>
    </row>
    <row r="63" spans="1:6" x14ac:dyDescent="0.3">
      <c r="A63" s="3" t="s">
        <v>165</v>
      </c>
      <c r="B63" s="56" t="s">
        <v>164</v>
      </c>
      <c r="E63" s="3" t="s">
        <v>1195</v>
      </c>
      <c r="F63" s="56" t="s">
        <v>1196</v>
      </c>
    </row>
    <row r="64" spans="1:6" x14ac:dyDescent="0.3">
      <c r="A64" s="3" t="s">
        <v>163</v>
      </c>
      <c r="B64" s="56" t="s">
        <v>162</v>
      </c>
      <c r="E64" s="3" t="s">
        <v>1123</v>
      </c>
      <c r="F64" s="56" t="s">
        <v>1124</v>
      </c>
    </row>
    <row r="65" spans="1:6" x14ac:dyDescent="0.3">
      <c r="A65" s="3" t="s">
        <v>177</v>
      </c>
      <c r="B65" s="56" t="s">
        <v>176</v>
      </c>
      <c r="E65" s="3" t="s">
        <v>895</v>
      </c>
      <c r="F65" s="56" t="s">
        <v>896</v>
      </c>
    </row>
    <row r="66" spans="1:6" x14ac:dyDescent="0.3">
      <c r="A66" s="3" t="s">
        <v>67</v>
      </c>
      <c r="B66" s="56" t="s">
        <v>66</v>
      </c>
      <c r="E66" s="3" t="s">
        <v>551</v>
      </c>
      <c r="F66" s="56" t="s">
        <v>552</v>
      </c>
    </row>
    <row r="67" spans="1:6" x14ac:dyDescent="0.3">
      <c r="A67" s="3" t="s">
        <v>6</v>
      </c>
      <c r="B67" s="56" t="s">
        <v>0</v>
      </c>
      <c r="E67" s="3" t="s">
        <v>319</v>
      </c>
      <c r="F67" s="56" t="s">
        <v>320</v>
      </c>
    </row>
    <row r="68" spans="1:6" x14ac:dyDescent="0.3">
      <c r="A68" s="3" t="s">
        <v>119</v>
      </c>
      <c r="B68" s="56" t="s">
        <v>118</v>
      </c>
      <c r="E68" s="3" t="s">
        <v>659</v>
      </c>
      <c r="F68" s="56" t="s">
        <v>660</v>
      </c>
    </row>
    <row r="69" spans="1:6" x14ac:dyDescent="0.3">
      <c r="A69" s="3" t="s">
        <v>153</v>
      </c>
      <c r="B69" s="56" t="s">
        <v>152</v>
      </c>
      <c r="E69" s="3" t="s">
        <v>951</v>
      </c>
      <c r="F69" s="56" t="s">
        <v>952</v>
      </c>
    </row>
    <row r="70" spans="1:6" x14ac:dyDescent="0.3">
      <c r="A70" s="3" t="s">
        <v>63</v>
      </c>
      <c r="B70" s="56" t="s">
        <v>62</v>
      </c>
      <c r="E70" s="3" t="s">
        <v>345</v>
      </c>
      <c r="F70" s="56" t="s">
        <v>346</v>
      </c>
    </row>
    <row r="71" spans="1:6" x14ac:dyDescent="0.3">
      <c r="A71" s="3" t="s">
        <v>149</v>
      </c>
      <c r="B71" s="56" t="s">
        <v>148</v>
      </c>
      <c r="E71" s="3" t="s">
        <v>389</v>
      </c>
      <c r="F71" s="56" t="s">
        <v>390</v>
      </c>
    </row>
    <row r="72" spans="1:6" x14ac:dyDescent="0.3">
      <c r="A72" s="3" t="s">
        <v>189</v>
      </c>
      <c r="B72" s="56" t="s">
        <v>188</v>
      </c>
      <c r="E72" s="3" t="s">
        <v>825</v>
      </c>
      <c r="F72" s="56" t="s">
        <v>826</v>
      </c>
    </row>
    <row r="73" spans="1:6" x14ac:dyDescent="0.3">
      <c r="A73" s="3" t="s">
        <v>161</v>
      </c>
      <c r="B73" s="56" t="s">
        <v>160</v>
      </c>
      <c r="E73" s="3" t="s">
        <v>239</v>
      </c>
      <c r="F73" s="56" t="s">
        <v>240</v>
      </c>
    </row>
    <row r="74" spans="1:6" x14ac:dyDescent="0.3">
      <c r="A74" s="3" t="s">
        <v>51</v>
      </c>
      <c r="B74" s="56" t="s">
        <v>50</v>
      </c>
      <c r="E74" s="3" t="s">
        <v>871</v>
      </c>
      <c r="F74" s="56" t="s">
        <v>872</v>
      </c>
    </row>
    <row r="75" spans="1:6" x14ac:dyDescent="0.3">
      <c r="A75" s="3" t="s">
        <v>185</v>
      </c>
      <c r="B75" s="56" t="s">
        <v>184</v>
      </c>
      <c r="E75" s="3" t="s">
        <v>367</v>
      </c>
      <c r="F75" s="56" t="s">
        <v>368</v>
      </c>
    </row>
    <row r="76" spans="1:6" x14ac:dyDescent="0.3">
      <c r="A76" s="3" t="s">
        <v>129</v>
      </c>
      <c r="B76" s="56" t="s">
        <v>128</v>
      </c>
      <c r="E76" s="3" t="s">
        <v>1201</v>
      </c>
      <c r="F76" s="56" t="s">
        <v>1202</v>
      </c>
    </row>
    <row r="77" spans="1:6" x14ac:dyDescent="0.3">
      <c r="A77" s="3" t="s">
        <v>77</v>
      </c>
      <c r="B77" s="56" t="s">
        <v>76</v>
      </c>
      <c r="E77" s="3" t="s">
        <v>363</v>
      </c>
      <c r="F77" s="56" t="s">
        <v>364</v>
      </c>
    </row>
    <row r="78" spans="1:6" x14ac:dyDescent="0.3">
      <c r="A78" s="3" t="s">
        <v>115</v>
      </c>
      <c r="B78" s="56" t="s">
        <v>114</v>
      </c>
      <c r="E78" s="3" t="s">
        <v>1127</v>
      </c>
      <c r="F78" s="56" t="s">
        <v>1128</v>
      </c>
    </row>
    <row r="79" spans="1:6" x14ac:dyDescent="0.3">
      <c r="A79" s="3" t="s">
        <v>13</v>
      </c>
      <c r="B79" s="56" t="s">
        <v>12</v>
      </c>
      <c r="E79" s="3" t="s">
        <v>365</v>
      </c>
      <c r="F79" s="56" t="s">
        <v>366</v>
      </c>
    </row>
    <row r="80" spans="1:6" x14ac:dyDescent="0.3">
      <c r="A80" s="3" t="s">
        <v>91</v>
      </c>
      <c r="B80" s="56" t="s">
        <v>90</v>
      </c>
      <c r="E80" s="3" t="s">
        <v>1097</v>
      </c>
      <c r="F80" s="56" t="s">
        <v>1098</v>
      </c>
    </row>
    <row r="81" spans="1:6" x14ac:dyDescent="0.3">
      <c r="A81" s="3" t="s">
        <v>137</v>
      </c>
      <c r="B81" s="56" t="s">
        <v>136</v>
      </c>
      <c r="E81" s="3" t="s">
        <v>815</v>
      </c>
      <c r="F81" s="56" t="s">
        <v>816</v>
      </c>
    </row>
    <row r="82" spans="1:6" x14ac:dyDescent="0.3">
      <c r="A82" s="3" t="s">
        <v>199</v>
      </c>
      <c r="B82" s="56" t="s">
        <v>198</v>
      </c>
      <c r="E82" s="3" t="s">
        <v>535</v>
      </c>
      <c r="F82" s="56" t="s">
        <v>536</v>
      </c>
    </row>
    <row r="83" spans="1:6" x14ac:dyDescent="0.3">
      <c r="A83" s="3" t="s">
        <v>31</v>
      </c>
      <c r="B83" s="56" t="s">
        <v>30</v>
      </c>
      <c r="E83" s="3" t="s">
        <v>309</v>
      </c>
      <c r="F83" s="56" t="s">
        <v>310</v>
      </c>
    </row>
    <row r="84" spans="1:6" x14ac:dyDescent="0.3">
      <c r="A84" s="3" t="s">
        <v>29</v>
      </c>
      <c r="B84" s="56" t="s">
        <v>28</v>
      </c>
      <c r="E84" s="3" t="s">
        <v>411</v>
      </c>
      <c r="F84" s="56" t="s">
        <v>412</v>
      </c>
    </row>
    <row r="85" spans="1:6" x14ac:dyDescent="0.3">
      <c r="A85" s="3" t="s">
        <v>111</v>
      </c>
      <c r="B85" s="56" t="s">
        <v>110</v>
      </c>
      <c r="E85" s="3" t="s">
        <v>923</v>
      </c>
      <c r="F85" s="56" t="s">
        <v>924</v>
      </c>
    </row>
    <row r="86" spans="1:6" x14ac:dyDescent="0.3">
      <c r="A86" s="3" t="s">
        <v>41</v>
      </c>
      <c r="B86" s="56" t="s">
        <v>40</v>
      </c>
      <c r="E86" s="3" t="s">
        <v>661</v>
      </c>
      <c r="F86" s="56" t="s">
        <v>662</v>
      </c>
    </row>
    <row r="87" spans="1:6" x14ac:dyDescent="0.3">
      <c r="A87" s="3" t="s">
        <v>157</v>
      </c>
      <c r="B87" s="56" t="s">
        <v>156</v>
      </c>
      <c r="E87" s="3" t="s">
        <v>647</v>
      </c>
      <c r="F87" s="56" t="s">
        <v>648</v>
      </c>
    </row>
    <row r="88" spans="1:6" x14ac:dyDescent="0.3">
      <c r="A88" s="3" t="s">
        <v>7</v>
      </c>
      <c r="B88" s="56" t="s">
        <v>1</v>
      </c>
      <c r="E88" s="3" t="s">
        <v>837</v>
      </c>
      <c r="F88" s="56" t="s">
        <v>838</v>
      </c>
    </row>
    <row r="89" spans="1:6" x14ac:dyDescent="0.3">
      <c r="A89" s="3" t="s">
        <v>79</v>
      </c>
      <c r="B89" s="56" t="s">
        <v>78</v>
      </c>
      <c r="E89" s="3" t="s">
        <v>453</v>
      </c>
      <c r="F89" s="56" t="s">
        <v>454</v>
      </c>
    </row>
    <row r="90" spans="1:6" x14ac:dyDescent="0.3">
      <c r="A90" s="3" t="s">
        <v>105</v>
      </c>
      <c r="B90" s="56" t="s">
        <v>104</v>
      </c>
      <c r="E90" s="3" t="s">
        <v>883</v>
      </c>
      <c r="F90" s="56" t="s">
        <v>884</v>
      </c>
    </row>
    <row r="91" spans="1:6" x14ac:dyDescent="0.3">
      <c r="A91" s="3" t="s">
        <v>9</v>
      </c>
      <c r="B91" s="56" t="s">
        <v>3</v>
      </c>
      <c r="E91" s="3" t="s">
        <v>1205</v>
      </c>
      <c r="F91" s="56" t="s">
        <v>1206</v>
      </c>
    </row>
    <row r="92" spans="1:6" x14ac:dyDescent="0.3">
      <c r="A92" s="3" t="s">
        <v>15</v>
      </c>
      <c r="B92" s="56" t="s">
        <v>14</v>
      </c>
      <c r="E92" s="3" t="s">
        <v>489</v>
      </c>
      <c r="F92" s="56" t="s">
        <v>490</v>
      </c>
    </row>
    <row r="93" spans="1:6" x14ac:dyDescent="0.3">
      <c r="A93" s="3" t="s">
        <v>11</v>
      </c>
      <c r="B93" s="56" t="s">
        <v>5</v>
      </c>
      <c r="E93" s="3" t="s">
        <v>1037</v>
      </c>
      <c r="F93" s="56" t="s">
        <v>1038</v>
      </c>
    </row>
    <row r="94" spans="1:6" x14ac:dyDescent="0.3">
      <c r="A94" s="3" t="s">
        <v>87</v>
      </c>
      <c r="B94" s="56" t="s">
        <v>86</v>
      </c>
      <c r="E94" s="3" t="s">
        <v>931</v>
      </c>
      <c r="F94" s="56" t="s">
        <v>932</v>
      </c>
    </row>
    <row r="95" spans="1:6" x14ac:dyDescent="0.3">
      <c r="A95" s="3" t="s">
        <v>33</v>
      </c>
      <c r="B95" s="56" t="s">
        <v>32</v>
      </c>
      <c r="E95" s="3" t="s">
        <v>849</v>
      </c>
      <c r="F95" s="56" t="s">
        <v>850</v>
      </c>
    </row>
    <row r="96" spans="1:6" x14ac:dyDescent="0.3">
      <c r="A96" s="3" t="s">
        <v>167</v>
      </c>
      <c r="B96" s="56" t="s">
        <v>166</v>
      </c>
      <c r="E96" s="3" t="s">
        <v>1105</v>
      </c>
      <c r="F96" s="56" t="s">
        <v>1106</v>
      </c>
    </row>
    <row r="97" spans="1:6" x14ac:dyDescent="0.3">
      <c r="A97" s="3" t="s">
        <v>39</v>
      </c>
      <c r="B97" s="56" t="s">
        <v>38</v>
      </c>
      <c r="E97" s="3" t="s">
        <v>713</v>
      </c>
      <c r="F97" s="56" t="s">
        <v>714</v>
      </c>
    </row>
    <row r="98" spans="1:6" x14ac:dyDescent="0.3">
      <c r="A98" s="3" t="s">
        <v>59</v>
      </c>
      <c r="B98" s="56" t="s">
        <v>58</v>
      </c>
      <c r="E98" s="3" t="s">
        <v>461</v>
      </c>
      <c r="F98" s="56" t="s">
        <v>462</v>
      </c>
    </row>
    <row r="99" spans="1:6" x14ac:dyDescent="0.3">
      <c r="A99" s="3" t="s">
        <v>175</v>
      </c>
      <c r="B99" s="56" t="s">
        <v>174</v>
      </c>
      <c r="E99" s="3" t="s">
        <v>887</v>
      </c>
      <c r="F99" s="56" t="s">
        <v>888</v>
      </c>
    </row>
    <row r="100" spans="1:6" x14ac:dyDescent="0.3">
      <c r="A100" s="3" t="s">
        <v>113</v>
      </c>
      <c r="B100" s="56" t="s">
        <v>112</v>
      </c>
      <c r="E100" s="3" t="s">
        <v>481</v>
      </c>
      <c r="F100" s="56" t="s">
        <v>482</v>
      </c>
    </row>
    <row r="101" spans="1:6" x14ac:dyDescent="0.3">
      <c r="A101" s="3" t="s">
        <v>75</v>
      </c>
      <c r="B101" s="56" t="s">
        <v>74</v>
      </c>
      <c r="E101" s="3" t="s">
        <v>947</v>
      </c>
      <c r="F101" s="56" t="s">
        <v>948</v>
      </c>
    </row>
    <row r="102" spans="1:6" x14ac:dyDescent="0.3">
      <c r="A102" s="3" t="s">
        <v>169</v>
      </c>
      <c r="B102" s="56" t="s">
        <v>168</v>
      </c>
      <c r="E102" s="3" t="s">
        <v>335</v>
      </c>
      <c r="F102" s="56" t="s">
        <v>336</v>
      </c>
    </row>
    <row r="103" spans="1:6" x14ac:dyDescent="0.3">
      <c r="A103" s="3" t="s">
        <v>47</v>
      </c>
      <c r="B103" s="56" t="s">
        <v>46</v>
      </c>
      <c r="E103" s="3" t="s">
        <v>455</v>
      </c>
      <c r="F103" s="56" t="s">
        <v>456</v>
      </c>
    </row>
    <row r="104" spans="1:6" x14ac:dyDescent="0.3">
      <c r="A104" s="3" t="s">
        <v>99</v>
      </c>
      <c r="B104" s="56" t="s">
        <v>98</v>
      </c>
      <c r="E104" s="3" t="s">
        <v>437</v>
      </c>
      <c r="F104" s="56" t="s">
        <v>438</v>
      </c>
    </row>
    <row r="105" spans="1:6" x14ac:dyDescent="0.3">
      <c r="A105" s="3" t="s">
        <v>159</v>
      </c>
      <c r="B105" s="56" t="s">
        <v>158</v>
      </c>
      <c r="E105" s="3" t="s">
        <v>599</v>
      </c>
      <c r="F105" s="56" t="s">
        <v>600</v>
      </c>
    </row>
    <row r="106" spans="1:6" x14ac:dyDescent="0.3">
      <c r="E106" s="3" t="s">
        <v>953</v>
      </c>
      <c r="F106" s="56" t="s">
        <v>954</v>
      </c>
    </row>
    <row r="107" spans="1:6" x14ac:dyDescent="0.3">
      <c r="E107" s="3" t="s">
        <v>801</v>
      </c>
      <c r="F107" s="56" t="s">
        <v>802</v>
      </c>
    </row>
    <row r="108" spans="1:6" x14ac:dyDescent="0.3">
      <c r="E108" s="3" t="s">
        <v>945</v>
      </c>
      <c r="F108" s="56" t="s">
        <v>946</v>
      </c>
    </row>
    <row r="109" spans="1:6" x14ac:dyDescent="0.3">
      <c r="E109" s="3" t="s">
        <v>501</v>
      </c>
      <c r="F109" s="56" t="s">
        <v>502</v>
      </c>
    </row>
    <row r="110" spans="1:6" x14ac:dyDescent="0.3">
      <c r="E110" s="3" t="s">
        <v>959</v>
      </c>
      <c r="F110" s="56" t="s">
        <v>960</v>
      </c>
    </row>
    <row r="111" spans="1:6" x14ac:dyDescent="0.3">
      <c r="E111" s="3" t="s">
        <v>369</v>
      </c>
      <c r="F111" s="56" t="s">
        <v>370</v>
      </c>
    </row>
    <row r="112" spans="1:6" x14ac:dyDescent="0.3">
      <c r="E112" s="3" t="s">
        <v>679</v>
      </c>
      <c r="F112" s="56" t="s">
        <v>680</v>
      </c>
    </row>
    <row r="113" spans="5:6" x14ac:dyDescent="0.3">
      <c r="E113" s="3" t="s">
        <v>251</v>
      </c>
      <c r="F113" s="56" t="s">
        <v>252</v>
      </c>
    </row>
    <row r="114" spans="5:6" x14ac:dyDescent="0.3">
      <c r="E114" s="3" t="s">
        <v>855</v>
      </c>
      <c r="F114" s="56" t="s">
        <v>856</v>
      </c>
    </row>
    <row r="115" spans="5:6" x14ac:dyDescent="0.3">
      <c r="E115" s="3" t="s">
        <v>1185</v>
      </c>
      <c r="F115" s="56" t="s">
        <v>1186</v>
      </c>
    </row>
    <row r="116" spans="5:6" x14ac:dyDescent="0.3">
      <c r="E116" s="3" t="s">
        <v>573</v>
      </c>
      <c r="F116" s="56" t="s">
        <v>574</v>
      </c>
    </row>
    <row r="117" spans="5:6" x14ac:dyDescent="0.3">
      <c r="E117" s="3" t="s">
        <v>1103</v>
      </c>
      <c r="F117" s="56" t="s">
        <v>1104</v>
      </c>
    </row>
    <row r="118" spans="5:6" x14ac:dyDescent="0.3">
      <c r="E118" s="3" t="s">
        <v>1159</v>
      </c>
      <c r="F118" s="56" t="s">
        <v>1160</v>
      </c>
    </row>
    <row r="119" spans="5:6" x14ac:dyDescent="0.3">
      <c r="E119" s="3" t="s">
        <v>265</v>
      </c>
      <c r="F119" s="56" t="s">
        <v>266</v>
      </c>
    </row>
    <row r="120" spans="5:6" x14ac:dyDescent="0.3">
      <c r="E120" s="3" t="s">
        <v>459</v>
      </c>
      <c r="F120" s="56" t="s">
        <v>460</v>
      </c>
    </row>
    <row r="121" spans="5:6" x14ac:dyDescent="0.3">
      <c r="E121" s="3" t="s">
        <v>285</v>
      </c>
      <c r="F121" s="56" t="s">
        <v>286</v>
      </c>
    </row>
    <row r="122" spans="5:6" x14ac:dyDescent="0.3">
      <c r="E122" s="3" t="s">
        <v>771</v>
      </c>
      <c r="F122" s="56" t="s">
        <v>772</v>
      </c>
    </row>
    <row r="123" spans="5:6" x14ac:dyDescent="0.3">
      <c r="E123" s="3" t="s">
        <v>517</v>
      </c>
      <c r="F123" s="56" t="s">
        <v>518</v>
      </c>
    </row>
    <row r="124" spans="5:6" x14ac:dyDescent="0.3">
      <c r="E124" s="3" t="s">
        <v>497</v>
      </c>
      <c r="F124" s="56" t="s">
        <v>498</v>
      </c>
    </row>
    <row r="125" spans="5:6" x14ac:dyDescent="0.3">
      <c r="E125" s="3" t="s">
        <v>1133</v>
      </c>
      <c r="F125" s="56" t="s">
        <v>1134</v>
      </c>
    </row>
    <row r="126" spans="5:6" x14ac:dyDescent="0.3">
      <c r="E126" s="3" t="s">
        <v>985</v>
      </c>
      <c r="F126" s="56" t="s">
        <v>986</v>
      </c>
    </row>
    <row r="127" spans="5:6" x14ac:dyDescent="0.3">
      <c r="E127" s="3" t="s">
        <v>681</v>
      </c>
      <c r="F127" s="56" t="s">
        <v>682</v>
      </c>
    </row>
    <row r="128" spans="5:6" x14ac:dyDescent="0.3">
      <c r="E128" s="3" t="s">
        <v>663</v>
      </c>
      <c r="F128" s="56" t="s">
        <v>664</v>
      </c>
    </row>
    <row r="129" spans="5:6" x14ac:dyDescent="0.3">
      <c r="E129" s="3" t="s">
        <v>519</v>
      </c>
      <c r="F129" s="56" t="s">
        <v>520</v>
      </c>
    </row>
    <row r="130" spans="5:6" x14ac:dyDescent="0.3">
      <c r="E130" s="3" t="s">
        <v>273</v>
      </c>
      <c r="F130" s="56" t="s">
        <v>274</v>
      </c>
    </row>
    <row r="131" spans="5:6" x14ac:dyDescent="0.3">
      <c r="E131" s="3" t="s">
        <v>1199</v>
      </c>
      <c r="F131" s="56" t="s">
        <v>1200</v>
      </c>
    </row>
    <row r="132" spans="5:6" x14ac:dyDescent="0.3">
      <c r="E132" s="3" t="s">
        <v>627</v>
      </c>
      <c r="F132" s="56" t="s">
        <v>628</v>
      </c>
    </row>
    <row r="133" spans="5:6" x14ac:dyDescent="0.3">
      <c r="E133" s="3" t="s">
        <v>673</v>
      </c>
      <c r="F133" s="56" t="s">
        <v>674</v>
      </c>
    </row>
    <row r="134" spans="5:6" x14ac:dyDescent="0.3">
      <c r="E134" s="3" t="s">
        <v>1107</v>
      </c>
      <c r="F134" s="56" t="s">
        <v>1108</v>
      </c>
    </row>
    <row r="135" spans="5:6" x14ac:dyDescent="0.3">
      <c r="E135" s="3" t="s">
        <v>731</v>
      </c>
      <c r="F135" s="56" t="s">
        <v>732</v>
      </c>
    </row>
    <row r="136" spans="5:6" x14ac:dyDescent="0.3">
      <c r="E136" s="3" t="s">
        <v>393</v>
      </c>
      <c r="F136" s="56" t="s">
        <v>394</v>
      </c>
    </row>
    <row r="137" spans="5:6" x14ac:dyDescent="0.3">
      <c r="E137" s="3" t="s">
        <v>779</v>
      </c>
      <c r="F137" s="56" t="s">
        <v>780</v>
      </c>
    </row>
    <row r="138" spans="5:6" x14ac:dyDescent="0.3">
      <c r="E138" s="3" t="s">
        <v>733</v>
      </c>
      <c r="F138" s="56" t="s">
        <v>734</v>
      </c>
    </row>
    <row r="139" spans="5:6" x14ac:dyDescent="0.3">
      <c r="E139" s="3" t="s">
        <v>635</v>
      </c>
      <c r="F139" s="56" t="s">
        <v>636</v>
      </c>
    </row>
    <row r="140" spans="5:6" x14ac:dyDescent="0.3">
      <c r="E140" s="3" t="s">
        <v>1003</v>
      </c>
      <c r="F140" s="56" t="s">
        <v>1004</v>
      </c>
    </row>
    <row r="141" spans="5:6" x14ac:dyDescent="0.3">
      <c r="E141" s="3" t="s">
        <v>1009</v>
      </c>
      <c r="F141" s="56" t="s">
        <v>1010</v>
      </c>
    </row>
    <row r="142" spans="5:6" x14ac:dyDescent="0.3">
      <c r="E142" s="3" t="s">
        <v>633</v>
      </c>
      <c r="F142" s="56" t="s">
        <v>634</v>
      </c>
    </row>
    <row r="143" spans="5:6" x14ac:dyDescent="0.3">
      <c r="E143" s="3" t="s">
        <v>341</v>
      </c>
      <c r="F143" s="56" t="s">
        <v>342</v>
      </c>
    </row>
    <row r="144" spans="5:6" x14ac:dyDescent="0.3">
      <c r="E144" s="3" t="s">
        <v>299</v>
      </c>
      <c r="F144" s="56" t="s">
        <v>300</v>
      </c>
    </row>
    <row r="145" spans="5:6" x14ac:dyDescent="0.3">
      <c r="E145" s="3" t="s">
        <v>559</v>
      </c>
      <c r="F145" s="56" t="s">
        <v>560</v>
      </c>
    </row>
    <row r="146" spans="5:6" x14ac:dyDescent="0.3">
      <c r="E146" s="3" t="s">
        <v>1073</v>
      </c>
      <c r="F146" s="56" t="s">
        <v>1074</v>
      </c>
    </row>
    <row r="147" spans="5:6" x14ac:dyDescent="0.3">
      <c r="E147" s="3" t="s">
        <v>1065</v>
      </c>
      <c r="F147" s="56" t="s">
        <v>1066</v>
      </c>
    </row>
    <row r="148" spans="5:6" x14ac:dyDescent="0.3">
      <c r="E148" s="3" t="s">
        <v>821</v>
      </c>
      <c r="F148" s="56" t="s">
        <v>822</v>
      </c>
    </row>
    <row r="149" spans="5:6" x14ac:dyDescent="0.3">
      <c r="E149" s="3" t="s">
        <v>813</v>
      </c>
      <c r="F149" s="56" t="s">
        <v>814</v>
      </c>
    </row>
    <row r="150" spans="5:6" x14ac:dyDescent="0.3">
      <c r="E150" s="3" t="s">
        <v>1041</v>
      </c>
      <c r="F150" s="56" t="s">
        <v>1042</v>
      </c>
    </row>
    <row r="151" spans="5:6" x14ac:dyDescent="0.3">
      <c r="E151" s="3" t="s">
        <v>955</v>
      </c>
      <c r="F151" s="56" t="s">
        <v>956</v>
      </c>
    </row>
    <row r="152" spans="5:6" x14ac:dyDescent="0.3">
      <c r="E152" s="3" t="s">
        <v>867</v>
      </c>
      <c r="F152" s="56" t="s">
        <v>868</v>
      </c>
    </row>
    <row r="153" spans="5:6" x14ac:dyDescent="0.3">
      <c r="E153" s="3" t="s">
        <v>451</v>
      </c>
      <c r="F153" s="56" t="s">
        <v>452</v>
      </c>
    </row>
    <row r="154" spans="5:6" x14ac:dyDescent="0.3">
      <c r="E154" s="3" t="s">
        <v>1207</v>
      </c>
      <c r="F154" s="56" t="s">
        <v>1208</v>
      </c>
    </row>
    <row r="155" spans="5:6" x14ac:dyDescent="0.3">
      <c r="E155" s="3" t="s">
        <v>911</v>
      </c>
      <c r="F155" s="56" t="s">
        <v>912</v>
      </c>
    </row>
    <row r="156" spans="5:6" x14ac:dyDescent="0.3">
      <c r="E156" s="3" t="s">
        <v>765</v>
      </c>
      <c r="F156" s="56" t="s">
        <v>766</v>
      </c>
    </row>
    <row r="157" spans="5:6" x14ac:dyDescent="0.3">
      <c r="E157" s="3" t="s">
        <v>689</v>
      </c>
      <c r="F157" s="56" t="s">
        <v>690</v>
      </c>
    </row>
    <row r="158" spans="5:6" x14ac:dyDescent="0.3">
      <c r="E158" s="3" t="s">
        <v>785</v>
      </c>
      <c r="F158" s="56" t="s">
        <v>786</v>
      </c>
    </row>
    <row r="159" spans="5:6" x14ac:dyDescent="0.3">
      <c r="E159" s="3" t="s">
        <v>531</v>
      </c>
      <c r="F159" s="56" t="s">
        <v>532</v>
      </c>
    </row>
    <row r="160" spans="5:6" x14ac:dyDescent="0.3">
      <c r="E160" s="3" t="s">
        <v>769</v>
      </c>
      <c r="F160" s="56" t="s">
        <v>770</v>
      </c>
    </row>
    <row r="161" spans="5:6" x14ac:dyDescent="0.3">
      <c r="E161" s="3" t="s">
        <v>763</v>
      </c>
      <c r="F161" s="56" t="s">
        <v>764</v>
      </c>
    </row>
    <row r="162" spans="5:6" x14ac:dyDescent="0.3">
      <c r="E162" s="3" t="s">
        <v>1047</v>
      </c>
      <c r="F162" s="56" t="s">
        <v>1048</v>
      </c>
    </row>
    <row r="163" spans="5:6" x14ac:dyDescent="0.3">
      <c r="E163" s="3" t="s">
        <v>775</v>
      </c>
      <c r="F163" s="56" t="s">
        <v>776</v>
      </c>
    </row>
    <row r="164" spans="5:6" x14ac:dyDescent="0.3">
      <c r="E164" s="3" t="s">
        <v>981</v>
      </c>
      <c r="F164" s="56" t="s">
        <v>982</v>
      </c>
    </row>
    <row r="165" spans="5:6" x14ac:dyDescent="0.3">
      <c r="E165" s="3" t="s">
        <v>439</v>
      </c>
      <c r="F165" s="56" t="s">
        <v>440</v>
      </c>
    </row>
    <row r="166" spans="5:6" x14ac:dyDescent="0.3">
      <c r="E166" s="3" t="s">
        <v>1129</v>
      </c>
      <c r="F166" s="56" t="s">
        <v>1130</v>
      </c>
    </row>
    <row r="167" spans="5:6" x14ac:dyDescent="0.3">
      <c r="E167" s="3" t="s">
        <v>483</v>
      </c>
      <c r="F167" s="56" t="s">
        <v>484</v>
      </c>
    </row>
    <row r="168" spans="5:6" x14ac:dyDescent="0.3">
      <c r="E168" s="3" t="s">
        <v>1157</v>
      </c>
      <c r="F168" s="56" t="s">
        <v>1158</v>
      </c>
    </row>
    <row r="169" spans="5:6" x14ac:dyDescent="0.3">
      <c r="E169" s="3" t="s">
        <v>495</v>
      </c>
      <c r="F169" s="56" t="s">
        <v>496</v>
      </c>
    </row>
    <row r="170" spans="5:6" x14ac:dyDescent="0.3">
      <c r="E170" s="3" t="s">
        <v>1075</v>
      </c>
      <c r="F170" s="56" t="s">
        <v>1076</v>
      </c>
    </row>
    <row r="171" spans="5:6" x14ac:dyDescent="0.3">
      <c r="E171" s="3" t="s">
        <v>429</v>
      </c>
      <c r="F171" s="56" t="s">
        <v>430</v>
      </c>
    </row>
    <row r="172" spans="5:6" x14ac:dyDescent="0.3">
      <c r="E172" s="3" t="s">
        <v>869</v>
      </c>
      <c r="F172" s="56" t="s">
        <v>870</v>
      </c>
    </row>
    <row r="173" spans="5:6" x14ac:dyDescent="0.3">
      <c r="E173" s="3" t="s">
        <v>835</v>
      </c>
      <c r="F173" s="56" t="s">
        <v>836</v>
      </c>
    </row>
    <row r="174" spans="5:6" x14ac:dyDescent="0.3">
      <c r="E174" s="3" t="s">
        <v>1151</v>
      </c>
      <c r="F174" s="56" t="s">
        <v>1152</v>
      </c>
    </row>
    <row r="175" spans="5:6" x14ac:dyDescent="0.3">
      <c r="E175" s="3" t="s">
        <v>919</v>
      </c>
      <c r="F175" s="56" t="s">
        <v>920</v>
      </c>
    </row>
    <row r="176" spans="5:6" x14ac:dyDescent="0.3">
      <c r="E176" s="3" t="s">
        <v>975</v>
      </c>
      <c r="F176" s="56" t="s">
        <v>976</v>
      </c>
    </row>
    <row r="177" spans="5:6" x14ac:dyDescent="0.3">
      <c r="E177" s="3" t="s">
        <v>351</v>
      </c>
      <c r="F177" s="56" t="s">
        <v>352</v>
      </c>
    </row>
    <row r="178" spans="5:6" x14ac:dyDescent="0.3">
      <c r="E178" s="3" t="s">
        <v>773</v>
      </c>
      <c r="F178" s="56" t="s">
        <v>774</v>
      </c>
    </row>
    <row r="179" spans="5:6" x14ac:dyDescent="0.3">
      <c r="E179" s="3" t="s">
        <v>1083</v>
      </c>
      <c r="F179" s="56" t="s">
        <v>1084</v>
      </c>
    </row>
    <row r="180" spans="5:6" x14ac:dyDescent="0.3">
      <c r="E180" s="3" t="s">
        <v>637</v>
      </c>
      <c r="F180" s="56" t="s">
        <v>638</v>
      </c>
    </row>
    <row r="181" spans="5:6" x14ac:dyDescent="0.3">
      <c r="E181" s="3" t="s">
        <v>709</v>
      </c>
      <c r="F181" s="56" t="s">
        <v>710</v>
      </c>
    </row>
    <row r="182" spans="5:6" x14ac:dyDescent="0.3">
      <c r="E182" s="3" t="s">
        <v>1023</v>
      </c>
      <c r="F182" s="56" t="s">
        <v>1024</v>
      </c>
    </row>
    <row r="183" spans="5:6" x14ac:dyDescent="0.3">
      <c r="E183" s="3" t="s">
        <v>885</v>
      </c>
      <c r="F183" s="56" t="s">
        <v>886</v>
      </c>
    </row>
    <row r="184" spans="5:6" x14ac:dyDescent="0.3">
      <c r="E184" s="3" t="s">
        <v>737</v>
      </c>
      <c r="F184" s="56" t="s">
        <v>738</v>
      </c>
    </row>
    <row r="185" spans="5:6" x14ac:dyDescent="0.3">
      <c r="E185" s="3" t="s">
        <v>675</v>
      </c>
      <c r="F185" s="56" t="s">
        <v>676</v>
      </c>
    </row>
    <row r="186" spans="5:6" x14ac:dyDescent="0.3">
      <c r="E186" s="3" t="s">
        <v>789</v>
      </c>
      <c r="F186" s="56" t="s">
        <v>790</v>
      </c>
    </row>
    <row r="187" spans="5:6" x14ac:dyDescent="0.3">
      <c r="E187" s="3" t="s">
        <v>629</v>
      </c>
      <c r="F187" s="56" t="s">
        <v>630</v>
      </c>
    </row>
    <row r="188" spans="5:6" x14ac:dyDescent="0.3">
      <c r="E188" s="3" t="s">
        <v>537</v>
      </c>
      <c r="F188" s="56" t="s">
        <v>538</v>
      </c>
    </row>
    <row r="189" spans="5:6" x14ac:dyDescent="0.3">
      <c r="E189" s="3" t="s">
        <v>987</v>
      </c>
      <c r="F189" s="56" t="s">
        <v>988</v>
      </c>
    </row>
    <row r="190" spans="5:6" x14ac:dyDescent="0.3">
      <c r="E190" s="3" t="s">
        <v>523</v>
      </c>
      <c r="F190" s="56" t="s">
        <v>524</v>
      </c>
    </row>
    <row r="191" spans="5:6" x14ac:dyDescent="0.3">
      <c r="E191" s="3" t="s">
        <v>939</v>
      </c>
      <c r="F191" s="56" t="s">
        <v>940</v>
      </c>
    </row>
    <row r="192" spans="5:6" x14ac:dyDescent="0.3">
      <c r="E192" s="3" t="s">
        <v>1063</v>
      </c>
      <c r="F192" s="56" t="s">
        <v>1064</v>
      </c>
    </row>
    <row r="193" spans="5:6" x14ac:dyDescent="0.3">
      <c r="E193" s="3" t="s">
        <v>385</v>
      </c>
      <c r="F193" s="56" t="s">
        <v>386</v>
      </c>
    </row>
    <row r="194" spans="5:6" x14ac:dyDescent="0.3">
      <c r="E194" s="3" t="s">
        <v>579</v>
      </c>
      <c r="F194" s="56" t="s">
        <v>580</v>
      </c>
    </row>
    <row r="195" spans="5:6" x14ac:dyDescent="0.3">
      <c r="E195" s="3" t="s">
        <v>619</v>
      </c>
      <c r="F195" s="56" t="s">
        <v>620</v>
      </c>
    </row>
    <row r="196" spans="5:6" x14ac:dyDescent="0.3">
      <c r="E196" s="3" t="s">
        <v>783</v>
      </c>
      <c r="F196" s="56" t="s">
        <v>784</v>
      </c>
    </row>
    <row r="197" spans="5:6" x14ac:dyDescent="0.3">
      <c r="E197" s="3" t="s">
        <v>1211</v>
      </c>
      <c r="F197" s="56" t="s">
        <v>1212</v>
      </c>
    </row>
    <row r="198" spans="5:6" x14ac:dyDescent="0.3">
      <c r="E198" s="3" t="s">
        <v>1221</v>
      </c>
      <c r="F198" s="56" t="s">
        <v>1222</v>
      </c>
    </row>
    <row r="199" spans="5:6" x14ac:dyDescent="0.3">
      <c r="E199" s="3" t="s">
        <v>1147</v>
      </c>
      <c r="F199" s="56" t="s">
        <v>1148</v>
      </c>
    </row>
    <row r="200" spans="5:6" x14ac:dyDescent="0.3">
      <c r="E200" s="3" t="s">
        <v>1187</v>
      </c>
      <c r="F200" s="56" t="s">
        <v>1188</v>
      </c>
    </row>
    <row r="201" spans="5:6" x14ac:dyDescent="0.3">
      <c r="E201" s="3" t="s">
        <v>917</v>
      </c>
      <c r="F201" s="56" t="s">
        <v>918</v>
      </c>
    </row>
    <row r="202" spans="5:6" x14ac:dyDescent="0.3">
      <c r="E202" s="3" t="s">
        <v>529</v>
      </c>
      <c r="F202" s="56" t="s">
        <v>530</v>
      </c>
    </row>
    <row r="203" spans="5:6" x14ac:dyDescent="0.3">
      <c r="E203" s="3" t="s">
        <v>827</v>
      </c>
      <c r="F203" s="56" t="s">
        <v>828</v>
      </c>
    </row>
    <row r="204" spans="5:6" x14ac:dyDescent="0.3">
      <c r="E204" s="3" t="s">
        <v>507</v>
      </c>
      <c r="F204" s="56" t="s">
        <v>508</v>
      </c>
    </row>
    <row r="205" spans="5:6" x14ac:dyDescent="0.3">
      <c r="E205" s="3" t="s">
        <v>807</v>
      </c>
      <c r="F205" s="56" t="s">
        <v>808</v>
      </c>
    </row>
    <row r="206" spans="5:6" x14ac:dyDescent="0.3">
      <c r="E206" s="3" t="s">
        <v>315</v>
      </c>
      <c r="F206" s="56" t="s">
        <v>316</v>
      </c>
    </row>
    <row r="207" spans="5:6" x14ac:dyDescent="0.3">
      <c r="E207" s="3" t="s">
        <v>701</v>
      </c>
      <c r="F207" s="56" t="s">
        <v>702</v>
      </c>
    </row>
    <row r="208" spans="5:6" x14ac:dyDescent="0.3">
      <c r="E208" s="3" t="s">
        <v>1035</v>
      </c>
      <c r="F208" s="56" t="s">
        <v>1036</v>
      </c>
    </row>
    <row r="209" spans="5:6" x14ac:dyDescent="0.3">
      <c r="E209" s="3" t="s">
        <v>421</v>
      </c>
      <c r="F209" s="56" t="s">
        <v>422</v>
      </c>
    </row>
    <row r="210" spans="5:6" x14ac:dyDescent="0.3">
      <c r="E210" s="3" t="s">
        <v>387</v>
      </c>
      <c r="F210" s="56" t="s">
        <v>388</v>
      </c>
    </row>
    <row r="211" spans="5:6" x14ac:dyDescent="0.3">
      <c r="E211" s="3" t="s">
        <v>717</v>
      </c>
      <c r="F211" s="56" t="s">
        <v>718</v>
      </c>
    </row>
    <row r="212" spans="5:6" x14ac:dyDescent="0.3">
      <c r="E212" s="3" t="s">
        <v>1169</v>
      </c>
      <c r="F212" s="56" t="s">
        <v>1170</v>
      </c>
    </row>
    <row r="213" spans="5:6" x14ac:dyDescent="0.3">
      <c r="E213" s="3" t="s">
        <v>715</v>
      </c>
      <c r="F213" s="56" t="s">
        <v>716</v>
      </c>
    </row>
    <row r="214" spans="5:6" x14ac:dyDescent="0.3">
      <c r="E214" s="3" t="s">
        <v>555</v>
      </c>
      <c r="F214" s="56" t="s">
        <v>556</v>
      </c>
    </row>
    <row r="215" spans="5:6" x14ac:dyDescent="0.3">
      <c r="E215" s="3" t="s">
        <v>1149</v>
      </c>
      <c r="F215" s="56" t="s">
        <v>1150</v>
      </c>
    </row>
    <row r="216" spans="5:6" x14ac:dyDescent="0.3">
      <c r="E216" s="3" t="s">
        <v>235</v>
      </c>
      <c r="F216" s="56" t="s">
        <v>236</v>
      </c>
    </row>
    <row r="217" spans="5:6" x14ac:dyDescent="0.3">
      <c r="E217" s="3" t="s">
        <v>233</v>
      </c>
      <c r="F217" s="56" t="s">
        <v>234</v>
      </c>
    </row>
    <row r="218" spans="5:6" x14ac:dyDescent="0.3">
      <c r="E218" s="3" t="s">
        <v>1015</v>
      </c>
      <c r="F218" s="56" t="s">
        <v>1016</v>
      </c>
    </row>
    <row r="219" spans="5:6" x14ac:dyDescent="0.3">
      <c r="E219" s="3" t="s">
        <v>803</v>
      </c>
      <c r="F219" s="56" t="s">
        <v>804</v>
      </c>
    </row>
    <row r="220" spans="5:6" x14ac:dyDescent="0.3">
      <c r="E220" s="3" t="s">
        <v>735</v>
      </c>
      <c r="F220" s="56" t="s">
        <v>736</v>
      </c>
    </row>
    <row r="221" spans="5:6" x14ac:dyDescent="0.3">
      <c r="E221" s="3" t="s">
        <v>313</v>
      </c>
      <c r="F221" s="56" t="s">
        <v>314</v>
      </c>
    </row>
    <row r="222" spans="5:6" x14ac:dyDescent="0.3">
      <c r="E222" s="3" t="s">
        <v>591</v>
      </c>
      <c r="F222" s="56" t="s">
        <v>592</v>
      </c>
    </row>
    <row r="223" spans="5:6" x14ac:dyDescent="0.3">
      <c r="E223" s="3" t="s">
        <v>851</v>
      </c>
      <c r="F223" s="56" t="s">
        <v>852</v>
      </c>
    </row>
    <row r="224" spans="5:6" x14ac:dyDescent="0.3">
      <c r="E224" s="3" t="s">
        <v>1189</v>
      </c>
      <c r="F224" s="56" t="s">
        <v>1190</v>
      </c>
    </row>
    <row r="225" spans="5:6" x14ac:dyDescent="0.3">
      <c r="E225" s="3" t="s">
        <v>861</v>
      </c>
      <c r="F225" s="56" t="s">
        <v>862</v>
      </c>
    </row>
    <row r="226" spans="5:6" x14ac:dyDescent="0.3">
      <c r="E226" s="3" t="s">
        <v>553</v>
      </c>
      <c r="F226" s="56" t="s">
        <v>554</v>
      </c>
    </row>
    <row r="227" spans="5:6" x14ac:dyDescent="0.3">
      <c r="E227" s="3" t="s">
        <v>255</v>
      </c>
      <c r="F227" s="56" t="s">
        <v>256</v>
      </c>
    </row>
    <row r="228" spans="5:6" x14ac:dyDescent="0.3">
      <c r="E228" s="3" t="s">
        <v>691</v>
      </c>
      <c r="F228" s="56" t="s">
        <v>692</v>
      </c>
    </row>
    <row r="229" spans="5:6" x14ac:dyDescent="0.3">
      <c r="E229" s="3" t="s">
        <v>751</v>
      </c>
      <c r="F229" s="56" t="s">
        <v>752</v>
      </c>
    </row>
    <row r="230" spans="5:6" x14ac:dyDescent="0.3">
      <c r="E230" s="3" t="s">
        <v>1203</v>
      </c>
      <c r="F230" s="56" t="s">
        <v>1204</v>
      </c>
    </row>
    <row r="231" spans="5:6" x14ac:dyDescent="0.3">
      <c r="E231" s="3" t="s">
        <v>525</v>
      </c>
      <c r="F231" s="56" t="s">
        <v>526</v>
      </c>
    </row>
    <row r="232" spans="5:6" x14ac:dyDescent="0.3">
      <c r="E232" s="3" t="s">
        <v>1005</v>
      </c>
      <c r="F232" s="56" t="s">
        <v>1006</v>
      </c>
    </row>
    <row r="233" spans="5:6" x14ac:dyDescent="0.3">
      <c r="E233" s="3" t="s">
        <v>343</v>
      </c>
      <c r="F233" s="56" t="s">
        <v>344</v>
      </c>
    </row>
    <row r="234" spans="5:6" x14ac:dyDescent="0.3">
      <c r="E234" s="3" t="s">
        <v>819</v>
      </c>
      <c r="F234" s="56" t="s">
        <v>820</v>
      </c>
    </row>
    <row r="235" spans="5:6" x14ac:dyDescent="0.3">
      <c r="E235" s="3" t="s">
        <v>739</v>
      </c>
      <c r="F235" s="56" t="s">
        <v>740</v>
      </c>
    </row>
    <row r="236" spans="5:6" x14ac:dyDescent="0.3">
      <c r="E236" s="3" t="s">
        <v>1167</v>
      </c>
      <c r="F236" s="56" t="s">
        <v>1168</v>
      </c>
    </row>
    <row r="237" spans="5:6" x14ac:dyDescent="0.3">
      <c r="E237" s="3" t="s">
        <v>1161</v>
      </c>
      <c r="F237" s="56" t="s">
        <v>1162</v>
      </c>
    </row>
    <row r="238" spans="5:6" x14ac:dyDescent="0.3">
      <c r="E238" s="3" t="s">
        <v>1095</v>
      </c>
      <c r="F238" s="56" t="s">
        <v>1096</v>
      </c>
    </row>
    <row r="239" spans="5:6" x14ac:dyDescent="0.3">
      <c r="E239" s="3" t="s">
        <v>845</v>
      </c>
      <c r="F239" s="56" t="s">
        <v>846</v>
      </c>
    </row>
    <row r="240" spans="5:6" x14ac:dyDescent="0.3">
      <c r="E240" s="3" t="s">
        <v>873</v>
      </c>
      <c r="F240" s="56" t="s">
        <v>874</v>
      </c>
    </row>
    <row r="241" spans="5:6" x14ac:dyDescent="0.3">
      <c r="E241" s="3" t="s">
        <v>747</v>
      </c>
      <c r="F241" s="56" t="s">
        <v>748</v>
      </c>
    </row>
    <row r="242" spans="5:6" x14ac:dyDescent="0.3">
      <c r="E242" s="3" t="s">
        <v>615</v>
      </c>
      <c r="F242" s="56" t="s">
        <v>616</v>
      </c>
    </row>
    <row r="243" spans="5:6" x14ac:dyDescent="0.3">
      <c r="E243" s="3" t="s">
        <v>293</v>
      </c>
      <c r="F243" s="56" t="s">
        <v>294</v>
      </c>
    </row>
    <row r="244" spans="5:6" x14ac:dyDescent="0.3">
      <c r="E244" s="3" t="s">
        <v>433</v>
      </c>
      <c r="F244" s="56" t="s">
        <v>434</v>
      </c>
    </row>
    <row r="245" spans="5:6" x14ac:dyDescent="0.3">
      <c r="E245" s="3" t="s">
        <v>721</v>
      </c>
      <c r="F245" s="56" t="s">
        <v>722</v>
      </c>
    </row>
    <row r="246" spans="5:6" x14ac:dyDescent="0.3">
      <c r="E246" s="3" t="s">
        <v>1013</v>
      </c>
      <c r="F246" s="56" t="s">
        <v>1014</v>
      </c>
    </row>
    <row r="247" spans="5:6" x14ac:dyDescent="0.3">
      <c r="E247" s="3" t="s">
        <v>905</v>
      </c>
      <c r="F247" s="56" t="s">
        <v>906</v>
      </c>
    </row>
    <row r="248" spans="5:6" x14ac:dyDescent="0.3">
      <c r="E248" s="3" t="s">
        <v>1131</v>
      </c>
      <c r="F248" s="56" t="s">
        <v>1132</v>
      </c>
    </row>
    <row r="249" spans="5:6" x14ac:dyDescent="0.3">
      <c r="E249" s="3" t="s">
        <v>449</v>
      </c>
      <c r="F249" s="56" t="s">
        <v>450</v>
      </c>
    </row>
    <row r="250" spans="5:6" x14ac:dyDescent="0.3">
      <c r="E250" s="3" t="s">
        <v>311</v>
      </c>
      <c r="F250" s="56" t="s">
        <v>312</v>
      </c>
    </row>
    <row r="251" spans="5:6" x14ac:dyDescent="0.3">
      <c r="E251" s="3" t="s">
        <v>977</v>
      </c>
      <c r="F251" s="56" t="s">
        <v>978</v>
      </c>
    </row>
    <row r="252" spans="5:6" x14ac:dyDescent="0.3">
      <c r="E252" s="3" t="s">
        <v>979</v>
      </c>
      <c r="F252" s="56" t="s">
        <v>980</v>
      </c>
    </row>
    <row r="253" spans="5:6" x14ac:dyDescent="0.3">
      <c r="E253" s="3" t="s">
        <v>1137</v>
      </c>
      <c r="F253" s="56" t="s">
        <v>1138</v>
      </c>
    </row>
    <row r="254" spans="5:6" x14ac:dyDescent="0.3">
      <c r="E254" s="3" t="s">
        <v>727</v>
      </c>
      <c r="F254" s="56" t="s">
        <v>728</v>
      </c>
    </row>
    <row r="255" spans="5:6" x14ac:dyDescent="0.3">
      <c r="E255" s="3" t="s">
        <v>667</v>
      </c>
      <c r="F255" s="56" t="s">
        <v>668</v>
      </c>
    </row>
    <row r="256" spans="5:6" x14ac:dyDescent="0.3">
      <c r="E256" s="3" t="s">
        <v>749</v>
      </c>
      <c r="F256" s="56" t="s">
        <v>750</v>
      </c>
    </row>
    <row r="257" spans="5:6" x14ac:dyDescent="0.3">
      <c r="E257" s="3" t="s">
        <v>307</v>
      </c>
      <c r="F257" s="56" t="s">
        <v>308</v>
      </c>
    </row>
    <row r="258" spans="5:6" x14ac:dyDescent="0.3">
      <c r="E258" s="3" t="s">
        <v>683</v>
      </c>
      <c r="F258" s="56" t="s">
        <v>684</v>
      </c>
    </row>
    <row r="259" spans="5:6" x14ac:dyDescent="0.3">
      <c r="E259" s="3" t="s">
        <v>491</v>
      </c>
      <c r="F259" s="56" t="s">
        <v>492</v>
      </c>
    </row>
    <row r="260" spans="5:6" x14ac:dyDescent="0.3">
      <c r="E260" s="3" t="s">
        <v>1191</v>
      </c>
      <c r="F260" s="56" t="s">
        <v>1192</v>
      </c>
    </row>
    <row r="261" spans="5:6" x14ac:dyDescent="0.3">
      <c r="E261" s="3" t="s">
        <v>1025</v>
      </c>
      <c r="F261" s="56" t="s">
        <v>1026</v>
      </c>
    </row>
    <row r="262" spans="5:6" x14ac:dyDescent="0.3">
      <c r="E262" s="3" t="s">
        <v>1067</v>
      </c>
      <c r="F262" s="56" t="s">
        <v>1068</v>
      </c>
    </row>
    <row r="263" spans="5:6" x14ac:dyDescent="0.3">
      <c r="E263" s="3" t="s">
        <v>1059</v>
      </c>
      <c r="F263" s="56" t="s">
        <v>1060</v>
      </c>
    </row>
    <row r="264" spans="5:6" x14ac:dyDescent="0.3">
      <c r="E264" s="3" t="s">
        <v>563</v>
      </c>
      <c r="F264" s="56" t="s">
        <v>564</v>
      </c>
    </row>
    <row r="265" spans="5:6" x14ac:dyDescent="0.3">
      <c r="E265" s="3" t="s">
        <v>1099</v>
      </c>
      <c r="F265" s="56" t="s">
        <v>1100</v>
      </c>
    </row>
    <row r="266" spans="5:6" x14ac:dyDescent="0.3">
      <c r="E266" s="3" t="s">
        <v>263</v>
      </c>
      <c r="F266" s="56" t="s">
        <v>264</v>
      </c>
    </row>
    <row r="267" spans="5:6" x14ac:dyDescent="0.3">
      <c r="E267" s="3" t="s">
        <v>1109</v>
      </c>
      <c r="F267" s="56" t="s">
        <v>1110</v>
      </c>
    </row>
    <row r="268" spans="5:6" x14ac:dyDescent="0.3">
      <c r="E268" s="3" t="s">
        <v>241</v>
      </c>
      <c r="F268" s="56" t="s">
        <v>242</v>
      </c>
    </row>
    <row r="269" spans="5:6" x14ac:dyDescent="0.3">
      <c r="E269" s="3" t="s">
        <v>915</v>
      </c>
      <c r="F269" s="56" t="s">
        <v>916</v>
      </c>
    </row>
    <row r="270" spans="5:6" x14ac:dyDescent="0.3">
      <c r="E270" s="3" t="s">
        <v>705</v>
      </c>
      <c r="F270" s="56" t="s">
        <v>706</v>
      </c>
    </row>
    <row r="271" spans="5:6" x14ac:dyDescent="0.3">
      <c r="E271" s="3" t="s">
        <v>1021</v>
      </c>
      <c r="F271" s="56" t="s">
        <v>1022</v>
      </c>
    </row>
    <row r="272" spans="5:6" x14ac:dyDescent="0.3">
      <c r="E272" s="3" t="s">
        <v>809</v>
      </c>
      <c r="F272" s="56" t="s">
        <v>810</v>
      </c>
    </row>
    <row r="273" spans="5:6" x14ac:dyDescent="0.3">
      <c r="E273" s="3" t="s">
        <v>823</v>
      </c>
      <c r="F273" s="56" t="s">
        <v>824</v>
      </c>
    </row>
    <row r="274" spans="5:6" x14ac:dyDescent="0.3">
      <c r="E274" s="3" t="s">
        <v>1033</v>
      </c>
      <c r="F274" s="56" t="s">
        <v>1034</v>
      </c>
    </row>
    <row r="275" spans="5:6" x14ac:dyDescent="0.3">
      <c r="E275" s="3" t="s">
        <v>407</v>
      </c>
      <c r="F275" s="56" t="s">
        <v>408</v>
      </c>
    </row>
    <row r="276" spans="5:6" x14ac:dyDescent="0.3">
      <c r="E276" s="3" t="s">
        <v>445</v>
      </c>
      <c r="F276" s="56" t="s">
        <v>446</v>
      </c>
    </row>
    <row r="277" spans="5:6" x14ac:dyDescent="0.3">
      <c r="E277" s="3" t="s">
        <v>639</v>
      </c>
      <c r="F277" s="56" t="s">
        <v>640</v>
      </c>
    </row>
    <row r="278" spans="5:6" x14ac:dyDescent="0.3">
      <c r="E278" s="3" t="s">
        <v>587</v>
      </c>
      <c r="F278" s="56" t="s">
        <v>588</v>
      </c>
    </row>
    <row r="279" spans="5:6" x14ac:dyDescent="0.3">
      <c r="E279" s="3" t="s">
        <v>1089</v>
      </c>
      <c r="F279" s="56" t="s">
        <v>1090</v>
      </c>
    </row>
    <row r="280" spans="5:6" x14ac:dyDescent="0.3">
      <c r="E280" s="3" t="s">
        <v>281</v>
      </c>
      <c r="F280" s="56" t="s">
        <v>282</v>
      </c>
    </row>
    <row r="281" spans="5:6" x14ac:dyDescent="0.3">
      <c r="E281" s="3" t="s">
        <v>671</v>
      </c>
      <c r="F281" s="56" t="s">
        <v>672</v>
      </c>
    </row>
    <row r="282" spans="5:6" x14ac:dyDescent="0.3">
      <c r="E282" s="3" t="s">
        <v>657</v>
      </c>
      <c r="F282" s="56" t="s">
        <v>658</v>
      </c>
    </row>
    <row r="283" spans="5:6" x14ac:dyDescent="0.3">
      <c r="E283" s="3" t="s">
        <v>1053</v>
      </c>
      <c r="F283" s="56" t="s">
        <v>1054</v>
      </c>
    </row>
    <row r="284" spans="5:6" x14ac:dyDescent="0.3">
      <c r="E284" s="3" t="s">
        <v>933</v>
      </c>
      <c r="F284" s="56" t="s">
        <v>934</v>
      </c>
    </row>
    <row r="285" spans="5:6" x14ac:dyDescent="0.3">
      <c r="E285" s="3" t="s">
        <v>697</v>
      </c>
      <c r="F285" s="56" t="s">
        <v>698</v>
      </c>
    </row>
    <row r="286" spans="5:6" x14ac:dyDescent="0.3">
      <c r="E286" s="3" t="s">
        <v>967</v>
      </c>
      <c r="F286" s="56" t="s">
        <v>968</v>
      </c>
    </row>
    <row r="287" spans="5:6" x14ac:dyDescent="0.3">
      <c r="E287" s="3" t="s">
        <v>643</v>
      </c>
      <c r="F287" s="56" t="s">
        <v>644</v>
      </c>
    </row>
    <row r="288" spans="5:6" x14ac:dyDescent="0.3">
      <c r="E288" s="3" t="s">
        <v>295</v>
      </c>
      <c r="F288" s="56" t="s">
        <v>296</v>
      </c>
    </row>
    <row r="289" spans="5:6" x14ac:dyDescent="0.3">
      <c r="E289" s="3" t="s">
        <v>1153</v>
      </c>
      <c r="F289" s="56" t="s">
        <v>1154</v>
      </c>
    </row>
    <row r="290" spans="5:6" x14ac:dyDescent="0.3">
      <c r="E290" s="3" t="s">
        <v>243</v>
      </c>
      <c r="F290" s="56" t="s">
        <v>244</v>
      </c>
    </row>
    <row r="291" spans="5:6" x14ac:dyDescent="0.3">
      <c r="E291" s="3" t="s">
        <v>403</v>
      </c>
      <c r="F291" s="56" t="s">
        <v>404</v>
      </c>
    </row>
    <row r="292" spans="5:6" x14ac:dyDescent="0.3">
      <c r="E292" s="3" t="s">
        <v>1051</v>
      </c>
      <c r="F292" s="56" t="s">
        <v>1052</v>
      </c>
    </row>
    <row r="293" spans="5:6" x14ac:dyDescent="0.3">
      <c r="E293" s="3" t="s">
        <v>337</v>
      </c>
      <c r="F293" s="56" t="s">
        <v>338</v>
      </c>
    </row>
    <row r="294" spans="5:6" x14ac:dyDescent="0.3">
      <c r="E294" s="3" t="s">
        <v>415</v>
      </c>
      <c r="F294" s="56" t="s">
        <v>416</v>
      </c>
    </row>
    <row r="295" spans="5:6" x14ac:dyDescent="0.3">
      <c r="E295" s="3" t="s">
        <v>623</v>
      </c>
      <c r="F295" s="56" t="s">
        <v>624</v>
      </c>
    </row>
    <row r="296" spans="5:6" x14ac:dyDescent="0.3">
      <c r="E296" s="3" t="s">
        <v>949</v>
      </c>
      <c r="F296" s="56" t="s">
        <v>950</v>
      </c>
    </row>
    <row r="297" spans="5:6" x14ac:dyDescent="0.3">
      <c r="E297" s="3" t="s">
        <v>969</v>
      </c>
      <c r="F297" s="56" t="s">
        <v>970</v>
      </c>
    </row>
    <row r="298" spans="5:6" x14ac:dyDescent="0.3">
      <c r="E298" s="3" t="s">
        <v>1145</v>
      </c>
      <c r="F298" s="56" t="s">
        <v>1146</v>
      </c>
    </row>
    <row r="299" spans="5:6" x14ac:dyDescent="0.3">
      <c r="E299" s="3" t="s">
        <v>957</v>
      </c>
      <c r="F299" s="56" t="s">
        <v>958</v>
      </c>
    </row>
    <row r="300" spans="5:6" x14ac:dyDescent="0.3">
      <c r="E300" s="3" t="s">
        <v>927</v>
      </c>
      <c r="F300" s="56" t="s">
        <v>928</v>
      </c>
    </row>
    <row r="301" spans="5:6" x14ac:dyDescent="0.3">
      <c r="E301" s="3" t="s">
        <v>253</v>
      </c>
      <c r="F301" s="56" t="s">
        <v>254</v>
      </c>
    </row>
    <row r="302" spans="5:6" x14ac:dyDescent="0.3">
      <c r="E302" s="3" t="s">
        <v>989</v>
      </c>
      <c r="F302" s="56" t="s">
        <v>990</v>
      </c>
    </row>
    <row r="303" spans="5:6" x14ac:dyDescent="0.3">
      <c r="E303" s="3" t="s">
        <v>509</v>
      </c>
      <c r="F303" s="56" t="s">
        <v>510</v>
      </c>
    </row>
    <row r="304" spans="5:6" x14ac:dyDescent="0.3">
      <c r="E304" s="3" t="s">
        <v>1011</v>
      </c>
      <c r="F304" s="56" t="s">
        <v>1012</v>
      </c>
    </row>
    <row r="305" spans="5:6" x14ac:dyDescent="0.3">
      <c r="E305" s="3" t="s">
        <v>291</v>
      </c>
      <c r="F305" s="56" t="s">
        <v>292</v>
      </c>
    </row>
    <row r="306" spans="5:6" x14ac:dyDescent="0.3">
      <c r="E306" s="3" t="s">
        <v>753</v>
      </c>
      <c r="F306" s="56" t="s">
        <v>754</v>
      </c>
    </row>
    <row r="307" spans="5:6" x14ac:dyDescent="0.3">
      <c r="E307" s="3" t="s">
        <v>485</v>
      </c>
      <c r="F307" s="56" t="s">
        <v>486</v>
      </c>
    </row>
    <row r="308" spans="5:6" x14ac:dyDescent="0.3">
      <c r="E308" s="3" t="s">
        <v>479</v>
      </c>
      <c r="F308" s="56" t="s">
        <v>480</v>
      </c>
    </row>
    <row r="309" spans="5:6" x14ac:dyDescent="0.3">
      <c r="E309" s="3" t="s">
        <v>457</v>
      </c>
      <c r="F309" s="56" t="s">
        <v>458</v>
      </c>
    </row>
    <row r="310" spans="5:6" x14ac:dyDescent="0.3">
      <c r="E310" s="3" t="s">
        <v>405</v>
      </c>
      <c r="F310" s="56" t="s">
        <v>406</v>
      </c>
    </row>
    <row r="311" spans="5:6" x14ac:dyDescent="0.3">
      <c r="E311" s="3" t="s">
        <v>617</v>
      </c>
      <c r="F311" s="56" t="s">
        <v>618</v>
      </c>
    </row>
    <row r="312" spans="5:6" x14ac:dyDescent="0.3">
      <c r="E312" s="3" t="s">
        <v>229</v>
      </c>
      <c r="F312" s="56" t="s">
        <v>230</v>
      </c>
    </row>
    <row r="313" spans="5:6" x14ac:dyDescent="0.3">
      <c r="E313" s="3" t="s">
        <v>1183</v>
      </c>
      <c r="F313" s="56" t="s">
        <v>1184</v>
      </c>
    </row>
    <row r="314" spans="5:6" x14ac:dyDescent="0.3">
      <c r="E314" s="3" t="s">
        <v>1215</v>
      </c>
      <c r="F314" s="56" t="s">
        <v>1216</v>
      </c>
    </row>
    <row r="315" spans="5:6" x14ac:dyDescent="0.3">
      <c r="E315" s="3" t="s">
        <v>943</v>
      </c>
      <c r="F315" s="56" t="s">
        <v>944</v>
      </c>
    </row>
    <row r="316" spans="5:6" x14ac:dyDescent="0.3">
      <c r="E316" s="3" t="s">
        <v>1175</v>
      </c>
      <c r="F316" s="56" t="s">
        <v>1176</v>
      </c>
    </row>
    <row r="317" spans="5:6" x14ac:dyDescent="0.3">
      <c r="E317" s="3" t="s">
        <v>729</v>
      </c>
      <c r="F317" s="56" t="s">
        <v>730</v>
      </c>
    </row>
    <row r="318" spans="5:6" x14ac:dyDescent="0.3">
      <c r="E318" s="3" t="s">
        <v>409</v>
      </c>
      <c r="F318" s="56" t="s">
        <v>410</v>
      </c>
    </row>
    <row r="319" spans="5:6" x14ac:dyDescent="0.3">
      <c r="E319" s="3" t="s">
        <v>499</v>
      </c>
      <c r="F319" s="56" t="s">
        <v>500</v>
      </c>
    </row>
    <row r="320" spans="5:6" x14ac:dyDescent="0.3">
      <c r="E320" s="3" t="s">
        <v>711</v>
      </c>
      <c r="F320" s="56" t="s">
        <v>712</v>
      </c>
    </row>
    <row r="321" spans="5:6" x14ac:dyDescent="0.3">
      <c r="E321" s="3" t="s">
        <v>423</v>
      </c>
      <c r="F321" s="56" t="s">
        <v>424</v>
      </c>
    </row>
    <row r="322" spans="5:6" x14ac:dyDescent="0.3">
      <c r="E322" s="3" t="s">
        <v>1001</v>
      </c>
      <c r="F322" s="56" t="s">
        <v>1002</v>
      </c>
    </row>
    <row r="323" spans="5:6" x14ac:dyDescent="0.3">
      <c r="E323" s="3" t="s">
        <v>1181</v>
      </c>
      <c r="F323" s="56" t="s">
        <v>1182</v>
      </c>
    </row>
    <row r="324" spans="5:6" x14ac:dyDescent="0.3">
      <c r="E324" s="3" t="s">
        <v>597</v>
      </c>
      <c r="F324" s="56" t="s">
        <v>598</v>
      </c>
    </row>
    <row r="325" spans="5:6" x14ac:dyDescent="0.3">
      <c r="E325" s="3" t="s">
        <v>791</v>
      </c>
      <c r="F325" s="56" t="s">
        <v>792</v>
      </c>
    </row>
    <row r="326" spans="5:6" x14ac:dyDescent="0.3">
      <c r="E326" s="3" t="s">
        <v>275</v>
      </c>
      <c r="F326" s="56" t="s">
        <v>276</v>
      </c>
    </row>
    <row r="327" spans="5:6" x14ac:dyDescent="0.3">
      <c r="E327" s="3" t="s">
        <v>1069</v>
      </c>
      <c r="F327" s="56" t="s">
        <v>1070</v>
      </c>
    </row>
    <row r="328" spans="5:6" x14ac:dyDescent="0.3">
      <c r="E328" s="3" t="s">
        <v>331</v>
      </c>
      <c r="F328" s="56" t="s">
        <v>332</v>
      </c>
    </row>
    <row r="329" spans="5:6" x14ac:dyDescent="0.3">
      <c r="E329" s="3" t="s">
        <v>605</v>
      </c>
      <c r="F329" s="56" t="s">
        <v>606</v>
      </c>
    </row>
    <row r="330" spans="5:6" x14ac:dyDescent="0.3">
      <c r="E330" s="3" t="s">
        <v>225</v>
      </c>
      <c r="F330" s="56" t="s">
        <v>226</v>
      </c>
    </row>
    <row r="331" spans="5:6" x14ac:dyDescent="0.3">
      <c r="E331" s="3" t="s">
        <v>471</v>
      </c>
      <c r="F331" s="56" t="s">
        <v>472</v>
      </c>
    </row>
    <row r="332" spans="5:6" x14ac:dyDescent="0.3">
      <c r="E332" s="3" t="s">
        <v>743</v>
      </c>
      <c r="F332" s="56" t="s">
        <v>744</v>
      </c>
    </row>
    <row r="333" spans="5:6" x14ac:dyDescent="0.3">
      <c r="E333" s="3" t="s">
        <v>1197</v>
      </c>
      <c r="F333" s="56" t="s">
        <v>1198</v>
      </c>
    </row>
    <row r="334" spans="5:6" x14ac:dyDescent="0.3">
      <c r="E334" s="3" t="s">
        <v>839</v>
      </c>
      <c r="F334" s="56" t="s">
        <v>840</v>
      </c>
    </row>
    <row r="335" spans="5:6" x14ac:dyDescent="0.3">
      <c r="E335" s="3" t="s">
        <v>395</v>
      </c>
      <c r="F335" s="56" t="s">
        <v>396</v>
      </c>
    </row>
    <row r="336" spans="5:6" x14ac:dyDescent="0.3">
      <c r="E336" s="3" t="s">
        <v>1119</v>
      </c>
      <c r="F336" s="56" t="s">
        <v>1120</v>
      </c>
    </row>
    <row r="337" spans="5:6" x14ac:dyDescent="0.3">
      <c r="E337" s="3" t="s">
        <v>745</v>
      </c>
      <c r="F337" s="56" t="s">
        <v>746</v>
      </c>
    </row>
    <row r="338" spans="5:6" x14ac:dyDescent="0.3">
      <c r="E338" s="3" t="s">
        <v>1091</v>
      </c>
      <c r="F338" s="56" t="s">
        <v>1092</v>
      </c>
    </row>
    <row r="339" spans="5:6" x14ac:dyDescent="0.3">
      <c r="E339" s="3" t="s">
        <v>339</v>
      </c>
      <c r="F339" s="56" t="s">
        <v>340</v>
      </c>
    </row>
    <row r="340" spans="5:6" x14ac:dyDescent="0.3">
      <c r="E340" s="3" t="s">
        <v>609</v>
      </c>
      <c r="F340" s="56" t="s">
        <v>610</v>
      </c>
    </row>
    <row r="341" spans="5:6" x14ac:dyDescent="0.3">
      <c r="E341" s="3" t="s">
        <v>259</v>
      </c>
      <c r="F341" s="56" t="s">
        <v>260</v>
      </c>
    </row>
    <row r="342" spans="5:6" x14ac:dyDescent="0.3">
      <c r="E342" s="3" t="s">
        <v>1031</v>
      </c>
      <c r="F342" s="56" t="s">
        <v>1032</v>
      </c>
    </row>
    <row r="343" spans="5:6" x14ac:dyDescent="0.3">
      <c r="E343" s="3" t="s">
        <v>417</v>
      </c>
      <c r="F343" s="56" t="s">
        <v>418</v>
      </c>
    </row>
    <row r="344" spans="5:6" x14ac:dyDescent="0.3">
      <c r="E344" s="3" t="s">
        <v>515</v>
      </c>
      <c r="F344" s="56" t="s">
        <v>516</v>
      </c>
    </row>
    <row r="345" spans="5:6" x14ac:dyDescent="0.3">
      <c r="E345" s="3" t="s">
        <v>283</v>
      </c>
      <c r="F345" s="56" t="s">
        <v>284</v>
      </c>
    </row>
    <row r="346" spans="5:6" x14ac:dyDescent="0.3">
      <c r="E346" s="3" t="s">
        <v>961</v>
      </c>
      <c r="F346" s="56" t="s">
        <v>962</v>
      </c>
    </row>
    <row r="347" spans="5:6" x14ac:dyDescent="0.3">
      <c r="E347" s="3" t="s">
        <v>567</v>
      </c>
      <c r="F347" s="56" t="s">
        <v>568</v>
      </c>
    </row>
    <row r="348" spans="5:6" x14ac:dyDescent="0.3">
      <c r="E348" s="3" t="s">
        <v>863</v>
      </c>
      <c r="F348" s="56" t="s">
        <v>864</v>
      </c>
    </row>
    <row r="349" spans="5:6" x14ac:dyDescent="0.3">
      <c r="E349" s="3" t="s">
        <v>925</v>
      </c>
      <c r="F349" s="56" t="s">
        <v>926</v>
      </c>
    </row>
    <row r="350" spans="5:6" x14ac:dyDescent="0.3">
      <c r="E350" s="3" t="s">
        <v>755</v>
      </c>
      <c r="F350" s="56" t="s">
        <v>756</v>
      </c>
    </row>
    <row r="351" spans="5:6" x14ac:dyDescent="0.3">
      <c r="E351" s="3" t="s">
        <v>223</v>
      </c>
      <c r="F351" s="56" t="s">
        <v>224</v>
      </c>
    </row>
    <row r="352" spans="5:6" x14ac:dyDescent="0.3">
      <c r="E352" s="3" t="s">
        <v>829</v>
      </c>
      <c r="F352" s="56" t="s">
        <v>830</v>
      </c>
    </row>
    <row r="353" spans="5:6" x14ac:dyDescent="0.3">
      <c r="E353" s="3" t="s">
        <v>1223</v>
      </c>
      <c r="F353" s="56" t="s">
        <v>1224</v>
      </c>
    </row>
    <row r="354" spans="5:6" x14ac:dyDescent="0.3">
      <c r="E354" s="3" t="s">
        <v>1141</v>
      </c>
      <c r="F354" s="56" t="s">
        <v>1142</v>
      </c>
    </row>
    <row r="355" spans="5:6" x14ac:dyDescent="0.3">
      <c r="E355" s="3" t="s">
        <v>565</v>
      </c>
      <c r="F355" s="56" t="s">
        <v>566</v>
      </c>
    </row>
    <row r="356" spans="5:6" x14ac:dyDescent="0.3">
      <c r="E356" s="3" t="s">
        <v>611</v>
      </c>
      <c r="F356" s="56" t="s">
        <v>612</v>
      </c>
    </row>
    <row r="357" spans="5:6" x14ac:dyDescent="0.3">
      <c r="E357" s="3" t="s">
        <v>695</v>
      </c>
      <c r="F357" s="56" t="s">
        <v>696</v>
      </c>
    </row>
    <row r="358" spans="5:6" x14ac:dyDescent="0.3">
      <c r="E358" s="3" t="s">
        <v>543</v>
      </c>
      <c r="F358" s="56" t="s">
        <v>544</v>
      </c>
    </row>
    <row r="359" spans="5:6" x14ac:dyDescent="0.3">
      <c r="E359" s="3" t="s">
        <v>997</v>
      </c>
      <c r="F359" s="56" t="s">
        <v>998</v>
      </c>
    </row>
    <row r="360" spans="5:6" x14ac:dyDescent="0.3">
      <c r="E360" s="3" t="s">
        <v>811</v>
      </c>
      <c r="F360" s="56" t="s">
        <v>812</v>
      </c>
    </row>
    <row r="361" spans="5:6" x14ac:dyDescent="0.3">
      <c r="E361" s="3" t="s">
        <v>271</v>
      </c>
      <c r="F361" s="56" t="s">
        <v>272</v>
      </c>
    </row>
    <row r="362" spans="5:6" x14ac:dyDescent="0.3">
      <c r="E362" s="3" t="s">
        <v>493</v>
      </c>
      <c r="F362" s="56" t="s">
        <v>494</v>
      </c>
    </row>
    <row r="363" spans="5:6" x14ac:dyDescent="0.3">
      <c r="E363" s="3" t="s">
        <v>685</v>
      </c>
      <c r="F363" s="56" t="s">
        <v>686</v>
      </c>
    </row>
    <row r="364" spans="5:6" x14ac:dyDescent="0.3">
      <c r="E364" s="3" t="s">
        <v>759</v>
      </c>
      <c r="F364" s="56" t="s">
        <v>760</v>
      </c>
    </row>
    <row r="365" spans="5:6" x14ac:dyDescent="0.3">
      <c r="E365" s="3" t="s">
        <v>371</v>
      </c>
      <c r="F365" s="56" t="s">
        <v>372</v>
      </c>
    </row>
    <row r="366" spans="5:6" x14ac:dyDescent="0.3">
      <c r="E366" s="3" t="s">
        <v>1217</v>
      </c>
      <c r="F366" s="56" t="s">
        <v>1218</v>
      </c>
    </row>
    <row r="367" spans="5:6" x14ac:dyDescent="0.3">
      <c r="E367" s="3" t="s">
        <v>1125</v>
      </c>
      <c r="F367" s="56" t="s">
        <v>1126</v>
      </c>
    </row>
    <row r="368" spans="5:6" x14ac:dyDescent="0.3">
      <c r="E368" s="3" t="s">
        <v>631</v>
      </c>
      <c r="F368" s="56" t="s">
        <v>632</v>
      </c>
    </row>
    <row r="369" spans="5:6" x14ac:dyDescent="0.3">
      <c r="E369" s="3" t="s">
        <v>545</v>
      </c>
      <c r="F369" s="56" t="s">
        <v>546</v>
      </c>
    </row>
    <row r="370" spans="5:6" x14ac:dyDescent="0.3">
      <c r="E370" s="3" t="s">
        <v>645</v>
      </c>
      <c r="F370" s="56" t="s">
        <v>646</v>
      </c>
    </row>
    <row r="371" spans="5:6" x14ac:dyDescent="0.3">
      <c r="E371" s="3" t="s">
        <v>655</v>
      </c>
      <c r="F371" s="56" t="s">
        <v>656</v>
      </c>
    </row>
    <row r="372" spans="5:6" x14ac:dyDescent="0.3">
      <c r="E372" s="3" t="s">
        <v>289</v>
      </c>
      <c r="F372" s="56" t="s">
        <v>290</v>
      </c>
    </row>
    <row r="373" spans="5:6" x14ac:dyDescent="0.3">
      <c r="E373" s="3" t="s">
        <v>355</v>
      </c>
      <c r="F373" s="56" t="s">
        <v>356</v>
      </c>
    </row>
    <row r="374" spans="5:6" x14ac:dyDescent="0.3">
      <c r="E374" s="3" t="s">
        <v>1019</v>
      </c>
      <c r="F374" s="56" t="s">
        <v>1020</v>
      </c>
    </row>
    <row r="375" spans="5:6" x14ac:dyDescent="0.3">
      <c r="E375" s="3" t="s">
        <v>261</v>
      </c>
      <c r="F375" s="56" t="s">
        <v>262</v>
      </c>
    </row>
    <row r="376" spans="5:6" x14ac:dyDescent="0.3">
      <c r="E376" s="3" t="s">
        <v>357</v>
      </c>
      <c r="F376" s="56" t="s">
        <v>358</v>
      </c>
    </row>
    <row r="377" spans="5:6" x14ac:dyDescent="0.3">
      <c r="E377" s="3" t="s">
        <v>443</v>
      </c>
      <c r="F377" s="56" t="s">
        <v>444</v>
      </c>
    </row>
    <row r="378" spans="5:6" x14ac:dyDescent="0.3">
      <c r="E378" s="3" t="s">
        <v>859</v>
      </c>
      <c r="F378" s="56" t="s">
        <v>860</v>
      </c>
    </row>
    <row r="379" spans="5:6" x14ac:dyDescent="0.3">
      <c r="E379" s="3" t="s">
        <v>921</v>
      </c>
      <c r="F379" s="56" t="s">
        <v>922</v>
      </c>
    </row>
    <row r="380" spans="5:6" x14ac:dyDescent="0.3">
      <c r="E380" s="3" t="s">
        <v>413</v>
      </c>
      <c r="F380" s="56" t="s">
        <v>414</v>
      </c>
    </row>
    <row r="381" spans="5:6" x14ac:dyDescent="0.3">
      <c r="E381" s="3" t="s">
        <v>349</v>
      </c>
      <c r="F381" s="56" t="s">
        <v>350</v>
      </c>
    </row>
    <row r="382" spans="5:6" x14ac:dyDescent="0.3">
      <c r="E382" s="3" t="s">
        <v>305</v>
      </c>
      <c r="F382" s="56" t="s">
        <v>306</v>
      </c>
    </row>
    <row r="383" spans="5:6" x14ac:dyDescent="0.3">
      <c r="E383" s="3" t="s">
        <v>465</v>
      </c>
      <c r="F383" s="56" t="s">
        <v>466</v>
      </c>
    </row>
    <row r="384" spans="5:6" x14ac:dyDescent="0.3">
      <c r="E384" s="3" t="s">
        <v>993</v>
      </c>
      <c r="F384" s="56" t="s">
        <v>994</v>
      </c>
    </row>
    <row r="385" spans="5:6" x14ac:dyDescent="0.3">
      <c r="E385" s="3" t="s">
        <v>1155</v>
      </c>
      <c r="F385" s="56" t="s">
        <v>1156</v>
      </c>
    </row>
    <row r="386" spans="5:6" x14ac:dyDescent="0.3">
      <c r="E386" s="3" t="s">
        <v>973</v>
      </c>
      <c r="F386" s="56" t="s">
        <v>974</v>
      </c>
    </row>
    <row r="387" spans="5:6" x14ac:dyDescent="0.3">
      <c r="E387" s="3" t="s">
        <v>1077</v>
      </c>
      <c r="F387" s="56" t="s">
        <v>1078</v>
      </c>
    </row>
    <row r="388" spans="5:6" x14ac:dyDescent="0.3">
      <c r="E388" s="3" t="s">
        <v>817</v>
      </c>
      <c r="F388" s="56" t="s">
        <v>818</v>
      </c>
    </row>
    <row r="389" spans="5:6" x14ac:dyDescent="0.3">
      <c r="E389" s="3" t="s">
        <v>877</v>
      </c>
      <c r="F389" s="56" t="s">
        <v>878</v>
      </c>
    </row>
    <row r="390" spans="5:6" x14ac:dyDescent="0.3">
      <c r="E390" s="3" t="s">
        <v>651</v>
      </c>
      <c r="F390" s="56" t="s">
        <v>652</v>
      </c>
    </row>
    <row r="391" spans="5:6" x14ac:dyDescent="0.3">
      <c r="E391" s="3" t="s">
        <v>593</v>
      </c>
      <c r="F391" s="56" t="s">
        <v>594</v>
      </c>
    </row>
    <row r="392" spans="5:6" x14ac:dyDescent="0.3">
      <c r="E392" s="3" t="s">
        <v>585</v>
      </c>
      <c r="F392" s="56" t="s">
        <v>586</v>
      </c>
    </row>
    <row r="393" spans="5:6" x14ac:dyDescent="0.3">
      <c r="E393" s="3" t="s">
        <v>875</v>
      </c>
      <c r="F393" s="56" t="s">
        <v>876</v>
      </c>
    </row>
    <row r="394" spans="5:6" x14ac:dyDescent="0.3">
      <c r="E394" s="3" t="s">
        <v>607</v>
      </c>
      <c r="F394" s="56" t="s">
        <v>608</v>
      </c>
    </row>
    <row r="395" spans="5:6" x14ac:dyDescent="0.3">
      <c r="E395" s="3" t="s">
        <v>427</v>
      </c>
      <c r="F395" s="56" t="s">
        <v>428</v>
      </c>
    </row>
    <row r="396" spans="5:6" x14ac:dyDescent="0.3">
      <c r="E396" s="3" t="s">
        <v>317</v>
      </c>
      <c r="F396" s="56" t="s">
        <v>318</v>
      </c>
    </row>
    <row r="397" spans="5:6" x14ac:dyDescent="0.3">
      <c r="E397" s="3" t="s">
        <v>1219</v>
      </c>
      <c r="F397" s="56" t="s">
        <v>1220</v>
      </c>
    </row>
    <row r="398" spans="5:6" x14ac:dyDescent="0.3">
      <c r="E398" s="3" t="s">
        <v>557</v>
      </c>
      <c r="F398" s="56" t="s">
        <v>558</v>
      </c>
    </row>
    <row r="399" spans="5:6" x14ac:dyDescent="0.3">
      <c r="E399" s="3" t="s">
        <v>1115</v>
      </c>
      <c r="F399" s="56" t="s">
        <v>1116</v>
      </c>
    </row>
    <row r="400" spans="5:6" x14ac:dyDescent="0.3">
      <c r="E400" s="3" t="s">
        <v>463</v>
      </c>
      <c r="F400" s="56" t="s">
        <v>464</v>
      </c>
    </row>
    <row r="401" spans="5:6" x14ac:dyDescent="0.3">
      <c r="E401" s="3" t="s">
        <v>889</v>
      </c>
      <c r="F401" s="56" t="s">
        <v>890</v>
      </c>
    </row>
    <row r="402" spans="5:6" x14ac:dyDescent="0.3">
      <c r="E402" s="3" t="s">
        <v>799</v>
      </c>
      <c r="F402" s="56" t="s">
        <v>800</v>
      </c>
    </row>
    <row r="403" spans="5:6" x14ac:dyDescent="0.3">
      <c r="E403" s="3" t="s">
        <v>1171</v>
      </c>
      <c r="F403" s="56" t="s">
        <v>1172</v>
      </c>
    </row>
    <row r="404" spans="5:6" x14ac:dyDescent="0.3">
      <c r="E404" s="3" t="s">
        <v>719</v>
      </c>
      <c r="F404" s="56" t="s">
        <v>720</v>
      </c>
    </row>
    <row r="405" spans="5:6" x14ac:dyDescent="0.3">
      <c r="E405" s="3" t="s">
        <v>741</v>
      </c>
      <c r="F405" s="56" t="s">
        <v>742</v>
      </c>
    </row>
    <row r="406" spans="5:6" x14ac:dyDescent="0.3">
      <c r="E406" s="3" t="s">
        <v>1087</v>
      </c>
      <c r="F406" s="56" t="s">
        <v>1088</v>
      </c>
    </row>
    <row r="407" spans="5:6" x14ac:dyDescent="0.3">
      <c r="E407" s="3" t="s">
        <v>547</v>
      </c>
      <c r="F407" s="56" t="s">
        <v>548</v>
      </c>
    </row>
    <row r="408" spans="5:6" x14ac:dyDescent="0.3">
      <c r="E408" s="3" t="s">
        <v>589</v>
      </c>
      <c r="F408" s="56" t="s">
        <v>590</v>
      </c>
    </row>
    <row r="409" spans="5:6" x14ac:dyDescent="0.3">
      <c r="E409" s="3" t="s">
        <v>649</v>
      </c>
      <c r="F409" s="56" t="s">
        <v>650</v>
      </c>
    </row>
    <row r="410" spans="5:6" x14ac:dyDescent="0.3">
      <c r="E410" s="3" t="s">
        <v>333</v>
      </c>
      <c r="F410" s="56" t="s">
        <v>334</v>
      </c>
    </row>
    <row r="411" spans="5:6" x14ac:dyDescent="0.3">
      <c r="E411" s="3" t="s">
        <v>1079</v>
      </c>
      <c r="F411" s="56" t="s">
        <v>1080</v>
      </c>
    </row>
    <row r="412" spans="5:6" x14ac:dyDescent="0.3">
      <c r="E412" s="3" t="s">
        <v>891</v>
      </c>
      <c r="F412" s="56" t="s">
        <v>892</v>
      </c>
    </row>
    <row r="413" spans="5:6" x14ac:dyDescent="0.3">
      <c r="E413" s="3" t="s">
        <v>397</v>
      </c>
      <c r="F413" s="56" t="s">
        <v>398</v>
      </c>
    </row>
    <row r="414" spans="5:6" x14ac:dyDescent="0.3">
      <c r="E414" s="3" t="s">
        <v>377</v>
      </c>
      <c r="F414" s="56" t="s">
        <v>378</v>
      </c>
    </row>
    <row r="415" spans="5:6" x14ac:dyDescent="0.3">
      <c r="E415" s="3" t="s">
        <v>447</v>
      </c>
      <c r="F415" s="56" t="s">
        <v>448</v>
      </c>
    </row>
    <row r="416" spans="5:6" x14ac:dyDescent="0.3">
      <c r="E416" s="3" t="s">
        <v>1121</v>
      </c>
      <c r="F416" s="56" t="s">
        <v>1122</v>
      </c>
    </row>
    <row r="417" spans="5:6" x14ac:dyDescent="0.3">
      <c r="E417" s="3" t="s">
        <v>549</v>
      </c>
      <c r="F417" s="56" t="s">
        <v>550</v>
      </c>
    </row>
    <row r="418" spans="5:6" x14ac:dyDescent="0.3">
      <c r="E418" s="3" t="s">
        <v>965</v>
      </c>
      <c r="F418" s="56" t="s">
        <v>966</v>
      </c>
    </row>
    <row r="419" spans="5:6" x14ac:dyDescent="0.3">
      <c r="E419" s="3" t="s">
        <v>983</v>
      </c>
      <c r="F419" s="56" t="s">
        <v>984</v>
      </c>
    </row>
    <row r="420" spans="5:6" x14ac:dyDescent="0.3">
      <c r="E420" s="3" t="s">
        <v>475</v>
      </c>
      <c r="F420" s="56" t="s">
        <v>476</v>
      </c>
    </row>
    <row r="421" spans="5:6" x14ac:dyDescent="0.3">
      <c r="E421" s="3" t="s">
        <v>431</v>
      </c>
      <c r="F421" s="56" t="s">
        <v>432</v>
      </c>
    </row>
    <row r="422" spans="5:6" x14ac:dyDescent="0.3">
      <c r="E422" s="3" t="s">
        <v>1163</v>
      </c>
      <c r="F422" s="56" t="s">
        <v>1164</v>
      </c>
    </row>
    <row r="423" spans="5:6" x14ac:dyDescent="0.3">
      <c r="E423" s="3" t="s">
        <v>575</v>
      </c>
      <c r="F423" s="56" t="s">
        <v>576</v>
      </c>
    </row>
    <row r="424" spans="5:6" x14ac:dyDescent="0.3">
      <c r="E424" s="3" t="s">
        <v>329</v>
      </c>
      <c r="F424" s="56" t="s">
        <v>330</v>
      </c>
    </row>
    <row r="425" spans="5:6" x14ac:dyDescent="0.3">
      <c r="E425" s="3" t="s">
        <v>571</v>
      </c>
      <c r="F425" s="56" t="s">
        <v>572</v>
      </c>
    </row>
    <row r="426" spans="5:6" x14ac:dyDescent="0.3">
      <c r="E426" s="3" t="s">
        <v>935</v>
      </c>
      <c r="F426" s="56" t="s">
        <v>936</v>
      </c>
    </row>
    <row r="427" spans="5:6" x14ac:dyDescent="0.3">
      <c r="E427" s="3" t="s">
        <v>971</v>
      </c>
      <c r="F427" s="56" t="s">
        <v>972</v>
      </c>
    </row>
    <row r="428" spans="5:6" x14ac:dyDescent="0.3">
      <c r="E428" s="3" t="s">
        <v>805</v>
      </c>
      <c r="F428" s="56" t="s">
        <v>806</v>
      </c>
    </row>
    <row r="429" spans="5:6" x14ac:dyDescent="0.3">
      <c r="E429" s="3" t="s">
        <v>937</v>
      </c>
      <c r="F429" s="56" t="s">
        <v>938</v>
      </c>
    </row>
    <row r="430" spans="5:6" x14ac:dyDescent="0.3">
      <c r="E430" s="3" t="s">
        <v>703</v>
      </c>
      <c r="F430" s="56" t="s">
        <v>704</v>
      </c>
    </row>
    <row r="431" spans="5:6" x14ac:dyDescent="0.3">
      <c r="E431" s="3" t="s">
        <v>843</v>
      </c>
      <c r="F431" s="56" t="s">
        <v>844</v>
      </c>
    </row>
    <row r="432" spans="5:6" x14ac:dyDescent="0.3">
      <c r="E432" s="3" t="s">
        <v>1101</v>
      </c>
      <c r="F432" s="56" t="s">
        <v>1102</v>
      </c>
    </row>
    <row r="433" spans="5:6" x14ac:dyDescent="0.3">
      <c r="E433" s="3" t="s">
        <v>1085</v>
      </c>
      <c r="F433" s="56" t="s">
        <v>1086</v>
      </c>
    </row>
    <row r="434" spans="5:6" x14ac:dyDescent="0.3">
      <c r="E434" s="3" t="s">
        <v>833</v>
      </c>
      <c r="F434" s="56" t="s">
        <v>834</v>
      </c>
    </row>
    <row r="435" spans="5:6" x14ac:dyDescent="0.3">
      <c r="E435" s="3" t="s">
        <v>373</v>
      </c>
      <c r="F435" s="56" t="s">
        <v>374</v>
      </c>
    </row>
    <row r="436" spans="5:6" x14ac:dyDescent="0.3">
      <c r="E436" s="3" t="s">
        <v>687</v>
      </c>
      <c r="F436" s="56" t="s">
        <v>688</v>
      </c>
    </row>
    <row r="437" spans="5:6" x14ac:dyDescent="0.3">
      <c r="E437" s="3" t="s">
        <v>327</v>
      </c>
      <c r="F437" s="56" t="s">
        <v>328</v>
      </c>
    </row>
    <row r="438" spans="5:6" x14ac:dyDescent="0.3">
      <c r="E438" s="3" t="s">
        <v>1143</v>
      </c>
      <c r="F438" s="56" t="s">
        <v>1144</v>
      </c>
    </row>
    <row r="439" spans="5:6" x14ac:dyDescent="0.3">
      <c r="E439" s="3" t="s">
        <v>503</v>
      </c>
      <c r="F439" s="56" t="s">
        <v>504</v>
      </c>
    </row>
    <row r="440" spans="5:6" x14ac:dyDescent="0.3">
      <c r="E440" s="3" t="s">
        <v>907</v>
      </c>
      <c r="F440" s="56" t="s">
        <v>908</v>
      </c>
    </row>
    <row r="441" spans="5:6" x14ac:dyDescent="0.3">
      <c r="E441" s="3" t="s">
        <v>1117</v>
      </c>
      <c r="F441" s="56" t="s">
        <v>1118</v>
      </c>
    </row>
    <row r="442" spans="5:6" x14ac:dyDescent="0.3">
      <c r="E442" s="3" t="s">
        <v>625</v>
      </c>
      <c r="F442" s="56" t="s">
        <v>626</v>
      </c>
    </row>
    <row r="443" spans="5:6" x14ac:dyDescent="0.3">
      <c r="E443" s="3" t="s">
        <v>963</v>
      </c>
      <c r="F443" s="56" t="s">
        <v>964</v>
      </c>
    </row>
    <row r="444" spans="5:6" x14ac:dyDescent="0.3">
      <c r="E444" s="3" t="s">
        <v>539</v>
      </c>
      <c r="F444" s="56" t="s">
        <v>540</v>
      </c>
    </row>
    <row r="445" spans="5:6" x14ac:dyDescent="0.3">
      <c r="E445" s="3" t="s">
        <v>1179</v>
      </c>
      <c r="F445" s="56" t="s">
        <v>1180</v>
      </c>
    </row>
    <row r="446" spans="5:6" x14ac:dyDescent="0.3">
      <c r="E446" s="3" t="s">
        <v>527</v>
      </c>
      <c r="F446" s="56" t="s">
        <v>528</v>
      </c>
    </row>
    <row r="447" spans="5:6" x14ac:dyDescent="0.3">
      <c r="E447" s="3" t="s">
        <v>353</v>
      </c>
      <c r="F447" s="56" t="s">
        <v>354</v>
      </c>
    </row>
    <row r="448" spans="5:6" x14ac:dyDescent="0.3">
      <c r="E448" s="3" t="s">
        <v>301</v>
      </c>
      <c r="F448" s="56" t="s">
        <v>302</v>
      </c>
    </row>
    <row r="449" spans="5:6" x14ac:dyDescent="0.3">
      <c r="E449" s="3" t="s">
        <v>391</v>
      </c>
      <c r="F449" s="56" t="s">
        <v>392</v>
      </c>
    </row>
    <row r="450" spans="5:6" x14ac:dyDescent="0.3">
      <c r="E450" s="3" t="s">
        <v>901</v>
      </c>
      <c r="F450" s="56" t="s">
        <v>902</v>
      </c>
    </row>
    <row r="451" spans="5:6" x14ac:dyDescent="0.3">
      <c r="E451" s="3" t="s">
        <v>1081</v>
      </c>
      <c r="F451" s="56" t="s">
        <v>1082</v>
      </c>
    </row>
    <row r="452" spans="5:6" x14ac:dyDescent="0.3">
      <c r="E452" s="3" t="s">
        <v>669</v>
      </c>
      <c r="F452" s="56" t="s">
        <v>670</v>
      </c>
    </row>
    <row r="453" spans="5:6" x14ac:dyDescent="0.3">
      <c r="E453" s="3" t="s">
        <v>995</v>
      </c>
      <c r="F453" s="56" t="s">
        <v>996</v>
      </c>
    </row>
    <row r="454" spans="5:6" x14ac:dyDescent="0.3">
      <c r="E454" s="3" t="s">
        <v>831</v>
      </c>
      <c r="F454" s="56" t="s">
        <v>832</v>
      </c>
    </row>
    <row r="455" spans="5:6" x14ac:dyDescent="0.3">
      <c r="E455" s="3" t="s">
        <v>569</v>
      </c>
      <c r="F455" s="56" t="s">
        <v>570</v>
      </c>
    </row>
    <row r="456" spans="5:6" x14ac:dyDescent="0.3">
      <c r="E456" s="3" t="s">
        <v>787</v>
      </c>
      <c r="F456" s="56" t="s">
        <v>788</v>
      </c>
    </row>
    <row r="457" spans="5:6" x14ac:dyDescent="0.3">
      <c r="E457" s="3" t="s">
        <v>231</v>
      </c>
      <c r="F457" s="56" t="s">
        <v>232</v>
      </c>
    </row>
    <row r="458" spans="5:6" x14ac:dyDescent="0.3">
      <c r="E458" s="3" t="s">
        <v>999</v>
      </c>
      <c r="F458" s="56" t="s">
        <v>1000</v>
      </c>
    </row>
    <row r="459" spans="5:6" x14ac:dyDescent="0.3">
      <c r="E459" s="3" t="s">
        <v>435</v>
      </c>
      <c r="F459" s="56" t="s">
        <v>436</v>
      </c>
    </row>
    <row r="460" spans="5:6" x14ac:dyDescent="0.3">
      <c r="E460" s="3" t="s">
        <v>781</v>
      </c>
      <c r="F460" s="56" t="s">
        <v>782</v>
      </c>
    </row>
    <row r="461" spans="5:6" x14ac:dyDescent="0.3">
      <c r="E461" s="3" t="s">
        <v>323</v>
      </c>
      <c r="F461" s="56" t="s">
        <v>324</v>
      </c>
    </row>
    <row r="462" spans="5:6" x14ac:dyDescent="0.3">
      <c r="E462" s="3" t="s">
        <v>1055</v>
      </c>
      <c r="F462" s="56" t="s">
        <v>1056</v>
      </c>
    </row>
    <row r="463" spans="5:6" x14ac:dyDescent="0.3">
      <c r="E463" s="3" t="s">
        <v>841</v>
      </c>
      <c r="F463" s="56" t="s">
        <v>842</v>
      </c>
    </row>
    <row r="464" spans="5:6" x14ac:dyDescent="0.3">
      <c r="E464" s="3" t="s">
        <v>761</v>
      </c>
      <c r="F464" s="56" t="s">
        <v>762</v>
      </c>
    </row>
    <row r="465" spans="5:6" x14ac:dyDescent="0.3">
      <c r="E465" s="3" t="s">
        <v>375</v>
      </c>
      <c r="F465" s="56" t="s">
        <v>376</v>
      </c>
    </row>
    <row r="466" spans="5:6" x14ac:dyDescent="0.3">
      <c r="E466" s="3" t="s">
        <v>1093</v>
      </c>
      <c r="F466" s="56" t="s">
        <v>1094</v>
      </c>
    </row>
    <row r="467" spans="5:6" x14ac:dyDescent="0.3">
      <c r="E467" s="3" t="s">
        <v>1135</v>
      </c>
      <c r="F467" s="56" t="s">
        <v>1136</v>
      </c>
    </row>
    <row r="468" spans="5:6" x14ac:dyDescent="0.3">
      <c r="E468" s="3" t="s">
        <v>941</v>
      </c>
      <c r="F468" s="56" t="s">
        <v>942</v>
      </c>
    </row>
    <row r="469" spans="5:6" x14ac:dyDescent="0.3">
      <c r="E469" s="3" t="s">
        <v>249</v>
      </c>
      <c r="F469" s="56" t="s">
        <v>250</v>
      </c>
    </row>
    <row r="470" spans="5:6" x14ac:dyDescent="0.3">
      <c r="E470" s="3" t="s">
        <v>359</v>
      </c>
      <c r="F470" s="56" t="s">
        <v>360</v>
      </c>
    </row>
    <row r="471" spans="5:6" x14ac:dyDescent="0.3">
      <c r="E471" s="3" t="s">
        <v>419</v>
      </c>
      <c r="F471" s="56" t="s">
        <v>420</v>
      </c>
    </row>
    <row r="472" spans="5:6" x14ac:dyDescent="0.3">
      <c r="E472" s="3" t="s">
        <v>581</v>
      </c>
      <c r="F472" s="56" t="s">
        <v>582</v>
      </c>
    </row>
    <row r="473" spans="5:6" x14ac:dyDescent="0.3">
      <c r="E473" s="3" t="s">
        <v>469</v>
      </c>
      <c r="F473" s="56" t="s">
        <v>470</v>
      </c>
    </row>
    <row r="474" spans="5:6" x14ac:dyDescent="0.3">
      <c r="E474" s="3" t="s">
        <v>245</v>
      </c>
      <c r="F474" s="56" t="s">
        <v>246</v>
      </c>
    </row>
    <row r="475" spans="5:6" x14ac:dyDescent="0.3">
      <c r="E475" s="3" t="s">
        <v>757</v>
      </c>
      <c r="F475" s="56" t="s">
        <v>758</v>
      </c>
    </row>
    <row r="476" spans="5:6" x14ac:dyDescent="0.3">
      <c r="E476" s="3" t="s">
        <v>653</v>
      </c>
      <c r="F476" s="56" t="s">
        <v>654</v>
      </c>
    </row>
    <row r="477" spans="5:6" x14ac:dyDescent="0.3">
      <c r="E477" s="3" t="s">
        <v>847</v>
      </c>
      <c r="F477" s="56" t="s">
        <v>848</v>
      </c>
    </row>
    <row r="478" spans="5:6" x14ac:dyDescent="0.3">
      <c r="E478" s="3" t="s">
        <v>707</v>
      </c>
      <c r="F478" s="56" t="s">
        <v>708</v>
      </c>
    </row>
    <row r="479" spans="5:6" x14ac:dyDescent="0.3">
      <c r="E479" s="3" t="s">
        <v>677</v>
      </c>
      <c r="F479" s="56" t="s">
        <v>678</v>
      </c>
    </row>
    <row r="480" spans="5:6" x14ac:dyDescent="0.3">
      <c r="E480" s="3" t="s">
        <v>1029</v>
      </c>
      <c r="F480" s="56" t="s">
        <v>1030</v>
      </c>
    </row>
    <row r="481" spans="5:6" x14ac:dyDescent="0.3">
      <c r="E481" s="3" t="s">
        <v>383</v>
      </c>
      <c r="F481" s="56" t="s">
        <v>384</v>
      </c>
    </row>
    <row r="482" spans="5:6" x14ac:dyDescent="0.3">
      <c r="E482" s="3" t="s">
        <v>601</v>
      </c>
      <c r="F482" s="56" t="s">
        <v>602</v>
      </c>
    </row>
    <row r="483" spans="5:6" x14ac:dyDescent="0.3">
      <c r="E483" s="3" t="s">
        <v>865</v>
      </c>
      <c r="F483" s="56" t="s">
        <v>866</v>
      </c>
    </row>
    <row r="484" spans="5:6" x14ac:dyDescent="0.3">
      <c r="E484" s="3" t="s">
        <v>1057</v>
      </c>
      <c r="F484" s="56" t="s">
        <v>1058</v>
      </c>
    </row>
    <row r="485" spans="5:6" x14ac:dyDescent="0.3">
      <c r="E485" s="3" t="s">
        <v>321</v>
      </c>
      <c r="F485" s="56" t="s">
        <v>322</v>
      </c>
    </row>
    <row r="486" spans="5:6" x14ac:dyDescent="0.3">
      <c r="E486" s="3" t="s">
        <v>723</v>
      </c>
      <c r="F486" s="56" t="s">
        <v>724</v>
      </c>
    </row>
    <row r="487" spans="5:6" x14ac:dyDescent="0.3">
      <c r="E487" s="3" t="s">
        <v>897</v>
      </c>
      <c r="F487" s="56" t="s">
        <v>898</v>
      </c>
    </row>
    <row r="488" spans="5:6" x14ac:dyDescent="0.3">
      <c r="E488" s="3" t="s">
        <v>1209</v>
      </c>
      <c r="F488" s="56" t="s">
        <v>1210</v>
      </c>
    </row>
    <row r="489" spans="5:6" x14ac:dyDescent="0.3">
      <c r="E489" s="3" t="s">
        <v>879</v>
      </c>
      <c r="F489" s="56" t="s">
        <v>880</v>
      </c>
    </row>
    <row r="490" spans="5:6" x14ac:dyDescent="0.3">
      <c r="E490" s="3" t="s">
        <v>899</v>
      </c>
      <c r="F490" s="56" t="s">
        <v>900</v>
      </c>
    </row>
    <row r="491" spans="5:6" x14ac:dyDescent="0.3">
      <c r="E491" s="3" t="s">
        <v>793</v>
      </c>
      <c r="F491" s="56" t="s">
        <v>794</v>
      </c>
    </row>
    <row r="492" spans="5:6" x14ac:dyDescent="0.3">
      <c r="E492" s="3" t="s">
        <v>487</v>
      </c>
      <c r="F492" s="56" t="s">
        <v>488</v>
      </c>
    </row>
    <row r="493" spans="5:6" x14ac:dyDescent="0.3">
      <c r="E493" s="3" t="s">
        <v>279</v>
      </c>
      <c r="F493" s="56" t="s">
        <v>280</v>
      </c>
    </row>
    <row r="494" spans="5:6" x14ac:dyDescent="0.3">
      <c r="E494" s="3" t="s">
        <v>477</v>
      </c>
      <c r="F494" s="56" t="s">
        <v>478</v>
      </c>
    </row>
    <row r="495" spans="5:6" x14ac:dyDescent="0.3">
      <c r="E495" s="3" t="s">
        <v>511</v>
      </c>
      <c r="F495" s="56" t="s">
        <v>512</v>
      </c>
    </row>
    <row r="496" spans="5:6" x14ac:dyDescent="0.3">
      <c r="E496" s="3" t="s">
        <v>257</v>
      </c>
      <c r="F496" s="56" t="s">
        <v>258</v>
      </c>
    </row>
    <row r="497" spans="5:6" x14ac:dyDescent="0.3">
      <c r="E497" s="3" t="s">
        <v>991</v>
      </c>
      <c r="F497" s="56" t="s">
        <v>992</v>
      </c>
    </row>
    <row r="498" spans="5:6" x14ac:dyDescent="0.3">
      <c r="E498" s="3" t="s">
        <v>893</v>
      </c>
      <c r="F498" s="56" t="s">
        <v>894</v>
      </c>
    </row>
    <row r="499" spans="5:6" x14ac:dyDescent="0.3">
      <c r="E499" s="3" t="s">
        <v>777</v>
      </c>
      <c r="F499" s="56" t="s">
        <v>778</v>
      </c>
    </row>
    <row r="500" spans="5:6" x14ac:dyDescent="0.3">
      <c r="E500" s="3" t="s">
        <v>903</v>
      </c>
      <c r="F500" s="56" t="s">
        <v>904</v>
      </c>
    </row>
    <row r="501" spans="5:6" x14ac:dyDescent="0.3">
      <c r="E501" s="3" t="s">
        <v>1173</v>
      </c>
      <c r="F501" s="56" t="s">
        <v>1174</v>
      </c>
    </row>
    <row r="502" spans="5:6" x14ac:dyDescent="0.3">
      <c r="E502" s="3" t="s">
        <v>699</v>
      </c>
      <c r="F502" s="56" t="s">
        <v>700</v>
      </c>
    </row>
    <row r="503" spans="5:6" x14ac:dyDescent="0.3">
      <c r="E503" s="3" t="s">
        <v>247</v>
      </c>
      <c r="F503" s="56" t="s">
        <v>248</v>
      </c>
    </row>
    <row r="504" spans="5:6" x14ac:dyDescent="0.3">
      <c r="E504" s="3" t="s">
        <v>797</v>
      </c>
      <c r="F504" s="56" t="s">
        <v>798</v>
      </c>
    </row>
    <row r="505" spans="5:6" x14ac:dyDescent="0.3">
      <c r="E505" s="3" t="s">
        <v>693</v>
      </c>
      <c r="F505" s="56" t="s">
        <v>694</v>
      </c>
    </row>
    <row r="506" spans="5:6" x14ac:dyDescent="0.3">
      <c r="E506" s="3" t="s">
        <v>909</v>
      </c>
      <c r="F506" s="56" t="s">
        <v>910</v>
      </c>
    </row>
    <row r="507" spans="5:6" x14ac:dyDescent="0.3">
      <c r="E507" s="3" t="s">
        <v>929</v>
      </c>
      <c r="F507" s="56" t="s">
        <v>930</v>
      </c>
    </row>
    <row r="508" spans="5:6" x14ac:dyDescent="0.3">
      <c r="E508" s="3" t="s">
        <v>467</v>
      </c>
      <c r="F508" s="56" t="s">
        <v>468</v>
      </c>
    </row>
  </sheetData>
  <sortState xmlns:xlrd2="http://schemas.microsoft.com/office/spreadsheetml/2017/richdata2" ref="L6:M10">
    <sortCondition ref="L6:L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92F50-6CBA-4F55-9B29-C2DDBAF38536}">
  <sheetPr codeName="Sheet2">
    <tabColor theme="9" tint="-0.249977111117893"/>
  </sheetPr>
  <dimension ref="A1:Q790"/>
  <sheetViews>
    <sheetView topLeftCell="A9" zoomScale="91" zoomScaleNormal="120" workbookViewId="0">
      <selection activeCell="F9" sqref="F9"/>
    </sheetView>
  </sheetViews>
  <sheetFormatPr defaultColWidth="9.109375" defaultRowHeight="14.4" x14ac:dyDescent="0.3"/>
  <cols>
    <col min="1" max="1" width="14.44140625" style="3" bestFit="1" customWidth="1"/>
    <col min="2" max="2" width="14.44140625" style="3" customWidth="1"/>
    <col min="3" max="3" width="5.77734375" style="3" bestFit="1" customWidth="1"/>
    <col min="4" max="4" width="11" style="19" bestFit="1" customWidth="1"/>
    <col min="5" max="5" width="6.88671875" style="20" bestFit="1" customWidth="1"/>
    <col min="6" max="6" width="10.6640625" style="3" bestFit="1" customWidth="1"/>
    <col min="7" max="7" width="12.5546875" style="3" customWidth="1"/>
    <col min="8" max="8" width="10" style="3" bestFit="1" customWidth="1"/>
    <col min="9" max="9" width="8.88671875" style="3" customWidth="1"/>
    <col min="10" max="13" width="9.109375" style="3"/>
    <col min="14" max="14" width="23.109375" style="3" bestFit="1" customWidth="1"/>
    <col min="15" max="15" width="13.88671875" style="3" bestFit="1" customWidth="1"/>
    <col min="16" max="16" width="2.6640625" style="3" bestFit="1" customWidth="1"/>
    <col min="17" max="17" width="11.77734375" style="3" bestFit="1" customWidth="1"/>
    <col min="18" max="18" width="9.109375" style="3"/>
    <col min="19" max="20" width="9.33203125" style="3" customWidth="1"/>
    <col min="21" max="21" width="11.109375" style="3" customWidth="1"/>
    <col min="22" max="43" width="9.109375" style="3"/>
    <col min="44" max="44" width="11.109375" style="3" bestFit="1" customWidth="1"/>
    <col min="45" max="47" width="9.109375" style="3"/>
    <col min="48" max="48" width="11.44140625" style="3" bestFit="1" customWidth="1"/>
    <col min="49" max="16384" width="9.109375" style="3"/>
  </cols>
  <sheetData>
    <row r="1" spans="1:17" x14ac:dyDescent="0.3">
      <c r="A1" s="1" t="s">
        <v>200</v>
      </c>
      <c r="B1" s="24">
        <f ca="1">TODAY()</f>
        <v>45704</v>
      </c>
      <c r="C1" s="27"/>
      <c r="D1" s="2"/>
      <c r="E1" s="3"/>
      <c r="F1" s="4"/>
      <c r="G1" s="5"/>
    </row>
    <row r="2" spans="1:17" x14ac:dyDescent="0.3">
      <c r="A2" s="1" t="s">
        <v>201</v>
      </c>
      <c r="B2" s="23" t="s">
        <v>213</v>
      </c>
      <c r="C2" s="29" t="s">
        <v>1287</v>
      </c>
      <c r="D2" s="28">
        <f ca="1">_xlfn.XLOOKUP(B2,Backdoor!DH5:DH16,Backdoor!DJ5:DJ16)</f>
        <v>40225</v>
      </c>
      <c r="E2" s="3"/>
      <c r="F2" s="4"/>
      <c r="G2" s="6"/>
    </row>
    <row r="3" spans="1:17" x14ac:dyDescent="0.3">
      <c r="A3" s="1" t="s">
        <v>217</v>
      </c>
      <c r="B3" s="23" t="s">
        <v>218</v>
      </c>
      <c r="C3" s="9"/>
      <c r="D3" s="3"/>
      <c r="E3" s="3"/>
      <c r="F3" s="4"/>
      <c r="G3" s="6"/>
    </row>
    <row r="4" spans="1:17" x14ac:dyDescent="0.3">
      <c r="A4" s="1" t="s">
        <v>1231</v>
      </c>
      <c r="B4" s="23" t="s">
        <v>872</v>
      </c>
      <c r="C4" s="9"/>
      <c r="E4" s="3"/>
      <c r="F4" s="4"/>
      <c r="G4" s="6"/>
    </row>
    <row r="5" spans="1:17" x14ac:dyDescent="0.3">
      <c r="A5" s="22" t="str" cm="1">
        <f t="array" ref="A5">_xlfn.IFS(
    B3="Stock", _xlfn.XLOOKUP(B4, 'Assets List'!F6:F508, 'Assets List'!E6:E508, "Loading..."),
    B3="ETF", _xlfn.XLOOKUP(B4, 'Assets List'!B6:B105, 'Assets List'!A6:A105, "Loading..."),B3="Mutual Fund", _xlfn.XLOOKUP(B4,'Assets List'!J6:J30, 'Assets List'!I6:I30, "Loading..."), B3="Crypto", _xlfn.XLOOKUP(B4,'Assets List'!N6:N10, 'Assets List'!L6:L10, "Loading...")
)</f>
        <v>Brown &amp; Brown, Inc.</v>
      </c>
      <c r="D5" s="3"/>
      <c r="E5" s="3"/>
      <c r="F5" s="4"/>
      <c r="G5" s="6"/>
    </row>
    <row r="6" spans="1:17" x14ac:dyDescent="0.3">
      <c r="D6" s="3"/>
      <c r="E6" s="3"/>
    </row>
    <row r="7" spans="1:17" x14ac:dyDescent="0.3">
      <c r="A7" s="7" t="str" cm="1">
        <f t="array" aca="1" ref="A7:B790" ca="1">_xlfn.IFS(B2="1 Week", _xlfn.STOCKHISTORY(B4,Backdoor!DJ5,B1,0),B2="1 Month",_xlfn.STOCKHISTORY(B4,VLOOKUP(B2,Backdoor!DH5:DJ16,3,FALSE),B1,0),AND(B2&lt;&gt;"1 Week",B2&lt;&gt;"1 Month"),_xlfn.STOCKHISTORY(B4,VLOOKUP(B2,Backdoor!DH5:DJ16,3,FALSE),B1,1))</f>
        <v>Date</v>
      </c>
      <c r="B7" s="7" t="str">
        <f ca="1"/>
        <v>Close</v>
      </c>
      <c r="C7" s="7"/>
      <c r="D7" s="7" t="s">
        <v>1343</v>
      </c>
      <c r="E7" s="7" t="s">
        <v>1232</v>
      </c>
      <c r="G7" s="8" t="str" cm="1">
        <f t="array" ref="G7">_xlfn.IFS(B3="ETF","ETF Historical Closures", B3="Stock","Stock Historical Closures",B3="Mutual Fund","Mutual Fund Historical Closures",B3="Crypto","Cryptocurrency Historical Closures")</f>
        <v>Stock Historical Closures</v>
      </c>
      <c r="H7" s="7"/>
      <c r="I7" s="18"/>
      <c r="N7" s="8" t="s">
        <v>216</v>
      </c>
      <c r="O7" s="7"/>
      <c r="P7" s="7"/>
      <c r="Q7" s="7"/>
    </row>
    <row r="8" spans="1:17" hidden="1" x14ac:dyDescent="0.3">
      <c r="A8" s="52" vm="3">
        <f ca="1"/>
        <v>40225</v>
      </c>
      <c r="B8" s="52" vm="1027">
        <f ca="1"/>
        <v>8.36</v>
      </c>
      <c r="C8" s="57"/>
      <c r="D8" s="58" cm="1" vm="1028">
        <f t="array" aca="1" ref="D8:D790" ca="1">_xlfn.IFS(B2="1 Week", _xlfn.STOCKHISTORY("DJI",Backdoor!DJ5,B1,0,0,1),B2="1 Month",_xlfn.STOCKHISTORY("DJI",VLOOKUP(B2,Backdoor!DH5:DJ16,3,FALSE),B1,0,0,1),AND(B2&lt;&gt;"1 Week",B2&lt;&gt;"1 Month"),_xlfn.STOCKHISTORY("DJI",VLOOKUP(B2,Backdoor!DH5:DJ16,3,FALSE),B1,1,0,1))</f>
        <v>10402.3511</v>
      </c>
      <c r="E8" s="25"/>
      <c r="F8" s="11"/>
    </row>
    <row r="9" spans="1:17" x14ac:dyDescent="0.3">
      <c r="A9" s="3" vm="5">
        <f ca="1"/>
        <v>40231</v>
      </c>
      <c r="B9" s="3" vm="1029">
        <f ca="1"/>
        <v>8.39</v>
      </c>
      <c r="C9" s="11"/>
      <c r="D9" s="10" vm="1030">
        <f ca="1"/>
        <v>10325.264800000001</v>
      </c>
      <c r="E9" s="13">
        <f t="shared" ref="E9:E34" ca="1" si="0">IF(B9&gt;0,B9/B8-1,"")</f>
        <v>3.5885167464115852E-3</v>
      </c>
      <c r="F9" s="14"/>
      <c r="N9" s="9" t="s">
        <v>1350</v>
      </c>
      <c r="O9" s="11" cm="1" vm="1031">
        <f t="array" aca="1" ref="O9" ca="1">LOOKUP(2, 1/(B9:B790&lt;&gt;""), B9:B790)</f>
        <v>110.6</v>
      </c>
    </row>
    <row r="10" spans="1:17" x14ac:dyDescent="0.3">
      <c r="A10" s="3" vm="7">
        <f ca="1"/>
        <v>40238</v>
      </c>
      <c r="B10" s="3" vm="1032">
        <f ca="1"/>
        <v>8.68</v>
      </c>
      <c r="C10" s="11"/>
      <c r="D10" s="10" vm="1033">
        <f ca="1"/>
        <v>10566.197399999999</v>
      </c>
      <c r="E10" s="13">
        <f t="shared" ca="1" si="0"/>
        <v>3.4564958283670899E-2</v>
      </c>
      <c r="N10" s="9" t="s">
        <v>1227</v>
      </c>
      <c r="O10" s="12" cm="1">
        <f t="array" aca="1" ref="O10" ca="1">(INDEX(B8:B790,COUNTA(B8:B790)))/$B$8-1</f>
        <v>12.229665071770334</v>
      </c>
    </row>
    <row r="11" spans="1:17" x14ac:dyDescent="0.3">
      <c r="A11" s="3" vm="9">
        <f ca="1"/>
        <v>40245</v>
      </c>
      <c r="B11" s="3" vm="1034">
        <f ca="1"/>
        <v>8.8350000000000009</v>
      </c>
      <c r="C11" s="11"/>
      <c r="D11" s="10" vm="1035">
        <f ca="1"/>
        <v>10624.6924</v>
      </c>
      <c r="E11" s="13">
        <f t="shared" ca="1" si="0"/>
        <v>1.7857142857143016E-2</v>
      </c>
      <c r="N11" s="9" t="s">
        <v>1229</v>
      </c>
      <c r="O11" s="15">
        <f ca="1">_xlfn.MAXIFS(B8:B790,B8:B790,"&lt;&gt;0")</f>
        <v>113.1</v>
      </c>
      <c r="P11" s="16" t="s">
        <v>1228</v>
      </c>
      <c r="Q11" s="9" vm="1016">
        <f ca="1">INDEX(A8:A789, MATCH(MAX(B8:B789), B8:B789, 0))</f>
        <v>45621</v>
      </c>
    </row>
    <row r="12" spans="1:17" x14ac:dyDescent="0.3">
      <c r="A12" s="3" vm="11">
        <f ca="1"/>
        <v>40252</v>
      </c>
      <c r="B12" s="3" vm="1036">
        <f ca="1"/>
        <v>8.99</v>
      </c>
      <c r="C12" s="11"/>
      <c r="D12" s="10" vm="1037">
        <f ca="1"/>
        <v>10741.9846</v>
      </c>
      <c r="E12" s="13">
        <f t="shared" ca="1" si="0"/>
        <v>1.754385964912264E-2</v>
      </c>
      <c r="N12" s="9" t="s">
        <v>1230</v>
      </c>
      <c r="O12" s="15">
        <f ca="1">_xlfn.MINIFS(B8:B790,B8:B790,"&lt;&gt;0")</f>
        <v>8.36</v>
      </c>
      <c r="P12" s="16" t="s">
        <v>1228</v>
      </c>
      <c r="Q12" s="9" vm="3">
        <f ca="1">INDEX(A8:A789, MATCH(MIN(B8:B789), B8:B789, 0))</f>
        <v>40225</v>
      </c>
    </row>
    <row r="13" spans="1:17" x14ac:dyDescent="0.3">
      <c r="A13" s="3" vm="13">
        <f ca="1"/>
        <v>40259</v>
      </c>
      <c r="B13" s="3" vm="1038">
        <f ca="1"/>
        <v>8.9049999999999994</v>
      </c>
      <c r="C13" s="11"/>
      <c r="D13" s="10" vm="1039">
        <f ca="1"/>
        <v>10850.358899999999</v>
      </c>
      <c r="E13" s="13">
        <f t="shared" ca="1" si="0"/>
        <v>-9.4549499443827845E-3</v>
      </c>
      <c r="N13" s="9" t="s">
        <v>1286</v>
      </c>
      <c r="O13" s="26">
        <f ca="1">O11-O12</f>
        <v>104.74</v>
      </c>
    </row>
    <row r="14" spans="1:17" x14ac:dyDescent="0.3">
      <c r="A14" s="3" vm="15">
        <f ca="1"/>
        <v>40266</v>
      </c>
      <c r="B14" s="3" vm="1040">
        <f ca="1"/>
        <v>8.8650000000000002</v>
      </c>
      <c r="C14" s="11"/>
      <c r="D14" s="10" vm="1041">
        <f ca="1"/>
        <v>10927.0674</v>
      </c>
      <c r="E14" s="13">
        <f t="shared" ca="1" si="0"/>
        <v>-4.4918585064569472E-3</v>
      </c>
      <c r="N14" s="9" t="str" cm="1">
        <f t="array" ref="N14">_xlfn.IFS(B3="ETF","ETF Deviation",B3="Stock","Stock Deviation",B3="Mutual Fund","Fund Deviation",B3="Crypto","Coin Deviation")</f>
        <v>Stock Deviation</v>
      </c>
      <c r="O14" s="17">
        <f ca="1">_xlfn.STDEV.S(B8:INDEX(B8:B790,COUNTA(B8:B790)))</f>
        <v>25.458583196353853</v>
      </c>
    </row>
    <row r="15" spans="1:17" x14ac:dyDescent="0.3">
      <c r="A15" s="3" vm="17">
        <f ca="1"/>
        <v>40273</v>
      </c>
      <c r="B15" s="3" vm="1042">
        <f ca="1"/>
        <v>9.15</v>
      </c>
      <c r="C15" s="11"/>
      <c r="D15" s="10" vm="1043">
        <f ca="1"/>
        <v>10997.3521</v>
      </c>
      <c r="E15" s="13">
        <f t="shared" ca="1" si="0"/>
        <v>3.2148900169204797E-2</v>
      </c>
      <c r="N15" s="9" t="str" cm="1">
        <f t="array" ref="N15">_xlfn.IFS(B3="ETF","ETF-to-DJI Returns Beta",B3="Stock","Stock-to-DJI Returns Beta",B3="Mutual Fund","Fund-to-DJI Returns Beta",B3="Crypto","Coin-DJI Returns Beta")</f>
        <v>Stock-to-DJI Returns Beta</v>
      </c>
      <c r="O15" s="17">
        <f ca="1">IFERROR(SLOPE(Backdoor!DD6:DD777,Backdoor!DC6:DC777),"Error!")</f>
        <v>0.13923209504823758</v>
      </c>
    </row>
    <row r="16" spans="1:17" x14ac:dyDescent="0.3">
      <c r="A16" s="3" vm="19">
        <f ca="1"/>
        <v>40280</v>
      </c>
      <c r="B16" s="3" vm="1044">
        <f ca="1"/>
        <v>9.2949999999999999</v>
      </c>
      <c r="C16" s="11"/>
      <c r="D16" s="10" vm="1045">
        <f ca="1"/>
        <v>11018.664199999999</v>
      </c>
      <c r="E16" s="13">
        <f t="shared" ca="1" si="0"/>
        <v>1.5846994535519077E-2</v>
      </c>
      <c r="N16" s="9" t="s">
        <v>1328</v>
      </c>
      <c r="O16" s="20">
        <f ca="1">IFERROR(CORREL(Backdoor!DD6:DD777,Backdoor!DC6:DC777),"Error!")</f>
        <v>0.18633387816922123</v>
      </c>
    </row>
    <row r="17" spans="1:15" x14ac:dyDescent="0.3">
      <c r="A17" s="3" vm="21">
        <f ca="1"/>
        <v>40287</v>
      </c>
      <c r="B17" s="3" vm="1046">
        <f ca="1"/>
        <v>10.015000000000001</v>
      </c>
      <c r="C17" s="11"/>
      <c r="D17" s="10" vm="1047">
        <f ca="1"/>
        <v>11204.276</v>
      </c>
      <c r="E17" s="13">
        <f t="shared" ca="1" si="0"/>
        <v>7.7461000537923708E-2</v>
      </c>
      <c r="N17" s="9" t="s">
        <v>1285</v>
      </c>
      <c r="O17" s="54">
        <f ca="1">IFERROR(AVERAGEIF(E9:E790,"&lt;&gt;0"),"Error!")</f>
        <v>3.770582768376207E-3</v>
      </c>
    </row>
    <row r="18" spans="1:15" x14ac:dyDescent="0.3">
      <c r="A18" s="3" vm="23">
        <f ca="1"/>
        <v>40294</v>
      </c>
      <c r="B18" s="3" vm="1048">
        <f ca="1"/>
        <v>10.07</v>
      </c>
      <c r="C18" s="11"/>
      <c r="D18" s="10" vm="1049">
        <f ca="1"/>
        <v>11008.6127</v>
      </c>
      <c r="E18" s="13">
        <f t="shared" ca="1" si="0"/>
        <v>5.4917623564652018E-3</v>
      </c>
    </row>
    <row r="19" spans="1:15" x14ac:dyDescent="0.3">
      <c r="A19" s="3" vm="25">
        <f ca="1"/>
        <v>40301</v>
      </c>
      <c r="B19" s="3" vm="1050">
        <f ca="1"/>
        <v>9.5050000000000008</v>
      </c>
      <c r="C19" s="11"/>
      <c r="D19" s="10" vm="1051">
        <f ca="1"/>
        <v>10380.4344</v>
      </c>
      <c r="E19" s="13">
        <f t="shared" ca="1" si="0"/>
        <v>-5.6107249255213487E-2</v>
      </c>
    </row>
    <row r="20" spans="1:15" x14ac:dyDescent="0.3">
      <c r="A20" s="3" vm="27">
        <f ca="1"/>
        <v>40308</v>
      </c>
      <c r="B20" s="3" vm="1052">
        <f ca="1"/>
        <v>9.76</v>
      </c>
      <c r="C20" s="11"/>
      <c r="D20" s="10" vm="1053">
        <f ca="1"/>
        <v>10620.1579</v>
      </c>
      <c r="E20" s="13">
        <f t="shared" ca="1" si="0"/>
        <v>2.6827985270909904E-2</v>
      </c>
    </row>
    <row r="21" spans="1:15" x14ac:dyDescent="0.3">
      <c r="A21" s="3" vm="29">
        <f ca="1"/>
        <v>40315</v>
      </c>
      <c r="B21" s="3" vm="1054">
        <f ca="1"/>
        <v>9.5500000000000007</v>
      </c>
      <c r="C21" s="11"/>
      <c r="D21" s="10" vm="1055">
        <f ca="1"/>
        <v>10193.3866</v>
      </c>
      <c r="E21" s="13">
        <f t="shared" ca="1" si="0"/>
        <v>-2.1516393442622905E-2</v>
      </c>
    </row>
    <row r="22" spans="1:15" x14ac:dyDescent="0.3">
      <c r="A22" s="3" vm="31">
        <f ca="1"/>
        <v>40322</v>
      </c>
      <c r="B22" s="3" vm="1056">
        <f ca="1"/>
        <v>9.8000000000000007</v>
      </c>
      <c r="C22" s="11"/>
      <c r="D22" s="10" vm="1057">
        <f ca="1"/>
        <v>10136.6299</v>
      </c>
      <c r="E22" s="13">
        <f t="shared" ca="1" si="0"/>
        <v>2.6178010471204161E-2</v>
      </c>
    </row>
    <row r="23" spans="1:15" x14ac:dyDescent="0.3">
      <c r="A23" s="3" vm="33">
        <f ca="1"/>
        <v>40330</v>
      </c>
      <c r="B23" s="3" vm="1058">
        <f ca="1"/>
        <v>9.65</v>
      </c>
      <c r="C23" s="11"/>
      <c r="D23" s="10" vm="1059">
        <f ca="1"/>
        <v>9931.9732000000004</v>
      </c>
      <c r="E23" s="13">
        <f t="shared" ca="1" si="0"/>
        <v>-1.5306122448979664E-2</v>
      </c>
    </row>
    <row r="24" spans="1:15" x14ac:dyDescent="0.3">
      <c r="A24" s="3" vm="35">
        <f ca="1"/>
        <v>40336</v>
      </c>
      <c r="B24" s="3" vm="1060">
        <f ca="1"/>
        <v>9.8550000000000004</v>
      </c>
      <c r="C24" s="11"/>
      <c r="D24" s="10" vm="1061">
        <f ca="1"/>
        <v>10211.0712</v>
      </c>
      <c r="E24" s="13">
        <f t="shared" ca="1" si="0"/>
        <v>2.1243523316062163E-2</v>
      </c>
      <c r="G24" s="8" t="s">
        <v>1327</v>
      </c>
      <c r="H24" s="18"/>
      <c r="I24" s="18"/>
      <c r="J24" s="18"/>
    </row>
    <row r="25" spans="1:15" x14ac:dyDescent="0.3">
      <c r="A25" s="3" vm="37">
        <f ca="1"/>
        <v>40343</v>
      </c>
      <c r="B25" s="3" vm="1062">
        <f ca="1"/>
        <v>10.105</v>
      </c>
      <c r="C25" s="11"/>
      <c r="D25" s="10" vm="1063">
        <f ca="1"/>
        <v>10450.6435</v>
      </c>
      <c r="E25" s="13">
        <f t="shared" ca="1" si="0"/>
        <v>2.5367833587011779E-2</v>
      </c>
    </row>
    <row r="26" spans="1:15" x14ac:dyDescent="0.3">
      <c r="A26" s="3" vm="39">
        <f ca="1"/>
        <v>40350</v>
      </c>
      <c r="B26" s="3" vm="1064">
        <f ca="1"/>
        <v>9.8949999999999996</v>
      </c>
      <c r="C26" s="11"/>
      <c r="D26" s="10" vm="1065">
        <f ca="1"/>
        <v>10143.809499999999</v>
      </c>
      <c r="E26" s="13">
        <f t="shared" ca="1" si="0"/>
        <v>-2.0781791192479027E-2</v>
      </c>
    </row>
    <row r="27" spans="1:15" x14ac:dyDescent="0.3">
      <c r="A27" s="3" vm="41">
        <f ca="1"/>
        <v>40357</v>
      </c>
      <c r="B27" s="3" vm="1066">
        <f ca="1"/>
        <v>9.4499999999999993</v>
      </c>
      <c r="C27" s="11"/>
      <c r="D27" s="10" vm="1067">
        <f ca="1"/>
        <v>9686.4822999999997</v>
      </c>
      <c r="E27" s="13">
        <f t="shared" ca="1" si="0"/>
        <v>-4.4972208185952489E-2</v>
      </c>
    </row>
    <row r="28" spans="1:15" x14ac:dyDescent="0.3">
      <c r="A28" s="3" vm="43">
        <f ca="1"/>
        <v>40365</v>
      </c>
      <c r="B28" s="3" vm="1068">
        <f ca="1"/>
        <v>9.7349999999999994</v>
      </c>
      <c r="C28" s="11"/>
      <c r="D28" s="10" vm="1069">
        <f ca="1"/>
        <v>10198.026</v>
      </c>
      <c r="E28" s="13">
        <f t="shared" ca="1" si="0"/>
        <v>3.0158730158730274E-2</v>
      </c>
    </row>
    <row r="29" spans="1:15" x14ac:dyDescent="0.3">
      <c r="A29" s="3" vm="45">
        <f ca="1"/>
        <v>40371</v>
      </c>
      <c r="B29" s="3" vm="1070">
        <f ca="1"/>
        <v>9.4749999999999996</v>
      </c>
      <c r="C29" s="11"/>
      <c r="D29" s="10" vm="1071">
        <f ca="1"/>
        <v>10097.8969</v>
      </c>
      <c r="E29" s="13">
        <f t="shared" ca="1" si="0"/>
        <v>-2.6707755521314769E-2</v>
      </c>
    </row>
    <row r="30" spans="1:15" x14ac:dyDescent="0.3">
      <c r="A30" s="3" vm="47">
        <f ca="1"/>
        <v>40378</v>
      </c>
      <c r="B30" s="3" vm="1072">
        <f ca="1"/>
        <v>10.095000000000001</v>
      </c>
      <c r="C30" s="11"/>
      <c r="D30" s="10" vm="1073">
        <f ca="1"/>
        <v>10424.6219</v>
      </c>
      <c r="E30" s="13">
        <f t="shared" ca="1" si="0"/>
        <v>6.5435356200527872E-2</v>
      </c>
    </row>
    <row r="31" spans="1:15" x14ac:dyDescent="0.3">
      <c r="A31" s="3" vm="49">
        <f ca="1"/>
        <v>40385</v>
      </c>
      <c r="B31" s="3" vm="1074">
        <f ca="1"/>
        <v>10.01</v>
      </c>
      <c r="C31" s="11"/>
      <c r="D31" s="10" vm="1075">
        <f ca="1"/>
        <v>10465.9449</v>
      </c>
      <c r="E31" s="13">
        <f t="shared" ca="1" si="0"/>
        <v>-8.420009905894088E-3</v>
      </c>
    </row>
    <row r="32" spans="1:15" x14ac:dyDescent="0.3">
      <c r="A32" s="3" vm="51">
        <f ca="1"/>
        <v>40392</v>
      </c>
      <c r="B32" s="3" vm="1076">
        <f ca="1"/>
        <v>10.035</v>
      </c>
      <c r="C32" s="11"/>
      <c r="D32" s="10" vm="1077">
        <f ca="1"/>
        <v>10653.563899999999</v>
      </c>
      <c r="E32" s="13">
        <f t="shared" ca="1" si="0"/>
        <v>2.4975024975024684E-3</v>
      </c>
    </row>
    <row r="33" spans="1:5" x14ac:dyDescent="0.3">
      <c r="A33" s="3" vm="53">
        <f ca="1"/>
        <v>40399</v>
      </c>
      <c r="B33" s="3" vm="1078">
        <f ca="1"/>
        <v>9.6999999999999993</v>
      </c>
      <c r="C33" s="11"/>
      <c r="D33" s="10" vm="1079">
        <f ca="1"/>
        <v>10303.150100000001</v>
      </c>
      <c r="E33" s="13">
        <f t="shared" ca="1" si="0"/>
        <v>-3.3383158943697144E-2</v>
      </c>
    </row>
    <row r="34" spans="1:5" x14ac:dyDescent="0.3">
      <c r="A34" s="3" vm="55">
        <f ca="1"/>
        <v>40406</v>
      </c>
      <c r="B34" s="3" vm="1080">
        <f ca="1"/>
        <v>9.74</v>
      </c>
      <c r="C34" s="11"/>
      <c r="D34" s="10" vm="1081">
        <f ca="1"/>
        <v>10213.6167</v>
      </c>
      <c r="E34" s="13">
        <f t="shared" ca="1" si="0"/>
        <v>4.1237113402061709E-3</v>
      </c>
    </row>
    <row r="35" spans="1:5" x14ac:dyDescent="0.3">
      <c r="A35" s="3" vm="57">
        <f ca="1"/>
        <v>40413</v>
      </c>
      <c r="B35" s="3" vm="1082">
        <f ca="1"/>
        <v>9.7650000000000006</v>
      </c>
      <c r="C35" s="11"/>
      <c r="D35" s="10" vm="1083">
        <f ca="1"/>
        <v>10150.6482</v>
      </c>
      <c r="E35" s="13">
        <f t="shared" ref="E35:E72" ca="1" si="1">IF(B35&gt;0,B35/B34-1,"")</f>
        <v>2.5667351129363691E-3</v>
      </c>
    </row>
    <row r="36" spans="1:5" x14ac:dyDescent="0.3">
      <c r="A36" s="3" vm="59">
        <f ca="1"/>
        <v>40420</v>
      </c>
      <c r="B36" s="3" vm="1084">
        <f ca="1"/>
        <v>9.92</v>
      </c>
      <c r="C36" s="11"/>
      <c r="D36" s="10" vm="1085">
        <f ca="1"/>
        <v>10447.9323</v>
      </c>
      <c r="E36" s="13">
        <f t="shared" ca="1" si="1"/>
        <v>1.5873015873015817E-2</v>
      </c>
    </row>
    <row r="37" spans="1:5" x14ac:dyDescent="0.3">
      <c r="A37" s="3" vm="61">
        <f ca="1"/>
        <v>40428</v>
      </c>
      <c r="B37" s="3" vm="1086">
        <f ca="1"/>
        <v>9.9749999999999996</v>
      </c>
      <c r="C37" s="11"/>
      <c r="D37" s="10" vm="1087">
        <f ca="1"/>
        <v>10462.766299999999</v>
      </c>
      <c r="E37" s="13">
        <f t="shared" ca="1" si="1"/>
        <v>5.5443548387097419E-3</v>
      </c>
    </row>
    <row r="38" spans="1:5" x14ac:dyDescent="0.3">
      <c r="A38" s="3" vm="63">
        <f ca="1"/>
        <v>40434</v>
      </c>
      <c r="B38" s="3" vm="1088">
        <f ca="1"/>
        <v>10.14</v>
      </c>
      <c r="C38" s="11"/>
      <c r="D38" s="10" vm="1089">
        <f ca="1"/>
        <v>10607.851199999999</v>
      </c>
      <c r="E38" s="13">
        <f t="shared" ca="1" si="1"/>
        <v>1.6541353383458635E-2</v>
      </c>
    </row>
    <row r="39" spans="1:5" x14ac:dyDescent="0.3">
      <c r="A39" s="3" vm="65">
        <f ca="1"/>
        <v>40441</v>
      </c>
      <c r="B39" s="3" vm="1090">
        <f ca="1"/>
        <v>10.08</v>
      </c>
      <c r="C39" s="11"/>
      <c r="D39" s="10" vm="1091">
        <f ca="1"/>
        <v>10860.2551</v>
      </c>
      <c r="E39" s="13">
        <f t="shared" ca="1" si="1"/>
        <v>-5.9171597633136397E-3</v>
      </c>
    </row>
    <row r="40" spans="1:5" x14ac:dyDescent="0.3">
      <c r="A40" s="3" vm="67">
        <f ca="1"/>
        <v>40448</v>
      </c>
      <c r="B40" s="3" vm="1092">
        <f ca="1"/>
        <v>10.085000000000001</v>
      </c>
      <c r="C40" s="11"/>
      <c r="D40" s="10" vm="1093">
        <f ca="1"/>
        <v>10829.679</v>
      </c>
      <c r="E40" s="13">
        <f t="shared" ca="1" si="1"/>
        <v>4.9603174603185529E-4</v>
      </c>
    </row>
    <row r="41" spans="1:5" x14ac:dyDescent="0.3">
      <c r="A41" s="3" vm="69">
        <f ca="1"/>
        <v>40455</v>
      </c>
      <c r="B41" s="3" vm="1094">
        <f ca="1"/>
        <v>10.154999999999999</v>
      </c>
      <c r="C41" s="11"/>
      <c r="D41" s="10" vm="1095">
        <f ca="1"/>
        <v>11006.4753</v>
      </c>
      <c r="E41" s="13">
        <f t="shared" ca="1" si="1"/>
        <v>6.9410014873572123E-3</v>
      </c>
    </row>
    <row r="42" spans="1:5" x14ac:dyDescent="0.3">
      <c r="A42" s="3" vm="71">
        <f ca="1"/>
        <v>40462</v>
      </c>
      <c r="B42" s="3" vm="1096">
        <f ca="1"/>
        <v>10.37</v>
      </c>
      <c r="C42" s="11"/>
      <c r="D42" s="10" vm="1097">
        <f ca="1"/>
        <v>11062.7837</v>
      </c>
      <c r="E42" s="13">
        <f t="shared" ca="1" si="1"/>
        <v>2.1171836533727229E-2</v>
      </c>
    </row>
    <row r="43" spans="1:5" x14ac:dyDescent="0.3">
      <c r="A43" s="3" vm="73">
        <f ca="1"/>
        <v>40469</v>
      </c>
      <c r="B43" s="3" vm="1098">
        <f ca="1"/>
        <v>11.045</v>
      </c>
      <c r="C43" s="11"/>
      <c r="D43" s="10" vm="1099">
        <f ca="1"/>
        <v>11132.563700000001</v>
      </c>
      <c r="E43" s="13">
        <f t="shared" ca="1" si="1"/>
        <v>6.5091610414657719E-2</v>
      </c>
    </row>
    <row r="44" spans="1:5" x14ac:dyDescent="0.3">
      <c r="A44" s="3" vm="75">
        <f ca="1"/>
        <v>40476</v>
      </c>
      <c r="B44" s="3" vm="1100">
        <f ca="1"/>
        <v>11.145</v>
      </c>
      <c r="C44" s="11"/>
      <c r="D44" s="10" vm="1101">
        <f ca="1"/>
        <v>11118.4866</v>
      </c>
      <c r="E44" s="13">
        <f t="shared" ca="1" si="1"/>
        <v>9.0538705296514532E-3</v>
      </c>
    </row>
    <row r="45" spans="1:5" x14ac:dyDescent="0.3">
      <c r="A45" s="3" vm="77">
        <f ca="1"/>
        <v>40483</v>
      </c>
      <c r="B45" s="3" vm="1102">
        <f ca="1"/>
        <v>11.515000000000001</v>
      </c>
      <c r="C45" s="11"/>
      <c r="D45" s="10" vm="1103">
        <f ca="1"/>
        <v>11444.076300000001</v>
      </c>
      <c r="E45" s="13">
        <f t="shared" ca="1" si="1"/>
        <v>3.3198743831314603E-2</v>
      </c>
    </row>
    <row r="46" spans="1:5" x14ac:dyDescent="0.3">
      <c r="A46" s="3" vm="79">
        <f ca="1"/>
        <v>40490</v>
      </c>
      <c r="B46" s="3" vm="1104">
        <f ca="1"/>
        <v>11.28</v>
      </c>
      <c r="C46" s="11"/>
      <c r="D46" s="10" vm="1105">
        <f ca="1"/>
        <v>11192.580599999999</v>
      </c>
      <c r="E46" s="13">
        <f t="shared" ca="1" si="1"/>
        <v>-2.0408163265306256E-2</v>
      </c>
    </row>
    <row r="47" spans="1:5" x14ac:dyDescent="0.3">
      <c r="A47" s="3" vm="81">
        <f ca="1"/>
        <v>40497</v>
      </c>
      <c r="B47" s="3" vm="1106">
        <f ca="1"/>
        <v>11.265000000000001</v>
      </c>
      <c r="C47" s="11"/>
      <c r="D47" s="10" vm="1107">
        <f ca="1"/>
        <v>11203.554700000001</v>
      </c>
      <c r="E47" s="13">
        <f t="shared" ca="1" si="1"/>
        <v>-1.3297872340424233E-3</v>
      </c>
    </row>
    <row r="48" spans="1:5" x14ac:dyDescent="0.3">
      <c r="A48" s="3" vm="83">
        <f ca="1"/>
        <v>40504</v>
      </c>
      <c r="B48" s="3" vm="1108">
        <f ca="1"/>
        <v>11.36</v>
      </c>
      <c r="C48" s="11"/>
      <c r="D48" s="10" vm="1109">
        <f ca="1"/>
        <v>11091.997499999999</v>
      </c>
      <c r="E48" s="13">
        <f t="shared" ca="1" si="1"/>
        <v>8.4332001775409005E-3</v>
      </c>
    </row>
    <row r="49" spans="1:5" x14ac:dyDescent="0.3">
      <c r="A49" s="3" vm="85">
        <f ca="1"/>
        <v>40511</v>
      </c>
      <c r="B49" s="3" vm="1110">
        <f ca="1"/>
        <v>11.72</v>
      </c>
      <c r="C49" s="11"/>
      <c r="D49" s="10" vm="1111">
        <f ca="1"/>
        <v>11382.091700000001</v>
      </c>
      <c r="E49" s="13">
        <f t="shared" ca="1" si="1"/>
        <v>3.1690140845070491E-2</v>
      </c>
    </row>
    <row r="50" spans="1:5" x14ac:dyDescent="0.3">
      <c r="A50" s="3" vm="87">
        <f ca="1"/>
        <v>40518</v>
      </c>
      <c r="B50" s="3" vm="1112">
        <f ca="1"/>
        <v>11.865</v>
      </c>
      <c r="C50" s="11"/>
      <c r="D50" s="10" vm="1113">
        <f ca="1"/>
        <v>11410.3215</v>
      </c>
      <c r="E50" s="13">
        <f t="shared" ca="1" si="1"/>
        <v>1.2372013651877012E-2</v>
      </c>
    </row>
    <row r="51" spans="1:5" x14ac:dyDescent="0.3">
      <c r="A51" s="3" vm="89">
        <f ca="1"/>
        <v>40525</v>
      </c>
      <c r="B51" s="3" vm="1114">
        <f ca="1"/>
        <v>11.975</v>
      </c>
      <c r="C51" s="11"/>
      <c r="D51" s="10" vm="1115">
        <f ca="1"/>
        <v>11491.9082</v>
      </c>
      <c r="E51" s="13">
        <f t="shared" ca="1" si="1"/>
        <v>9.2709650231772578E-3</v>
      </c>
    </row>
    <row r="52" spans="1:5" x14ac:dyDescent="0.3">
      <c r="A52" s="3" vm="91">
        <f ca="1"/>
        <v>40532</v>
      </c>
      <c r="B52" s="3" vm="1116">
        <f ca="1"/>
        <v>12.035</v>
      </c>
      <c r="C52" s="11"/>
      <c r="D52" s="10" vm="1117">
        <f ca="1"/>
        <v>11573.4948</v>
      </c>
      <c r="E52" s="13">
        <f t="shared" ca="1" si="1"/>
        <v>5.0104384133611291E-3</v>
      </c>
    </row>
    <row r="53" spans="1:5" x14ac:dyDescent="0.3">
      <c r="A53" s="3" vm="93">
        <f ca="1"/>
        <v>40539</v>
      </c>
      <c r="B53" s="3" vm="1118">
        <f ca="1"/>
        <v>11.97</v>
      </c>
      <c r="C53" s="11"/>
      <c r="D53" s="10" vm="1119">
        <f ca="1"/>
        <v>11577.505999999999</v>
      </c>
      <c r="E53" s="13">
        <f t="shared" ca="1" si="1"/>
        <v>-5.4009140008308698E-3</v>
      </c>
    </row>
    <row r="54" spans="1:5" x14ac:dyDescent="0.3">
      <c r="A54" s="3" vm="95">
        <f ca="1"/>
        <v>40546</v>
      </c>
      <c r="B54" s="3" vm="1120">
        <f ca="1"/>
        <v>12.07</v>
      </c>
      <c r="C54" s="11"/>
      <c r="D54" s="10" vm="1121">
        <f ca="1"/>
        <v>11674.759099999999</v>
      </c>
      <c r="E54" s="13">
        <f t="shared" ca="1" si="1"/>
        <v>8.3542188805345585E-3</v>
      </c>
    </row>
    <row r="55" spans="1:5" x14ac:dyDescent="0.3">
      <c r="A55" s="3" vm="97">
        <f ca="1"/>
        <v>40553</v>
      </c>
      <c r="B55" s="3" vm="1122">
        <f ca="1"/>
        <v>12.324999999999999</v>
      </c>
      <c r="C55" s="11"/>
      <c r="D55" s="10" vm="1123">
        <f ca="1"/>
        <v>11787.375899999999</v>
      </c>
      <c r="E55" s="13">
        <f t="shared" ca="1" si="1"/>
        <v>2.1126760563380254E-2</v>
      </c>
    </row>
    <row r="56" spans="1:5" x14ac:dyDescent="0.3">
      <c r="A56" s="3" vm="99">
        <f ca="1"/>
        <v>40561</v>
      </c>
      <c r="B56" s="3" vm="1124">
        <f ca="1"/>
        <v>12.18</v>
      </c>
      <c r="C56" s="11"/>
      <c r="D56" s="10" vm="1125">
        <f ca="1"/>
        <v>11871.8385</v>
      </c>
      <c r="E56" s="13">
        <f t="shared" ca="1" si="1"/>
        <v>-1.1764705882352899E-2</v>
      </c>
    </row>
    <row r="57" spans="1:5" x14ac:dyDescent="0.3">
      <c r="A57" s="3" vm="101">
        <f ca="1"/>
        <v>40567</v>
      </c>
      <c r="B57" s="3" vm="1126">
        <f ca="1"/>
        <v>12.35</v>
      </c>
      <c r="C57" s="11"/>
      <c r="D57" s="10" vm="1127">
        <f ca="1"/>
        <v>11823.7039</v>
      </c>
      <c r="E57" s="13">
        <f t="shared" ca="1" si="1"/>
        <v>1.3957307060755264E-2</v>
      </c>
    </row>
    <row r="58" spans="1:5" x14ac:dyDescent="0.3">
      <c r="A58" s="3" vm="103">
        <f ca="1"/>
        <v>40574</v>
      </c>
      <c r="B58" s="3" vm="1128">
        <f ca="1"/>
        <v>12.33</v>
      </c>
      <c r="C58" s="11"/>
      <c r="D58" s="10" vm="1129">
        <f ca="1"/>
        <v>12092.152700000001</v>
      </c>
      <c r="E58" s="13">
        <f t="shared" ca="1" si="1"/>
        <v>-1.6194331983805377E-3</v>
      </c>
    </row>
    <row r="59" spans="1:5" x14ac:dyDescent="0.3">
      <c r="A59" s="3" vm="105">
        <f ca="1"/>
        <v>40581</v>
      </c>
      <c r="B59" s="3" vm="1130">
        <f ca="1"/>
        <v>12.62</v>
      </c>
      <c r="C59" s="11"/>
      <c r="D59" s="10" vm="1131">
        <f ca="1"/>
        <v>12273.2629</v>
      </c>
      <c r="E59" s="13">
        <f t="shared" ca="1" si="1"/>
        <v>2.3519870235198637E-2</v>
      </c>
    </row>
    <row r="60" spans="1:5" x14ac:dyDescent="0.3">
      <c r="A60" s="3" vm="107">
        <f ca="1"/>
        <v>40588</v>
      </c>
      <c r="B60" s="3" vm="1132">
        <f ca="1"/>
        <v>13.255000000000001</v>
      </c>
      <c r="C60" s="11"/>
      <c r="D60" s="10" vm="1133">
        <f ca="1"/>
        <v>12391.253199999999</v>
      </c>
      <c r="E60" s="13">
        <f t="shared" ca="1" si="1"/>
        <v>5.0316957210776669E-2</v>
      </c>
    </row>
    <row r="61" spans="1:5" x14ac:dyDescent="0.3">
      <c r="A61" s="3" vm="109">
        <f ca="1"/>
        <v>40596</v>
      </c>
      <c r="B61" s="3" vm="1134">
        <f ca="1"/>
        <v>13.11</v>
      </c>
      <c r="C61" s="11"/>
      <c r="D61" s="10" vm="1135">
        <f ca="1"/>
        <v>12130.448399999999</v>
      </c>
      <c r="E61" s="13">
        <f t="shared" ca="1" si="1"/>
        <v>-1.0939268200679142E-2</v>
      </c>
    </row>
    <row r="62" spans="1:5" x14ac:dyDescent="0.3">
      <c r="A62" s="3" vm="111">
        <f ca="1"/>
        <v>40602</v>
      </c>
      <c r="B62" s="3" vm="1136">
        <f ca="1"/>
        <v>12.67</v>
      </c>
      <c r="C62" s="11"/>
      <c r="D62" s="10" vm="1137">
        <f ca="1"/>
        <v>12169.8794</v>
      </c>
      <c r="E62" s="13">
        <f t="shared" ca="1" si="1"/>
        <v>-3.3562166285278416E-2</v>
      </c>
    </row>
    <row r="63" spans="1:5" x14ac:dyDescent="0.3">
      <c r="A63" s="3" vm="113">
        <f ca="1"/>
        <v>40609</v>
      </c>
      <c r="B63" s="3" vm="1138">
        <f ca="1"/>
        <v>12.71</v>
      </c>
      <c r="C63" s="11"/>
      <c r="D63" s="10" vm="1139">
        <f ca="1"/>
        <v>12044.396500000001</v>
      </c>
      <c r="E63" s="13">
        <f t="shared" ca="1" si="1"/>
        <v>3.1570639305447123E-3</v>
      </c>
    </row>
    <row r="64" spans="1:5" x14ac:dyDescent="0.3">
      <c r="A64" s="3" vm="115">
        <f ca="1"/>
        <v>40616</v>
      </c>
      <c r="B64" s="3" vm="1140">
        <f ca="1"/>
        <v>12.44</v>
      </c>
      <c r="C64" s="11"/>
      <c r="D64" s="10" vm="1141">
        <f ca="1"/>
        <v>11858.5182</v>
      </c>
      <c r="E64" s="13">
        <f t="shared" ca="1" si="1"/>
        <v>-2.124311565696313E-2</v>
      </c>
    </row>
    <row r="65" spans="1:5" x14ac:dyDescent="0.3">
      <c r="A65" s="3" vm="117">
        <f ca="1"/>
        <v>40623</v>
      </c>
      <c r="B65" s="3" vm="1142">
        <f ca="1"/>
        <v>12.545</v>
      </c>
      <c r="C65" s="11"/>
      <c r="D65" s="10" vm="1143">
        <f ca="1"/>
        <v>12220.587299999999</v>
      </c>
      <c r="E65" s="13">
        <f t="shared" ca="1" si="1"/>
        <v>8.4405144694534862E-3</v>
      </c>
    </row>
    <row r="66" spans="1:5" x14ac:dyDescent="0.3">
      <c r="A66" s="3" vm="119">
        <f ca="1"/>
        <v>40630</v>
      </c>
      <c r="B66" s="3" vm="1144">
        <f ca="1"/>
        <v>13.15</v>
      </c>
      <c r="C66" s="11"/>
      <c r="D66" s="10" vm="1145">
        <f ca="1"/>
        <v>12376.722</v>
      </c>
      <c r="E66" s="13">
        <f t="shared" ca="1" si="1"/>
        <v>4.8226385013949713E-2</v>
      </c>
    </row>
    <row r="67" spans="1:5" x14ac:dyDescent="0.3">
      <c r="A67" s="3" vm="121">
        <f ca="1"/>
        <v>40637</v>
      </c>
      <c r="B67" s="3" vm="1146">
        <f ca="1"/>
        <v>13.265000000000001</v>
      </c>
      <c r="C67" s="11"/>
      <c r="D67" s="10" vm="1147">
        <f ca="1"/>
        <v>12380.052</v>
      </c>
      <c r="E67" s="13">
        <f t="shared" ca="1" si="1"/>
        <v>8.7452471482889482E-3</v>
      </c>
    </row>
    <row r="68" spans="1:5" x14ac:dyDescent="0.3">
      <c r="A68" s="3" vm="123">
        <f ca="1"/>
        <v>40644</v>
      </c>
      <c r="B68" s="3" vm="1148">
        <f ca="1"/>
        <v>13.07</v>
      </c>
      <c r="C68" s="11"/>
      <c r="D68" s="10" vm="1149">
        <f ca="1"/>
        <v>12341.832</v>
      </c>
      <c r="E68" s="13">
        <f t="shared" ca="1" si="1"/>
        <v>-1.4700339238597815E-2</v>
      </c>
    </row>
    <row r="69" spans="1:5" x14ac:dyDescent="0.3">
      <c r="A69" s="3" vm="125">
        <f ca="1"/>
        <v>40651</v>
      </c>
      <c r="B69" s="3" vm="1150">
        <f ca="1"/>
        <v>12.574999999999999</v>
      </c>
      <c r="C69" s="11"/>
      <c r="D69" s="10" vm="1151">
        <f ca="1"/>
        <v>12505.989100000001</v>
      </c>
      <c r="E69" s="13">
        <f t="shared" ca="1" si="1"/>
        <v>-3.7872991583779769E-2</v>
      </c>
    </row>
    <row r="70" spans="1:5" x14ac:dyDescent="0.3">
      <c r="A70" s="3" vm="127">
        <f ca="1"/>
        <v>40658</v>
      </c>
      <c r="B70" s="3" vm="1152">
        <f ca="1"/>
        <v>12.925000000000001</v>
      </c>
      <c r="C70" s="11"/>
      <c r="D70" s="10" vm="1153">
        <f ca="1"/>
        <v>12810.5388</v>
      </c>
      <c r="E70" s="13">
        <f t="shared" ca="1" si="1"/>
        <v>2.7833001988071704E-2</v>
      </c>
    </row>
    <row r="71" spans="1:5" x14ac:dyDescent="0.3">
      <c r="A71" s="3" vm="129">
        <f ca="1"/>
        <v>40665</v>
      </c>
      <c r="B71" s="3" vm="1154">
        <f ca="1"/>
        <v>12.7</v>
      </c>
      <c r="C71" s="11"/>
      <c r="D71" s="10" vm="1155">
        <f ca="1"/>
        <v>12638.7377</v>
      </c>
      <c r="E71" s="13">
        <f t="shared" ca="1" si="1"/>
        <v>-1.740812379110257E-2</v>
      </c>
    </row>
    <row r="72" spans="1:5" x14ac:dyDescent="0.3">
      <c r="A72" s="3" vm="131">
        <f ca="1"/>
        <v>40672</v>
      </c>
      <c r="B72" s="3" vm="1156">
        <f ca="1"/>
        <v>12.805</v>
      </c>
      <c r="C72" s="11"/>
      <c r="D72" s="10" vm="1157">
        <f ca="1"/>
        <v>12595.7495</v>
      </c>
      <c r="E72" s="13">
        <f t="shared" ca="1" si="1"/>
        <v>8.2677165354330118E-3</v>
      </c>
    </row>
    <row r="73" spans="1:5" x14ac:dyDescent="0.3">
      <c r="A73" s="3" vm="133">
        <f ca="1"/>
        <v>40679</v>
      </c>
      <c r="B73" s="3" vm="1158">
        <f ca="1"/>
        <v>12.955</v>
      </c>
      <c r="C73" s="11"/>
      <c r="D73" s="10" vm="1159">
        <f ca="1"/>
        <v>12512.043799999999</v>
      </c>
      <c r="E73" s="13">
        <f t="shared" ref="E73:E136" ca="1" si="2">IF(B73&gt;0,B73/B72-1,"")</f>
        <v>1.1714174150722512E-2</v>
      </c>
    </row>
    <row r="74" spans="1:5" x14ac:dyDescent="0.3">
      <c r="A74" s="3" vm="135">
        <f ca="1"/>
        <v>40686</v>
      </c>
      <c r="B74" s="3" vm="1160">
        <f ca="1"/>
        <v>13.04</v>
      </c>
      <c r="C74" s="11"/>
      <c r="D74" s="10" vm="1161">
        <f ca="1"/>
        <v>12441.5826</v>
      </c>
      <c r="E74" s="13">
        <f t="shared" ca="1" si="2"/>
        <v>6.5611732921651011E-3</v>
      </c>
    </row>
    <row r="75" spans="1:5" x14ac:dyDescent="0.3">
      <c r="A75" s="3" vm="137">
        <f ca="1"/>
        <v>40694</v>
      </c>
      <c r="B75" s="3" vm="1162">
        <f ca="1"/>
        <v>12.98</v>
      </c>
      <c r="C75" s="11"/>
      <c r="D75" s="10" vm="1163">
        <f ca="1"/>
        <v>12151.2613</v>
      </c>
      <c r="E75" s="13">
        <f t="shared" ca="1" si="2"/>
        <v>-4.6012269938648931E-3</v>
      </c>
    </row>
    <row r="76" spans="1:5" x14ac:dyDescent="0.3">
      <c r="A76" s="3" vm="139">
        <f ca="1"/>
        <v>40700</v>
      </c>
      <c r="B76" s="3" vm="1142">
        <f ca="1"/>
        <v>12.545</v>
      </c>
      <c r="C76" s="11"/>
      <c r="D76" s="10" vm="1164">
        <f ca="1"/>
        <v>11951.9115</v>
      </c>
      <c r="E76" s="13">
        <f t="shared" ca="1" si="2"/>
        <v>-3.3513097072419118E-2</v>
      </c>
    </row>
    <row r="77" spans="1:5" x14ac:dyDescent="0.3">
      <c r="A77" s="3" vm="141">
        <f ca="1"/>
        <v>40707</v>
      </c>
      <c r="B77" s="3" vm="1165">
        <f ca="1"/>
        <v>12.51</v>
      </c>
      <c r="C77" s="11"/>
      <c r="D77" s="10" vm="1166">
        <f ca="1"/>
        <v>12004.36</v>
      </c>
      <c r="E77" s="13">
        <f t="shared" ca="1" si="2"/>
        <v>-2.789956157831841E-3</v>
      </c>
    </row>
    <row r="78" spans="1:5" x14ac:dyDescent="0.3">
      <c r="A78" s="3" vm="143">
        <f ca="1"/>
        <v>40714</v>
      </c>
      <c r="B78" s="3" vm="1167">
        <f ca="1"/>
        <v>12.59</v>
      </c>
      <c r="C78" s="11"/>
      <c r="D78" s="10" vm="1168">
        <f ca="1"/>
        <v>11934.58</v>
      </c>
      <c r="E78" s="13">
        <f t="shared" ca="1" si="2"/>
        <v>6.3948840927259276E-3</v>
      </c>
    </row>
    <row r="79" spans="1:5" x14ac:dyDescent="0.3">
      <c r="A79" s="3" vm="145">
        <f ca="1"/>
        <v>40721</v>
      </c>
      <c r="B79" s="3" vm="1169">
        <f ca="1"/>
        <v>12.94</v>
      </c>
      <c r="C79" s="11"/>
      <c r="D79" s="10" vm="1170">
        <f ca="1"/>
        <v>12582.7698</v>
      </c>
      <c r="E79" s="13">
        <f t="shared" ca="1" si="2"/>
        <v>2.779984114376477E-2</v>
      </c>
    </row>
    <row r="80" spans="1:5" x14ac:dyDescent="0.3">
      <c r="A80" s="3" vm="147">
        <f ca="1"/>
        <v>40729</v>
      </c>
      <c r="B80" s="3" vm="1169">
        <f ca="1"/>
        <v>12.94</v>
      </c>
      <c r="C80" s="11"/>
      <c r="D80" s="10" vm="1171">
        <f ca="1"/>
        <v>12657.204400000001</v>
      </c>
      <c r="E80" s="13">
        <f t="shared" ca="1" si="2"/>
        <v>0</v>
      </c>
    </row>
    <row r="81" spans="1:5" x14ac:dyDescent="0.3">
      <c r="A81" s="3" vm="149">
        <f ca="1"/>
        <v>40735</v>
      </c>
      <c r="B81" s="3" vm="1172">
        <f ca="1"/>
        <v>12.21</v>
      </c>
      <c r="C81" s="11"/>
      <c r="D81" s="10" vm="1173">
        <f ca="1"/>
        <v>12479.727000000001</v>
      </c>
      <c r="E81" s="13">
        <f t="shared" ca="1" si="2"/>
        <v>-5.641421947449754E-2</v>
      </c>
    </row>
    <row r="82" spans="1:5" x14ac:dyDescent="0.3">
      <c r="A82" s="3" vm="151">
        <f ca="1"/>
        <v>40742</v>
      </c>
      <c r="B82" s="3" vm="1174">
        <f ca="1"/>
        <v>10.9</v>
      </c>
      <c r="C82" s="11"/>
      <c r="D82" s="10" vm="1175">
        <f ca="1"/>
        <v>12681.1582</v>
      </c>
      <c r="E82" s="13">
        <f t="shared" ca="1" si="2"/>
        <v>-0.10728910728910734</v>
      </c>
    </row>
    <row r="83" spans="1:5" x14ac:dyDescent="0.3">
      <c r="A83" s="3" vm="153">
        <f ca="1"/>
        <v>40749</v>
      </c>
      <c r="B83" s="3" vm="1176">
        <f ca="1"/>
        <v>10.904999999999999</v>
      </c>
      <c r="C83" s="11"/>
      <c r="D83" s="10" vm="1177">
        <f ca="1"/>
        <v>12143.2389</v>
      </c>
      <c r="E83" s="13">
        <f t="shared" ca="1" si="2"/>
        <v>4.5871559633026138E-4</v>
      </c>
    </row>
    <row r="84" spans="1:5" x14ac:dyDescent="0.3">
      <c r="A84" s="3" vm="155">
        <f ca="1"/>
        <v>40756</v>
      </c>
      <c r="B84" s="3" vm="1072">
        <f ca="1"/>
        <v>10.095000000000001</v>
      </c>
      <c r="C84" s="11"/>
      <c r="D84" s="10" vm="1178">
        <f ca="1"/>
        <v>11444.606100000001</v>
      </c>
      <c r="E84" s="13">
        <f t="shared" ca="1" si="2"/>
        <v>-7.4277854195323179E-2</v>
      </c>
    </row>
    <row r="85" spans="1:5" x14ac:dyDescent="0.3">
      <c r="A85" s="3" vm="157">
        <f ca="1"/>
        <v>40763</v>
      </c>
      <c r="B85" s="3" vm="1179">
        <f ca="1"/>
        <v>9.7249999999999996</v>
      </c>
      <c r="C85" s="11"/>
      <c r="D85" s="10" vm="1180">
        <f ca="1"/>
        <v>11269.0208</v>
      </c>
      <c r="E85" s="13">
        <f t="shared" ca="1" si="2"/>
        <v>-3.6651807825656357E-2</v>
      </c>
    </row>
    <row r="86" spans="1:5" x14ac:dyDescent="0.3">
      <c r="A86" s="3" vm="159">
        <f ca="1"/>
        <v>40770</v>
      </c>
      <c r="B86" s="3" vm="1181">
        <f ca="1"/>
        <v>9.58</v>
      </c>
      <c r="C86" s="11"/>
      <c r="D86" s="10" vm="1182">
        <f ca="1"/>
        <v>10817.645399999999</v>
      </c>
      <c r="E86" s="13">
        <f t="shared" ca="1" si="2"/>
        <v>-1.4910025706940777E-2</v>
      </c>
    </row>
    <row r="87" spans="1:5" x14ac:dyDescent="0.3">
      <c r="A87" s="3" vm="161">
        <f ca="1"/>
        <v>40777</v>
      </c>
      <c r="B87" s="3" vm="1183">
        <f ca="1"/>
        <v>10.215</v>
      </c>
      <c r="C87" s="11"/>
      <c r="D87" s="10" vm="1184">
        <f ca="1"/>
        <v>11284.535900000001</v>
      </c>
      <c r="E87" s="13">
        <f t="shared" ca="1" si="2"/>
        <v>6.6283924843423714E-2</v>
      </c>
    </row>
    <row r="88" spans="1:5" x14ac:dyDescent="0.3">
      <c r="A88" s="3" vm="163">
        <f ca="1"/>
        <v>40784</v>
      </c>
      <c r="B88" s="3" vm="1185">
        <f ca="1"/>
        <v>9.9849999999999994</v>
      </c>
      <c r="C88" s="11"/>
      <c r="D88" s="10" vm="1186">
        <f ca="1"/>
        <v>11240.2611</v>
      </c>
      <c r="E88" s="13">
        <f t="shared" ca="1" si="2"/>
        <v>-2.2515907978463034E-2</v>
      </c>
    </row>
    <row r="89" spans="1:5" x14ac:dyDescent="0.3">
      <c r="A89" s="3" vm="165">
        <f ca="1"/>
        <v>40792</v>
      </c>
      <c r="B89" s="3" vm="1187">
        <f ca="1"/>
        <v>9.7949999999999999</v>
      </c>
      <c r="C89" s="11"/>
      <c r="D89" s="10" vm="1188">
        <f ca="1"/>
        <v>10992.1333</v>
      </c>
      <c r="E89" s="13">
        <f t="shared" ca="1" si="2"/>
        <v>-1.9028542814221283E-2</v>
      </c>
    </row>
    <row r="90" spans="1:5" x14ac:dyDescent="0.3">
      <c r="A90" s="3" vm="167">
        <f ca="1"/>
        <v>40798</v>
      </c>
      <c r="B90" s="3" vm="1050">
        <f ca="1"/>
        <v>9.5050000000000008</v>
      </c>
      <c r="C90" s="11"/>
      <c r="D90" s="10" vm="1189">
        <f ca="1"/>
        <v>11509.088299999999</v>
      </c>
      <c r="E90" s="13">
        <f t="shared" ca="1" si="2"/>
        <v>-2.9606942317508822E-2</v>
      </c>
    </row>
    <row r="91" spans="1:5" x14ac:dyDescent="0.3">
      <c r="A91" s="3" vm="169">
        <f ca="1"/>
        <v>40805</v>
      </c>
      <c r="B91" s="3" vm="1190">
        <f ca="1"/>
        <v>8.7750000000000004</v>
      </c>
      <c r="C91" s="11"/>
      <c r="D91" s="10" vm="1191">
        <f ca="1"/>
        <v>10771.4786</v>
      </c>
      <c r="E91" s="13">
        <f t="shared" ca="1" si="2"/>
        <v>-7.680168332456605E-2</v>
      </c>
    </row>
    <row r="92" spans="1:5" x14ac:dyDescent="0.3">
      <c r="A92" s="3" vm="171">
        <f ca="1"/>
        <v>40812</v>
      </c>
      <c r="B92" s="3" vm="1192">
        <f ca="1"/>
        <v>8.9</v>
      </c>
      <c r="C92" s="11"/>
      <c r="D92" s="10" vm="1193">
        <f ca="1"/>
        <v>10913.3848</v>
      </c>
      <c r="E92" s="13">
        <f t="shared" ca="1" si="2"/>
        <v>1.4245014245014342E-2</v>
      </c>
    </row>
    <row r="93" spans="1:5" x14ac:dyDescent="0.3">
      <c r="A93" s="3" vm="173">
        <f ca="1"/>
        <v>40819</v>
      </c>
      <c r="B93" s="3" vm="1194">
        <f ca="1"/>
        <v>8.8249999999999993</v>
      </c>
      <c r="C93" s="11"/>
      <c r="D93" s="10" vm="1195">
        <f ca="1"/>
        <v>11103.1229</v>
      </c>
      <c r="E93" s="13">
        <f t="shared" ca="1" si="2"/>
        <v>-8.4269662921349076E-3</v>
      </c>
    </row>
    <row r="94" spans="1:5" x14ac:dyDescent="0.3">
      <c r="A94" s="3" vm="175">
        <f ca="1"/>
        <v>40826</v>
      </c>
      <c r="B94" s="3" vm="1196">
        <f ca="1"/>
        <v>9.2200000000000006</v>
      </c>
      <c r="C94" s="11"/>
      <c r="D94" s="10" vm="1197">
        <f ca="1"/>
        <v>11644.4858</v>
      </c>
      <c r="E94" s="13">
        <f t="shared" ca="1" si="2"/>
        <v>4.4759206798866913E-2</v>
      </c>
    </row>
    <row r="95" spans="1:5" x14ac:dyDescent="0.3">
      <c r="A95" s="3" vm="177">
        <f ca="1"/>
        <v>40833</v>
      </c>
      <c r="B95" s="3" vm="1198">
        <f ca="1"/>
        <v>10.75</v>
      </c>
      <c r="C95" s="11"/>
      <c r="D95" s="10" vm="1199">
        <f ca="1"/>
        <v>11808.7943</v>
      </c>
      <c r="E95" s="13">
        <f t="shared" ca="1" si="2"/>
        <v>0.1659436008676789</v>
      </c>
    </row>
    <row r="96" spans="1:5" x14ac:dyDescent="0.3">
      <c r="A96" s="3" vm="179">
        <f ca="1"/>
        <v>40840</v>
      </c>
      <c r="B96" s="3" vm="1200">
        <f ca="1"/>
        <v>11.32</v>
      </c>
      <c r="C96" s="11"/>
      <c r="D96" s="10" vm="1201">
        <f ca="1"/>
        <v>12231.1072</v>
      </c>
      <c r="E96" s="13">
        <f t="shared" ca="1" si="2"/>
        <v>5.3023255813953618E-2</v>
      </c>
    </row>
    <row r="97" spans="1:5" x14ac:dyDescent="0.3">
      <c r="A97" s="3" vm="181">
        <f ca="1"/>
        <v>40847</v>
      </c>
      <c r="B97" s="3" vm="1202">
        <f ca="1"/>
        <v>10.955</v>
      </c>
      <c r="C97" s="11"/>
      <c r="D97" s="10" vm="1203">
        <f ca="1"/>
        <v>11983.2444</v>
      </c>
      <c r="E97" s="13">
        <f t="shared" ca="1" si="2"/>
        <v>-3.2243816254416968E-2</v>
      </c>
    </row>
    <row r="98" spans="1:5" x14ac:dyDescent="0.3">
      <c r="A98" s="3" vm="183">
        <f ca="1"/>
        <v>40854</v>
      </c>
      <c r="B98" s="3" vm="1204">
        <f ca="1"/>
        <v>11.085000000000001</v>
      </c>
      <c r="C98" s="11"/>
      <c r="D98" s="10" vm="1205">
        <f ca="1"/>
        <v>12153.683199999999</v>
      </c>
      <c r="E98" s="13">
        <f t="shared" ca="1" si="2"/>
        <v>1.1866727521679721E-2</v>
      </c>
    </row>
    <row r="99" spans="1:5" x14ac:dyDescent="0.3">
      <c r="A99" s="3" vm="185">
        <f ca="1"/>
        <v>40861</v>
      </c>
      <c r="B99" s="3" vm="1206">
        <f ca="1"/>
        <v>10.535</v>
      </c>
      <c r="C99" s="11"/>
      <c r="D99" s="10" vm="1207">
        <f ca="1"/>
        <v>11796.155199999999</v>
      </c>
      <c r="E99" s="13">
        <f t="shared" ca="1" si="2"/>
        <v>-4.9616599007668127E-2</v>
      </c>
    </row>
    <row r="100" spans="1:5" x14ac:dyDescent="0.3">
      <c r="A100" s="3" vm="187">
        <f ca="1"/>
        <v>40868</v>
      </c>
      <c r="B100" s="3" vm="1208">
        <f ca="1"/>
        <v>9.875</v>
      </c>
      <c r="C100" s="11"/>
      <c r="D100" s="10" vm="1209">
        <f ca="1"/>
        <v>11231.784600000001</v>
      </c>
      <c r="E100" s="13">
        <f t="shared" ca="1" si="2"/>
        <v>-6.2648315140009458E-2</v>
      </c>
    </row>
    <row r="101" spans="1:5" x14ac:dyDescent="0.3">
      <c r="A101" s="3" vm="189">
        <f ca="1"/>
        <v>40875</v>
      </c>
      <c r="B101" s="3" vm="1210">
        <f ca="1"/>
        <v>10.61</v>
      </c>
      <c r="C101" s="11"/>
      <c r="D101" s="10" vm="1211">
        <f ca="1"/>
        <v>12019.421</v>
      </c>
      <c r="E101" s="13">
        <f t="shared" ca="1" si="2"/>
        <v>7.4430379746835307E-2</v>
      </c>
    </row>
    <row r="102" spans="1:5" x14ac:dyDescent="0.3">
      <c r="A102" s="3" vm="191">
        <f ca="1"/>
        <v>40882</v>
      </c>
      <c r="B102" s="3" vm="1212">
        <f ca="1"/>
        <v>10.895</v>
      </c>
      <c r="C102" s="11"/>
      <c r="D102" s="10" vm="1213">
        <f ca="1"/>
        <v>12184.2593</v>
      </c>
      <c r="E102" s="13">
        <f t="shared" ca="1" si="2"/>
        <v>2.6861451460886032E-2</v>
      </c>
    </row>
    <row r="103" spans="1:5" x14ac:dyDescent="0.3">
      <c r="A103" s="3" vm="193">
        <f ca="1"/>
        <v>40889</v>
      </c>
      <c r="B103" s="3" vm="1214">
        <f ca="1"/>
        <v>10.935</v>
      </c>
      <c r="C103" s="11"/>
      <c r="D103" s="10" vm="1215">
        <f ca="1"/>
        <v>11866.389300000001</v>
      </c>
      <c r="E103" s="13">
        <f t="shared" ca="1" si="2"/>
        <v>3.6714089031666397E-3</v>
      </c>
    </row>
    <row r="104" spans="1:5" x14ac:dyDescent="0.3">
      <c r="A104" s="3" vm="195">
        <f ca="1"/>
        <v>40896</v>
      </c>
      <c r="B104" s="3" vm="1216">
        <f ca="1"/>
        <v>11.255000000000001</v>
      </c>
      <c r="C104" s="11"/>
      <c r="D104" s="10" vm="1217">
        <f ca="1"/>
        <v>12294.000099999999</v>
      </c>
      <c r="E104" s="13">
        <f t="shared" ca="1" si="2"/>
        <v>2.9263831732967649E-2</v>
      </c>
    </row>
    <row r="105" spans="1:5" x14ac:dyDescent="0.3">
      <c r="A105" s="3" vm="197">
        <f ca="1"/>
        <v>40904</v>
      </c>
      <c r="B105" s="3" vm="1218">
        <f ca="1"/>
        <v>11.315</v>
      </c>
      <c r="C105" s="11"/>
      <c r="D105" s="10" vm="1219">
        <f ca="1"/>
        <v>12217.5599</v>
      </c>
      <c r="E105" s="13">
        <f t="shared" ca="1" si="2"/>
        <v>5.3309640159928673E-3</v>
      </c>
    </row>
    <row r="106" spans="1:5" x14ac:dyDescent="0.3">
      <c r="A106" s="3" vm="199">
        <f ca="1"/>
        <v>40911</v>
      </c>
      <c r="B106" s="3" vm="1220">
        <f ca="1"/>
        <v>11.2</v>
      </c>
      <c r="C106" s="11"/>
      <c r="D106" s="10" vm="1221">
        <f ca="1"/>
        <v>12359.9203</v>
      </c>
      <c r="E106" s="13">
        <f t="shared" ca="1" si="2"/>
        <v>-1.0163499779054397E-2</v>
      </c>
    </row>
    <row r="107" spans="1:5" x14ac:dyDescent="0.3">
      <c r="A107" s="3" vm="201">
        <f ca="1"/>
        <v>40917</v>
      </c>
      <c r="B107" s="3" vm="1222">
        <f ca="1"/>
        <v>11.4</v>
      </c>
      <c r="C107" s="11"/>
      <c r="D107" s="10" vm="1223">
        <f ca="1"/>
        <v>12422.0563</v>
      </c>
      <c r="E107" s="13">
        <f t="shared" ca="1" si="2"/>
        <v>1.7857142857143016E-2</v>
      </c>
    </row>
    <row r="108" spans="1:5" x14ac:dyDescent="0.3">
      <c r="A108" s="3" vm="203">
        <f ca="1"/>
        <v>40925</v>
      </c>
      <c r="B108" s="3" vm="1224">
        <f ca="1"/>
        <v>11.57</v>
      </c>
      <c r="C108" s="11"/>
      <c r="D108" s="10" vm="1225">
        <f ca="1"/>
        <v>12720.475700000001</v>
      </c>
      <c r="E108" s="13">
        <f t="shared" ca="1" si="2"/>
        <v>1.4912280701754321E-2</v>
      </c>
    </row>
    <row r="109" spans="1:5" x14ac:dyDescent="0.3">
      <c r="A109" s="3" vm="205">
        <f ca="1"/>
        <v>40931</v>
      </c>
      <c r="B109" s="3" vm="1224">
        <f ca="1"/>
        <v>11.57</v>
      </c>
      <c r="C109" s="11"/>
      <c r="D109" s="10" vm="1226">
        <f ca="1"/>
        <v>12660.4588</v>
      </c>
      <c r="E109" s="13">
        <f t="shared" ca="1" si="2"/>
        <v>0</v>
      </c>
    </row>
    <row r="110" spans="1:5" x14ac:dyDescent="0.3">
      <c r="A110" s="3" vm="207">
        <f ca="1"/>
        <v>40938</v>
      </c>
      <c r="B110" s="3" vm="1227">
        <f ca="1"/>
        <v>11.675000000000001</v>
      </c>
      <c r="C110" s="11"/>
      <c r="D110" s="10" vm="1228">
        <f ca="1"/>
        <v>12862.2305</v>
      </c>
      <c r="E110" s="13">
        <f t="shared" ca="1" si="2"/>
        <v>9.0751944684528407E-3</v>
      </c>
    </row>
    <row r="111" spans="1:5" x14ac:dyDescent="0.3">
      <c r="A111" s="3" vm="209">
        <f ca="1"/>
        <v>40945</v>
      </c>
      <c r="B111" s="3" vm="1229">
        <f ca="1"/>
        <v>12.38</v>
      </c>
      <c r="C111" s="11"/>
      <c r="D111" s="10" vm="1230">
        <f ca="1"/>
        <v>12801.229799999999</v>
      </c>
      <c r="E111" s="13">
        <f t="shared" ca="1" si="2"/>
        <v>6.0385438972162753E-2</v>
      </c>
    </row>
    <row r="112" spans="1:5" x14ac:dyDescent="0.3">
      <c r="A112" s="3" vm="211">
        <f ca="1"/>
        <v>40952</v>
      </c>
      <c r="B112" s="3" vm="1231">
        <f ca="1"/>
        <v>12.13</v>
      </c>
      <c r="C112" s="11"/>
      <c r="D112" s="10" vm="1232">
        <f ca="1"/>
        <v>12949.871800000001</v>
      </c>
      <c r="E112" s="13">
        <f t="shared" ca="1" si="2"/>
        <v>-2.0193861066235885E-2</v>
      </c>
    </row>
    <row r="113" spans="1:5" x14ac:dyDescent="0.3">
      <c r="A113" s="3" vm="213">
        <f ca="1"/>
        <v>40960</v>
      </c>
      <c r="B113" s="3" vm="1233">
        <f ca="1"/>
        <v>11.994999999999999</v>
      </c>
      <c r="C113" s="11"/>
      <c r="D113" s="10" vm="1234">
        <f ca="1"/>
        <v>12982.9455</v>
      </c>
      <c r="E113" s="13">
        <f t="shared" ca="1" si="2"/>
        <v>-1.1129431162407388E-2</v>
      </c>
    </row>
    <row r="114" spans="1:5" x14ac:dyDescent="0.3">
      <c r="A114" s="3" vm="215">
        <f ca="1"/>
        <v>40966</v>
      </c>
      <c r="B114" s="3" vm="1235">
        <f ca="1"/>
        <v>11.935</v>
      </c>
      <c r="C114" s="11"/>
      <c r="D114" s="10" vm="1236">
        <f ca="1"/>
        <v>12977.571900000001</v>
      </c>
      <c r="E114" s="13">
        <f t="shared" ca="1" si="2"/>
        <v>-5.002084201750634E-3</v>
      </c>
    </row>
    <row r="115" spans="1:5" x14ac:dyDescent="0.3">
      <c r="A115" s="3" vm="217">
        <f ca="1"/>
        <v>40973</v>
      </c>
      <c r="B115" s="3" vm="1237">
        <f ca="1"/>
        <v>11.93</v>
      </c>
      <c r="C115" s="11"/>
      <c r="D115" s="10" vm="1238">
        <f ca="1"/>
        <v>12922.020399999999</v>
      </c>
      <c r="E115" s="13">
        <f t="shared" ca="1" si="2"/>
        <v>-4.1893590280694948E-4</v>
      </c>
    </row>
    <row r="116" spans="1:5" x14ac:dyDescent="0.3">
      <c r="A116" s="3" vm="219">
        <f ca="1"/>
        <v>40980</v>
      </c>
      <c r="B116" s="3" vm="1239">
        <f ca="1"/>
        <v>12.135</v>
      </c>
      <c r="C116" s="11"/>
      <c r="D116" s="10" vm="1240">
        <f ca="1"/>
        <v>13232.6248</v>
      </c>
      <c r="E116" s="13">
        <f t="shared" ca="1" si="2"/>
        <v>1.7183570829840678E-2</v>
      </c>
    </row>
    <row r="117" spans="1:5" x14ac:dyDescent="0.3">
      <c r="A117" s="3" vm="221">
        <f ca="1"/>
        <v>40987</v>
      </c>
      <c r="B117" s="3" vm="1241">
        <f ca="1"/>
        <v>11.805</v>
      </c>
      <c r="C117" s="11"/>
      <c r="D117" s="10" vm="1242">
        <f ca="1"/>
        <v>13080.728300000001</v>
      </c>
      <c r="E117" s="13">
        <f t="shared" ca="1" si="2"/>
        <v>-2.7194066749072987E-2</v>
      </c>
    </row>
    <row r="118" spans="1:5" x14ac:dyDescent="0.3">
      <c r="A118" s="3" vm="223">
        <f ca="1"/>
        <v>40994</v>
      </c>
      <c r="B118" s="3" vm="1243">
        <f ca="1"/>
        <v>11.89</v>
      </c>
      <c r="C118" s="11"/>
      <c r="D118" s="10" vm="1244">
        <f ca="1"/>
        <v>13212.0389</v>
      </c>
      <c r="E118" s="13">
        <f t="shared" ca="1" si="2"/>
        <v>7.2003388394747958E-3</v>
      </c>
    </row>
    <row r="119" spans="1:5" x14ac:dyDescent="0.3">
      <c r="A119" s="3" vm="225">
        <f ca="1"/>
        <v>41001</v>
      </c>
      <c r="B119" s="3" vm="1245">
        <f ca="1"/>
        <v>12.265000000000001</v>
      </c>
      <c r="C119" s="11"/>
      <c r="D119" s="10" vm="1246">
        <f ca="1"/>
        <v>13060.1425</v>
      </c>
      <c r="E119" s="13">
        <f t="shared" ca="1" si="2"/>
        <v>3.1539108494533119E-2</v>
      </c>
    </row>
    <row r="120" spans="1:5" x14ac:dyDescent="0.3">
      <c r="A120" s="3" vm="227">
        <f ca="1"/>
        <v>41008</v>
      </c>
      <c r="B120" s="3" vm="1247">
        <f ca="1"/>
        <v>11.744999999999999</v>
      </c>
      <c r="C120" s="11"/>
      <c r="D120" s="10" vm="1248">
        <f ca="1"/>
        <v>12849.591399999999</v>
      </c>
      <c r="E120" s="13">
        <f t="shared" ca="1" si="2"/>
        <v>-4.2397064818589625E-2</v>
      </c>
    </row>
    <row r="121" spans="1:5" x14ac:dyDescent="0.3">
      <c r="A121" s="3" vm="229">
        <f ca="1"/>
        <v>41015</v>
      </c>
      <c r="B121" s="3" vm="1249">
        <f ca="1"/>
        <v>13.03</v>
      </c>
      <c r="C121" s="11"/>
      <c r="D121" s="10" vm="1250">
        <f ca="1"/>
        <v>13029.2637</v>
      </c>
      <c r="E121" s="13">
        <f t="shared" ca="1" si="2"/>
        <v>0.1094082588335461</v>
      </c>
    </row>
    <row r="122" spans="1:5" x14ac:dyDescent="0.3">
      <c r="A122" s="3" vm="231">
        <f ca="1"/>
        <v>41022</v>
      </c>
      <c r="B122" s="3" vm="1251">
        <f ca="1"/>
        <v>13.61</v>
      </c>
      <c r="C122" s="11"/>
      <c r="D122" s="10" vm="1252">
        <f ca="1"/>
        <v>13228.310799999999</v>
      </c>
      <c r="E122" s="13">
        <f t="shared" ca="1" si="2"/>
        <v>4.4512663085187976E-2</v>
      </c>
    </row>
    <row r="123" spans="1:5" x14ac:dyDescent="0.3">
      <c r="A123" s="3" vm="233">
        <f ca="1"/>
        <v>41029</v>
      </c>
      <c r="B123" s="3" vm="1146">
        <f ca="1"/>
        <v>13.265000000000001</v>
      </c>
      <c r="C123" s="11"/>
      <c r="D123" s="10" vm="1253">
        <f ca="1"/>
        <v>13038.27</v>
      </c>
      <c r="E123" s="13">
        <f t="shared" ca="1" si="2"/>
        <v>-2.5349008082292346E-2</v>
      </c>
    </row>
    <row r="124" spans="1:5" x14ac:dyDescent="0.3">
      <c r="A124" s="3" vm="235">
        <f ca="1"/>
        <v>41036</v>
      </c>
      <c r="B124" s="3" vm="1254">
        <f ca="1"/>
        <v>13.24</v>
      </c>
      <c r="C124" s="11"/>
      <c r="D124" s="10" vm="1255">
        <f ca="1"/>
        <v>12820.6047</v>
      </c>
      <c r="E124" s="13">
        <f t="shared" ca="1" si="2"/>
        <v>-1.8846588767433836E-3</v>
      </c>
    </row>
    <row r="125" spans="1:5" x14ac:dyDescent="0.3">
      <c r="A125" s="3" vm="237">
        <f ca="1"/>
        <v>41043</v>
      </c>
      <c r="B125" s="3" vm="1256">
        <f ca="1"/>
        <v>12.615</v>
      </c>
      <c r="C125" s="11"/>
      <c r="D125" s="10" vm="1257">
        <f ca="1"/>
        <v>12369.3807</v>
      </c>
      <c r="E125" s="13">
        <f t="shared" ca="1" si="2"/>
        <v>-4.7205438066465266E-2</v>
      </c>
    </row>
    <row r="126" spans="1:5" x14ac:dyDescent="0.3">
      <c r="A126" s="3" vm="239">
        <f ca="1"/>
        <v>41050</v>
      </c>
      <c r="B126" s="3" vm="1258">
        <f ca="1"/>
        <v>12.845000000000001</v>
      </c>
      <c r="C126" s="11"/>
      <c r="D126" s="10" vm="1259">
        <f ca="1"/>
        <v>12454.8272</v>
      </c>
      <c r="E126" s="13">
        <f t="shared" ca="1" si="2"/>
        <v>1.8232263178755481E-2</v>
      </c>
    </row>
    <row r="127" spans="1:5" x14ac:dyDescent="0.3">
      <c r="A127" s="3" vm="241">
        <f ca="1"/>
        <v>41058</v>
      </c>
      <c r="B127" s="3" vm="1260">
        <f ca="1"/>
        <v>12.685</v>
      </c>
      <c r="C127" s="11"/>
      <c r="D127" s="10" vm="1261">
        <f ca="1"/>
        <v>12118.5661</v>
      </c>
      <c r="E127" s="13">
        <f t="shared" ca="1" si="2"/>
        <v>-1.245620864149477E-2</v>
      </c>
    </row>
    <row r="128" spans="1:5" x14ac:dyDescent="0.3">
      <c r="A128" s="3" vm="243">
        <f ca="1"/>
        <v>41064</v>
      </c>
      <c r="B128" s="3" vm="1262">
        <f ca="1"/>
        <v>12.99</v>
      </c>
      <c r="C128" s="11"/>
      <c r="D128" s="10" vm="1263">
        <f ca="1"/>
        <v>12554.1994</v>
      </c>
      <c r="E128" s="13">
        <f t="shared" ca="1" si="2"/>
        <v>2.404414662987775E-2</v>
      </c>
    </row>
    <row r="129" spans="1:5" x14ac:dyDescent="0.3">
      <c r="A129" s="3" vm="245">
        <f ca="1"/>
        <v>41071</v>
      </c>
      <c r="B129" s="3" vm="1264">
        <f ca="1"/>
        <v>13.225</v>
      </c>
      <c r="C129" s="11"/>
      <c r="D129" s="10" vm="1265">
        <f ca="1"/>
        <v>12767.1723</v>
      </c>
      <c r="E129" s="13">
        <f t="shared" ca="1" si="2"/>
        <v>1.8090839107005374E-2</v>
      </c>
    </row>
    <row r="130" spans="1:5" x14ac:dyDescent="0.3">
      <c r="A130" s="3" vm="247">
        <f ca="1"/>
        <v>41078</v>
      </c>
      <c r="B130" s="3" vm="1266">
        <f ca="1"/>
        <v>13.345000000000001</v>
      </c>
      <c r="C130" s="11"/>
      <c r="D130" s="10" vm="1267">
        <f ca="1"/>
        <v>12640.7811</v>
      </c>
      <c r="E130" s="13">
        <f t="shared" ca="1" si="2"/>
        <v>9.0737240075615677E-3</v>
      </c>
    </row>
    <row r="131" spans="1:5" x14ac:dyDescent="0.3">
      <c r="A131" s="3" vm="249">
        <f ca="1"/>
        <v>41085</v>
      </c>
      <c r="B131" s="3" vm="1268">
        <f ca="1"/>
        <v>13.635</v>
      </c>
      <c r="C131" s="11"/>
      <c r="D131" s="10" vm="1269">
        <f ca="1"/>
        <v>12880.0918</v>
      </c>
      <c r="E131" s="13">
        <f t="shared" ca="1" si="2"/>
        <v>2.1730985387785617E-2</v>
      </c>
    </row>
    <row r="132" spans="1:5" x14ac:dyDescent="0.3">
      <c r="A132" s="3" vm="251">
        <f ca="1"/>
        <v>41092</v>
      </c>
      <c r="B132" s="3" vm="1270">
        <f ca="1"/>
        <v>13.64</v>
      </c>
      <c r="C132" s="11"/>
      <c r="D132" s="10" vm="1271">
        <f ca="1"/>
        <v>12772.4701</v>
      </c>
      <c r="E132" s="13">
        <f t="shared" ca="1" si="2"/>
        <v>3.6670333700050683E-4</v>
      </c>
    </row>
    <row r="133" spans="1:5" x14ac:dyDescent="0.3">
      <c r="A133" s="3" vm="253">
        <f ca="1"/>
        <v>41099</v>
      </c>
      <c r="B133" s="3" vm="1272">
        <f ca="1"/>
        <v>13.645</v>
      </c>
      <c r="C133" s="11"/>
      <c r="D133" s="10" vm="1273">
        <f ca="1"/>
        <v>12777.086799999999</v>
      </c>
      <c r="E133" s="13">
        <f t="shared" ca="1" si="2"/>
        <v>3.6656891495590038E-4</v>
      </c>
    </row>
    <row r="134" spans="1:5" x14ac:dyDescent="0.3">
      <c r="A134" s="3" vm="255">
        <f ca="1"/>
        <v>41106</v>
      </c>
      <c r="B134" s="3" vm="1274">
        <f ca="1"/>
        <v>12.935</v>
      </c>
      <c r="C134" s="11"/>
      <c r="D134" s="10" vm="1275">
        <f ca="1"/>
        <v>12822.5725</v>
      </c>
      <c r="E134" s="13">
        <f t="shared" ca="1" si="2"/>
        <v>-5.2033711982411024E-2</v>
      </c>
    </row>
    <row r="135" spans="1:5" x14ac:dyDescent="0.3">
      <c r="A135" s="3" vm="257">
        <f ca="1"/>
        <v>41113</v>
      </c>
      <c r="B135" s="3" vm="1276">
        <f ca="1"/>
        <v>12.904999999999999</v>
      </c>
      <c r="C135" s="11"/>
      <c r="D135" s="10" vm="1277">
        <f ca="1"/>
        <v>13075.657499999999</v>
      </c>
      <c r="E135" s="13">
        <f t="shared" ca="1" si="2"/>
        <v>-2.3192887514495997E-3</v>
      </c>
    </row>
    <row r="136" spans="1:5" x14ac:dyDescent="0.3">
      <c r="A136" s="3" vm="259">
        <f ca="1"/>
        <v>41120</v>
      </c>
      <c r="B136" s="3" vm="1278">
        <f ca="1"/>
        <v>12.76</v>
      </c>
      <c r="C136" s="11"/>
      <c r="D136" s="10" vm="1279">
        <f ca="1"/>
        <v>13096.1677</v>
      </c>
      <c r="E136" s="13">
        <f t="shared" ca="1" si="2"/>
        <v>-1.1235955056179692E-2</v>
      </c>
    </row>
    <row r="137" spans="1:5" x14ac:dyDescent="0.3">
      <c r="A137" s="3" vm="261">
        <f ca="1"/>
        <v>41127</v>
      </c>
      <c r="B137" s="3" vm="1280">
        <f ca="1"/>
        <v>12.515000000000001</v>
      </c>
      <c r="C137" s="11"/>
      <c r="D137" s="10" vm="1281">
        <f ca="1"/>
        <v>13207.951999999999</v>
      </c>
      <c r="E137" s="13">
        <f t="shared" ref="E137:E200" ca="1" si="3">IF(B137&gt;0,B137/B136-1,"")</f>
        <v>-1.9200626959247624E-2</v>
      </c>
    </row>
    <row r="138" spans="1:5" x14ac:dyDescent="0.3">
      <c r="A138" s="3" vm="263">
        <f ca="1"/>
        <v>41134</v>
      </c>
      <c r="B138" s="3" vm="1282">
        <f ca="1"/>
        <v>12.83</v>
      </c>
      <c r="C138" s="11"/>
      <c r="D138" s="10" vm="1283">
        <f ca="1"/>
        <v>13275.2011</v>
      </c>
      <c r="E138" s="13">
        <f t="shared" ca="1" si="3"/>
        <v>2.5169796244506548E-2</v>
      </c>
    </row>
    <row r="139" spans="1:5" x14ac:dyDescent="0.3">
      <c r="A139" s="3" vm="265">
        <f ca="1"/>
        <v>41141</v>
      </c>
      <c r="B139" s="3" vm="1284">
        <f ca="1"/>
        <v>12.91</v>
      </c>
      <c r="C139" s="11"/>
      <c r="D139" s="10" vm="1285">
        <f ca="1"/>
        <v>13157.9701</v>
      </c>
      <c r="E139" s="13">
        <f t="shared" ca="1" si="3"/>
        <v>6.2353858144972296E-3</v>
      </c>
    </row>
    <row r="140" spans="1:5" x14ac:dyDescent="0.3">
      <c r="A140" s="3" vm="267">
        <f ca="1"/>
        <v>41148</v>
      </c>
      <c r="B140" s="3" vm="1286">
        <f ca="1"/>
        <v>13.12</v>
      </c>
      <c r="C140" s="11"/>
      <c r="D140" s="10" vm="1287">
        <f ca="1"/>
        <v>13090.8372</v>
      </c>
      <c r="E140" s="13">
        <f t="shared" ca="1" si="3"/>
        <v>1.6266460108443015E-2</v>
      </c>
    </row>
    <row r="141" spans="1:5" x14ac:dyDescent="0.3">
      <c r="A141" s="3" vm="269">
        <f ca="1"/>
        <v>41156</v>
      </c>
      <c r="B141" s="3" vm="1288">
        <f ca="1"/>
        <v>13.13</v>
      </c>
      <c r="C141" s="11"/>
      <c r="D141" s="10" vm="1289">
        <f ca="1"/>
        <v>13306.6381</v>
      </c>
      <c r="E141" s="13">
        <f t="shared" ca="1" si="3"/>
        <v>7.6219512195141448E-4</v>
      </c>
    </row>
    <row r="142" spans="1:5" x14ac:dyDescent="0.3">
      <c r="A142" s="3" vm="271">
        <f ca="1"/>
        <v>41162</v>
      </c>
      <c r="B142" s="3" vm="1290">
        <f ca="1"/>
        <v>13.335000000000001</v>
      </c>
      <c r="C142" s="11"/>
      <c r="D142" s="10" vm="1291">
        <f ca="1"/>
        <v>13593.366099999999</v>
      </c>
      <c r="E142" s="13">
        <f t="shared" ca="1" si="3"/>
        <v>1.5613099771515593E-2</v>
      </c>
    </row>
    <row r="143" spans="1:5" x14ac:dyDescent="0.3">
      <c r="A143" s="3" vm="273">
        <f ca="1"/>
        <v>41169</v>
      </c>
      <c r="B143" s="3" vm="1292">
        <f ca="1"/>
        <v>13.19</v>
      </c>
      <c r="C143" s="11"/>
      <c r="D143" s="10" vm="1293">
        <f ca="1"/>
        <v>13579.467199999999</v>
      </c>
      <c r="E143" s="13">
        <f t="shared" ca="1" si="3"/>
        <v>-1.0873640794900719E-2</v>
      </c>
    </row>
    <row r="144" spans="1:5" x14ac:dyDescent="0.3">
      <c r="A144" s="3" vm="275">
        <f ca="1"/>
        <v>41176</v>
      </c>
      <c r="B144" s="3" vm="1294">
        <f ca="1"/>
        <v>13.035</v>
      </c>
      <c r="C144" s="11"/>
      <c r="D144" s="10" vm="1295">
        <f ca="1"/>
        <v>13437.126899999999</v>
      </c>
      <c r="E144" s="13">
        <f t="shared" ca="1" si="3"/>
        <v>-1.1751326762698966E-2</v>
      </c>
    </row>
    <row r="145" spans="1:5" x14ac:dyDescent="0.3">
      <c r="A145" s="3" vm="277">
        <f ca="1"/>
        <v>41183</v>
      </c>
      <c r="B145" s="3" vm="1296">
        <f ca="1"/>
        <v>13.484999999999999</v>
      </c>
      <c r="C145" s="11"/>
      <c r="D145" s="10" vm="1297">
        <f ca="1"/>
        <v>13610.147000000001</v>
      </c>
      <c r="E145" s="13">
        <f t="shared" ca="1" si="3"/>
        <v>3.4522439585730647E-2</v>
      </c>
    </row>
    <row r="146" spans="1:5" x14ac:dyDescent="0.3">
      <c r="A146" s="3" vm="279">
        <f ca="1"/>
        <v>41190</v>
      </c>
      <c r="B146" s="3" vm="1298">
        <f ca="1"/>
        <v>13.125</v>
      </c>
      <c r="C146" s="11"/>
      <c r="D146" s="10" vm="1299">
        <f ca="1"/>
        <v>13328.845300000001</v>
      </c>
      <c r="E146" s="13">
        <f t="shared" ca="1" si="3"/>
        <v>-2.6696329254727424E-2</v>
      </c>
    </row>
    <row r="147" spans="1:5" x14ac:dyDescent="0.3">
      <c r="A147" s="3" vm="281">
        <f ca="1"/>
        <v>41197</v>
      </c>
      <c r="B147" s="3" vm="1130">
        <f ca="1"/>
        <v>12.62</v>
      </c>
      <c r="C147" s="11"/>
      <c r="D147" s="10" vm="1300">
        <f ca="1"/>
        <v>13343.513199999999</v>
      </c>
      <c r="E147" s="13">
        <f t="shared" ca="1" si="3"/>
        <v>-3.8476190476190553E-2</v>
      </c>
    </row>
    <row r="148" spans="1:5" x14ac:dyDescent="0.3">
      <c r="A148" s="3" vm="283">
        <f ca="1"/>
        <v>41204</v>
      </c>
      <c r="B148" s="3" vm="1301">
        <f ca="1"/>
        <v>12.65</v>
      </c>
      <c r="C148" s="11"/>
      <c r="D148" s="10" vm="1302">
        <f ca="1"/>
        <v>13107.2137</v>
      </c>
      <c r="E148" s="13">
        <f t="shared" ca="1" si="3"/>
        <v>2.3771790808242432E-3</v>
      </c>
    </row>
    <row r="149" spans="1:5" x14ac:dyDescent="0.3">
      <c r="A149" s="3" vm="285">
        <f ca="1"/>
        <v>41213</v>
      </c>
      <c r="B149" s="3" vm="1303">
        <f ca="1"/>
        <v>12.824999999999999</v>
      </c>
      <c r="C149" s="11"/>
      <c r="D149" s="10" vm="1304">
        <f ca="1"/>
        <v>13093.160099999999</v>
      </c>
      <c r="E149" s="13">
        <f t="shared" ca="1" si="3"/>
        <v>1.383399209486158E-2</v>
      </c>
    </row>
    <row r="150" spans="1:5" x14ac:dyDescent="0.3">
      <c r="A150" s="3" vm="287">
        <f ca="1"/>
        <v>41218</v>
      </c>
      <c r="B150" s="3" vm="1160">
        <f ca="1"/>
        <v>13.04</v>
      </c>
      <c r="C150" s="11"/>
      <c r="D150" s="10" vm="1305">
        <f ca="1"/>
        <v>12815.391100000001</v>
      </c>
      <c r="E150" s="13">
        <f t="shared" ca="1" si="3"/>
        <v>1.6764132553606315E-2</v>
      </c>
    </row>
    <row r="151" spans="1:5" x14ac:dyDescent="0.3">
      <c r="A151" s="3" vm="289">
        <f ca="1"/>
        <v>41225</v>
      </c>
      <c r="B151" s="3" vm="1306">
        <f ca="1"/>
        <v>12.96</v>
      </c>
      <c r="C151" s="11"/>
      <c r="D151" s="10" vm="1307">
        <f ca="1"/>
        <v>12588.307000000001</v>
      </c>
      <c r="E151" s="13">
        <f t="shared" ca="1" si="3"/>
        <v>-6.1349693251532278E-3</v>
      </c>
    </row>
    <row r="152" spans="1:5" x14ac:dyDescent="0.3">
      <c r="A152" s="3" vm="291">
        <f ca="1"/>
        <v>41232</v>
      </c>
      <c r="B152" s="3" vm="1308">
        <f ca="1"/>
        <v>13.46</v>
      </c>
      <c r="C152" s="11"/>
      <c r="D152" s="10" vm="1309">
        <f ca="1"/>
        <v>13009.683499999999</v>
      </c>
      <c r="E152" s="13">
        <f t="shared" ca="1" si="3"/>
        <v>3.8580246913580307E-2</v>
      </c>
    </row>
    <row r="153" spans="1:5" x14ac:dyDescent="0.3">
      <c r="A153" s="3" vm="293">
        <f ca="1"/>
        <v>41239</v>
      </c>
      <c r="B153" s="3" vm="1310">
        <f ca="1"/>
        <v>13.42</v>
      </c>
      <c r="C153" s="11"/>
      <c r="D153" s="10" vm="1311">
        <f ca="1"/>
        <v>13025.5802</v>
      </c>
      <c r="E153" s="13">
        <f t="shared" ca="1" si="3"/>
        <v>-2.9717682020803382E-3</v>
      </c>
    </row>
    <row r="154" spans="1:5" x14ac:dyDescent="0.3">
      <c r="A154" s="3" vm="295">
        <f ca="1"/>
        <v>41246</v>
      </c>
      <c r="B154" s="3" vm="1312">
        <f ca="1"/>
        <v>13.145</v>
      </c>
      <c r="C154" s="11"/>
      <c r="D154" s="10" vm="1313">
        <f ca="1"/>
        <v>13155.134</v>
      </c>
      <c r="E154" s="13">
        <f t="shared" ca="1" si="3"/>
        <v>-2.0491803278688603E-2</v>
      </c>
    </row>
    <row r="155" spans="1:5" x14ac:dyDescent="0.3">
      <c r="A155" s="3" vm="297">
        <f ca="1"/>
        <v>41253</v>
      </c>
      <c r="B155" s="3" vm="1314">
        <f ca="1"/>
        <v>12.885</v>
      </c>
      <c r="C155" s="11"/>
      <c r="D155" s="10" vm="1315">
        <f ca="1"/>
        <v>13135.0136</v>
      </c>
      <c r="E155" s="13">
        <f t="shared" ca="1" si="3"/>
        <v>-1.9779383796120209E-2</v>
      </c>
    </row>
    <row r="156" spans="1:5" x14ac:dyDescent="0.3">
      <c r="A156" s="3" vm="299">
        <f ca="1"/>
        <v>41260</v>
      </c>
      <c r="B156" s="3" vm="1316">
        <f ca="1"/>
        <v>12.82</v>
      </c>
      <c r="C156" s="11"/>
      <c r="D156" s="10" vm="1317">
        <f ca="1"/>
        <v>13190.8439</v>
      </c>
      <c r="E156" s="13">
        <f t="shared" ca="1" si="3"/>
        <v>-5.044625533566105E-3</v>
      </c>
    </row>
    <row r="157" spans="1:5" x14ac:dyDescent="0.3">
      <c r="A157" s="3" vm="301">
        <f ca="1"/>
        <v>41267</v>
      </c>
      <c r="B157" s="3" vm="1318">
        <f ca="1"/>
        <v>12.66</v>
      </c>
      <c r="C157" s="11"/>
      <c r="D157" s="10" vm="1319">
        <f ca="1"/>
        <v>12938.110199999999</v>
      </c>
      <c r="E157" s="13">
        <f t="shared" ca="1" si="3"/>
        <v>-1.2480499219968855E-2</v>
      </c>
    </row>
    <row r="158" spans="1:5" x14ac:dyDescent="0.3">
      <c r="A158" s="3" vm="303">
        <f ca="1"/>
        <v>41274</v>
      </c>
      <c r="B158" s="3" vm="1320">
        <f ca="1"/>
        <v>13.35</v>
      </c>
      <c r="C158" s="11"/>
      <c r="D158" s="10" vm="1321">
        <f ca="1"/>
        <v>13435.207</v>
      </c>
      <c r="E158" s="13">
        <f t="shared" ca="1" si="3"/>
        <v>5.4502369668246509E-2</v>
      </c>
    </row>
    <row r="159" spans="1:5" x14ac:dyDescent="0.3">
      <c r="A159" s="3" vm="305">
        <f ca="1"/>
        <v>41281</v>
      </c>
      <c r="B159" s="3" vm="1322">
        <f ca="1"/>
        <v>13.14</v>
      </c>
      <c r="C159" s="11"/>
      <c r="D159" s="10" vm="1323">
        <f ca="1"/>
        <v>13488.4262</v>
      </c>
      <c r="E159" s="13">
        <f t="shared" ca="1" si="3"/>
        <v>-1.5730337078651568E-2</v>
      </c>
    </row>
    <row r="160" spans="1:5" x14ac:dyDescent="0.3">
      <c r="A160" s="3" vm="307">
        <f ca="1"/>
        <v>41288</v>
      </c>
      <c r="B160" s="3" vm="1324">
        <f ca="1"/>
        <v>13.39</v>
      </c>
      <c r="C160" s="11"/>
      <c r="D160" s="10" vm="1325">
        <f ca="1"/>
        <v>13649.696599999999</v>
      </c>
      <c r="E160" s="13">
        <f t="shared" ca="1" si="3"/>
        <v>1.9025875190258779E-2</v>
      </c>
    </row>
    <row r="161" spans="1:5" x14ac:dyDescent="0.3">
      <c r="A161" s="3" vm="309">
        <f ca="1"/>
        <v>41296</v>
      </c>
      <c r="B161" s="3" vm="1326">
        <f ca="1"/>
        <v>13.565</v>
      </c>
      <c r="C161" s="11"/>
      <c r="D161" s="10" vm="1327">
        <f ca="1"/>
        <v>13895.979600000001</v>
      </c>
      <c r="E161" s="13">
        <f t="shared" ca="1" si="3"/>
        <v>1.3069454817027593E-2</v>
      </c>
    </row>
    <row r="162" spans="1:5" x14ac:dyDescent="0.3">
      <c r="A162" s="3" vm="311">
        <f ca="1"/>
        <v>41302</v>
      </c>
      <c r="B162" s="3" vm="1328">
        <f ca="1"/>
        <v>13.744999999999999</v>
      </c>
      <c r="C162" s="11"/>
      <c r="D162" s="10" vm="1329">
        <f ca="1"/>
        <v>14009.7904</v>
      </c>
      <c r="E162" s="13">
        <f t="shared" ca="1" si="3"/>
        <v>1.3269443420567573E-2</v>
      </c>
    </row>
    <row r="163" spans="1:5" x14ac:dyDescent="0.3">
      <c r="A163" s="3" vm="313">
        <f ca="1"/>
        <v>41309</v>
      </c>
      <c r="B163" s="3" vm="1330">
        <f ca="1"/>
        <v>14.535</v>
      </c>
      <c r="C163" s="11"/>
      <c r="D163" s="10" vm="1331">
        <f ca="1"/>
        <v>13992.9722</v>
      </c>
      <c r="E163" s="13">
        <f t="shared" ca="1" si="3"/>
        <v>5.7475445616588017E-2</v>
      </c>
    </row>
    <row r="164" spans="1:5" x14ac:dyDescent="0.3">
      <c r="A164" s="3" vm="315">
        <f ca="1"/>
        <v>41316</v>
      </c>
      <c r="B164" s="3" vm="1332">
        <f ca="1"/>
        <v>14.685</v>
      </c>
      <c r="C164" s="11"/>
      <c r="D164" s="10" vm="1333">
        <f ca="1"/>
        <v>13981.7601</v>
      </c>
      <c r="E164" s="13">
        <f t="shared" ca="1" si="3"/>
        <v>1.031991744066052E-2</v>
      </c>
    </row>
    <row r="165" spans="1:5" x14ac:dyDescent="0.3">
      <c r="A165" s="3" vm="317">
        <f ca="1"/>
        <v>41324</v>
      </c>
      <c r="B165" s="3" vm="1334">
        <f ca="1"/>
        <v>14.835000000000001</v>
      </c>
      <c r="D165" s="10" vm="1335">
        <f ca="1"/>
        <v>14000.5749</v>
      </c>
      <c r="E165" s="13">
        <f t="shared" ca="1" si="3"/>
        <v>1.0214504596527174E-2</v>
      </c>
    </row>
    <row r="166" spans="1:5" x14ac:dyDescent="0.3">
      <c r="A166" s="3" vm="319">
        <f ca="1"/>
        <v>41330</v>
      </c>
      <c r="B166" s="3" vm="1336">
        <f ca="1"/>
        <v>14.904999999999999</v>
      </c>
      <c r="D166" s="10" vm="1337">
        <f ca="1"/>
        <v>14089.6576</v>
      </c>
      <c r="E166" s="13">
        <f t="shared" ca="1" si="3"/>
        <v>4.7185709470844994E-3</v>
      </c>
    </row>
    <row r="167" spans="1:5" x14ac:dyDescent="0.3">
      <c r="A167" s="3" vm="321">
        <f ca="1"/>
        <v>41337</v>
      </c>
      <c r="B167" s="3" vm="1338">
        <f ca="1"/>
        <v>15.34</v>
      </c>
      <c r="D167" s="10" vm="1339">
        <f ca="1"/>
        <v>14397.0697</v>
      </c>
      <c r="E167" s="13">
        <f t="shared" ca="1" si="3"/>
        <v>2.9184837302918432E-2</v>
      </c>
    </row>
    <row r="168" spans="1:5" x14ac:dyDescent="0.3">
      <c r="A168" s="3" vm="323">
        <f ca="1"/>
        <v>41344</v>
      </c>
      <c r="B168" s="3" vm="1340">
        <f ca="1"/>
        <v>15.295</v>
      </c>
      <c r="D168" s="10" vm="1341">
        <f ca="1"/>
        <v>14514.106</v>
      </c>
      <c r="E168" s="13">
        <f t="shared" ca="1" si="3"/>
        <v>-2.9335071707953242E-3</v>
      </c>
    </row>
    <row r="169" spans="1:5" x14ac:dyDescent="0.3">
      <c r="A169" s="3" vm="325">
        <f ca="1"/>
        <v>41351</v>
      </c>
      <c r="B169" s="3" vm="1342">
        <f ca="1"/>
        <v>15.78</v>
      </c>
      <c r="D169" s="10" vm="1343">
        <f ca="1"/>
        <v>14512.032499999999</v>
      </c>
      <c r="E169" s="13">
        <f t="shared" ca="1" si="3"/>
        <v>3.1709709055246726E-2</v>
      </c>
    </row>
    <row r="170" spans="1:5" x14ac:dyDescent="0.3">
      <c r="A170" s="3" vm="327">
        <f ca="1"/>
        <v>41358</v>
      </c>
      <c r="B170" s="3" vm="1344">
        <f ca="1"/>
        <v>16.02</v>
      </c>
      <c r="D170" s="10" vm="1345">
        <f ca="1"/>
        <v>14578.537399999999</v>
      </c>
      <c r="E170" s="13">
        <f t="shared" ca="1" si="3"/>
        <v>1.5209125475285079E-2</v>
      </c>
    </row>
    <row r="171" spans="1:5" x14ac:dyDescent="0.3">
      <c r="A171" s="3" vm="329">
        <f ca="1"/>
        <v>41365</v>
      </c>
      <c r="B171" s="3" vm="1346">
        <f ca="1"/>
        <v>15.335000000000001</v>
      </c>
      <c r="D171" s="10" vm="1347">
        <f ca="1"/>
        <v>14565.251700000001</v>
      </c>
      <c r="E171" s="13">
        <f t="shared" ca="1" si="3"/>
        <v>-4.2759051186017416E-2</v>
      </c>
    </row>
    <row r="172" spans="1:5" x14ac:dyDescent="0.3">
      <c r="A172" s="3" vm="331">
        <f ca="1"/>
        <v>41372</v>
      </c>
      <c r="B172" s="3" vm="1348">
        <f ca="1"/>
        <v>15.66</v>
      </c>
      <c r="D172" s="10" vm="1349">
        <f ca="1"/>
        <v>14865.061100000001</v>
      </c>
      <c r="E172" s="13">
        <f t="shared" ca="1" si="3"/>
        <v>2.1193348549070734E-2</v>
      </c>
    </row>
    <row r="173" spans="1:5" x14ac:dyDescent="0.3">
      <c r="A173" s="3" vm="333">
        <f ca="1"/>
        <v>41379</v>
      </c>
      <c r="B173" s="3" vm="1350">
        <f ca="1"/>
        <v>15.25</v>
      </c>
      <c r="D173" s="10" vm="1351">
        <f ca="1"/>
        <v>14547.512000000001</v>
      </c>
      <c r="E173" s="13">
        <f t="shared" ca="1" si="3"/>
        <v>-2.61813537675607E-2</v>
      </c>
    </row>
    <row r="174" spans="1:5" x14ac:dyDescent="0.3">
      <c r="A174" s="3" vm="335">
        <f ca="1"/>
        <v>41386</v>
      </c>
      <c r="B174" s="3" vm="1352">
        <f ca="1"/>
        <v>15.225</v>
      </c>
      <c r="D174" s="10" vm="1353">
        <f ca="1"/>
        <v>14712.545400000001</v>
      </c>
      <c r="E174" s="13">
        <f t="shared" ca="1" si="3"/>
        <v>-1.6393442622950616E-3</v>
      </c>
    </row>
    <row r="175" spans="1:5" x14ac:dyDescent="0.3">
      <c r="A175" s="3" vm="337">
        <f ca="1"/>
        <v>41393</v>
      </c>
      <c r="B175" s="3" vm="1354">
        <f ca="1"/>
        <v>15.725</v>
      </c>
      <c r="D175" s="10" vm="1355">
        <f ca="1"/>
        <v>14973.957</v>
      </c>
      <c r="E175" s="13">
        <f t="shared" ca="1" si="3"/>
        <v>3.284072249589487E-2</v>
      </c>
    </row>
    <row r="176" spans="1:5" x14ac:dyDescent="0.3">
      <c r="A176" s="3" vm="339">
        <f ca="1"/>
        <v>41400</v>
      </c>
      <c r="B176" s="3" vm="1356">
        <f ca="1"/>
        <v>15.93</v>
      </c>
      <c r="D176" s="10" vm="1357">
        <f ca="1"/>
        <v>15118.486000000001</v>
      </c>
      <c r="E176" s="13">
        <f t="shared" ca="1" si="3"/>
        <v>1.3036565977742498E-2</v>
      </c>
    </row>
    <row r="177" spans="1:5" x14ac:dyDescent="0.3">
      <c r="A177" s="3" vm="341">
        <f ca="1"/>
        <v>41407</v>
      </c>
      <c r="B177" s="3" vm="1358">
        <f ca="1"/>
        <v>16.16</v>
      </c>
      <c r="D177" s="10" vm="1359">
        <f ca="1"/>
        <v>15354.401599999999</v>
      </c>
      <c r="E177" s="13">
        <f t="shared" ca="1" si="3"/>
        <v>1.4438166980539791E-2</v>
      </c>
    </row>
    <row r="178" spans="1:5" x14ac:dyDescent="0.3">
      <c r="A178" s="3" vm="343">
        <f ca="1"/>
        <v>41414</v>
      </c>
      <c r="B178" s="3" vm="1360">
        <f ca="1"/>
        <v>16.27</v>
      </c>
      <c r="D178" s="10" vm="1361">
        <f ca="1"/>
        <v>15303.102199999999</v>
      </c>
      <c r="E178" s="13">
        <f t="shared" ca="1" si="3"/>
        <v>6.8069306930693685E-3</v>
      </c>
    </row>
    <row r="179" spans="1:5" x14ac:dyDescent="0.3">
      <c r="A179" s="3" vm="345">
        <f ca="1"/>
        <v>41422</v>
      </c>
      <c r="B179" s="3" vm="1362">
        <f ca="1"/>
        <v>16.135000000000002</v>
      </c>
      <c r="D179" s="10" vm="1363">
        <f ca="1"/>
        <v>15115.567800000001</v>
      </c>
      <c r="E179" s="13">
        <f t="shared" ca="1" si="3"/>
        <v>-8.2974800245849689E-3</v>
      </c>
    </row>
    <row r="180" spans="1:5" x14ac:dyDescent="0.3">
      <c r="A180" s="3" vm="347">
        <f ca="1"/>
        <v>41428</v>
      </c>
      <c r="B180" s="3" vm="1364">
        <f ca="1"/>
        <v>16.14</v>
      </c>
      <c r="D180" s="10" vm="1365">
        <f ca="1"/>
        <v>15248.1167</v>
      </c>
      <c r="E180" s="13">
        <f t="shared" ca="1" si="3"/>
        <v>3.0988534242326615E-4</v>
      </c>
    </row>
    <row r="181" spans="1:5" x14ac:dyDescent="0.3">
      <c r="A181" s="3" vm="349">
        <f ca="1"/>
        <v>41435</v>
      </c>
      <c r="B181" s="3" vm="1366">
        <f ca="1"/>
        <v>16.195</v>
      </c>
      <c r="D181" s="10" vm="1367">
        <f ca="1"/>
        <v>15070.181699999999</v>
      </c>
      <c r="E181" s="13">
        <f t="shared" ca="1" si="3"/>
        <v>3.4076827757125727E-3</v>
      </c>
    </row>
    <row r="182" spans="1:5" x14ac:dyDescent="0.3">
      <c r="A182" s="3" vm="351">
        <f ca="1"/>
        <v>41442</v>
      </c>
      <c r="B182" s="3" vm="1368">
        <f ca="1"/>
        <v>15.76</v>
      </c>
      <c r="D182" s="10" vm="1369">
        <f ca="1"/>
        <v>14799.401</v>
      </c>
      <c r="E182" s="13">
        <f t="shared" ca="1" si="3"/>
        <v>-2.6860142019141775E-2</v>
      </c>
    </row>
    <row r="183" spans="1:5" x14ac:dyDescent="0.3">
      <c r="A183" s="3" vm="353">
        <f ca="1"/>
        <v>41449</v>
      </c>
      <c r="B183" s="3" vm="1370">
        <f ca="1"/>
        <v>16.12</v>
      </c>
      <c r="D183" s="10" vm="1371">
        <f ca="1"/>
        <v>14909.602500000001</v>
      </c>
      <c r="E183" s="13">
        <f t="shared" ca="1" si="3"/>
        <v>2.2842639593908753E-2</v>
      </c>
    </row>
    <row r="184" spans="1:5" x14ac:dyDescent="0.3">
      <c r="A184" s="3" vm="355">
        <f ca="1"/>
        <v>41456</v>
      </c>
      <c r="B184" s="3" vm="1372">
        <f ca="1"/>
        <v>16.395</v>
      </c>
      <c r="D184" s="10" vm="1373">
        <f ca="1"/>
        <v>15135.8418</v>
      </c>
      <c r="E184" s="13">
        <f t="shared" ca="1" si="3"/>
        <v>1.7059553349875856E-2</v>
      </c>
    </row>
    <row r="185" spans="1:5" x14ac:dyDescent="0.3">
      <c r="A185" s="3" vm="357">
        <f ca="1"/>
        <v>41463</v>
      </c>
      <c r="B185" s="3" vm="1374">
        <f ca="1"/>
        <v>16.88</v>
      </c>
      <c r="D185" s="10" vm="1375">
        <f ca="1"/>
        <v>15464.2958</v>
      </c>
      <c r="E185" s="13">
        <f t="shared" ca="1" si="3"/>
        <v>2.9582189691979233E-2</v>
      </c>
    </row>
    <row r="186" spans="1:5" x14ac:dyDescent="0.3">
      <c r="A186" s="3" vm="359">
        <f ca="1"/>
        <v>41470</v>
      </c>
      <c r="B186" s="3" vm="1376">
        <f ca="1"/>
        <v>17.059999999999999</v>
      </c>
      <c r="D186" s="10" vm="1377">
        <f ca="1"/>
        <v>15543.7407</v>
      </c>
      <c r="E186" s="13">
        <f t="shared" ca="1" si="3"/>
        <v>1.0663507109004655E-2</v>
      </c>
    </row>
    <row r="187" spans="1:5" x14ac:dyDescent="0.3">
      <c r="A187" s="3" vm="361">
        <f ca="1"/>
        <v>41477</v>
      </c>
      <c r="B187" s="3" vm="1378">
        <f ca="1"/>
        <v>16.5</v>
      </c>
      <c r="D187" s="10" vm="1379">
        <f ca="1"/>
        <v>15558.831</v>
      </c>
      <c r="E187" s="13">
        <f t="shared" ca="1" si="3"/>
        <v>-3.2825322391559109E-2</v>
      </c>
    </row>
    <row r="188" spans="1:5" x14ac:dyDescent="0.3">
      <c r="A188" s="3" vm="363">
        <f ca="1"/>
        <v>41484</v>
      </c>
      <c r="B188" s="3" vm="1380">
        <f ca="1"/>
        <v>16.86</v>
      </c>
      <c r="D188" s="10" vm="1381">
        <f ca="1"/>
        <v>15658.357900000001</v>
      </c>
      <c r="E188" s="13">
        <f t="shared" ca="1" si="3"/>
        <v>2.1818181818181737E-2</v>
      </c>
    </row>
    <row r="189" spans="1:5" x14ac:dyDescent="0.3">
      <c r="A189" s="3" vm="365">
        <f ca="1"/>
        <v>41491</v>
      </c>
      <c r="B189" s="3" vm="1382">
        <f ca="1"/>
        <v>16.645</v>
      </c>
      <c r="D189" s="10" vm="1383">
        <f ca="1"/>
        <v>15425.5142</v>
      </c>
      <c r="E189" s="13">
        <f t="shared" ca="1" si="3"/>
        <v>-1.2752075919335693E-2</v>
      </c>
    </row>
    <row r="190" spans="1:5" x14ac:dyDescent="0.3">
      <c r="A190" s="3" vm="367">
        <f ca="1"/>
        <v>41498</v>
      </c>
      <c r="B190" s="3" vm="1384">
        <f ca="1"/>
        <v>16.164999999999999</v>
      </c>
      <c r="D190" s="10" vm="1385">
        <f ca="1"/>
        <v>15081.470600000001</v>
      </c>
      <c r="E190" s="13">
        <f t="shared" ca="1" si="3"/>
        <v>-2.8837488735355965E-2</v>
      </c>
    </row>
    <row r="191" spans="1:5" x14ac:dyDescent="0.3">
      <c r="A191" s="3" vm="369">
        <f ca="1"/>
        <v>41505</v>
      </c>
      <c r="B191" s="3" vm="1386">
        <f ca="1"/>
        <v>16.190000000000001</v>
      </c>
      <c r="D191" s="10" vm="1387">
        <f ca="1"/>
        <v>15010.5116</v>
      </c>
      <c r="E191" s="13">
        <f t="shared" ca="1" si="3"/>
        <v>1.5465511908445695E-3</v>
      </c>
    </row>
    <row r="192" spans="1:5" x14ac:dyDescent="0.3">
      <c r="A192" s="3" vm="371">
        <f ca="1"/>
        <v>41512</v>
      </c>
      <c r="B192" s="3" vm="1388">
        <f ca="1"/>
        <v>15.57</v>
      </c>
      <c r="D192" s="10" vm="1389">
        <f ca="1"/>
        <v>14810.306</v>
      </c>
      <c r="E192" s="13">
        <f t="shared" ca="1" si="3"/>
        <v>-3.8295243977764071E-2</v>
      </c>
    </row>
    <row r="193" spans="1:5" x14ac:dyDescent="0.3">
      <c r="A193" s="3" vm="373">
        <f ca="1"/>
        <v>41520</v>
      </c>
      <c r="B193" s="3" vm="1390">
        <f ca="1"/>
        <v>15.73</v>
      </c>
      <c r="D193" s="10" vm="1391">
        <f ca="1"/>
        <v>14922.5041</v>
      </c>
      <c r="E193" s="13">
        <f t="shared" ca="1" si="3"/>
        <v>1.0276172125883054E-2</v>
      </c>
    </row>
    <row r="194" spans="1:5" x14ac:dyDescent="0.3">
      <c r="A194" s="3" vm="375">
        <f ca="1"/>
        <v>41526</v>
      </c>
      <c r="B194" s="3" vm="1392">
        <f ca="1"/>
        <v>16.105</v>
      </c>
      <c r="D194" s="10" vm="1393">
        <f ca="1"/>
        <v>15376.0579</v>
      </c>
      <c r="E194" s="13">
        <f t="shared" ca="1" si="3"/>
        <v>2.383979656706936E-2</v>
      </c>
    </row>
    <row r="195" spans="1:5" x14ac:dyDescent="0.3">
      <c r="A195" s="3" vm="377">
        <f ca="1"/>
        <v>41533</v>
      </c>
      <c r="B195" s="3" vm="1394">
        <f ca="1"/>
        <v>16.375</v>
      </c>
      <c r="D195" s="10" vm="1395">
        <f ca="1"/>
        <v>15451.087</v>
      </c>
      <c r="E195" s="13">
        <f t="shared" ca="1" si="3"/>
        <v>1.6764979819931636E-2</v>
      </c>
    </row>
    <row r="196" spans="1:5" x14ac:dyDescent="0.3">
      <c r="A196" s="3" vm="379">
        <f ca="1"/>
        <v>41540</v>
      </c>
      <c r="B196" s="3" vm="1396">
        <f ca="1"/>
        <v>16.094999999999999</v>
      </c>
      <c r="D196" s="10" vm="1397">
        <f ca="1"/>
        <v>15258.2358</v>
      </c>
      <c r="E196" s="13">
        <f t="shared" ca="1" si="3"/>
        <v>-1.7099236641221482E-2</v>
      </c>
    </row>
    <row r="197" spans="1:5" x14ac:dyDescent="0.3">
      <c r="A197" s="3" vm="381">
        <f ca="1"/>
        <v>41547</v>
      </c>
      <c r="B197" s="3" vm="1398">
        <f ca="1"/>
        <v>16.445</v>
      </c>
      <c r="D197" s="10" vm="1399">
        <f ca="1"/>
        <v>15072.5772</v>
      </c>
      <c r="E197" s="13">
        <f t="shared" ca="1" si="3"/>
        <v>2.1745883814849432E-2</v>
      </c>
    </row>
    <row r="198" spans="1:5" x14ac:dyDescent="0.3">
      <c r="A198" s="3" vm="383">
        <f ca="1"/>
        <v>41554</v>
      </c>
      <c r="B198" s="3" vm="1400">
        <f ca="1"/>
        <v>16.495000000000001</v>
      </c>
      <c r="D198" s="10" vm="1401">
        <f ca="1"/>
        <v>15237.107599999999</v>
      </c>
      <c r="E198" s="13">
        <f t="shared" ca="1" si="3"/>
        <v>3.0404378230466378E-3</v>
      </c>
    </row>
    <row r="199" spans="1:5" x14ac:dyDescent="0.3">
      <c r="A199" s="3" vm="385">
        <f ca="1"/>
        <v>41561</v>
      </c>
      <c r="B199" s="3" vm="1402">
        <f ca="1"/>
        <v>16.62</v>
      </c>
      <c r="D199" s="10" vm="1403">
        <f ca="1"/>
        <v>15399.647199999999</v>
      </c>
      <c r="E199" s="13">
        <f t="shared" ca="1" si="3"/>
        <v>7.5780539557441795E-3</v>
      </c>
    </row>
    <row r="200" spans="1:5" x14ac:dyDescent="0.3">
      <c r="A200" s="3" vm="387">
        <f ca="1"/>
        <v>41568</v>
      </c>
      <c r="B200" s="3" vm="1404">
        <f ca="1"/>
        <v>16.34</v>
      </c>
      <c r="D200" s="10" vm="1405">
        <f ca="1"/>
        <v>15570.2785</v>
      </c>
      <c r="E200" s="13">
        <f t="shared" ca="1" si="3"/>
        <v>-1.6847172081829176E-2</v>
      </c>
    </row>
    <row r="201" spans="1:5" x14ac:dyDescent="0.3">
      <c r="A201" s="3" vm="389">
        <f ca="1"/>
        <v>41575</v>
      </c>
      <c r="B201" s="3" vm="1406">
        <f ca="1"/>
        <v>15.935</v>
      </c>
      <c r="D201" s="10" vm="1407">
        <f ca="1"/>
        <v>15615.5532</v>
      </c>
      <c r="E201" s="13">
        <f t="shared" ref="E201:E264" ca="1" si="4">IF(B201&gt;0,B201/B200-1,"")</f>
        <v>-2.4785801713586242E-2</v>
      </c>
    </row>
    <row r="202" spans="1:5" x14ac:dyDescent="0.3">
      <c r="A202" s="3" vm="391">
        <f ca="1"/>
        <v>41582</v>
      </c>
      <c r="B202" s="3" vm="1408">
        <f ca="1"/>
        <v>15.685</v>
      </c>
      <c r="D202" s="10" vm="1409">
        <f ca="1"/>
        <v>15761.781000000001</v>
      </c>
      <c r="E202" s="13">
        <f t="shared" ca="1" si="4"/>
        <v>-1.5688735487919714E-2</v>
      </c>
    </row>
    <row r="203" spans="1:5" x14ac:dyDescent="0.3">
      <c r="A203" s="3" vm="393">
        <f ca="1"/>
        <v>41589</v>
      </c>
      <c r="B203" s="3" vm="1344">
        <f ca="1"/>
        <v>16.02</v>
      </c>
      <c r="D203" s="10" vm="1410">
        <f ca="1"/>
        <v>15961.696400000001</v>
      </c>
      <c r="E203" s="13">
        <f t="shared" ca="1" si="4"/>
        <v>2.1357985336308616E-2</v>
      </c>
    </row>
    <row r="204" spans="1:5" x14ac:dyDescent="0.3">
      <c r="A204" s="3" vm="395">
        <f ca="1"/>
        <v>41596</v>
      </c>
      <c r="B204" s="3" vm="1411">
        <f ca="1"/>
        <v>15.824999999999999</v>
      </c>
      <c r="D204" s="10" vm="1412">
        <f ca="1"/>
        <v>16064.768700000001</v>
      </c>
      <c r="E204" s="13">
        <f t="shared" ca="1" si="4"/>
        <v>-1.2172284644194731E-2</v>
      </c>
    </row>
    <row r="205" spans="1:5" x14ac:dyDescent="0.3">
      <c r="A205" s="3" vm="397">
        <f ca="1"/>
        <v>41603</v>
      </c>
      <c r="B205" s="3" vm="1413">
        <f ca="1"/>
        <v>15.81</v>
      </c>
      <c r="D205" s="10" vm="1414">
        <f ca="1"/>
        <v>16086.4107</v>
      </c>
      <c r="E205" s="13">
        <f t="shared" ca="1" si="4"/>
        <v>-9.4786729857809782E-4</v>
      </c>
    </row>
    <row r="206" spans="1:5" x14ac:dyDescent="0.3">
      <c r="A206" s="3" vm="399">
        <f ca="1"/>
        <v>41610</v>
      </c>
      <c r="B206" s="3" vm="1415">
        <f ca="1"/>
        <v>15.49</v>
      </c>
      <c r="D206" s="10" vm="1416">
        <f ca="1"/>
        <v>16020.2004</v>
      </c>
      <c r="E206" s="13">
        <f t="shared" ca="1" si="4"/>
        <v>-2.024035420619863E-2</v>
      </c>
    </row>
    <row r="207" spans="1:5" x14ac:dyDescent="0.3">
      <c r="A207" s="3" vm="401">
        <f ca="1"/>
        <v>41617</v>
      </c>
      <c r="B207" s="3" vm="1417">
        <f ca="1"/>
        <v>14.94</v>
      </c>
      <c r="D207" s="10" vm="1418">
        <f ca="1"/>
        <v>15755.3591</v>
      </c>
      <c r="E207" s="13">
        <f t="shared" ca="1" si="4"/>
        <v>-3.5506778566817387E-2</v>
      </c>
    </row>
    <row r="208" spans="1:5" x14ac:dyDescent="0.3">
      <c r="A208" s="3" vm="403">
        <f ca="1"/>
        <v>41624</v>
      </c>
      <c r="B208" s="3" vm="1419">
        <f ca="1"/>
        <v>15.215</v>
      </c>
      <c r="D208" s="10" vm="1420">
        <f ca="1"/>
        <v>16221.1432</v>
      </c>
      <c r="E208" s="13">
        <f t="shared" ca="1" si="4"/>
        <v>1.8406961178045522E-2</v>
      </c>
    </row>
    <row r="209" spans="1:5" x14ac:dyDescent="0.3">
      <c r="A209" s="3" vm="405">
        <f ca="1"/>
        <v>41631</v>
      </c>
      <c r="B209" s="3" vm="1421">
        <f ca="1"/>
        <v>15.45</v>
      </c>
      <c r="D209" s="10" vm="1422">
        <f ca="1"/>
        <v>16478.406599999998</v>
      </c>
      <c r="E209" s="13">
        <f t="shared" ca="1" si="4"/>
        <v>1.5445284258954972E-2</v>
      </c>
    </row>
    <row r="210" spans="1:5" x14ac:dyDescent="0.3">
      <c r="A210" s="3" vm="407">
        <f ca="1"/>
        <v>41638</v>
      </c>
      <c r="B210" s="3" vm="1423">
        <f ca="1"/>
        <v>15.55</v>
      </c>
      <c r="D210" s="10" vm="1424">
        <f ca="1"/>
        <v>16469.993900000001</v>
      </c>
      <c r="E210" s="13">
        <f t="shared" ca="1" si="4"/>
        <v>6.4724919093852584E-3</v>
      </c>
    </row>
    <row r="211" spans="1:5" x14ac:dyDescent="0.3">
      <c r="A211" s="3" vm="409">
        <f ca="1"/>
        <v>41645</v>
      </c>
      <c r="B211" s="3" vm="1425">
        <f ca="1"/>
        <v>15.845000000000001</v>
      </c>
      <c r="D211" s="10" vm="1426">
        <f ca="1"/>
        <v>16437.049299999999</v>
      </c>
      <c r="E211" s="13">
        <f t="shared" ca="1" si="4"/>
        <v>1.8971061093247643E-2</v>
      </c>
    </row>
    <row r="212" spans="1:5" x14ac:dyDescent="0.3">
      <c r="A212" s="3" vm="411">
        <f ca="1"/>
        <v>41652</v>
      </c>
      <c r="B212" s="3" vm="1427">
        <f ca="1"/>
        <v>16.204999999999998</v>
      </c>
      <c r="D212" s="10" vm="1428">
        <f ca="1"/>
        <v>16458.5628</v>
      </c>
      <c r="E212" s="13">
        <f t="shared" ca="1" si="4"/>
        <v>2.2720100978226521E-2</v>
      </c>
    </row>
    <row r="213" spans="1:5" x14ac:dyDescent="0.3">
      <c r="A213" s="3" vm="413">
        <f ca="1"/>
        <v>41660</v>
      </c>
      <c r="B213" s="3" vm="1429">
        <f ca="1"/>
        <v>15.7</v>
      </c>
      <c r="D213" s="10" vm="1430">
        <f ca="1"/>
        <v>15879.1101</v>
      </c>
      <c r="E213" s="13">
        <f t="shared" ca="1" si="4"/>
        <v>-3.1163221228015958E-2</v>
      </c>
    </row>
    <row r="214" spans="1:5" x14ac:dyDescent="0.3">
      <c r="A214" s="3" vm="415">
        <f ca="1"/>
        <v>41666</v>
      </c>
      <c r="B214" s="3" vm="1431">
        <f ca="1"/>
        <v>15.744999999999999</v>
      </c>
      <c r="D214" s="10" vm="1432">
        <f ca="1"/>
        <v>15698.8459</v>
      </c>
      <c r="E214" s="13">
        <f t="shared" ca="1" si="4"/>
        <v>2.8662420382166154E-3</v>
      </c>
    </row>
    <row r="215" spans="1:5" x14ac:dyDescent="0.3">
      <c r="A215" s="3" vm="417">
        <f ca="1"/>
        <v>41673</v>
      </c>
      <c r="B215" s="3" vm="1433">
        <f ca="1"/>
        <v>14.59</v>
      </c>
      <c r="D215" s="10" vm="1434">
        <f ca="1"/>
        <v>15794.083500000001</v>
      </c>
      <c r="E215" s="13">
        <f t="shared" ca="1" si="4"/>
        <v>-7.3356621149571311E-2</v>
      </c>
    </row>
    <row r="216" spans="1:5" x14ac:dyDescent="0.3">
      <c r="A216" s="3" vm="419">
        <f ca="1"/>
        <v>41680</v>
      </c>
      <c r="B216" s="3" vm="1435">
        <f ca="1"/>
        <v>14.8</v>
      </c>
      <c r="D216" s="10" vm="1436">
        <f ca="1"/>
        <v>16154.3871</v>
      </c>
      <c r="E216" s="13">
        <f t="shared" ca="1" si="4"/>
        <v>1.4393420150788261E-2</v>
      </c>
    </row>
    <row r="217" spans="1:5" x14ac:dyDescent="0.3">
      <c r="A217" s="3" vm="421">
        <f ca="1"/>
        <v>41688</v>
      </c>
      <c r="B217" s="3" vm="1437">
        <f ca="1"/>
        <v>14.98</v>
      </c>
      <c r="D217" s="10" vm="1438">
        <f ca="1"/>
        <v>16103.3004</v>
      </c>
      <c r="E217" s="13">
        <f t="shared" ca="1" si="4"/>
        <v>1.2162162162162149E-2</v>
      </c>
    </row>
    <row r="218" spans="1:5" x14ac:dyDescent="0.3">
      <c r="A218" s="3" vm="423">
        <f ca="1"/>
        <v>41694</v>
      </c>
      <c r="B218" s="3" vm="1439">
        <f ca="1"/>
        <v>15.05</v>
      </c>
      <c r="D218" s="10" vm="1440">
        <f ca="1"/>
        <v>16321.710999999999</v>
      </c>
      <c r="E218" s="13">
        <f t="shared" ca="1" si="4"/>
        <v>4.6728971962617383E-3</v>
      </c>
    </row>
    <row r="219" spans="1:5" x14ac:dyDescent="0.3">
      <c r="A219" s="3" vm="425">
        <f ca="1"/>
        <v>41701</v>
      </c>
      <c r="B219" s="3" vm="1441">
        <f ca="1"/>
        <v>15.445</v>
      </c>
      <c r="D219" s="10" vm="1442">
        <f ca="1"/>
        <v>16452.718799999999</v>
      </c>
      <c r="E219" s="13">
        <f t="shared" ca="1" si="4"/>
        <v>2.6245847176079806E-2</v>
      </c>
    </row>
    <row r="220" spans="1:5" x14ac:dyDescent="0.3">
      <c r="A220" s="3" vm="427">
        <f ca="1"/>
        <v>41708</v>
      </c>
      <c r="B220" s="3" vm="1443">
        <f ca="1"/>
        <v>15.54</v>
      </c>
      <c r="D220" s="10" vm="1444">
        <f ca="1"/>
        <v>16065.667799999999</v>
      </c>
      <c r="E220" s="13">
        <f t="shared" ca="1" si="4"/>
        <v>6.1508578828100013E-3</v>
      </c>
    </row>
    <row r="221" spans="1:5" x14ac:dyDescent="0.3">
      <c r="A221" s="3" vm="429">
        <f ca="1"/>
        <v>41715</v>
      </c>
      <c r="B221" s="3" vm="1445">
        <f ca="1"/>
        <v>15.494999999999999</v>
      </c>
      <c r="D221" s="10" vm="1446">
        <f ca="1"/>
        <v>16302.7662</v>
      </c>
      <c r="E221" s="13">
        <f t="shared" ca="1" si="4"/>
        <v>-2.8957528957529455E-3</v>
      </c>
    </row>
    <row r="222" spans="1:5" x14ac:dyDescent="0.3">
      <c r="A222" s="3" vm="431">
        <f ca="1"/>
        <v>41722</v>
      </c>
      <c r="B222" s="3" vm="1352">
        <f ca="1"/>
        <v>15.225</v>
      </c>
      <c r="D222" s="10" vm="1447">
        <f ca="1"/>
        <v>16323.059600000001</v>
      </c>
      <c r="E222" s="13">
        <f t="shared" ca="1" si="4"/>
        <v>-1.742497579864466E-2</v>
      </c>
    </row>
    <row r="223" spans="1:5" x14ac:dyDescent="0.3">
      <c r="A223" s="3" vm="433">
        <f ca="1"/>
        <v>41729</v>
      </c>
      <c r="B223" s="3" vm="1448">
        <f ca="1"/>
        <v>15.265000000000001</v>
      </c>
      <c r="D223" s="10" vm="1449">
        <f ca="1"/>
        <v>16412.7101</v>
      </c>
      <c r="E223" s="13">
        <f t="shared" ca="1" si="4"/>
        <v>2.6272577996715452E-3</v>
      </c>
    </row>
    <row r="224" spans="1:5" x14ac:dyDescent="0.3">
      <c r="A224" s="3" vm="435">
        <f ca="1"/>
        <v>41736</v>
      </c>
      <c r="B224" s="3" vm="1450">
        <f ca="1"/>
        <v>14.505000000000001</v>
      </c>
      <c r="D224" s="10" vm="1451">
        <f ca="1"/>
        <v>16026.7508</v>
      </c>
      <c r="E224" s="13">
        <f t="shared" ca="1" si="4"/>
        <v>-4.9787094660989184E-2</v>
      </c>
    </row>
    <row r="225" spans="1:5" x14ac:dyDescent="0.3">
      <c r="A225" s="3" vm="437">
        <f ca="1"/>
        <v>41743</v>
      </c>
      <c r="B225" s="3" vm="1452">
        <f ca="1"/>
        <v>15.055</v>
      </c>
      <c r="D225" s="10" vm="1453">
        <f ca="1"/>
        <v>16408.535800000001</v>
      </c>
      <c r="E225" s="13">
        <f t="shared" ca="1" si="4"/>
        <v>3.7917959324370809E-2</v>
      </c>
    </row>
    <row r="226" spans="1:5" x14ac:dyDescent="0.3">
      <c r="A226" s="3" vm="439">
        <f ca="1"/>
        <v>41750</v>
      </c>
      <c r="B226" s="3" vm="1454">
        <f ca="1"/>
        <v>14.795</v>
      </c>
      <c r="D226" s="10" vm="1455">
        <f ca="1"/>
        <v>16361.4629</v>
      </c>
      <c r="E226" s="13">
        <f t="shared" ca="1" si="4"/>
        <v>-1.7270009963467281E-2</v>
      </c>
    </row>
    <row r="227" spans="1:5" x14ac:dyDescent="0.3">
      <c r="A227" s="3" vm="441">
        <f ca="1"/>
        <v>41757</v>
      </c>
      <c r="B227" s="3" vm="1456">
        <f ca="1"/>
        <v>14.83</v>
      </c>
      <c r="D227" s="10" vm="1457">
        <f ca="1"/>
        <v>16512.892500000002</v>
      </c>
      <c r="E227" s="13">
        <f t="shared" ca="1" si="4"/>
        <v>2.3656640757012681E-3</v>
      </c>
    </row>
    <row r="228" spans="1:5" x14ac:dyDescent="0.3">
      <c r="A228" s="3" vm="443">
        <f ca="1"/>
        <v>41764</v>
      </c>
      <c r="B228" s="3" vm="1458">
        <f ca="1"/>
        <v>14.81</v>
      </c>
      <c r="D228" s="10" vm="1459">
        <f ca="1"/>
        <v>16583.3413</v>
      </c>
      <c r="E228" s="13">
        <f t="shared" ca="1" si="4"/>
        <v>-1.3486176668914274E-3</v>
      </c>
    </row>
    <row r="229" spans="1:5" x14ac:dyDescent="0.3">
      <c r="A229" s="3" vm="445">
        <f ca="1"/>
        <v>41771</v>
      </c>
      <c r="B229" s="3" vm="1460">
        <f ca="1"/>
        <v>14.79</v>
      </c>
      <c r="D229" s="10" vm="1461">
        <f ca="1"/>
        <v>16491.314699999999</v>
      </c>
      <c r="E229" s="13">
        <f t="shared" ca="1" si="4"/>
        <v>-1.3504388926401933E-3</v>
      </c>
    </row>
    <row r="230" spans="1:5" x14ac:dyDescent="0.3">
      <c r="A230" s="3" vm="447">
        <f ca="1"/>
        <v>41778</v>
      </c>
      <c r="B230" s="3" vm="1462">
        <f ca="1"/>
        <v>15.035</v>
      </c>
      <c r="D230" s="10" vm="1463">
        <f ca="1"/>
        <v>16606.2677</v>
      </c>
      <c r="E230" s="13">
        <f t="shared" ca="1" si="4"/>
        <v>1.6565246788370569E-2</v>
      </c>
    </row>
    <row r="231" spans="1:5" x14ac:dyDescent="0.3">
      <c r="A231" s="3" vm="449">
        <f ca="1"/>
        <v>41786</v>
      </c>
      <c r="B231" s="3" vm="1464">
        <f ca="1"/>
        <v>15.095000000000001</v>
      </c>
      <c r="D231" s="10" vm="1465">
        <f ca="1"/>
        <v>16717.174800000001</v>
      </c>
      <c r="E231" s="13">
        <f t="shared" ca="1" si="4"/>
        <v>3.9906883937479432E-3</v>
      </c>
    </row>
    <row r="232" spans="1:5" x14ac:dyDescent="0.3">
      <c r="A232" s="3" vm="451">
        <f ca="1"/>
        <v>41792</v>
      </c>
      <c r="B232" s="3" vm="1466">
        <f ca="1"/>
        <v>15.385</v>
      </c>
      <c r="D232" s="10" vm="1467">
        <f ca="1"/>
        <v>16924.2827</v>
      </c>
      <c r="E232" s="13">
        <f t="shared" ca="1" si="4"/>
        <v>1.9211659489897226E-2</v>
      </c>
    </row>
    <row r="233" spans="1:5" x14ac:dyDescent="0.3">
      <c r="A233" s="3" vm="453">
        <f ca="1"/>
        <v>41799</v>
      </c>
      <c r="B233" s="3" vm="1468">
        <f ca="1"/>
        <v>15.285</v>
      </c>
      <c r="D233" s="10" vm="1469">
        <f ca="1"/>
        <v>16775.742999999999</v>
      </c>
      <c r="E233" s="13">
        <f t="shared" ca="1" si="4"/>
        <v>-6.4998375040623557E-3</v>
      </c>
    </row>
    <row r="234" spans="1:5" x14ac:dyDescent="0.3">
      <c r="A234" s="3" vm="455">
        <f ca="1"/>
        <v>41806</v>
      </c>
      <c r="B234" s="3" vm="1470">
        <f ca="1"/>
        <v>15.27</v>
      </c>
      <c r="D234" s="10" vm="1471">
        <f ca="1"/>
        <v>16947.080699999999</v>
      </c>
      <c r="E234" s="13">
        <f t="shared" ca="1" si="4"/>
        <v>-9.8135426889112143E-4</v>
      </c>
    </row>
    <row r="235" spans="1:5" x14ac:dyDescent="0.3">
      <c r="A235" s="3" vm="457">
        <f ca="1"/>
        <v>41813</v>
      </c>
      <c r="B235" s="3" vm="1472">
        <f ca="1"/>
        <v>15.24</v>
      </c>
      <c r="D235" s="10" vm="1473">
        <f ca="1"/>
        <v>16851.843099999998</v>
      </c>
      <c r="E235" s="13">
        <f t="shared" ca="1" si="4"/>
        <v>-1.9646365422396617E-3</v>
      </c>
    </row>
    <row r="236" spans="1:5" x14ac:dyDescent="0.3">
      <c r="A236" s="3" vm="459">
        <f ca="1"/>
        <v>41820</v>
      </c>
      <c r="B236" s="3" vm="1466">
        <f ca="1"/>
        <v>15.385</v>
      </c>
      <c r="D236" s="10" vm="1474">
        <f ca="1"/>
        <v>17068.262900000002</v>
      </c>
      <c r="E236" s="13">
        <f t="shared" ca="1" si="4"/>
        <v>9.5144356955381149E-3</v>
      </c>
    </row>
    <row r="237" spans="1:5" x14ac:dyDescent="0.3">
      <c r="A237" s="3" vm="461">
        <f ca="1"/>
        <v>41827</v>
      </c>
      <c r="B237" s="3" vm="1475">
        <f ca="1"/>
        <v>15.14</v>
      </c>
      <c r="D237" s="10" vm="1476">
        <f ca="1"/>
        <v>16943.805499999999</v>
      </c>
      <c r="E237" s="13">
        <f t="shared" ca="1" si="4"/>
        <v>-1.5924601884952816E-2</v>
      </c>
    </row>
    <row r="238" spans="1:5" x14ac:dyDescent="0.3">
      <c r="A238" s="3" vm="463">
        <f ca="1"/>
        <v>41834</v>
      </c>
      <c r="B238" s="3" vm="1477">
        <f ca="1"/>
        <v>15.185</v>
      </c>
      <c r="D238" s="10" vm="1478">
        <f ca="1"/>
        <v>17100.18</v>
      </c>
      <c r="E238" s="13">
        <f t="shared" ca="1" si="4"/>
        <v>2.97225891677666E-3</v>
      </c>
    </row>
    <row r="239" spans="1:5" x14ac:dyDescent="0.3">
      <c r="A239" s="3" vm="465">
        <f ca="1"/>
        <v>41841</v>
      </c>
      <c r="B239" s="3" vm="1413">
        <f ca="1"/>
        <v>15.81</v>
      </c>
      <c r="D239" s="10" vm="1479">
        <f ca="1"/>
        <v>16960.566699999999</v>
      </c>
      <c r="E239" s="13">
        <f t="shared" ca="1" si="4"/>
        <v>4.1159038524860136E-2</v>
      </c>
    </row>
    <row r="240" spans="1:5" x14ac:dyDescent="0.3">
      <c r="A240" s="3" vm="467">
        <f ca="1"/>
        <v>41848</v>
      </c>
      <c r="B240" s="3" vm="1470">
        <f ca="1"/>
        <v>15.27</v>
      </c>
      <c r="D240" s="10" vm="1480">
        <f ca="1"/>
        <v>16493.3698</v>
      </c>
      <c r="E240" s="13">
        <f t="shared" ca="1" si="4"/>
        <v>-3.4155597722960174E-2</v>
      </c>
    </row>
    <row r="241" spans="1:5" x14ac:dyDescent="0.3">
      <c r="A241" s="3" vm="469">
        <f ca="1"/>
        <v>41855</v>
      </c>
      <c r="B241" s="3" vm="1481">
        <f ca="1"/>
        <v>15.305</v>
      </c>
      <c r="D241" s="10" vm="1482">
        <f ca="1"/>
        <v>16553.928800000002</v>
      </c>
      <c r="E241" s="13">
        <f t="shared" ca="1" si="4"/>
        <v>2.292075965946383E-3</v>
      </c>
    </row>
    <row r="242" spans="1:5" x14ac:dyDescent="0.3">
      <c r="A242" s="3" vm="471">
        <f ca="1"/>
        <v>41862</v>
      </c>
      <c r="B242" s="3" vm="1354">
        <f ca="1"/>
        <v>15.725</v>
      </c>
      <c r="D242" s="10" vm="1483">
        <f ca="1"/>
        <v>16662.909299999999</v>
      </c>
      <c r="E242" s="13">
        <f t="shared" ca="1" si="4"/>
        <v>2.7442012414243599E-2</v>
      </c>
    </row>
    <row r="243" spans="1:5" x14ac:dyDescent="0.3">
      <c r="A243" s="3" vm="473">
        <f ca="1"/>
        <v>41869</v>
      </c>
      <c r="B243" s="3" vm="1484">
        <f ca="1"/>
        <v>16.114999999999998</v>
      </c>
      <c r="D243" s="10" vm="1485">
        <f ca="1"/>
        <v>17001.217700000001</v>
      </c>
      <c r="E243" s="13">
        <f t="shared" ca="1" si="4"/>
        <v>2.4801271860095397E-2</v>
      </c>
    </row>
    <row r="244" spans="1:5" x14ac:dyDescent="0.3">
      <c r="A244" s="3" vm="475">
        <f ca="1"/>
        <v>41876</v>
      </c>
      <c r="B244" s="3" vm="1486">
        <f ca="1"/>
        <v>16.309999999999999</v>
      </c>
      <c r="D244" s="10" vm="1487">
        <f ca="1"/>
        <v>17098.446</v>
      </c>
      <c r="E244" s="13">
        <f t="shared" ca="1" si="4"/>
        <v>1.2100527458889232E-2</v>
      </c>
    </row>
    <row r="245" spans="1:5" x14ac:dyDescent="0.3">
      <c r="A245" s="3" vm="477">
        <f ca="1"/>
        <v>41884</v>
      </c>
      <c r="B245" s="3" vm="1488">
        <f ca="1"/>
        <v>16.434999999999999</v>
      </c>
      <c r="D245" s="10" vm="1489">
        <f ca="1"/>
        <v>17137.363099999999</v>
      </c>
      <c r="E245" s="13">
        <f t="shared" ca="1" si="4"/>
        <v>7.6640098099325371E-3</v>
      </c>
    </row>
    <row r="246" spans="1:5" x14ac:dyDescent="0.3">
      <c r="A246" s="3" vm="479">
        <f ca="1"/>
        <v>41890</v>
      </c>
      <c r="B246" s="3" vm="1398">
        <f ca="1"/>
        <v>16.445</v>
      </c>
      <c r="D246" s="10" vm="1490">
        <f ca="1"/>
        <v>16987.506799999999</v>
      </c>
      <c r="E246" s="13">
        <f t="shared" ca="1" si="4"/>
        <v>6.0845756008531815E-4</v>
      </c>
    </row>
    <row r="247" spans="1:5" x14ac:dyDescent="0.3">
      <c r="A247" s="3" vm="481">
        <f ca="1"/>
        <v>41897</v>
      </c>
      <c r="B247" s="3" vm="1491">
        <f ca="1"/>
        <v>16.420000000000002</v>
      </c>
      <c r="D247" s="10" vm="1492">
        <f ca="1"/>
        <v>17279.737700000001</v>
      </c>
      <c r="E247" s="13">
        <f t="shared" ca="1" si="4"/>
        <v>-1.5202189115232079E-3</v>
      </c>
    </row>
    <row r="248" spans="1:5" x14ac:dyDescent="0.3">
      <c r="A248" s="3" vm="483">
        <f ca="1"/>
        <v>41904</v>
      </c>
      <c r="B248" s="3" vm="1493">
        <f ca="1"/>
        <v>16.265000000000001</v>
      </c>
      <c r="D248" s="10" vm="1494">
        <f ca="1"/>
        <v>17113.152300000002</v>
      </c>
      <c r="E248" s="13">
        <f t="shared" ca="1" si="4"/>
        <v>-9.4397076735689422E-3</v>
      </c>
    </row>
    <row r="249" spans="1:5" x14ac:dyDescent="0.3">
      <c r="A249" s="3" vm="485">
        <f ca="1"/>
        <v>41911</v>
      </c>
      <c r="B249" s="3" vm="1495">
        <f ca="1"/>
        <v>16.145</v>
      </c>
      <c r="D249" s="10" vm="1496">
        <f ca="1"/>
        <v>17009.6947</v>
      </c>
      <c r="E249" s="13">
        <f t="shared" ca="1" si="4"/>
        <v>-7.3778051029819158E-3</v>
      </c>
    </row>
    <row r="250" spans="1:5" x14ac:dyDescent="0.3">
      <c r="A250" s="3" vm="487">
        <f ca="1"/>
        <v>41918</v>
      </c>
      <c r="B250" s="3" vm="1497">
        <f ca="1"/>
        <v>15.734999999999999</v>
      </c>
      <c r="D250" s="10" vm="1498">
        <f ca="1"/>
        <v>16544.103200000001</v>
      </c>
      <c r="E250" s="13">
        <f t="shared" ca="1" si="4"/>
        <v>-2.5394859089501454E-2</v>
      </c>
    </row>
    <row r="251" spans="1:5" x14ac:dyDescent="0.3">
      <c r="A251" s="3" vm="489">
        <f ca="1"/>
        <v>41925</v>
      </c>
      <c r="B251" s="3" vm="1499">
        <f ca="1"/>
        <v>16.03</v>
      </c>
      <c r="D251" s="10" vm="1500">
        <f ca="1"/>
        <v>16380.4076</v>
      </c>
      <c r="E251" s="13">
        <f t="shared" ca="1" si="4"/>
        <v>1.8748013981569889E-2</v>
      </c>
    </row>
    <row r="252" spans="1:5" x14ac:dyDescent="0.3">
      <c r="A252" s="3" vm="491">
        <f ca="1"/>
        <v>41932</v>
      </c>
      <c r="B252" s="3" vm="1501">
        <f ca="1"/>
        <v>15.74</v>
      </c>
      <c r="D252" s="10" vm="1502">
        <f ca="1"/>
        <v>16805.412400000001</v>
      </c>
      <c r="E252" s="13">
        <f t="shared" ca="1" si="4"/>
        <v>-1.8091079226450479E-2</v>
      </c>
    </row>
    <row r="253" spans="1:5" x14ac:dyDescent="0.3">
      <c r="A253" s="3" vm="493">
        <f ca="1"/>
        <v>41939</v>
      </c>
      <c r="B253" s="3" vm="1356">
        <f ca="1"/>
        <v>15.93</v>
      </c>
      <c r="D253" s="10" vm="1503">
        <f ca="1"/>
        <v>17390.5164</v>
      </c>
      <c r="E253" s="13">
        <f t="shared" ca="1" si="4"/>
        <v>1.2071156289707785E-2</v>
      </c>
    </row>
    <row r="254" spans="1:5" x14ac:dyDescent="0.3">
      <c r="A254" s="3" vm="495">
        <f ca="1"/>
        <v>41946</v>
      </c>
      <c r="B254" s="3" vm="1504">
        <f ca="1"/>
        <v>16.149999999999999</v>
      </c>
      <c r="D254" s="10" vm="1505">
        <f ca="1"/>
        <v>17573.927299999999</v>
      </c>
      <c r="E254" s="13">
        <f t="shared" ca="1" si="4"/>
        <v>1.3810420590081529E-2</v>
      </c>
    </row>
    <row r="255" spans="1:5" x14ac:dyDescent="0.3">
      <c r="A255" s="3" vm="497">
        <f ca="1"/>
        <v>41953</v>
      </c>
      <c r="B255" s="3" vm="1506">
        <f ca="1"/>
        <v>15.994999999999999</v>
      </c>
      <c r="D255" s="10" vm="1507">
        <f ca="1"/>
        <v>17634.743200000001</v>
      </c>
      <c r="E255" s="13">
        <f t="shared" ca="1" si="4"/>
        <v>-9.5975232198142191E-3</v>
      </c>
    </row>
    <row r="256" spans="1:5" x14ac:dyDescent="0.3">
      <c r="A256" s="3" vm="499">
        <f ca="1"/>
        <v>41960</v>
      </c>
      <c r="B256" s="3" vm="1508">
        <f ca="1"/>
        <v>16.004999999999999</v>
      </c>
      <c r="D256" s="10" vm="1509">
        <f ca="1"/>
        <v>17810.0625</v>
      </c>
      <c r="E256" s="13">
        <f t="shared" ca="1" si="4"/>
        <v>6.2519537355432142E-4</v>
      </c>
    </row>
    <row r="257" spans="1:5" x14ac:dyDescent="0.3">
      <c r="A257" s="3" vm="501">
        <f ca="1"/>
        <v>41967</v>
      </c>
      <c r="B257" s="3" vm="1510">
        <f ca="1"/>
        <v>16.100000000000001</v>
      </c>
      <c r="D257" s="10" vm="1511">
        <f ca="1"/>
        <v>17828.2366</v>
      </c>
      <c r="E257" s="13">
        <f t="shared" ca="1" si="4"/>
        <v>5.9356451109029429E-3</v>
      </c>
    </row>
    <row r="258" spans="1:5" x14ac:dyDescent="0.3">
      <c r="A258" s="3" vm="503">
        <f ca="1"/>
        <v>41974</v>
      </c>
      <c r="B258" s="3" vm="1512">
        <f ca="1"/>
        <v>16.399999999999999</v>
      </c>
      <c r="D258" s="10" vm="1513">
        <f ca="1"/>
        <v>17958.794900000001</v>
      </c>
      <c r="E258" s="13">
        <f t="shared" ca="1" si="4"/>
        <v>1.8633540372670732E-2</v>
      </c>
    </row>
    <row r="259" spans="1:5" x14ac:dyDescent="0.3">
      <c r="A259" s="3" vm="505">
        <f ca="1"/>
        <v>41981</v>
      </c>
      <c r="B259" s="3" vm="1514">
        <f ca="1"/>
        <v>15.96</v>
      </c>
      <c r="D259" s="10" vm="1515">
        <f ca="1"/>
        <v>17280.8295</v>
      </c>
      <c r="E259" s="13">
        <f t="shared" ca="1" si="4"/>
        <v>-2.682926829268284E-2</v>
      </c>
    </row>
    <row r="260" spans="1:5" x14ac:dyDescent="0.3">
      <c r="A260" s="3" vm="507">
        <f ca="1"/>
        <v>41988</v>
      </c>
      <c r="B260" s="3" vm="1516">
        <f ca="1"/>
        <v>16.215</v>
      </c>
      <c r="D260" s="10" vm="1517">
        <f ca="1"/>
        <v>17804.7965</v>
      </c>
      <c r="E260" s="13">
        <f t="shared" ca="1" si="4"/>
        <v>1.5977443609022535E-2</v>
      </c>
    </row>
    <row r="261" spans="1:5" x14ac:dyDescent="0.3">
      <c r="A261" s="3" vm="1518">
        <f ca="1"/>
        <v>41995</v>
      </c>
      <c r="B261" s="3" vm="1486">
        <f ca="1"/>
        <v>16.309999999999999</v>
      </c>
      <c r="D261" s="10" vm="1519">
        <f ca="1"/>
        <v>18053.711299999999</v>
      </c>
      <c r="E261" s="13">
        <f t="shared" ca="1" si="4"/>
        <v>5.8587727412888757E-3</v>
      </c>
    </row>
    <row r="262" spans="1:5" x14ac:dyDescent="0.3">
      <c r="A262" s="3" vm="1520">
        <f ca="1"/>
        <v>42002</v>
      </c>
      <c r="B262" s="3" vm="1521">
        <f ca="1"/>
        <v>16.28</v>
      </c>
      <c r="D262" s="10" vm="1522">
        <f ca="1"/>
        <v>17832.9889</v>
      </c>
      <c r="E262" s="13">
        <f t="shared" ca="1" si="4"/>
        <v>-1.8393623543836446E-3</v>
      </c>
    </row>
    <row r="263" spans="1:5" x14ac:dyDescent="0.3">
      <c r="A263" s="3" vm="508">
        <f ca="1"/>
        <v>42009</v>
      </c>
      <c r="B263" s="3" vm="1523">
        <f ca="1"/>
        <v>16.234999999999999</v>
      </c>
      <c r="D263" s="10" vm="1524">
        <f ca="1"/>
        <v>17737.366000000002</v>
      </c>
      <c r="E263" s="13">
        <f t="shared" ca="1" si="4"/>
        <v>-2.7641277641278217E-3</v>
      </c>
    </row>
    <row r="264" spans="1:5" x14ac:dyDescent="0.3">
      <c r="A264" s="3" vm="1525">
        <f ca="1"/>
        <v>42016</v>
      </c>
      <c r="B264" s="3" vm="1526">
        <f ca="1"/>
        <v>15.914999999999999</v>
      </c>
      <c r="D264" s="10" vm="1527">
        <f ca="1"/>
        <v>17511.570199999998</v>
      </c>
      <c r="E264" s="13">
        <f t="shared" ca="1" si="4"/>
        <v>-1.9710502001847874E-2</v>
      </c>
    </row>
    <row r="265" spans="1:5" x14ac:dyDescent="0.3">
      <c r="A265" s="3" vm="1528">
        <f ca="1"/>
        <v>42024</v>
      </c>
      <c r="B265" s="3" vm="1529">
        <f ca="1"/>
        <v>15.875</v>
      </c>
      <c r="D265" s="10" vm="1530">
        <f ca="1"/>
        <v>17672.600600000002</v>
      </c>
      <c r="E265" s="13">
        <f t="shared" ref="E265:E328" ca="1" si="5">IF(B265&gt;0,B265/B264-1,"")</f>
        <v>-2.5133521834747041E-3</v>
      </c>
    </row>
    <row r="266" spans="1:5" x14ac:dyDescent="0.3">
      <c r="A266" s="3" vm="1531">
        <f ca="1"/>
        <v>42030</v>
      </c>
      <c r="B266" s="3" vm="1532">
        <f ca="1"/>
        <v>15.425000000000001</v>
      </c>
      <c r="D266" s="10" vm="1533">
        <f ca="1"/>
        <v>17164.945400000001</v>
      </c>
      <c r="E266" s="13">
        <f t="shared" ca="1" si="5"/>
        <v>-2.8346456692913358E-2</v>
      </c>
    </row>
    <row r="267" spans="1:5" x14ac:dyDescent="0.3">
      <c r="A267" s="3" vm="1534">
        <f ca="1"/>
        <v>42037</v>
      </c>
      <c r="B267" s="3" vm="1535">
        <f ca="1"/>
        <v>16.055</v>
      </c>
      <c r="D267" s="10" vm="1536">
        <f ca="1"/>
        <v>17824.287100000001</v>
      </c>
      <c r="E267" s="13">
        <f t="shared" ca="1" si="5"/>
        <v>4.0842787682333848E-2</v>
      </c>
    </row>
    <row r="268" spans="1:5" x14ac:dyDescent="0.3">
      <c r="A268" s="3" vm="1537">
        <f ca="1"/>
        <v>42044</v>
      </c>
      <c r="B268" s="3" vm="1538">
        <f ca="1"/>
        <v>16.504999999999999</v>
      </c>
      <c r="D268" s="10" vm="1539">
        <f ca="1"/>
        <v>18019.353899999998</v>
      </c>
      <c r="E268" s="13">
        <f t="shared" ca="1" si="5"/>
        <v>2.8028651510432878E-2</v>
      </c>
    </row>
    <row r="269" spans="1:5" x14ac:dyDescent="0.3">
      <c r="A269" s="3" vm="509">
        <f ca="1"/>
        <v>42052</v>
      </c>
      <c r="B269" s="3" vm="1540">
        <f ca="1"/>
        <v>16.545000000000002</v>
      </c>
      <c r="D269" s="10" vm="1541">
        <f ca="1"/>
        <v>18140.4398</v>
      </c>
      <c r="E269" s="13">
        <f t="shared" ca="1" si="5"/>
        <v>2.4235080278705023E-3</v>
      </c>
    </row>
    <row r="270" spans="1:5" x14ac:dyDescent="0.3">
      <c r="A270" s="3" vm="510">
        <f ca="1"/>
        <v>42058</v>
      </c>
      <c r="B270" s="3" vm="1542">
        <f ca="1"/>
        <v>16.07</v>
      </c>
      <c r="D270" s="10" vm="1543">
        <f ca="1"/>
        <v>18132.701300000001</v>
      </c>
      <c r="E270" s="13">
        <f t="shared" ca="1" si="5"/>
        <v>-2.8709579933514751E-2</v>
      </c>
    </row>
    <row r="271" spans="1:5" x14ac:dyDescent="0.3">
      <c r="A271" s="3" vm="511">
        <f ca="1"/>
        <v>42065</v>
      </c>
      <c r="B271" s="3" vm="1544">
        <f ca="1"/>
        <v>15.92</v>
      </c>
      <c r="D271" s="10" vm="1545">
        <f ca="1"/>
        <v>17856.782200000001</v>
      </c>
      <c r="E271" s="13">
        <f t="shared" ca="1" si="5"/>
        <v>-9.3341630367144157E-3</v>
      </c>
    </row>
    <row r="272" spans="1:5" x14ac:dyDescent="0.3">
      <c r="A272" s="3" vm="512">
        <f ca="1"/>
        <v>42072</v>
      </c>
      <c r="B272" s="3" vm="1386">
        <f ca="1"/>
        <v>16.190000000000001</v>
      </c>
      <c r="D272" s="10" vm="1546">
        <f ca="1"/>
        <v>17749.310799999999</v>
      </c>
      <c r="E272" s="13">
        <f t="shared" ca="1" si="5"/>
        <v>1.6959798994975017E-2</v>
      </c>
    </row>
    <row r="273" spans="1:5" x14ac:dyDescent="0.3">
      <c r="A273" s="3" vm="513">
        <f ca="1"/>
        <v>42079</v>
      </c>
      <c r="B273" s="3" vm="1547">
        <f ca="1"/>
        <v>16.565000000000001</v>
      </c>
      <c r="D273" s="10" vm="1548">
        <f ca="1"/>
        <v>18127.653300000002</v>
      </c>
      <c r="E273" s="13">
        <f t="shared" ca="1" si="5"/>
        <v>2.3162445954292732E-2</v>
      </c>
    </row>
    <row r="274" spans="1:5" x14ac:dyDescent="0.3">
      <c r="A274" s="3" vm="514">
        <f ca="1"/>
        <v>42086</v>
      </c>
      <c r="B274" s="3" vm="1549">
        <f ca="1"/>
        <v>16.38</v>
      </c>
      <c r="D274" s="10" vm="1550">
        <f ca="1"/>
        <v>17712.662899999999</v>
      </c>
      <c r="E274" s="13">
        <f t="shared" ca="1" si="5"/>
        <v>-1.116812556595248E-2</v>
      </c>
    </row>
    <row r="275" spans="1:5" x14ac:dyDescent="0.3">
      <c r="A275" s="3" vm="515">
        <f ca="1"/>
        <v>42093</v>
      </c>
      <c r="B275" s="3" vm="1547">
        <f ca="1"/>
        <v>16.565000000000001</v>
      </c>
      <c r="D275" s="10" vm="1551">
        <f ca="1"/>
        <v>17763.2438</v>
      </c>
      <c r="E275" s="13">
        <f t="shared" ca="1" si="5"/>
        <v>1.1294261294261476E-2</v>
      </c>
    </row>
    <row r="276" spans="1:5" x14ac:dyDescent="0.3">
      <c r="A276" s="3" vm="516">
        <f ca="1"/>
        <v>42100</v>
      </c>
      <c r="B276" s="3" vm="1552">
        <f ca="1"/>
        <v>16.605</v>
      </c>
      <c r="D276" s="10" vm="1553">
        <f ca="1"/>
        <v>18057.6541</v>
      </c>
      <c r="E276" s="13">
        <f t="shared" ca="1" si="5"/>
        <v>2.4147298520977856E-3</v>
      </c>
    </row>
    <row r="277" spans="1:5" x14ac:dyDescent="0.3">
      <c r="A277" s="3" vm="517">
        <f ca="1"/>
        <v>42107</v>
      </c>
      <c r="B277" s="3" vm="1554">
        <f ca="1"/>
        <v>16.285</v>
      </c>
      <c r="D277" s="10" vm="1555">
        <f ca="1"/>
        <v>17826.303100000001</v>
      </c>
      <c r="E277" s="13">
        <f t="shared" ca="1" si="5"/>
        <v>-1.9271303824149322E-2</v>
      </c>
    </row>
    <row r="278" spans="1:5" x14ac:dyDescent="0.3">
      <c r="A278" s="3" vm="518">
        <f ca="1"/>
        <v>42114</v>
      </c>
      <c r="B278" s="3" vm="1516">
        <f ca="1"/>
        <v>16.215</v>
      </c>
      <c r="D278" s="10" vm="1556">
        <f ca="1"/>
        <v>18080.141899999999</v>
      </c>
      <c r="E278" s="13">
        <f t="shared" ca="1" si="5"/>
        <v>-4.298434141848384E-3</v>
      </c>
    </row>
    <row r="279" spans="1:5" x14ac:dyDescent="0.3">
      <c r="A279" s="3" vm="519">
        <f ca="1"/>
        <v>42121</v>
      </c>
      <c r="B279" s="3" vm="1557">
        <f ca="1"/>
        <v>15.925000000000001</v>
      </c>
      <c r="D279" s="10" vm="1558">
        <f ca="1"/>
        <v>18024.055799999998</v>
      </c>
      <c r="E279" s="13">
        <f t="shared" ca="1" si="5"/>
        <v>-1.788467468393462E-2</v>
      </c>
    </row>
    <row r="280" spans="1:5" x14ac:dyDescent="0.3">
      <c r="A280" s="3" vm="520">
        <f ca="1"/>
        <v>42128</v>
      </c>
      <c r="B280" s="3" vm="1559">
        <f ca="1"/>
        <v>15.955</v>
      </c>
      <c r="D280" s="10" vm="1560">
        <f ca="1"/>
        <v>18191.113000000001</v>
      </c>
      <c r="E280" s="13">
        <f t="shared" ca="1" si="5"/>
        <v>1.8838304552590834E-3</v>
      </c>
    </row>
    <row r="281" spans="1:5" x14ac:dyDescent="0.3">
      <c r="A281" s="3" vm="521">
        <f ca="1"/>
        <v>42135</v>
      </c>
      <c r="B281" s="3" vm="1561">
        <f ca="1"/>
        <v>16.024999999999999</v>
      </c>
      <c r="D281" s="10" vm="1562">
        <f ca="1"/>
        <v>18272.556199999999</v>
      </c>
      <c r="E281" s="13">
        <f t="shared" ca="1" si="5"/>
        <v>4.3873393920399462E-3</v>
      </c>
    </row>
    <row r="282" spans="1:5" x14ac:dyDescent="0.3">
      <c r="A282" s="3" vm="522">
        <f ca="1"/>
        <v>42142</v>
      </c>
      <c r="B282" s="3" vm="1504">
        <f ca="1"/>
        <v>16.149999999999999</v>
      </c>
      <c r="D282" s="10" vm="1563">
        <f ca="1"/>
        <v>18232.018100000001</v>
      </c>
      <c r="E282" s="13">
        <f t="shared" ca="1" si="5"/>
        <v>7.8003120124805481E-3</v>
      </c>
    </row>
    <row r="283" spans="1:5" x14ac:dyDescent="0.3">
      <c r="A283" s="3" vm="523">
        <f ca="1"/>
        <v>42150</v>
      </c>
      <c r="B283" s="3" vm="1366">
        <f ca="1"/>
        <v>16.195</v>
      </c>
      <c r="D283" s="10" vm="1564">
        <f ca="1"/>
        <v>18010.676500000001</v>
      </c>
      <c r="E283" s="13">
        <f t="shared" ca="1" si="5"/>
        <v>2.7863777089784936E-3</v>
      </c>
    </row>
    <row r="284" spans="1:5" x14ac:dyDescent="0.3">
      <c r="A284" s="3" vm="524">
        <f ca="1"/>
        <v>42156</v>
      </c>
      <c r="B284" s="3" vm="1565">
        <f ca="1"/>
        <v>16.465</v>
      </c>
      <c r="D284" s="10" vm="1566">
        <f ca="1"/>
        <v>17849.458200000001</v>
      </c>
      <c r="E284" s="13">
        <f t="shared" ca="1" si="5"/>
        <v>1.6671812287743171E-2</v>
      </c>
    </row>
    <row r="285" spans="1:5" x14ac:dyDescent="0.3">
      <c r="A285" s="3" vm="525">
        <f ca="1"/>
        <v>42163</v>
      </c>
      <c r="B285" s="3" vm="1567">
        <f ca="1"/>
        <v>16.690000000000001</v>
      </c>
      <c r="D285" s="10" vm="1568">
        <f ca="1"/>
        <v>17898.838</v>
      </c>
      <c r="E285" s="13">
        <f t="shared" ca="1" si="5"/>
        <v>1.3665350744002547E-2</v>
      </c>
    </row>
    <row r="286" spans="1:5" x14ac:dyDescent="0.3">
      <c r="A286" s="3" vm="526">
        <f ca="1"/>
        <v>42170</v>
      </c>
      <c r="B286" s="3" vm="1569">
        <f ca="1"/>
        <v>16.77</v>
      </c>
      <c r="D286" s="10" vm="1570">
        <f ca="1"/>
        <v>18015.948199999999</v>
      </c>
      <c r="E286" s="13">
        <f t="shared" ca="1" si="5"/>
        <v>4.7932893948470223E-3</v>
      </c>
    </row>
    <row r="287" spans="1:5" x14ac:dyDescent="0.3">
      <c r="A287" s="3" vm="527">
        <f ca="1"/>
        <v>42177</v>
      </c>
      <c r="B287" s="3" vm="1547">
        <f ca="1"/>
        <v>16.565000000000001</v>
      </c>
      <c r="D287" s="10" vm="1571">
        <f ca="1"/>
        <v>17946.683000000001</v>
      </c>
      <c r="E287" s="13">
        <f t="shared" ca="1" si="5"/>
        <v>-1.222420989862838E-2</v>
      </c>
    </row>
    <row r="288" spans="1:5" x14ac:dyDescent="0.3">
      <c r="A288" s="3" vm="528">
        <f ca="1"/>
        <v>42184</v>
      </c>
      <c r="B288" s="3" vm="1547">
        <f ca="1"/>
        <v>16.565000000000001</v>
      </c>
      <c r="D288" s="10" vm="1572">
        <f ca="1"/>
        <v>17730.1132</v>
      </c>
      <c r="E288" s="13">
        <f t="shared" ca="1" si="5"/>
        <v>0</v>
      </c>
    </row>
    <row r="289" spans="1:5" x14ac:dyDescent="0.3">
      <c r="A289" s="3" vm="529">
        <f ca="1"/>
        <v>42191</v>
      </c>
      <c r="B289" s="3" vm="1573">
        <f ca="1"/>
        <v>16.824999999999999</v>
      </c>
      <c r="D289" s="10" vm="1574">
        <f ca="1"/>
        <v>17760.411700000001</v>
      </c>
      <c r="E289" s="13">
        <f t="shared" ca="1" si="5"/>
        <v>1.5695744038635606E-2</v>
      </c>
    </row>
    <row r="290" spans="1:5" x14ac:dyDescent="0.3">
      <c r="A290" s="3" vm="530">
        <f ca="1"/>
        <v>42198</v>
      </c>
      <c r="B290" s="3" vm="1575">
        <f ca="1"/>
        <v>17.145</v>
      </c>
      <c r="D290" s="10" vm="1576">
        <f ca="1"/>
        <v>18086.446499999998</v>
      </c>
      <c r="E290" s="13">
        <f t="shared" ca="1" si="5"/>
        <v>1.9019316493313454E-2</v>
      </c>
    </row>
    <row r="291" spans="1:5" x14ac:dyDescent="0.3">
      <c r="A291" s="3" vm="531">
        <f ca="1"/>
        <v>42205</v>
      </c>
      <c r="B291" s="3" vm="1567">
        <f ca="1"/>
        <v>16.690000000000001</v>
      </c>
      <c r="D291" s="10" vm="1577">
        <f ca="1"/>
        <v>17568.532200000001</v>
      </c>
      <c r="E291" s="13">
        <f t="shared" ca="1" si="5"/>
        <v>-2.6538349372994929E-2</v>
      </c>
    </row>
    <row r="292" spans="1:5" x14ac:dyDescent="0.3">
      <c r="A292" s="3" vm="532">
        <f ca="1"/>
        <v>42212</v>
      </c>
      <c r="B292" s="3" vm="1578">
        <f ca="1"/>
        <v>16.725000000000001</v>
      </c>
      <c r="D292" s="10" vm="1579">
        <f ca="1"/>
        <v>17689.859899999999</v>
      </c>
      <c r="E292" s="13">
        <f t="shared" ca="1" si="5"/>
        <v>2.0970641102455723E-3</v>
      </c>
    </row>
    <row r="293" spans="1:5" x14ac:dyDescent="0.3">
      <c r="A293" s="3" vm="533">
        <f ca="1"/>
        <v>42219</v>
      </c>
      <c r="B293" s="3" vm="1580">
        <f ca="1"/>
        <v>16.79</v>
      </c>
      <c r="D293" s="10" vm="1581">
        <f ca="1"/>
        <v>17373.379000000001</v>
      </c>
      <c r="E293" s="13">
        <f t="shared" ca="1" si="5"/>
        <v>3.8863976083705065E-3</v>
      </c>
    </row>
    <row r="294" spans="1:5" x14ac:dyDescent="0.3">
      <c r="A294" s="3" vm="534">
        <f ca="1"/>
        <v>42226</v>
      </c>
      <c r="B294" s="3" vm="1582">
        <f ca="1"/>
        <v>17.195</v>
      </c>
      <c r="D294" s="10" vm="1583">
        <f ca="1"/>
        <v>17477.4028</v>
      </c>
      <c r="E294" s="13">
        <f t="shared" ca="1" si="5"/>
        <v>2.4121500893389047E-2</v>
      </c>
    </row>
    <row r="295" spans="1:5" x14ac:dyDescent="0.3">
      <c r="A295" s="3" vm="535">
        <f ca="1"/>
        <v>42233</v>
      </c>
      <c r="B295" s="3" vm="1584">
        <f ca="1"/>
        <v>16.335000000000001</v>
      </c>
      <c r="D295" s="10" vm="1585">
        <f ca="1"/>
        <v>16459.7467</v>
      </c>
      <c r="E295" s="13">
        <f t="shared" ca="1" si="5"/>
        <v>-5.0014539110206369E-2</v>
      </c>
    </row>
    <row r="296" spans="1:5" x14ac:dyDescent="0.3">
      <c r="A296" s="3" vm="536">
        <f ca="1"/>
        <v>42240</v>
      </c>
      <c r="B296" s="3" vm="1366">
        <f ca="1"/>
        <v>16.195</v>
      </c>
      <c r="D296" s="10" vm="1586">
        <f ca="1"/>
        <v>16643.007600000001</v>
      </c>
      <c r="E296" s="13">
        <f t="shared" ca="1" si="5"/>
        <v>-8.5705540250995416E-3</v>
      </c>
    </row>
    <row r="297" spans="1:5" x14ac:dyDescent="0.3">
      <c r="A297" s="3" vm="537">
        <f ca="1"/>
        <v>42247</v>
      </c>
      <c r="B297" s="3" vm="1388">
        <f ca="1"/>
        <v>15.57</v>
      </c>
      <c r="D297" s="10" vm="1587">
        <f ca="1"/>
        <v>16102.3778</v>
      </c>
      <c r="E297" s="13">
        <f t="shared" ca="1" si="5"/>
        <v>-3.8592158073479488E-2</v>
      </c>
    </row>
    <row r="298" spans="1:5" x14ac:dyDescent="0.3">
      <c r="A298" s="3" vm="538">
        <f ca="1"/>
        <v>42255</v>
      </c>
      <c r="B298" s="3" vm="1588">
        <f ca="1"/>
        <v>15.895</v>
      </c>
      <c r="D298" s="10" vm="1589">
        <f ca="1"/>
        <v>16433.0893</v>
      </c>
      <c r="E298" s="13">
        <f t="shared" ca="1" si="5"/>
        <v>2.0873474630699995E-2</v>
      </c>
    </row>
    <row r="299" spans="1:5" x14ac:dyDescent="0.3">
      <c r="A299" s="3" vm="539">
        <f ca="1"/>
        <v>42261</v>
      </c>
      <c r="B299" s="3" vm="1590">
        <f ca="1"/>
        <v>15.695</v>
      </c>
      <c r="D299" s="10" vm="1591">
        <f ca="1"/>
        <v>16384.584900000002</v>
      </c>
      <c r="E299" s="13">
        <f t="shared" ca="1" si="5"/>
        <v>-1.2582573136206365E-2</v>
      </c>
    </row>
    <row r="300" spans="1:5" x14ac:dyDescent="0.3">
      <c r="A300" s="3" vm="540">
        <f ca="1"/>
        <v>42268</v>
      </c>
      <c r="B300" s="3" vm="1592">
        <f ca="1"/>
        <v>15.64</v>
      </c>
      <c r="D300" s="10" vm="1593">
        <f ca="1"/>
        <v>16314.6679</v>
      </c>
      <c r="E300" s="13">
        <f t="shared" ca="1" si="5"/>
        <v>-3.504300732717458E-3</v>
      </c>
    </row>
    <row r="301" spans="1:5" x14ac:dyDescent="0.3">
      <c r="A301" s="3" vm="541">
        <f ca="1"/>
        <v>42275</v>
      </c>
      <c r="B301" s="3" vm="1594">
        <f ca="1"/>
        <v>15.545</v>
      </c>
      <c r="D301" s="10" vm="1595">
        <f ca="1"/>
        <v>16472.373800000001</v>
      </c>
      <c r="E301" s="13">
        <f t="shared" ca="1" si="5"/>
        <v>-6.0741687979539716E-3</v>
      </c>
    </row>
    <row r="302" spans="1:5" x14ac:dyDescent="0.3">
      <c r="A302" s="3" vm="542">
        <f ca="1"/>
        <v>42282</v>
      </c>
      <c r="B302" s="3" vm="1596">
        <f ca="1"/>
        <v>15.984999999999999</v>
      </c>
      <c r="D302" s="10" vm="1597">
        <f ca="1"/>
        <v>17084.4908</v>
      </c>
      <c r="E302" s="13">
        <f t="shared" ca="1" si="5"/>
        <v>2.8304921196526278E-2</v>
      </c>
    </row>
    <row r="303" spans="1:5" x14ac:dyDescent="0.3">
      <c r="A303" s="3" vm="1598">
        <f ca="1"/>
        <v>42289</v>
      </c>
      <c r="B303" s="3" vm="1348">
        <f ca="1"/>
        <v>15.66</v>
      </c>
      <c r="D303" s="10" vm="1599">
        <f ca="1"/>
        <v>17215.973699999999</v>
      </c>
      <c r="E303" s="13">
        <f t="shared" ca="1" si="5"/>
        <v>-2.03315608382858E-2</v>
      </c>
    </row>
    <row r="304" spans="1:5" x14ac:dyDescent="0.3">
      <c r="A304" s="3" vm="1600">
        <f ca="1"/>
        <v>42296</v>
      </c>
      <c r="B304" s="3" vm="1561">
        <f ca="1"/>
        <v>16.024999999999999</v>
      </c>
      <c r="D304" s="10" vm="1601">
        <f ca="1"/>
        <v>17646.700400000002</v>
      </c>
      <c r="E304" s="13">
        <f t="shared" ca="1" si="5"/>
        <v>2.3307790549169649E-2</v>
      </c>
    </row>
    <row r="305" spans="1:5" x14ac:dyDescent="0.3">
      <c r="A305" s="3" vm="1602">
        <f ca="1"/>
        <v>42303</v>
      </c>
      <c r="B305" s="3" vm="1362">
        <f ca="1"/>
        <v>16.135000000000002</v>
      </c>
      <c r="D305" s="10" vm="1603">
        <f ca="1"/>
        <v>17663.536599999999</v>
      </c>
      <c r="E305" s="13">
        <f t="shared" ca="1" si="5"/>
        <v>6.8642745709830422E-3</v>
      </c>
    </row>
    <row r="306" spans="1:5" x14ac:dyDescent="0.3">
      <c r="A306" s="3" vm="543">
        <f ca="1"/>
        <v>42310</v>
      </c>
      <c r="B306" s="3" vm="1535">
        <f ca="1"/>
        <v>16.055</v>
      </c>
      <c r="D306" s="10" vm="1604">
        <f ca="1"/>
        <v>17910.334299999999</v>
      </c>
      <c r="E306" s="13">
        <f t="shared" ca="1" si="5"/>
        <v>-4.9581654787729246E-3</v>
      </c>
    </row>
    <row r="307" spans="1:5" x14ac:dyDescent="0.3">
      <c r="A307" s="3" vm="544">
        <f ca="1"/>
        <v>42317</v>
      </c>
      <c r="B307" s="3" vm="1605">
        <f ca="1"/>
        <v>15.67</v>
      </c>
      <c r="D307" s="10" vm="1606">
        <f ca="1"/>
        <v>17245.2366</v>
      </c>
      <c r="E307" s="13">
        <f t="shared" ca="1" si="5"/>
        <v>-2.3980068514481423E-2</v>
      </c>
    </row>
    <row r="308" spans="1:5" x14ac:dyDescent="0.3">
      <c r="A308" s="3" vm="545">
        <f ca="1"/>
        <v>42324</v>
      </c>
      <c r="B308" s="3" vm="1607">
        <f ca="1"/>
        <v>16.29</v>
      </c>
      <c r="D308" s="10" vm="1608">
        <f ca="1"/>
        <v>17823.8148</v>
      </c>
      <c r="E308" s="13">
        <f t="shared" ca="1" si="5"/>
        <v>3.9566049776643242E-2</v>
      </c>
    </row>
    <row r="309" spans="1:5" x14ac:dyDescent="0.3">
      <c r="A309" s="3" vm="546">
        <f ca="1"/>
        <v>42331</v>
      </c>
      <c r="B309" s="3" vm="1609">
        <f ca="1"/>
        <v>16.2</v>
      </c>
      <c r="D309" s="10" vm="1610">
        <f ca="1"/>
        <v>17798.493699999999</v>
      </c>
      <c r="E309" s="13">
        <f t="shared" ca="1" si="5"/>
        <v>-5.5248618784530246E-3</v>
      </c>
    </row>
    <row r="310" spans="1:5" x14ac:dyDescent="0.3">
      <c r="A310" s="3" vm="547">
        <f ca="1"/>
        <v>42338</v>
      </c>
      <c r="B310" s="3" vm="1611">
        <f ca="1"/>
        <v>16.510000000000002</v>
      </c>
      <c r="D310" s="10" vm="1612">
        <f ca="1"/>
        <v>17847.632699999998</v>
      </c>
      <c r="E310" s="13">
        <f t="shared" ca="1" si="5"/>
        <v>1.9135802469135932E-2</v>
      </c>
    </row>
    <row r="311" spans="1:5" x14ac:dyDescent="0.3">
      <c r="A311" s="3" vm="548">
        <f ca="1"/>
        <v>42345</v>
      </c>
      <c r="B311" s="3" vm="1613">
        <f ca="1"/>
        <v>16.010000000000002</v>
      </c>
      <c r="D311" s="10" vm="1614">
        <f ca="1"/>
        <v>17265.213</v>
      </c>
      <c r="E311" s="13">
        <f t="shared" ca="1" si="5"/>
        <v>-3.0284675953967333E-2</v>
      </c>
    </row>
    <row r="312" spans="1:5" x14ac:dyDescent="0.3">
      <c r="A312" s="3" vm="549">
        <f ca="1"/>
        <v>42352</v>
      </c>
      <c r="B312" s="3" vm="1615">
        <f ca="1"/>
        <v>15.625</v>
      </c>
      <c r="D312" s="10" vm="1616">
        <f ca="1"/>
        <v>17128.552299999999</v>
      </c>
      <c r="E312" s="13">
        <f t="shared" ca="1" si="5"/>
        <v>-2.4047470331043153E-2</v>
      </c>
    </row>
    <row r="313" spans="1:5" x14ac:dyDescent="0.3">
      <c r="A313" s="3" vm="550">
        <f ca="1"/>
        <v>42359</v>
      </c>
      <c r="B313" s="3" vm="1617">
        <f ca="1"/>
        <v>16.04</v>
      </c>
      <c r="D313" s="10" vm="1618">
        <f ca="1"/>
        <v>17552.167700000002</v>
      </c>
      <c r="E313" s="13">
        <f t="shared" ca="1" si="5"/>
        <v>2.6559999999999917E-2</v>
      </c>
    </row>
    <row r="314" spans="1:5" x14ac:dyDescent="0.3">
      <c r="A314" s="3" vm="551">
        <f ca="1"/>
        <v>42366</v>
      </c>
      <c r="B314" s="3" vm="1619">
        <f ca="1"/>
        <v>16.05</v>
      </c>
      <c r="D314" s="10" vm="1620">
        <f ca="1"/>
        <v>17425.028699999999</v>
      </c>
      <c r="E314" s="13">
        <f t="shared" ca="1" si="5"/>
        <v>6.2344139650871711E-4</v>
      </c>
    </row>
    <row r="315" spans="1:5" x14ac:dyDescent="0.3">
      <c r="A315" s="3" vm="552">
        <f ca="1"/>
        <v>42373</v>
      </c>
      <c r="B315" s="3" vm="1621">
        <f ca="1"/>
        <v>15.1</v>
      </c>
      <c r="D315" s="10" vm="1622">
        <f ca="1"/>
        <v>16346.453</v>
      </c>
      <c r="E315" s="13">
        <f t="shared" ca="1" si="5"/>
        <v>-5.9190031152648093E-2</v>
      </c>
    </row>
    <row r="316" spans="1:5" x14ac:dyDescent="0.3">
      <c r="A316" s="3" vm="553">
        <f ca="1"/>
        <v>42380</v>
      </c>
      <c r="B316" s="3" vm="1623">
        <f ca="1"/>
        <v>14.935</v>
      </c>
      <c r="D316" s="10" vm="1624">
        <f ca="1"/>
        <v>15988.080599999999</v>
      </c>
      <c r="E316" s="13">
        <f t="shared" ca="1" si="5"/>
        <v>-1.0927152317880773E-2</v>
      </c>
    </row>
    <row r="317" spans="1:5" x14ac:dyDescent="0.3">
      <c r="A317" s="3" vm="554">
        <f ca="1"/>
        <v>42388</v>
      </c>
      <c r="B317" s="3" vm="1625">
        <f ca="1"/>
        <v>14.7</v>
      </c>
      <c r="D317" s="10" vm="1626">
        <f ca="1"/>
        <v>16093.510399999999</v>
      </c>
      <c r="E317" s="13">
        <f t="shared" ca="1" si="5"/>
        <v>-1.5734851021091512E-2</v>
      </c>
    </row>
    <row r="318" spans="1:5" x14ac:dyDescent="0.3">
      <c r="A318" s="3" vm="555">
        <f ca="1"/>
        <v>42394</v>
      </c>
      <c r="B318" s="3" vm="1627">
        <f ca="1"/>
        <v>15.125</v>
      </c>
      <c r="D318" s="10" vm="1628">
        <f ca="1"/>
        <v>16466.298599999998</v>
      </c>
      <c r="E318" s="13">
        <f t="shared" ca="1" si="5"/>
        <v>2.8911564625850428E-2</v>
      </c>
    </row>
    <row r="319" spans="1:5" x14ac:dyDescent="0.3">
      <c r="A319" s="3" vm="556">
        <f ca="1"/>
        <v>42401</v>
      </c>
      <c r="B319" s="3" vm="1629">
        <f ca="1"/>
        <v>15.75</v>
      </c>
      <c r="D319" s="10" vm="1630">
        <f ca="1"/>
        <v>16204.9668</v>
      </c>
      <c r="E319" s="13">
        <f t="shared" ca="1" si="5"/>
        <v>4.1322314049586861E-2</v>
      </c>
    </row>
    <row r="320" spans="1:5" x14ac:dyDescent="0.3">
      <c r="A320" s="3" vm="557">
        <f ca="1"/>
        <v>42408</v>
      </c>
      <c r="B320" s="3" vm="1408">
        <f ca="1"/>
        <v>15.685</v>
      </c>
      <c r="D320" s="10" vm="1631">
        <f ca="1"/>
        <v>15973.8361</v>
      </c>
      <c r="E320" s="13">
        <f t="shared" ca="1" si="5"/>
        <v>-4.1269841269840901E-3</v>
      </c>
    </row>
    <row r="321" spans="1:5" x14ac:dyDescent="0.3">
      <c r="A321" s="3" vm="558">
        <f ca="1"/>
        <v>42416</v>
      </c>
      <c r="B321" s="3" vm="1501">
        <f ca="1"/>
        <v>15.74</v>
      </c>
      <c r="D321" s="10" vm="1632">
        <f ca="1"/>
        <v>16391.994299999998</v>
      </c>
      <c r="E321" s="13">
        <f t="shared" ca="1" si="5"/>
        <v>3.5065349059610895E-3</v>
      </c>
    </row>
    <row r="322" spans="1:5" x14ac:dyDescent="0.3">
      <c r="A322" s="3" vm="559">
        <f ca="1"/>
        <v>42422</v>
      </c>
      <c r="B322" s="3" vm="1633">
        <f ca="1"/>
        <v>16.225000000000001</v>
      </c>
      <c r="D322" s="10" vm="1634">
        <f ca="1"/>
        <v>16639.9719</v>
      </c>
      <c r="E322" s="13">
        <f t="shared" ca="1" si="5"/>
        <v>3.0813214739517258E-2</v>
      </c>
    </row>
    <row r="323" spans="1:5" x14ac:dyDescent="0.3">
      <c r="A323" s="3" vm="560">
        <f ca="1"/>
        <v>42429</v>
      </c>
      <c r="B323" s="3" vm="1635">
        <f ca="1"/>
        <v>16.815000000000001</v>
      </c>
      <c r="D323" s="10" vm="1636">
        <f ca="1"/>
        <v>17006.7677</v>
      </c>
      <c r="E323" s="13">
        <f t="shared" ca="1" si="5"/>
        <v>3.6363636363636376E-2</v>
      </c>
    </row>
    <row r="324" spans="1:5" x14ac:dyDescent="0.3">
      <c r="A324" s="3" vm="561">
        <f ca="1"/>
        <v>42436</v>
      </c>
      <c r="B324" s="3" vm="1637">
        <f ca="1"/>
        <v>17.18</v>
      </c>
      <c r="D324" s="10" vm="1638">
        <f ca="1"/>
        <v>17213.312999999998</v>
      </c>
      <c r="E324" s="13">
        <f t="shared" ca="1" si="5"/>
        <v>2.1706809396372151E-2</v>
      </c>
    </row>
    <row r="325" spans="1:5" x14ac:dyDescent="0.3">
      <c r="A325" s="3" vm="562">
        <f ca="1"/>
        <v>42443</v>
      </c>
      <c r="B325" s="3" vm="1639">
        <f ca="1"/>
        <v>17.600000000000001</v>
      </c>
      <c r="D325" s="10" vm="1640">
        <f ca="1"/>
        <v>17602.297399999999</v>
      </c>
      <c r="E325" s="13">
        <f t="shared" ca="1" si="5"/>
        <v>2.4447031431897637E-2</v>
      </c>
    </row>
    <row r="326" spans="1:5" x14ac:dyDescent="0.3">
      <c r="A326" s="3" vm="563">
        <f ca="1"/>
        <v>42450</v>
      </c>
      <c r="B326" s="3" vm="1641">
        <f ca="1"/>
        <v>17.61</v>
      </c>
      <c r="D326" s="10" vm="1642">
        <f ca="1"/>
        <v>17515.7346</v>
      </c>
      <c r="E326" s="13">
        <f t="shared" ca="1" si="5"/>
        <v>5.6818181818174551E-4</v>
      </c>
    </row>
    <row r="327" spans="1:5" x14ac:dyDescent="0.3">
      <c r="A327" s="3" vm="564">
        <f ca="1"/>
        <v>42457</v>
      </c>
      <c r="B327" s="3" vm="1643">
        <f ca="1"/>
        <v>17.805</v>
      </c>
      <c r="D327" s="10" vm="1644">
        <f ca="1"/>
        <v>17792.749</v>
      </c>
      <c r="E327" s="13">
        <f t="shared" ca="1" si="5"/>
        <v>1.1073253833049357E-2</v>
      </c>
    </row>
    <row r="328" spans="1:5" x14ac:dyDescent="0.3">
      <c r="A328" s="3" vm="565">
        <f ca="1"/>
        <v>42464</v>
      </c>
      <c r="B328" s="3" vm="1645">
        <f ca="1"/>
        <v>17.32</v>
      </c>
      <c r="D328" s="10" vm="1646">
        <f ca="1"/>
        <v>17576.958600000002</v>
      </c>
      <c r="E328" s="13">
        <f t="shared" ca="1" si="5"/>
        <v>-2.7239539455209183E-2</v>
      </c>
    </row>
    <row r="329" spans="1:5" x14ac:dyDescent="0.3">
      <c r="A329" s="3" vm="566">
        <f ca="1"/>
        <v>42471</v>
      </c>
      <c r="B329" s="3" vm="1647">
        <f ca="1"/>
        <v>17.760000000000002</v>
      </c>
      <c r="D329" s="10" vm="1648">
        <f ca="1"/>
        <v>17897.459800000001</v>
      </c>
      <c r="E329" s="13">
        <f t="shared" ref="E329:E392" ca="1" si="6">IF(B329&gt;0,B329/B328-1,"")</f>
        <v>2.5404157043879882E-2</v>
      </c>
    </row>
    <row r="330" spans="1:5" x14ac:dyDescent="0.3">
      <c r="A330" s="3" vm="567">
        <f ca="1"/>
        <v>42478</v>
      </c>
      <c r="B330" s="3" vm="1649">
        <f ca="1"/>
        <v>17.344999999999999</v>
      </c>
      <c r="D330" s="10" vm="1650">
        <f ca="1"/>
        <v>18003.745699999999</v>
      </c>
      <c r="E330" s="13">
        <f t="shared" ca="1" si="6"/>
        <v>-2.3367117117117253E-2</v>
      </c>
    </row>
    <row r="331" spans="1:5" x14ac:dyDescent="0.3">
      <c r="A331" s="3" vm="568">
        <f ca="1"/>
        <v>42485</v>
      </c>
      <c r="B331" s="3" vm="1651">
        <f ca="1"/>
        <v>17.555</v>
      </c>
      <c r="D331" s="10" vm="1652">
        <f ca="1"/>
        <v>17773.642199999998</v>
      </c>
      <c r="E331" s="13">
        <f t="shared" ca="1" si="6"/>
        <v>1.2107235514557502E-2</v>
      </c>
    </row>
    <row r="332" spans="1:5" x14ac:dyDescent="0.3">
      <c r="A332" s="3" vm="569">
        <f ca="1"/>
        <v>42492</v>
      </c>
      <c r="B332" s="3" vm="1653">
        <f ca="1"/>
        <v>17.445</v>
      </c>
      <c r="D332" s="10" vm="1654">
        <f ca="1"/>
        <v>17740.633399999999</v>
      </c>
      <c r="E332" s="13">
        <f t="shared" ca="1" si="6"/>
        <v>-6.2660210766163349E-3</v>
      </c>
    </row>
    <row r="333" spans="1:5" x14ac:dyDescent="0.3">
      <c r="A333" s="3" vm="570">
        <f ca="1"/>
        <v>42499</v>
      </c>
      <c r="B333" s="3" vm="1655">
        <f ca="1"/>
        <v>17.565000000000001</v>
      </c>
      <c r="D333" s="10" vm="1656">
        <f ca="1"/>
        <v>17535.320800000001</v>
      </c>
      <c r="E333" s="13">
        <f t="shared" ca="1" si="6"/>
        <v>6.8787618228718372E-3</v>
      </c>
    </row>
    <row r="334" spans="1:5" x14ac:dyDescent="0.3">
      <c r="A334" s="3" vm="571">
        <f ca="1"/>
        <v>42506</v>
      </c>
      <c r="B334" s="3" vm="1639">
        <f ca="1"/>
        <v>17.600000000000001</v>
      </c>
      <c r="D334" s="10" vm="1657">
        <f ca="1"/>
        <v>17500.942299999999</v>
      </c>
      <c r="E334" s="13">
        <f t="shared" ca="1" si="6"/>
        <v>1.9925989183033899E-3</v>
      </c>
    </row>
    <row r="335" spans="1:5" x14ac:dyDescent="0.3">
      <c r="A335" s="3" vm="572">
        <f ca="1"/>
        <v>42513</v>
      </c>
      <c r="B335" s="3" vm="1658">
        <f ca="1"/>
        <v>17.984999999999999</v>
      </c>
      <c r="D335" s="10" vm="1659">
        <f ca="1"/>
        <v>17873.216799999998</v>
      </c>
      <c r="E335" s="13">
        <f t="shared" ca="1" si="6"/>
        <v>2.1874999999999867E-2</v>
      </c>
    </row>
    <row r="336" spans="1:5" x14ac:dyDescent="0.3">
      <c r="A336" s="3" vm="573">
        <f ca="1"/>
        <v>42521</v>
      </c>
      <c r="B336" s="3" vm="1660">
        <f ca="1"/>
        <v>17.989999999999998</v>
      </c>
      <c r="D336" s="10" vm="1661">
        <f ca="1"/>
        <v>17807.062000000002</v>
      </c>
      <c r="E336" s="13">
        <f t="shared" ca="1" si="6"/>
        <v>2.7800945232137053E-4</v>
      </c>
    </row>
    <row r="337" spans="1:5" x14ac:dyDescent="0.3">
      <c r="A337" s="3" vm="574">
        <f ca="1"/>
        <v>42527</v>
      </c>
      <c r="B337" s="3" vm="1662">
        <f ca="1"/>
        <v>18.204999999999998</v>
      </c>
      <c r="D337" s="10" vm="1663">
        <f ca="1"/>
        <v>17865.341199999999</v>
      </c>
      <c r="E337" s="13">
        <f t="shared" ca="1" si="6"/>
        <v>1.1951083935519691E-2</v>
      </c>
    </row>
    <row r="338" spans="1:5" x14ac:dyDescent="0.3">
      <c r="A338" s="3" vm="575">
        <f ca="1"/>
        <v>42534</v>
      </c>
      <c r="B338" s="3" vm="1643">
        <f ca="1"/>
        <v>17.805</v>
      </c>
      <c r="D338" s="10" vm="1664">
        <f ca="1"/>
        <v>17675.163400000001</v>
      </c>
      <c r="E338" s="13">
        <f t="shared" ca="1" si="6"/>
        <v>-2.1971985718209242E-2</v>
      </c>
    </row>
    <row r="339" spans="1:5" x14ac:dyDescent="0.3">
      <c r="A339" s="3" vm="576">
        <f ca="1"/>
        <v>42541</v>
      </c>
      <c r="B339" s="3" vm="1643">
        <f ca="1"/>
        <v>17.805</v>
      </c>
      <c r="D339" s="10" vm="1665">
        <f ca="1"/>
        <v>17400.751400000001</v>
      </c>
      <c r="E339" s="13">
        <f t="shared" ca="1" si="6"/>
        <v>0</v>
      </c>
    </row>
    <row r="340" spans="1:5" x14ac:dyDescent="0.3">
      <c r="A340" s="3" vm="577">
        <f ca="1"/>
        <v>42548</v>
      </c>
      <c r="B340" s="3" vm="1666">
        <f ca="1"/>
        <v>18.55</v>
      </c>
      <c r="D340" s="10" vm="1667">
        <f ca="1"/>
        <v>17949.3701</v>
      </c>
      <c r="E340" s="13">
        <f t="shared" ca="1" si="6"/>
        <v>4.1842179163156468E-2</v>
      </c>
    </row>
    <row r="341" spans="1:5" x14ac:dyDescent="0.3">
      <c r="A341" s="3" vm="578">
        <f ca="1"/>
        <v>42556</v>
      </c>
      <c r="B341" s="3" vm="1668">
        <f ca="1"/>
        <v>18.670000000000002</v>
      </c>
      <c r="D341" s="10" vm="1669">
        <f ca="1"/>
        <v>18146.738499999999</v>
      </c>
      <c r="E341" s="13">
        <f t="shared" ca="1" si="6"/>
        <v>6.4690026954179469E-3</v>
      </c>
    </row>
    <row r="342" spans="1:5" x14ac:dyDescent="0.3">
      <c r="A342" s="3" vm="579">
        <f ca="1"/>
        <v>42562</v>
      </c>
      <c r="B342" s="3" vm="1670">
        <f ca="1"/>
        <v>18.02</v>
      </c>
      <c r="D342" s="10" vm="1671">
        <f ca="1"/>
        <v>18516.547699999999</v>
      </c>
      <c r="E342" s="13">
        <f t="shared" ca="1" si="6"/>
        <v>-3.4815211569362736E-2</v>
      </c>
    </row>
    <row r="343" spans="1:5" x14ac:dyDescent="0.3">
      <c r="A343" s="3" vm="580">
        <f ca="1"/>
        <v>42569</v>
      </c>
      <c r="B343" s="3" vm="1672">
        <f ca="1"/>
        <v>18.535</v>
      </c>
      <c r="D343" s="10" vm="1673">
        <f ca="1"/>
        <v>18570.854800000001</v>
      </c>
      <c r="E343" s="13">
        <f t="shared" ca="1" si="6"/>
        <v>2.8579356270810319E-2</v>
      </c>
    </row>
    <row r="344" spans="1:5" x14ac:dyDescent="0.3">
      <c r="A344" s="3" vm="581">
        <f ca="1"/>
        <v>42576</v>
      </c>
      <c r="B344" s="3" vm="1674">
        <f ca="1"/>
        <v>18.329999999999998</v>
      </c>
      <c r="D344" s="10" vm="1675">
        <f ca="1"/>
        <v>18432.244900000002</v>
      </c>
      <c r="E344" s="13">
        <f t="shared" ca="1" si="6"/>
        <v>-1.1060156460749981E-2</v>
      </c>
    </row>
    <row r="345" spans="1:5" x14ac:dyDescent="0.3">
      <c r="A345" s="3" vm="582">
        <f ca="1"/>
        <v>42583</v>
      </c>
      <c r="B345" s="3" vm="1676">
        <f ca="1"/>
        <v>18.425000000000001</v>
      </c>
      <c r="D345" s="10" vm="1677">
        <f ca="1"/>
        <v>18543.53</v>
      </c>
      <c r="E345" s="13">
        <f t="shared" ca="1" si="6"/>
        <v>5.1827605019094669E-3</v>
      </c>
    </row>
    <row r="346" spans="1:5" x14ac:dyDescent="0.3">
      <c r="A346" s="3" vm="583">
        <f ca="1"/>
        <v>42590</v>
      </c>
      <c r="B346" s="3" vm="1678">
        <f ca="1"/>
        <v>18.254999999999999</v>
      </c>
      <c r="D346" s="10" vm="1679">
        <f ca="1"/>
        <v>18576.470399999998</v>
      </c>
      <c r="E346" s="13">
        <f t="shared" ca="1" si="6"/>
        <v>-9.2265943012213025E-3</v>
      </c>
    </row>
    <row r="347" spans="1:5" x14ac:dyDescent="0.3">
      <c r="A347" s="3" vm="584">
        <f ca="1"/>
        <v>42597</v>
      </c>
      <c r="B347" s="3" vm="1680">
        <f ca="1"/>
        <v>18.285</v>
      </c>
      <c r="D347" s="10" vm="1681">
        <f ca="1"/>
        <v>18552.569800000001</v>
      </c>
      <c r="E347" s="13">
        <f t="shared" ca="1" si="6"/>
        <v>1.6433853738702098E-3</v>
      </c>
    </row>
    <row r="348" spans="1:5" x14ac:dyDescent="0.3">
      <c r="A348" s="3" vm="585">
        <f ca="1"/>
        <v>42604</v>
      </c>
      <c r="B348" s="3" vm="1682">
        <f ca="1"/>
        <v>18.440000000000001</v>
      </c>
      <c r="D348" s="10" vm="1683">
        <f ca="1"/>
        <v>18395.400900000001</v>
      </c>
      <c r="E348" s="13">
        <f t="shared" ca="1" si="6"/>
        <v>8.4768936286574448E-3</v>
      </c>
    </row>
    <row r="349" spans="1:5" x14ac:dyDescent="0.3">
      <c r="A349" s="3" vm="586">
        <f ca="1"/>
        <v>42611</v>
      </c>
      <c r="B349" s="3" vm="1684">
        <f ca="1"/>
        <v>19</v>
      </c>
      <c r="D349" s="10" vm="1685">
        <f ca="1"/>
        <v>18491.962200000002</v>
      </c>
      <c r="E349" s="13">
        <f t="shared" ca="1" si="6"/>
        <v>3.0368763557483636E-2</v>
      </c>
    </row>
    <row r="350" spans="1:5" x14ac:dyDescent="0.3">
      <c r="A350" s="3" vm="587">
        <f ca="1"/>
        <v>42619</v>
      </c>
      <c r="B350" s="3" vm="1686">
        <f ca="1"/>
        <v>18.414999999999999</v>
      </c>
      <c r="D350" s="10" vm="1687">
        <f ca="1"/>
        <v>18085.446100000001</v>
      </c>
      <c r="E350" s="13">
        <f t="shared" ca="1" si="6"/>
        <v>-3.0789473684210589E-2</v>
      </c>
    </row>
    <row r="351" spans="1:5" x14ac:dyDescent="0.3">
      <c r="A351" s="3" vm="588">
        <f ca="1"/>
        <v>42625</v>
      </c>
      <c r="B351" s="3" vm="1688">
        <f ca="1"/>
        <v>18.47</v>
      </c>
      <c r="D351" s="10" vm="1689">
        <f ca="1"/>
        <v>18123.796699999999</v>
      </c>
      <c r="E351" s="13">
        <f t="shared" ca="1" si="6"/>
        <v>2.9866956285635737E-3</v>
      </c>
    </row>
    <row r="352" spans="1:5" x14ac:dyDescent="0.3">
      <c r="A352" s="3" vm="589">
        <f ca="1"/>
        <v>42632</v>
      </c>
      <c r="B352" s="3" vm="1690">
        <f ca="1"/>
        <v>18.745000000000001</v>
      </c>
      <c r="D352" s="10" vm="1691">
        <f ca="1"/>
        <v>18261.447899999999</v>
      </c>
      <c r="E352" s="13">
        <f t="shared" ca="1" si="6"/>
        <v>1.4889009204114956E-2</v>
      </c>
    </row>
    <row r="353" spans="1:5" x14ac:dyDescent="0.3">
      <c r="A353" s="3" vm="590">
        <f ca="1"/>
        <v>42639</v>
      </c>
      <c r="B353" s="3" vm="1692">
        <f ca="1"/>
        <v>18.855</v>
      </c>
      <c r="D353" s="10" vm="1693">
        <f ca="1"/>
        <v>18308.153399999999</v>
      </c>
      <c r="E353" s="13">
        <f t="shared" ca="1" si="6"/>
        <v>5.8682315284075415E-3</v>
      </c>
    </row>
    <row r="354" spans="1:5" x14ac:dyDescent="0.3">
      <c r="A354" s="3" vm="591">
        <f ca="1"/>
        <v>42646</v>
      </c>
      <c r="B354" s="3" vm="1694">
        <f ca="1"/>
        <v>19.105</v>
      </c>
      <c r="D354" s="10" vm="1695">
        <f ca="1"/>
        <v>18240.491999999998</v>
      </c>
      <c r="E354" s="13">
        <f t="shared" ca="1" si="6"/>
        <v>1.3259082471492878E-2</v>
      </c>
    </row>
    <row r="355" spans="1:5" x14ac:dyDescent="0.3">
      <c r="A355" s="3" vm="592">
        <f ca="1"/>
        <v>42653</v>
      </c>
      <c r="B355" s="3" vm="1696">
        <f ca="1"/>
        <v>18.72</v>
      </c>
      <c r="D355" s="10" vm="1697">
        <f ca="1"/>
        <v>18138.383600000001</v>
      </c>
      <c r="E355" s="13">
        <f t="shared" ca="1" si="6"/>
        <v>-2.0151792724417805E-2</v>
      </c>
    </row>
    <row r="356" spans="1:5" x14ac:dyDescent="0.3">
      <c r="A356" s="3" vm="593">
        <f ca="1"/>
        <v>42660</v>
      </c>
      <c r="B356" s="3" vm="1698">
        <f ca="1"/>
        <v>18.809999999999999</v>
      </c>
      <c r="D356" s="10" vm="1699">
        <f ca="1"/>
        <v>18145.711299999999</v>
      </c>
      <c r="E356" s="13">
        <f t="shared" ca="1" si="6"/>
        <v>4.8076923076922906E-3</v>
      </c>
    </row>
    <row r="357" spans="1:5" x14ac:dyDescent="0.3">
      <c r="A357" s="3" vm="594">
        <f ca="1"/>
        <v>42667</v>
      </c>
      <c r="B357" s="3" vm="1700">
        <f ca="1"/>
        <v>18.38</v>
      </c>
      <c r="D357" s="10" vm="1701">
        <f ca="1"/>
        <v>18161.1885</v>
      </c>
      <c r="E357" s="13">
        <f t="shared" ca="1" si="6"/>
        <v>-2.2860180754917581E-2</v>
      </c>
    </row>
    <row r="358" spans="1:5" x14ac:dyDescent="0.3">
      <c r="A358" s="3" vm="595">
        <f ca="1"/>
        <v>42674</v>
      </c>
      <c r="B358" s="3" vm="1702">
        <f ca="1"/>
        <v>18.14</v>
      </c>
      <c r="D358" s="10" vm="1703">
        <f ca="1"/>
        <v>17888.283100000001</v>
      </c>
      <c r="E358" s="13">
        <f t="shared" ca="1" si="6"/>
        <v>-1.3057671381936808E-2</v>
      </c>
    </row>
    <row r="359" spans="1:5" x14ac:dyDescent="0.3">
      <c r="A359" s="3" vm="596">
        <f ca="1"/>
        <v>42681</v>
      </c>
      <c r="B359" s="3" vm="1704">
        <f ca="1"/>
        <v>19.574999999999999</v>
      </c>
      <c r="D359" s="10" vm="1705">
        <f ca="1"/>
        <v>18847.663799999998</v>
      </c>
      <c r="E359" s="13">
        <f t="shared" ca="1" si="6"/>
        <v>7.9106945975744081E-2</v>
      </c>
    </row>
    <row r="360" spans="1:5" x14ac:dyDescent="0.3">
      <c r="A360" s="3" vm="597">
        <f ca="1"/>
        <v>42688</v>
      </c>
      <c r="B360" s="3" vm="1706">
        <f ca="1"/>
        <v>21.17</v>
      </c>
      <c r="D360" s="10" vm="1707">
        <f ca="1"/>
        <v>18867.934799999999</v>
      </c>
      <c r="E360" s="13">
        <f t="shared" ca="1" si="6"/>
        <v>8.148148148148171E-2</v>
      </c>
    </row>
    <row r="361" spans="1:5" x14ac:dyDescent="0.3">
      <c r="A361" s="3" vm="598">
        <f ca="1"/>
        <v>42695</v>
      </c>
      <c r="B361" s="3" vm="1708">
        <f ca="1"/>
        <v>21.59</v>
      </c>
      <c r="D361" s="10" vm="1709">
        <f ca="1"/>
        <v>19152.139899999998</v>
      </c>
      <c r="E361" s="13">
        <f t="shared" ca="1" si="6"/>
        <v>1.9839395370807589E-2</v>
      </c>
    </row>
    <row r="362" spans="1:5" x14ac:dyDescent="0.3">
      <c r="A362" s="3" vm="599">
        <f ca="1"/>
        <v>42702</v>
      </c>
      <c r="B362" s="3" vm="1710">
        <f ca="1"/>
        <v>21.61</v>
      </c>
      <c r="D362" s="10" vm="1711">
        <f ca="1"/>
        <v>19170.424999999999</v>
      </c>
      <c r="E362" s="13">
        <f t="shared" ca="1" si="6"/>
        <v>9.2635479388603059E-4</v>
      </c>
    </row>
    <row r="363" spans="1:5" x14ac:dyDescent="0.3">
      <c r="A363" s="3" vm="600">
        <f ca="1"/>
        <v>42709</v>
      </c>
      <c r="B363" s="3" vm="1712">
        <f ca="1"/>
        <v>22.21</v>
      </c>
      <c r="D363" s="10" vm="1713">
        <f ca="1"/>
        <v>19756.846300000001</v>
      </c>
      <c r="E363" s="13">
        <f t="shared" ca="1" si="6"/>
        <v>2.7764923646460105E-2</v>
      </c>
    </row>
    <row r="364" spans="1:5" x14ac:dyDescent="0.3">
      <c r="A364" s="3" vm="601">
        <f ca="1"/>
        <v>42716</v>
      </c>
      <c r="B364" s="3" vm="1714">
        <f ca="1"/>
        <v>22.44</v>
      </c>
      <c r="D364" s="10" vm="1715">
        <f ca="1"/>
        <v>19843.409</v>
      </c>
      <c r="E364" s="13">
        <f t="shared" ca="1" si="6"/>
        <v>1.0355695632597861E-2</v>
      </c>
    </row>
    <row r="365" spans="1:5" x14ac:dyDescent="0.3">
      <c r="A365" s="3" vm="602">
        <f ca="1"/>
        <v>42723</v>
      </c>
      <c r="B365" s="3" vm="1716">
        <f ca="1"/>
        <v>22.445</v>
      </c>
      <c r="D365" s="10" vm="1717">
        <f ca="1"/>
        <v>19933.806799999998</v>
      </c>
      <c r="E365" s="13">
        <f t="shared" ca="1" si="6"/>
        <v>2.2281639928700692E-4</v>
      </c>
    </row>
    <row r="366" spans="1:5" x14ac:dyDescent="0.3">
      <c r="A366" s="3" vm="603">
        <f ca="1"/>
        <v>42731</v>
      </c>
      <c r="B366" s="3" vm="1718">
        <f ca="1"/>
        <v>22.43</v>
      </c>
      <c r="D366" s="10" vm="1719">
        <f ca="1"/>
        <v>19762.598900000001</v>
      </c>
      <c r="E366" s="13">
        <f t="shared" ca="1" si="6"/>
        <v>-6.6830028959685706E-4</v>
      </c>
    </row>
    <row r="367" spans="1:5" x14ac:dyDescent="0.3">
      <c r="A367" s="3" vm="604">
        <f ca="1"/>
        <v>42738</v>
      </c>
      <c r="B367" s="3" vm="1720">
        <f ca="1"/>
        <v>22.454999999999998</v>
      </c>
      <c r="D367" s="10" vm="1721">
        <f ca="1"/>
        <v>19963.802500000002</v>
      </c>
      <c r="E367" s="13">
        <f t="shared" ca="1" si="6"/>
        <v>1.1145786892554632E-3</v>
      </c>
    </row>
    <row r="368" spans="1:5" x14ac:dyDescent="0.3">
      <c r="A368" s="3" vm="605">
        <f ca="1"/>
        <v>42744</v>
      </c>
      <c r="B368" s="3" vm="1722">
        <f ca="1"/>
        <v>22.13</v>
      </c>
      <c r="D368" s="10" vm="1723">
        <f ca="1"/>
        <v>19885.731599999999</v>
      </c>
      <c r="E368" s="13">
        <f t="shared" ca="1" si="6"/>
        <v>-1.4473391226898169E-2</v>
      </c>
    </row>
    <row r="369" spans="1:5" x14ac:dyDescent="0.3">
      <c r="A369" s="3" vm="606">
        <f ca="1"/>
        <v>42752</v>
      </c>
      <c r="B369" s="3" vm="1724">
        <f ca="1"/>
        <v>21.914999999999999</v>
      </c>
      <c r="D369" s="10" vm="1725">
        <f ca="1"/>
        <v>19827.246999999999</v>
      </c>
      <c r="E369" s="13">
        <f t="shared" ca="1" si="6"/>
        <v>-9.7153185720740831E-3</v>
      </c>
    </row>
    <row r="370" spans="1:5" x14ac:dyDescent="0.3">
      <c r="A370" s="3" vm="607">
        <f ca="1"/>
        <v>42758</v>
      </c>
      <c r="B370" s="3" vm="1726">
        <f ca="1"/>
        <v>21.63</v>
      </c>
      <c r="D370" s="10" vm="1727">
        <f ca="1"/>
        <v>20093.783500000001</v>
      </c>
      <c r="E370" s="13">
        <f t="shared" ca="1" si="6"/>
        <v>-1.3004791238877433E-2</v>
      </c>
    </row>
    <row r="371" spans="1:5" x14ac:dyDescent="0.3">
      <c r="A371" s="3" vm="608">
        <f ca="1"/>
        <v>42765</v>
      </c>
      <c r="B371" s="3" vm="1728">
        <f ca="1"/>
        <v>21.265000000000001</v>
      </c>
      <c r="D371" s="10" vm="1729">
        <f ca="1"/>
        <v>20071.457999999999</v>
      </c>
      <c r="E371" s="13">
        <f t="shared" ca="1" si="6"/>
        <v>-1.687471104946825E-2</v>
      </c>
    </row>
    <row r="372" spans="1:5" x14ac:dyDescent="0.3">
      <c r="A372" s="3" vm="609">
        <f ca="1"/>
        <v>42772</v>
      </c>
      <c r="B372" s="3" vm="1730">
        <f ca="1"/>
        <v>21.49</v>
      </c>
      <c r="D372" s="10" vm="1731">
        <f ca="1"/>
        <v>20269.374400000001</v>
      </c>
      <c r="E372" s="13">
        <f t="shared" ca="1" si="6"/>
        <v>1.0580766517751972E-2</v>
      </c>
    </row>
    <row r="373" spans="1:5" x14ac:dyDescent="0.3">
      <c r="A373" s="3" vm="610">
        <f ca="1"/>
        <v>42779</v>
      </c>
      <c r="B373" s="3" vm="1732">
        <f ca="1"/>
        <v>21.934999999999999</v>
      </c>
      <c r="D373" s="10" vm="1733">
        <f ca="1"/>
        <v>20624.048699999999</v>
      </c>
      <c r="E373" s="13">
        <f t="shared" ca="1" si="6"/>
        <v>2.0707305723592473E-2</v>
      </c>
    </row>
    <row r="374" spans="1:5" x14ac:dyDescent="0.3">
      <c r="A374" s="3" vm="611">
        <f ca="1"/>
        <v>42787</v>
      </c>
      <c r="B374" s="3" vm="1734">
        <f ca="1"/>
        <v>21.71</v>
      </c>
      <c r="D374" s="10" vm="1735">
        <f ca="1"/>
        <v>20821.759600000001</v>
      </c>
      <c r="E374" s="13">
        <f t="shared" ca="1" si="6"/>
        <v>-1.0257579211305989E-2</v>
      </c>
    </row>
    <row r="375" spans="1:5" x14ac:dyDescent="0.3">
      <c r="A375" s="3" vm="612">
        <f ca="1"/>
        <v>42793</v>
      </c>
      <c r="B375" s="3" vm="1736">
        <f ca="1"/>
        <v>21.8</v>
      </c>
      <c r="D375" s="10" vm="1737">
        <f ca="1"/>
        <v>21005.705399999999</v>
      </c>
      <c r="E375" s="13">
        <f t="shared" ca="1" si="6"/>
        <v>4.1455550437585753E-3</v>
      </c>
    </row>
    <row r="376" spans="1:5" x14ac:dyDescent="0.3">
      <c r="A376" s="3" vm="613">
        <f ca="1"/>
        <v>42800</v>
      </c>
      <c r="B376" s="3" vm="1738">
        <f ca="1"/>
        <v>21.605</v>
      </c>
      <c r="D376" s="10" vm="1739">
        <f ca="1"/>
        <v>20902.980599999999</v>
      </c>
      <c r="E376" s="13">
        <f t="shared" ca="1" si="6"/>
        <v>-8.9449541284404299E-3</v>
      </c>
    </row>
    <row r="377" spans="1:5" x14ac:dyDescent="0.3">
      <c r="A377" s="3" vm="614">
        <f ca="1"/>
        <v>42807</v>
      </c>
      <c r="B377" s="3" vm="1740">
        <f ca="1"/>
        <v>21.88</v>
      </c>
      <c r="D377" s="10" vm="1741">
        <f ca="1"/>
        <v>20914.622800000001</v>
      </c>
      <c r="E377" s="13">
        <f t="shared" ca="1" si="6"/>
        <v>1.2728535061328428E-2</v>
      </c>
    </row>
    <row r="378" spans="1:5" x14ac:dyDescent="0.3">
      <c r="A378" s="3" vm="615">
        <f ca="1"/>
        <v>42814</v>
      </c>
      <c r="B378" s="3" vm="1742">
        <f ca="1"/>
        <v>21.305</v>
      </c>
      <c r="D378" s="10" vm="1743">
        <f ca="1"/>
        <v>20596.723900000001</v>
      </c>
      <c r="E378" s="13">
        <f t="shared" ca="1" si="6"/>
        <v>-2.6279707495429627E-2</v>
      </c>
    </row>
    <row r="379" spans="1:5" x14ac:dyDescent="0.3">
      <c r="A379" s="3" vm="616">
        <f ca="1"/>
        <v>42821</v>
      </c>
      <c r="B379" s="3" vm="1744">
        <f ca="1"/>
        <v>20.86</v>
      </c>
      <c r="D379" s="10" vm="1745">
        <f ca="1"/>
        <v>20663.221099999999</v>
      </c>
      <c r="E379" s="13">
        <f t="shared" ca="1" si="6"/>
        <v>-2.0887115700539804E-2</v>
      </c>
    </row>
    <row r="380" spans="1:5" x14ac:dyDescent="0.3">
      <c r="A380" s="3" vm="617">
        <f ca="1"/>
        <v>42828</v>
      </c>
      <c r="B380" s="3" vm="1746">
        <f ca="1"/>
        <v>20.905000000000001</v>
      </c>
      <c r="D380" s="10" vm="1747">
        <f ca="1"/>
        <v>20656.0988</v>
      </c>
      <c r="E380" s="13">
        <f t="shared" ca="1" si="6"/>
        <v>2.157238734419975E-3</v>
      </c>
    </row>
    <row r="381" spans="1:5" x14ac:dyDescent="0.3">
      <c r="A381" s="3" vm="618">
        <f ca="1"/>
        <v>42835</v>
      </c>
      <c r="B381" s="3" vm="1748">
        <f ca="1"/>
        <v>20.66</v>
      </c>
      <c r="D381" s="10" vm="1749">
        <f ca="1"/>
        <v>20453.251700000001</v>
      </c>
      <c r="E381" s="13">
        <f t="shared" ca="1" si="6"/>
        <v>-1.1719684286055965E-2</v>
      </c>
    </row>
    <row r="382" spans="1:5" x14ac:dyDescent="0.3">
      <c r="A382" s="3" vm="619">
        <f ca="1"/>
        <v>42842</v>
      </c>
      <c r="B382" s="3" vm="1750">
        <f ca="1"/>
        <v>21.25</v>
      </c>
      <c r="D382" s="10" vm="1751">
        <f ca="1"/>
        <v>20547.758399999999</v>
      </c>
      <c r="E382" s="13">
        <f t="shared" ca="1" si="6"/>
        <v>2.8557599225556674E-2</v>
      </c>
    </row>
    <row r="383" spans="1:5" x14ac:dyDescent="0.3">
      <c r="A383" s="3" vm="620">
        <f ca="1"/>
        <v>42849</v>
      </c>
      <c r="B383" s="3" vm="1752">
        <f ca="1"/>
        <v>21.45</v>
      </c>
      <c r="D383" s="10" vm="1753">
        <f ca="1"/>
        <v>20940.509399999999</v>
      </c>
      <c r="E383" s="13">
        <f t="shared" ca="1" si="6"/>
        <v>9.4117647058822307E-3</v>
      </c>
    </row>
    <row r="384" spans="1:5" x14ac:dyDescent="0.3">
      <c r="A384" s="3" vm="621">
        <f ca="1"/>
        <v>42856</v>
      </c>
      <c r="B384" s="3" vm="1754">
        <f ca="1"/>
        <v>21.54</v>
      </c>
      <c r="D384" s="10" vm="1755">
        <f ca="1"/>
        <v>21006.938099999999</v>
      </c>
      <c r="E384" s="13">
        <f t="shared" ca="1" si="6"/>
        <v>4.1958041958041203E-3</v>
      </c>
    </row>
    <row r="385" spans="1:5" x14ac:dyDescent="0.3">
      <c r="A385" s="3" vm="622">
        <f ca="1"/>
        <v>42863</v>
      </c>
      <c r="B385" s="3" vm="1756">
        <f ca="1"/>
        <v>21.145</v>
      </c>
      <c r="D385" s="10" vm="1757">
        <f ca="1"/>
        <v>20896.611700000001</v>
      </c>
      <c r="E385" s="13">
        <f t="shared" ca="1" si="6"/>
        <v>-1.8337975858867206E-2</v>
      </c>
    </row>
    <row r="386" spans="1:5" x14ac:dyDescent="0.3">
      <c r="A386" s="3" vm="623">
        <f ca="1"/>
        <v>42870</v>
      </c>
      <c r="B386" s="3" vm="1758">
        <f ca="1"/>
        <v>21.035</v>
      </c>
      <c r="D386" s="10" vm="1759">
        <f ca="1"/>
        <v>20804.8442</v>
      </c>
      <c r="E386" s="13">
        <f t="shared" ca="1" si="6"/>
        <v>-5.2021754551903054E-3</v>
      </c>
    </row>
    <row r="387" spans="1:5" x14ac:dyDescent="0.3">
      <c r="A387" s="3" vm="624">
        <f ca="1"/>
        <v>42877</v>
      </c>
      <c r="B387" s="3" vm="1760">
        <f ca="1"/>
        <v>21.434999999999999</v>
      </c>
      <c r="D387" s="10" vm="1761">
        <f ca="1"/>
        <v>21080.283599999999</v>
      </c>
      <c r="E387" s="13">
        <f t="shared" ca="1" si="6"/>
        <v>1.9015925837889247E-2</v>
      </c>
    </row>
    <row r="388" spans="1:5" x14ac:dyDescent="0.3">
      <c r="A388" s="3" vm="625">
        <f ca="1"/>
        <v>42885</v>
      </c>
      <c r="B388" s="3" vm="1762">
        <f ca="1"/>
        <v>21.905000000000001</v>
      </c>
      <c r="D388" s="10" vm="1763">
        <f ca="1"/>
        <v>21206.292600000001</v>
      </c>
      <c r="E388" s="13">
        <f t="shared" ca="1" si="6"/>
        <v>2.1926755306741486E-2</v>
      </c>
    </row>
    <row r="389" spans="1:5" x14ac:dyDescent="0.3">
      <c r="A389" s="3" vm="626">
        <f ca="1"/>
        <v>42891</v>
      </c>
      <c r="B389" s="3" vm="1764">
        <f ca="1"/>
        <v>21.925000000000001</v>
      </c>
      <c r="D389" s="10" vm="1765">
        <f ca="1"/>
        <v>21271.9679</v>
      </c>
      <c r="E389" s="13">
        <f t="shared" ca="1" si="6"/>
        <v>9.1303355398308916E-4</v>
      </c>
    </row>
    <row r="390" spans="1:5" x14ac:dyDescent="0.3">
      <c r="A390" s="3" vm="627">
        <f ca="1"/>
        <v>42898</v>
      </c>
      <c r="B390" s="3" vm="1766">
        <f ca="1"/>
        <v>22.164999999999999</v>
      </c>
      <c r="D390" s="10" vm="1767">
        <f ca="1"/>
        <v>21384.280299999999</v>
      </c>
      <c r="E390" s="13">
        <f t="shared" ca="1" si="6"/>
        <v>1.094640820980608E-2</v>
      </c>
    </row>
    <row r="391" spans="1:5" x14ac:dyDescent="0.3">
      <c r="A391" s="3" vm="628">
        <f ca="1"/>
        <v>42905</v>
      </c>
      <c r="B391" s="3" vm="1768">
        <f ca="1"/>
        <v>21.465</v>
      </c>
      <c r="D391" s="10" vm="1769">
        <f ca="1"/>
        <v>21394.758300000001</v>
      </c>
      <c r="E391" s="13">
        <f t="shared" ca="1" si="6"/>
        <v>-3.1581321903902504E-2</v>
      </c>
    </row>
    <row r="392" spans="1:5" x14ac:dyDescent="0.3">
      <c r="A392" s="3" vm="629">
        <f ca="1"/>
        <v>42912</v>
      </c>
      <c r="B392" s="3" vm="1770">
        <f ca="1"/>
        <v>21.535</v>
      </c>
      <c r="D392" s="10" vm="1771">
        <f ca="1"/>
        <v>21349.627899999999</v>
      </c>
      <c r="E392" s="13">
        <f t="shared" ca="1" si="6"/>
        <v>3.2611227579781854E-3</v>
      </c>
    </row>
    <row r="393" spans="1:5" x14ac:dyDescent="0.3">
      <c r="A393" s="3" vm="630">
        <f ca="1"/>
        <v>42919</v>
      </c>
      <c r="B393" s="3" vm="1772">
        <f ca="1"/>
        <v>21.58</v>
      </c>
      <c r="D393" s="10" vm="1773">
        <f ca="1"/>
        <v>21414.344499999999</v>
      </c>
      <c r="E393" s="13">
        <f t="shared" ref="E393:E456" ca="1" si="7">IF(B393&gt;0,B393/B392-1,"")</f>
        <v>2.0896215463197532E-3</v>
      </c>
    </row>
    <row r="394" spans="1:5" x14ac:dyDescent="0.3">
      <c r="A394" s="3" vm="631">
        <f ca="1"/>
        <v>42926</v>
      </c>
      <c r="B394" s="3" vm="1774">
        <f ca="1"/>
        <v>21.65</v>
      </c>
      <c r="D394" s="10" vm="1775">
        <f ca="1"/>
        <v>21637.7366</v>
      </c>
      <c r="E394" s="13">
        <f t="shared" ca="1" si="7"/>
        <v>3.2437442075996525E-3</v>
      </c>
    </row>
    <row r="395" spans="1:5" x14ac:dyDescent="0.3">
      <c r="A395" s="3" vm="632">
        <f ca="1"/>
        <v>42933</v>
      </c>
      <c r="B395" s="3" vm="1776">
        <f ca="1"/>
        <v>22.035</v>
      </c>
      <c r="D395" s="10" vm="1777">
        <f ca="1"/>
        <v>21580.073700000001</v>
      </c>
      <c r="E395" s="13">
        <f t="shared" ca="1" si="7"/>
        <v>1.7782909930716073E-2</v>
      </c>
    </row>
    <row r="396" spans="1:5" x14ac:dyDescent="0.3">
      <c r="A396" s="3" vm="633">
        <f ca="1"/>
        <v>42940</v>
      </c>
      <c r="B396" s="3" vm="1778">
        <f ca="1"/>
        <v>22.29</v>
      </c>
      <c r="D396" s="10" vm="1779">
        <f ca="1"/>
        <v>21830.3112</v>
      </c>
      <c r="E396" s="13">
        <f t="shared" ca="1" si="7"/>
        <v>1.1572498298161982E-2</v>
      </c>
    </row>
    <row r="397" spans="1:5" x14ac:dyDescent="0.3">
      <c r="A397" s="3" vm="634">
        <f ca="1"/>
        <v>42947</v>
      </c>
      <c r="B397" s="3" vm="1780">
        <f ca="1"/>
        <v>22.03</v>
      </c>
      <c r="D397" s="10" vm="1781">
        <f ca="1"/>
        <v>22092.807199999999</v>
      </c>
      <c r="E397" s="13">
        <f t="shared" ca="1" si="7"/>
        <v>-1.1664423508299548E-2</v>
      </c>
    </row>
    <row r="398" spans="1:5" x14ac:dyDescent="0.3">
      <c r="A398" s="3" vm="635">
        <f ca="1"/>
        <v>42954</v>
      </c>
      <c r="B398" s="3" vm="1782">
        <f ca="1"/>
        <v>21.77</v>
      </c>
      <c r="D398" s="10" vm="1783">
        <f ca="1"/>
        <v>21858.320800000001</v>
      </c>
      <c r="E398" s="13">
        <f t="shared" ca="1" si="7"/>
        <v>-1.1802088061734106E-2</v>
      </c>
    </row>
    <row r="399" spans="1:5" x14ac:dyDescent="0.3">
      <c r="A399" s="3" vm="636">
        <f ca="1"/>
        <v>42961</v>
      </c>
      <c r="B399" s="3" vm="1784">
        <f ca="1"/>
        <v>21.815000000000001</v>
      </c>
      <c r="D399" s="10" vm="1785">
        <f ca="1"/>
        <v>21674.511999999999</v>
      </c>
      <c r="E399" s="13">
        <f t="shared" ca="1" si="7"/>
        <v>2.0670647680294252E-3</v>
      </c>
    </row>
    <row r="400" spans="1:5" x14ac:dyDescent="0.3">
      <c r="A400" s="3" vm="637">
        <f ca="1"/>
        <v>42968</v>
      </c>
      <c r="B400" s="3" vm="1786">
        <f ca="1"/>
        <v>22.145</v>
      </c>
      <c r="D400" s="10" vm="1787">
        <f ca="1"/>
        <v>21813.6698</v>
      </c>
      <c r="E400" s="13">
        <f t="shared" ca="1" si="7"/>
        <v>1.5127206050882247E-2</v>
      </c>
    </row>
    <row r="401" spans="1:5" x14ac:dyDescent="0.3">
      <c r="A401" s="3" vm="638">
        <f ca="1"/>
        <v>42975</v>
      </c>
      <c r="B401" s="3" vm="1788">
        <f ca="1"/>
        <v>22.524999999999999</v>
      </c>
      <c r="D401" s="10" vm="1789">
        <f ca="1"/>
        <v>21987.555899999999</v>
      </c>
      <c r="E401" s="13">
        <f t="shared" ca="1" si="7"/>
        <v>1.7159629713253466E-2</v>
      </c>
    </row>
    <row r="402" spans="1:5" x14ac:dyDescent="0.3">
      <c r="A402" s="3" vm="639">
        <f ca="1"/>
        <v>42983</v>
      </c>
      <c r="B402" s="3" vm="1790">
        <f ca="1"/>
        <v>24.065000000000001</v>
      </c>
      <c r="D402" s="10" vm="1791">
        <f ca="1"/>
        <v>21797.793099999999</v>
      </c>
      <c r="E402" s="13">
        <f t="shared" ca="1" si="7"/>
        <v>6.8368479467258769E-2</v>
      </c>
    </row>
    <row r="403" spans="1:5" x14ac:dyDescent="0.3">
      <c r="A403" s="3" vm="640">
        <f ca="1"/>
        <v>42989</v>
      </c>
      <c r="B403" s="3" vm="1792">
        <f ca="1"/>
        <v>23.21</v>
      </c>
      <c r="D403" s="10" vm="1793">
        <f ca="1"/>
        <v>22268.3442</v>
      </c>
      <c r="E403" s="13">
        <f t="shared" ca="1" si="7"/>
        <v>-3.5528776231040893E-2</v>
      </c>
    </row>
    <row r="404" spans="1:5" x14ac:dyDescent="0.3">
      <c r="A404" s="3" vm="641">
        <f ca="1"/>
        <v>42996</v>
      </c>
      <c r="B404" s="3" vm="1794">
        <f ca="1"/>
        <v>23.71</v>
      </c>
      <c r="D404" s="10" vm="1795">
        <f ca="1"/>
        <v>22349.592400000001</v>
      </c>
      <c r="E404" s="13">
        <f t="shared" ca="1" si="7"/>
        <v>2.1542438604049918E-2</v>
      </c>
    </row>
    <row r="405" spans="1:5" x14ac:dyDescent="0.3">
      <c r="A405" s="3" vm="642">
        <f ca="1"/>
        <v>43003</v>
      </c>
      <c r="B405" s="3" vm="1796">
        <f ca="1"/>
        <v>24.094999999999999</v>
      </c>
      <c r="D405" s="10" vm="1797">
        <f ca="1"/>
        <v>22405.089</v>
      </c>
      <c r="E405" s="13">
        <f t="shared" ca="1" si="7"/>
        <v>1.6237874314635192E-2</v>
      </c>
    </row>
    <row r="406" spans="1:5" x14ac:dyDescent="0.3">
      <c r="A406" s="3" vm="643">
        <f ca="1"/>
        <v>43010</v>
      </c>
      <c r="B406" s="3" vm="1798">
        <f ca="1"/>
        <v>24.364999999999998</v>
      </c>
      <c r="D406" s="10" vm="1799">
        <f ca="1"/>
        <v>22773.666700000002</v>
      </c>
      <c r="E406" s="13">
        <f t="shared" ca="1" si="7"/>
        <v>1.1205644324548736E-2</v>
      </c>
    </row>
    <row r="407" spans="1:5" x14ac:dyDescent="0.3">
      <c r="A407" s="3" vm="644">
        <f ca="1"/>
        <v>43017</v>
      </c>
      <c r="B407" s="3" vm="1800">
        <f ca="1"/>
        <v>24.695</v>
      </c>
      <c r="D407" s="10" vm="1801">
        <f ca="1"/>
        <v>22871.715400000001</v>
      </c>
      <c r="E407" s="13">
        <f t="shared" ca="1" si="7"/>
        <v>1.3544018058690765E-2</v>
      </c>
    </row>
    <row r="408" spans="1:5" x14ac:dyDescent="0.3">
      <c r="A408" s="3" vm="645">
        <f ca="1"/>
        <v>43024</v>
      </c>
      <c r="B408" s="3" vm="1802">
        <f ca="1"/>
        <v>24.66</v>
      </c>
      <c r="D408" s="10" vm="1803">
        <f ca="1"/>
        <v>23328.633300000001</v>
      </c>
      <c r="E408" s="13">
        <f t="shared" ca="1" si="7"/>
        <v>-1.4172909495849817E-3</v>
      </c>
    </row>
    <row r="409" spans="1:5" x14ac:dyDescent="0.3">
      <c r="A409" s="3" vm="646">
        <f ca="1"/>
        <v>43031</v>
      </c>
      <c r="B409" s="3" vm="1804">
        <f ca="1"/>
        <v>24.84</v>
      </c>
      <c r="D409" s="10" vm="1805">
        <f ca="1"/>
        <v>23434.187099999999</v>
      </c>
      <c r="E409" s="13">
        <f t="shared" ca="1" si="7"/>
        <v>7.2992700729925808E-3</v>
      </c>
    </row>
    <row r="410" spans="1:5" x14ac:dyDescent="0.3">
      <c r="A410" s="3" vm="647">
        <f ca="1"/>
        <v>43038</v>
      </c>
      <c r="B410" s="3" vm="1806">
        <f ca="1"/>
        <v>25.195</v>
      </c>
      <c r="D410" s="10" vm="1807">
        <f ca="1"/>
        <v>23539.1901</v>
      </c>
      <c r="E410" s="13">
        <f t="shared" ca="1" si="7"/>
        <v>1.4291465378421853E-2</v>
      </c>
    </row>
    <row r="411" spans="1:5" x14ac:dyDescent="0.3">
      <c r="A411" s="3" vm="648">
        <f ca="1"/>
        <v>43045</v>
      </c>
      <c r="B411" s="3" vm="1808">
        <f ca="1"/>
        <v>24.74</v>
      </c>
      <c r="D411" s="10" vm="1809">
        <f ca="1"/>
        <v>23422.2065</v>
      </c>
      <c r="E411" s="13">
        <f t="shared" ca="1" si="7"/>
        <v>-1.805913871799969E-2</v>
      </c>
    </row>
    <row r="412" spans="1:5" x14ac:dyDescent="0.3">
      <c r="A412" s="3" vm="649">
        <f ca="1"/>
        <v>43052</v>
      </c>
      <c r="B412" s="3" vm="1810">
        <f ca="1"/>
        <v>24.94</v>
      </c>
      <c r="D412" s="10" vm="1811">
        <f ca="1"/>
        <v>23358.240699999998</v>
      </c>
      <c r="E412" s="13">
        <f t="shared" ca="1" si="7"/>
        <v>8.0840743734844622E-3</v>
      </c>
    </row>
    <row r="413" spans="1:5" x14ac:dyDescent="0.3">
      <c r="A413" s="3" vm="650">
        <f ca="1"/>
        <v>43059</v>
      </c>
      <c r="B413" s="3" vm="1812">
        <f ca="1"/>
        <v>25.024999999999999</v>
      </c>
      <c r="D413" s="10" vm="1813">
        <f ca="1"/>
        <v>23557.987400000002</v>
      </c>
      <c r="E413" s="13">
        <f t="shared" ca="1" si="7"/>
        <v>3.4081796311145052E-3</v>
      </c>
    </row>
    <row r="414" spans="1:5" x14ac:dyDescent="0.3">
      <c r="A414" s="3" vm="651">
        <f ca="1"/>
        <v>43066</v>
      </c>
      <c r="B414" s="3" vm="1814">
        <f ca="1"/>
        <v>25.875</v>
      </c>
      <c r="D414" s="10" vm="1815">
        <f ca="1"/>
        <v>24231.590100000001</v>
      </c>
      <c r="E414" s="13">
        <f t="shared" ca="1" si="7"/>
        <v>3.3966033966033926E-2</v>
      </c>
    </row>
    <row r="415" spans="1:5" x14ac:dyDescent="0.3">
      <c r="A415" s="3" vm="652">
        <f ca="1"/>
        <v>43073</v>
      </c>
      <c r="B415" s="3" vm="1816">
        <f ca="1"/>
        <v>25.965</v>
      </c>
      <c r="D415" s="10" vm="1817">
        <f ca="1"/>
        <v>24329.156800000001</v>
      </c>
      <c r="E415" s="13">
        <f t="shared" ca="1" si="7"/>
        <v>3.4782608695651529E-3</v>
      </c>
    </row>
    <row r="416" spans="1:5" x14ac:dyDescent="0.3">
      <c r="A416" s="3" vm="653">
        <f ca="1"/>
        <v>43080</v>
      </c>
      <c r="B416" s="3" vm="1818">
        <f ca="1"/>
        <v>25.59</v>
      </c>
      <c r="D416" s="10" vm="1819">
        <f ca="1"/>
        <v>24651.739699999998</v>
      </c>
      <c r="E416" s="13">
        <f t="shared" ca="1" si="7"/>
        <v>-1.444251877527436E-2</v>
      </c>
    </row>
    <row r="417" spans="1:5" x14ac:dyDescent="0.3">
      <c r="A417" s="3" vm="654">
        <f ca="1"/>
        <v>43087</v>
      </c>
      <c r="B417" s="3" vm="1820">
        <f ca="1"/>
        <v>25.555</v>
      </c>
      <c r="D417" s="10" vm="1821">
        <f ca="1"/>
        <v>24754.057400000002</v>
      </c>
      <c r="E417" s="13">
        <f t="shared" ca="1" si="7"/>
        <v>-1.3677217663149444E-3</v>
      </c>
    </row>
    <row r="418" spans="1:5" x14ac:dyDescent="0.3">
      <c r="A418" s="3" vm="655">
        <f ca="1"/>
        <v>43095</v>
      </c>
      <c r="B418" s="3" vm="1822">
        <f ca="1"/>
        <v>25.73</v>
      </c>
      <c r="D418" s="10" vm="1823">
        <f ca="1"/>
        <v>24719.217100000002</v>
      </c>
      <c r="E418" s="13">
        <f t="shared" ca="1" si="7"/>
        <v>6.8479749559773317E-3</v>
      </c>
    </row>
    <row r="419" spans="1:5" x14ac:dyDescent="0.3">
      <c r="A419" s="3" vm="656">
        <f ca="1"/>
        <v>43102</v>
      </c>
      <c r="B419" s="3" vm="1824">
        <f ca="1"/>
        <v>26.145</v>
      </c>
      <c r="D419" s="10" vm="1825">
        <f ca="1"/>
        <v>25295.872800000001</v>
      </c>
      <c r="E419" s="13">
        <f t="shared" ca="1" si="7"/>
        <v>1.6129032258064502E-2</v>
      </c>
    </row>
    <row r="420" spans="1:5" x14ac:dyDescent="0.3">
      <c r="A420" s="3" vm="657">
        <f ca="1"/>
        <v>43108</v>
      </c>
      <c r="B420" s="3" vm="1826">
        <f ca="1"/>
        <v>26.21</v>
      </c>
      <c r="D420" s="10" vm="1827">
        <f ca="1"/>
        <v>25803.1921</v>
      </c>
      <c r="E420" s="13">
        <f t="shared" ca="1" si="7"/>
        <v>2.4861350162554974E-3</v>
      </c>
    </row>
    <row r="421" spans="1:5" x14ac:dyDescent="0.3">
      <c r="A421" s="3" vm="658">
        <f ca="1"/>
        <v>43116</v>
      </c>
      <c r="B421" s="3" vm="1828">
        <f ca="1"/>
        <v>26.25</v>
      </c>
      <c r="D421" s="10" vm="1829">
        <f ca="1"/>
        <v>26071.724399999999</v>
      </c>
      <c r="E421" s="13">
        <f t="shared" ca="1" si="7"/>
        <v>1.5261350629529602E-3</v>
      </c>
    </row>
    <row r="422" spans="1:5" x14ac:dyDescent="0.3">
      <c r="A422" s="3" vm="659">
        <f ca="1"/>
        <v>43122</v>
      </c>
      <c r="B422" s="3" vm="1830">
        <f ca="1"/>
        <v>26.885000000000002</v>
      </c>
      <c r="D422" s="10" vm="1831">
        <f ca="1"/>
        <v>26616.7071</v>
      </c>
      <c r="E422" s="13">
        <f t="shared" ca="1" si="7"/>
        <v>2.4190476190476318E-2</v>
      </c>
    </row>
    <row r="423" spans="1:5" x14ac:dyDescent="0.3">
      <c r="A423" s="3" vm="660">
        <f ca="1"/>
        <v>43129</v>
      </c>
      <c r="B423" s="3" vm="1832">
        <f ca="1"/>
        <v>26.49</v>
      </c>
      <c r="D423" s="10" vm="1833">
        <f ca="1"/>
        <v>25520.957900000001</v>
      </c>
      <c r="E423" s="13">
        <f t="shared" ca="1" si="7"/>
        <v>-1.4692207550678904E-2</v>
      </c>
    </row>
    <row r="424" spans="1:5" x14ac:dyDescent="0.3">
      <c r="A424" s="3" vm="661">
        <f ca="1"/>
        <v>43136</v>
      </c>
      <c r="B424" s="3" vm="1834">
        <f ca="1"/>
        <v>25.245000000000001</v>
      </c>
      <c r="D424" s="10" vm="1835">
        <f ca="1"/>
        <v>24190.897099999998</v>
      </c>
      <c r="E424" s="13">
        <f t="shared" ca="1" si="7"/>
        <v>-4.6998867497168639E-2</v>
      </c>
    </row>
    <row r="425" spans="1:5" x14ac:dyDescent="0.3">
      <c r="A425" s="3" vm="662">
        <f ca="1"/>
        <v>43143</v>
      </c>
      <c r="B425" s="3" vm="1836">
        <f ca="1"/>
        <v>26.35</v>
      </c>
      <c r="D425" s="10" vm="1837">
        <f ca="1"/>
        <v>25219.375499999998</v>
      </c>
      <c r="E425" s="13">
        <f t="shared" ca="1" si="7"/>
        <v>4.3771043771043683E-2</v>
      </c>
    </row>
    <row r="426" spans="1:5" x14ac:dyDescent="0.3">
      <c r="A426" s="3" vm="663">
        <f ca="1"/>
        <v>43151</v>
      </c>
      <c r="B426" s="3" vm="1838">
        <f ca="1"/>
        <v>26.44</v>
      </c>
      <c r="D426" s="10" vm="1839">
        <f ca="1"/>
        <v>25309.988000000001</v>
      </c>
      <c r="E426" s="13">
        <f t="shared" ca="1" si="7"/>
        <v>3.4155597722960174E-3</v>
      </c>
    </row>
    <row r="427" spans="1:5" x14ac:dyDescent="0.3">
      <c r="A427" s="3" vm="664">
        <f ca="1"/>
        <v>43157</v>
      </c>
      <c r="B427" s="3" vm="1840">
        <f ca="1"/>
        <v>26.135000000000002</v>
      </c>
      <c r="D427" s="10" vm="1841">
        <f ca="1"/>
        <v>24538.061099999999</v>
      </c>
      <c r="E427" s="13">
        <f t="shared" ca="1" si="7"/>
        <v>-1.1535552193645993E-2</v>
      </c>
    </row>
    <row r="428" spans="1:5" x14ac:dyDescent="0.3">
      <c r="A428" s="3" vm="665">
        <f ca="1"/>
        <v>43164</v>
      </c>
      <c r="B428" s="3" vm="1842">
        <f ca="1"/>
        <v>26.815000000000001</v>
      </c>
      <c r="D428" s="10" vm="1843">
        <f ca="1"/>
        <v>25335.7395</v>
      </c>
      <c r="E428" s="13">
        <f t="shared" ca="1" si="7"/>
        <v>2.6018748804285341E-2</v>
      </c>
    </row>
    <row r="429" spans="1:5" x14ac:dyDescent="0.3">
      <c r="A429" s="3" vm="666">
        <f ca="1"/>
        <v>43171</v>
      </c>
      <c r="B429" s="3" vm="1844">
        <f ca="1"/>
        <v>26.375</v>
      </c>
      <c r="D429" s="10" vm="1845">
        <f ca="1"/>
        <v>24946.505499999999</v>
      </c>
      <c r="E429" s="13">
        <f t="shared" ca="1" si="7"/>
        <v>-1.6408726459071432E-2</v>
      </c>
    </row>
    <row r="430" spans="1:5" x14ac:dyDescent="0.3">
      <c r="A430" s="3" vm="667">
        <f ca="1"/>
        <v>43178</v>
      </c>
      <c r="B430" s="3" vm="1846">
        <f ca="1"/>
        <v>24.97</v>
      </c>
      <c r="D430" s="10" vm="1847">
        <f ca="1"/>
        <v>23533.199799999999</v>
      </c>
      <c r="E430" s="13">
        <f t="shared" ca="1" si="7"/>
        <v>-5.3270142180094848E-2</v>
      </c>
    </row>
    <row r="431" spans="1:5" x14ac:dyDescent="0.3">
      <c r="A431" s="3" vm="668">
        <f ca="1"/>
        <v>43185</v>
      </c>
      <c r="B431" s="3" vm="1848">
        <f ca="1"/>
        <v>25.44</v>
      </c>
      <c r="D431" s="10" vm="1849">
        <f ca="1"/>
        <v>24103.107800000002</v>
      </c>
      <c r="E431" s="13">
        <f t="shared" ca="1" si="7"/>
        <v>1.8822587104525557E-2</v>
      </c>
    </row>
    <row r="432" spans="1:5" x14ac:dyDescent="0.3">
      <c r="A432" s="3" vm="669">
        <f ca="1"/>
        <v>43192</v>
      </c>
      <c r="B432" s="3" vm="1850">
        <f ca="1"/>
        <v>25.09</v>
      </c>
      <c r="D432" s="10" vm="1851">
        <f ca="1"/>
        <v>23932.761900000001</v>
      </c>
      <c r="E432" s="13">
        <f t="shared" ca="1" si="7"/>
        <v>-1.3757861635220192E-2</v>
      </c>
    </row>
    <row r="433" spans="1:5" x14ac:dyDescent="0.3">
      <c r="A433" s="3" vm="670">
        <f ca="1"/>
        <v>43199</v>
      </c>
      <c r="B433" s="3" vm="1852">
        <f ca="1"/>
        <v>25.72</v>
      </c>
      <c r="D433" s="10" vm="1853">
        <f ca="1"/>
        <v>24360.141299999999</v>
      </c>
      <c r="E433" s="13">
        <f t="shared" ca="1" si="7"/>
        <v>2.5109605420486236E-2</v>
      </c>
    </row>
    <row r="434" spans="1:5" x14ac:dyDescent="0.3">
      <c r="A434" s="3" vm="671">
        <f ca="1"/>
        <v>43206</v>
      </c>
      <c r="B434" s="3" vm="1854">
        <f ca="1"/>
        <v>25.95</v>
      </c>
      <c r="D434" s="10" vm="1855">
        <f ca="1"/>
        <v>24462.940900000001</v>
      </c>
      <c r="E434" s="13">
        <f t="shared" ca="1" si="7"/>
        <v>8.9424572317262641E-3</v>
      </c>
    </row>
    <row r="435" spans="1:5" x14ac:dyDescent="0.3">
      <c r="A435" s="3" vm="672">
        <f ca="1"/>
        <v>43213</v>
      </c>
      <c r="B435" s="3" vm="1856">
        <f ca="1"/>
        <v>27.73</v>
      </c>
      <c r="D435" s="10" vm="1857">
        <f ca="1"/>
        <v>24311.185799999999</v>
      </c>
      <c r="E435" s="13">
        <f t="shared" ca="1" si="7"/>
        <v>6.8593448940269752E-2</v>
      </c>
    </row>
    <row r="436" spans="1:5" x14ac:dyDescent="0.3">
      <c r="A436" s="3" vm="673">
        <f ca="1"/>
        <v>43220</v>
      </c>
      <c r="B436" s="3" vm="1858">
        <f ca="1"/>
        <v>27.51</v>
      </c>
      <c r="D436" s="10" vm="1859">
        <f ca="1"/>
        <v>24262.505700000002</v>
      </c>
      <c r="E436" s="13">
        <f t="shared" ca="1" si="7"/>
        <v>-7.933645870897954E-3</v>
      </c>
    </row>
    <row r="437" spans="1:5" x14ac:dyDescent="0.3">
      <c r="A437" s="3" vm="674">
        <f ca="1"/>
        <v>43227</v>
      </c>
      <c r="B437" s="3" vm="1860">
        <f ca="1"/>
        <v>27.45</v>
      </c>
      <c r="D437" s="10" vm="1861">
        <f ca="1"/>
        <v>24831.1744</v>
      </c>
      <c r="E437" s="13">
        <f t="shared" ca="1" si="7"/>
        <v>-2.1810250817885235E-3</v>
      </c>
    </row>
    <row r="438" spans="1:5" x14ac:dyDescent="0.3">
      <c r="A438" s="3" vm="675">
        <f ca="1"/>
        <v>43234</v>
      </c>
      <c r="B438" s="3" vm="1862">
        <f ca="1"/>
        <v>27.61</v>
      </c>
      <c r="D438" s="10" vm="1863">
        <f ca="1"/>
        <v>24715.085800000001</v>
      </c>
      <c r="E438" s="13">
        <f t="shared" ca="1" si="7"/>
        <v>5.8287795992713054E-3</v>
      </c>
    </row>
    <row r="439" spans="1:5" x14ac:dyDescent="0.3">
      <c r="A439" s="3" vm="676">
        <f ca="1"/>
        <v>43241</v>
      </c>
      <c r="B439" s="3" vm="1864">
        <f ca="1"/>
        <v>27.81</v>
      </c>
      <c r="D439" s="10" vm="1865">
        <f ca="1"/>
        <v>24753.093400000002</v>
      </c>
      <c r="E439" s="13">
        <f t="shared" ca="1" si="7"/>
        <v>7.243752263672576E-3</v>
      </c>
    </row>
    <row r="440" spans="1:5" x14ac:dyDescent="0.3">
      <c r="A440" s="3" vm="677">
        <f ca="1"/>
        <v>43249</v>
      </c>
      <c r="B440" s="3" vm="1866">
        <f ca="1"/>
        <v>28.04</v>
      </c>
      <c r="D440" s="10" vm="1867">
        <f ca="1"/>
        <v>24635.2147</v>
      </c>
      <c r="E440" s="13">
        <f t="shared" ca="1" si="7"/>
        <v>8.2704063286587193E-3</v>
      </c>
    </row>
    <row r="441" spans="1:5" x14ac:dyDescent="0.3">
      <c r="A441" s="3" vm="678">
        <f ca="1"/>
        <v>43255</v>
      </c>
      <c r="B441" s="3" vm="1868">
        <f ca="1"/>
        <v>28.48</v>
      </c>
      <c r="D441" s="10" vm="1869">
        <f ca="1"/>
        <v>25316.5291</v>
      </c>
      <c r="E441" s="13">
        <f t="shared" ca="1" si="7"/>
        <v>1.5691868758915817E-2</v>
      </c>
    </row>
    <row r="442" spans="1:5" x14ac:dyDescent="0.3">
      <c r="A442" s="3" vm="679">
        <f ca="1"/>
        <v>43262</v>
      </c>
      <c r="B442" s="3" vm="1870">
        <f ca="1"/>
        <v>28.26</v>
      </c>
      <c r="D442" s="10" vm="1871">
        <f ca="1"/>
        <v>25090.480100000001</v>
      </c>
      <c r="E442" s="13">
        <f t="shared" ca="1" si="7"/>
        <v>-7.7247191011236005E-3</v>
      </c>
    </row>
    <row r="443" spans="1:5" x14ac:dyDescent="0.3">
      <c r="A443" s="3" vm="680">
        <f ca="1"/>
        <v>43269</v>
      </c>
      <c r="B443" s="3" vm="1872">
        <f ca="1"/>
        <v>28.22</v>
      </c>
      <c r="D443" s="10" vm="1873">
        <f ca="1"/>
        <v>24580.888599999998</v>
      </c>
      <c r="E443" s="13">
        <f t="shared" ca="1" si="7"/>
        <v>-1.4154281670206714E-3</v>
      </c>
    </row>
    <row r="444" spans="1:5" x14ac:dyDescent="0.3">
      <c r="A444" s="3" vm="681">
        <f ca="1"/>
        <v>43276</v>
      </c>
      <c r="B444" s="3" vm="1856">
        <f ca="1"/>
        <v>27.73</v>
      </c>
      <c r="D444" s="10" vm="1874">
        <f ca="1"/>
        <v>24271.409899999999</v>
      </c>
      <c r="E444" s="13">
        <f t="shared" ca="1" si="7"/>
        <v>-1.7363571934797983E-2</v>
      </c>
    </row>
    <row r="445" spans="1:5" x14ac:dyDescent="0.3">
      <c r="A445" s="3" vm="682">
        <f ca="1"/>
        <v>43283</v>
      </c>
      <c r="B445" s="3" vm="1875">
        <f ca="1"/>
        <v>28.3</v>
      </c>
      <c r="D445" s="10" vm="1876">
        <f ca="1"/>
        <v>24456.484899999999</v>
      </c>
      <c r="E445" s="13">
        <f t="shared" ca="1" si="7"/>
        <v>2.0555355210962967E-2</v>
      </c>
    </row>
    <row r="446" spans="1:5" x14ac:dyDescent="0.3">
      <c r="A446" s="3" vm="683">
        <f ca="1"/>
        <v>43290</v>
      </c>
      <c r="B446" s="3" vm="1877">
        <f ca="1"/>
        <v>28.75</v>
      </c>
      <c r="D446" s="10" vm="1878">
        <f ca="1"/>
        <v>25019.405900000002</v>
      </c>
      <c r="E446" s="13">
        <f t="shared" ca="1" si="7"/>
        <v>1.5901060070671269E-2</v>
      </c>
    </row>
    <row r="447" spans="1:5" x14ac:dyDescent="0.3">
      <c r="A447" s="3" vm="684">
        <f ca="1"/>
        <v>43297</v>
      </c>
      <c r="B447" s="3" vm="1879">
        <f ca="1"/>
        <v>29.67</v>
      </c>
      <c r="D447" s="10" vm="1880">
        <f ca="1"/>
        <v>25058.122899999998</v>
      </c>
      <c r="E447" s="13">
        <f t="shared" ca="1" si="7"/>
        <v>3.2000000000000028E-2</v>
      </c>
    </row>
    <row r="448" spans="1:5" x14ac:dyDescent="0.3">
      <c r="A448" s="3" vm="685">
        <f ca="1"/>
        <v>43304</v>
      </c>
      <c r="B448" s="3" vm="1881">
        <f ca="1"/>
        <v>29.28</v>
      </c>
      <c r="D448" s="10" vm="1882">
        <f ca="1"/>
        <v>25451.0556</v>
      </c>
      <c r="E448" s="13">
        <f t="shared" ca="1" si="7"/>
        <v>-1.3144590495449915E-2</v>
      </c>
    </row>
    <row r="449" spans="1:5" x14ac:dyDescent="0.3">
      <c r="A449" s="3" vm="686">
        <f ca="1"/>
        <v>43311</v>
      </c>
      <c r="B449" s="3" vm="1883">
        <f ca="1"/>
        <v>29.29</v>
      </c>
      <c r="D449" s="10" vm="1884">
        <f ca="1"/>
        <v>25462.5825</v>
      </c>
      <c r="E449" s="13">
        <f t="shared" ca="1" si="7"/>
        <v>3.4153005464476749E-4</v>
      </c>
    </row>
    <row r="450" spans="1:5" x14ac:dyDescent="0.3">
      <c r="A450" s="3" vm="687">
        <f ca="1"/>
        <v>43318</v>
      </c>
      <c r="B450" s="3" vm="1885">
        <f ca="1"/>
        <v>29.65</v>
      </c>
      <c r="D450" s="10" vm="1886">
        <f ca="1"/>
        <v>25313.139299999999</v>
      </c>
      <c r="E450" s="13">
        <f t="shared" ca="1" si="7"/>
        <v>1.2290884260839796E-2</v>
      </c>
    </row>
    <row r="451" spans="1:5" x14ac:dyDescent="0.3">
      <c r="A451" s="3" vm="688">
        <f ca="1"/>
        <v>43325</v>
      </c>
      <c r="B451" s="3" vm="1887">
        <f ca="1"/>
        <v>29.82</v>
      </c>
      <c r="D451" s="10" vm="1888">
        <f ca="1"/>
        <v>25669.321400000001</v>
      </c>
      <c r="E451" s="13">
        <f t="shared" ca="1" si="7"/>
        <v>5.7335581787520962E-3</v>
      </c>
    </row>
    <row r="452" spans="1:5" x14ac:dyDescent="0.3">
      <c r="A452" s="3" vm="689">
        <f ca="1"/>
        <v>43332</v>
      </c>
      <c r="B452" s="3" vm="1889">
        <f ca="1"/>
        <v>30.38</v>
      </c>
      <c r="D452" s="10" vm="1890">
        <f ca="1"/>
        <v>25790.354200000002</v>
      </c>
      <c r="E452" s="13">
        <f t="shared" ca="1" si="7"/>
        <v>1.8779342723004744E-2</v>
      </c>
    </row>
    <row r="453" spans="1:5" x14ac:dyDescent="0.3">
      <c r="A453" s="3" vm="690">
        <f ca="1"/>
        <v>43339</v>
      </c>
      <c r="B453" s="3" vm="1891">
        <f ca="1"/>
        <v>30.48</v>
      </c>
      <c r="D453" s="10" vm="1892">
        <f ca="1"/>
        <v>25964.8177</v>
      </c>
      <c r="E453" s="13">
        <f t="shared" ca="1" si="7"/>
        <v>3.2916392363397939E-3</v>
      </c>
    </row>
    <row r="454" spans="1:5" x14ac:dyDescent="0.3">
      <c r="A454" s="3" vm="691">
        <f ca="1"/>
        <v>43347</v>
      </c>
      <c r="B454" s="3" vm="1893">
        <f ca="1"/>
        <v>30.82</v>
      </c>
      <c r="D454" s="10" vm="1894">
        <f ca="1"/>
        <v>25916.540199999999</v>
      </c>
      <c r="E454" s="13">
        <f t="shared" ca="1" si="7"/>
        <v>1.1154855643044526E-2</v>
      </c>
    </row>
    <row r="455" spans="1:5" x14ac:dyDescent="0.3">
      <c r="A455" s="3" vm="692">
        <f ca="1"/>
        <v>43353</v>
      </c>
      <c r="B455" s="3" vm="1895">
        <f ca="1"/>
        <v>31.07</v>
      </c>
      <c r="D455" s="10" vm="1896">
        <f ca="1"/>
        <v>26154.672999999999</v>
      </c>
      <c r="E455" s="13">
        <f t="shared" ca="1" si="7"/>
        <v>8.1116158338740973E-3</v>
      </c>
    </row>
    <row r="456" spans="1:5" x14ac:dyDescent="0.3">
      <c r="A456" s="3" vm="693">
        <f ca="1"/>
        <v>43360</v>
      </c>
      <c r="B456" s="3" vm="1897">
        <f ca="1"/>
        <v>30.27</v>
      </c>
      <c r="D456" s="10" vm="1898">
        <f ca="1"/>
        <v>26743.495699999999</v>
      </c>
      <c r="E456" s="13">
        <f t="shared" ca="1" si="7"/>
        <v>-2.5748310267138752E-2</v>
      </c>
    </row>
    <row r="457" spans="1:5" x14ac:dyDescent="0.3">
      <c r="A457" s="3" vm="694">
        <f ca="1"/>
        <v>43367</v>
      </c>
      <c r="B457" s="3" vm="1899">
        <f ca="1"/>
        <v>29.57</v>
      </c>
      <c r="D457" s="10" vm="1900">
        <f ca="1"/>
        <v>26458.305899999999</v>
      </c>
      <c r="E457" s="13">
        <f t="shared" ref="E457:E520" ca="1" si="8">IF(B457&gt;0,B457/B456-1,"")</f>
        <v>-2.312520647505778E-2</v>
      </c>
    </row>
    <row r="458" spans="1:5" x14ac:dyDescent="0.3">
      <c r="A458" s="3" vm="695">
        <f ca="1"/>
        <v>43374</v>
      </c>
      <c r="B458" s="3" vm="1901">
        <f ca="1"/>
        <v>29.32</v>
      </c>
      <c r="D458" s="10" vm="1902">
        <f ca="1"/>
        <v>26447.050200000001</v>
      </c>
      <c r="E458" s="13">
        <f t="shared" ca="1" si="8"/>
        <v>-8.4545147108555652E-3</v>
      </c>
    </row>
    <row r="459" spans="1:5" x14ac:dyDescent="0.3">
      <c r="A459" s="3" vm="696">
        <f ca="1"/>
        <v>43381</v>
      </c>
      <c r="B459" s="3" vm="1903">
        <f ca="1"/>
        <v>27.91</v>
      </c>
      <c r="D459" s="10" vm="1904">
        <f ca="1"/>
        <v>25339.9902</v>
      </c>
      <c r="E459" s="13">
        <f t="shared" ca="1" si="8"/>
        <v>-4.8090040927694422E-2</v>
      </c>
    </row>
    <row r="460" spans="1:5" x14ac:dyDescent="0.3">
      <c r="A460" s="3" vm="697">
        <f ca="1"/>
        <v>43388</v>
      </c>
      <c r="B460" s="3" vm="1905">
        <f ca="1"/>
        <v>28.85</v>
      </c>
      <c r="D460" s="10" vm="1906">
        <f ca="1"/>
        <v>25444.342799999999</v>
      </c>
      <c r="E460" s="13">
        <f t="shared" ca="1" si="8"/>
        <v>3.3679684700824053E-2</v>
      </c>
    </row>
    <row r="461" spans="1:5" x14ac:dyDescent="0.3">
      <c r="A461" s="3" vm="698">
        <f ca="1"/>
        <v>43395</v>
      </c>
      <c r="B461" s="3" vm="1907">
        <f ca="1"/>
        <v>27.94</v>
      </c>
      <c r="D461" s="10" vm="1908">
        <f ca="1"/>
        <v>24688.311799999999</v>
      </c>
      <c r="E461" s="13">
        <f t="shared" ca="1" si="8"/>
        <v>-3.1542461005199307E-2</v>
      </c>
    </row>
    <row r="462" spans="1:5" x14ac:dyDescent="0.3">
      <c r="A462" s="3" vm="699">
        <f ca="1"/>
        <v>43402</v>
      </c>
      <c r="B462" s="3" vm="1909">
        <f ca="1"/>
        <v>28.18</v>
      </c>
      <c r="D462" s="10" vm="1910">
        <f ca="1"/>
        <v>25270.828600000001</v>
      </c>
      <c r="E462" s="13">
        <f t="shared" ca="1" si="8"/>
        <v>8.589835361488829E-3</v>
      </c>
    </row>
    <row r="463" spans="1:5" x14ac:dyDescent="0.3">
      <c r="A463" s="3" vm="700">
        <f ca="1"/>
        <v>43409</v>
      </c>
      <c r="B463" s="3" vm="1883">
        <f ca="1"/>
        <v>29.29</v>
      </c>
      <c r="D463" s="10" vm="1911">
        <f ca="1"/>
        <v>25989.295399999999</v>
      </c>
      <c r="E463" s="13">
        <f t="shared" ca="1" si="8"/>
        <v>3.9389638041164021E-2</v>
      </c>
    </row>
    <row r="464" spans="1:5" x14ac:dyDescent="0.3">
      <c r="A464" s="3" vm="701">
        <f ca="1"/>
        <v>43416</v>
      </c>
      <c r="B464" s="3" vm="1912">
        <f ca="1"/>
        <v>28.87</v>
      </c>
      <c r="D464" s="10" vm="1913">
        <f ca="1"/>
        <v>25413.220099999999</v>
      </c>
      <c r="E464" s="13">
        <f t="shared" ca="1" si="8"/>
        <v>-1.4339364970979762E-2</v>
      </c>
    </row>
    <row r="465" spans="1:5" x14ac:dyDescent="0.3">
      <c r="A465" s="3" vm="702">
        <f ca="1"/>
        <v>43423</v>
      </c>
      <c r="B465" s="3" vm="1914">
        <f ca="1"/>
        <v>28.46</v>
      </c>
      <c r="D465" s="10" vm="1915">
        <f ca="1"/>
        <v>24285.954099999999</v>
      </c>
      <c r="E465" s="13">
        <f t="shared" ca="1" si="8"/>
        <v>-1.4201593349497776E-2</v>
      </c>
    </row>
    <row r="466" spans="1:5" x14ac:dyDescent="0.3">
      <c r="A466" s="3" vm="703">
        <f ca="1"/>
        <v>43430</v>
      </c>
      <c r="B466" s="3" vm="1916">
        <f ca="1"/>
        <v>29.02</v>
      </c>
      <c r="D466" s="10" vm="1917">
        <f ca="1"/>
        <v>25538.4568</v>
      </c>
      <c r="E466" s="13">
        <f t="shared" ca="1" si="8"/>
        <v>1.9676739283204459E-2</v>
      </c>
    </row>
    <row r="467" spans="1:5" x14ac:dyDescent="0.3">
      <c r="A467" s="3" vm="704">
        <f ca="1"/>
        <v>43437</v>
      </c>
      <c r="B467" s="3" vm="1918">
        <f ca="1"/>
        <v>27.59</v>
      </c>
      <c r="D467" s="10" vm="1919">
        <f ca="1"/>
        <v>24388.950700000001</v>
      </c>
      <c r="E467" s="13">
        <f t="shared" ca="1" si="8"/>
        <v>-4.927636113025502E-2</v>
      </c>
    </row>
    <row r="468" spans="1:5" x14ac:dyDescent="0.3">
      <c r="A468" s="3" vm="705">
        <f ca="1"/>
        <v>43444</v>
      </c>
      <c r="B468" s="3" vm="1920">
        <f ca="1"/>
        <v>27.62</v>
      </c>
      <c r="D468" s="10" vm="1921">
        <f ca="1"/>
        <v>24100.5062</v>
      </c>
      <c r="E468" s="13">
        <f t="shared" ca="1" si="8"/>
        <v>1.0873504893078589E-3</v>
      </c>
    </row>
    <row r="469" spans="1:5" x14ac:dyDescent="0.3">
      <c r="A469" s="3" vm="706">
        <f ca="1"/>
        <v>43451</v>
      </c>
      <c r="B469" s="3" vm="1922">
        <f ca="1"/>
        <v>26.53</v>
      </c>
      <c r="D469" s="10" vm="1923">
        <f ca="1"/>
        <v>22445.374599999999</v>
      </c>
      <c r="E469" s="13">
        <f t="shared" ca="1" si="8"/>
        <v>-3.9464156408399731E-2</v>
      </c>
    </row>
    <row r="470" spans="1:5" x14ac:dyDescent="0.3">
      <c r="A470" s="3" vm="707">
        <f ca="1"/>
        <v>43458</v>
      </c>
      <c r="B470" s="3" vm="1924">
        <f ca="1"/>
        <v>27.18</v>
      </c>
      <c r="D470" s="10" vm="1925">
        <f ca="1"/>
        <v>23062.404399999999</v>
      </c>
      <c r="E470" s="13">
        <f t="shared" ca="1" si="8"/>
        <v>2.4500565397662877E-2</v>
      </c>
    </row>
    <row r="471" spans="1:5" x14ac:dyDescent="0.3">
      <c r="A471" s="3" vm="708">
        <f ca="1"/>
        <v>43465</v>
      </c>
      <c r="B471" s="3" vm="1926">
        <f ca="1"/>
        <v>27.39</v>
      </c>
      <c r="D471" s="10" vm="1927">
        <f ca="1"/>
        <v>23433.164700000001</v>
      </c>
      <c r="E471" s="13">
        <f t="shared" ca="1" si="8"/>
        <v>7.7262693156732176E-3</v>
      </c>
    </row>
    <row r="472" spans="1:5" x14ac:dyDescent="0.3">
      <c r="A472" s="3" vm="709">
        <f ca="1"/>
        <v>43472</v>
      </c>
      <c r="B472" s="3" vm="1928">
        <f ca="1"/>
        <v>27.78</v>
      </c>
      <c r="D472" s="10" vm="1929">
        <f ca="1"/>
        <v>23995.950099999998</v>
      </c>
      <c r="E472" s="13">
        <f t="shared" ca="1" si="8"/>
        <v>1.4238773274917849E-2</v>
      </c>
    </row>
    <row r="473" spans="1:5" x14ac:dyDescent="0.3">
      <c r="A473" s="3" vm="710">
        <f ca="1"/>
        <v>43479</v>
      </c>
      <c r="B473" s="3" vm="1930">
        <f ca="1"/>
        <v>28.64</v>
      </c>
      <c r="D473" s="10" vm="1931">
        <f ca="1"/>
        <v>24706.348099999999</v>
      </c>
      <c r="E473" s="13">
        <f t="shared" ca="1" si="8"/>
        <v>3.0957523398128073E-2</v>
      </c>
    </row>
    <row r="474" spans="1:5" x14ac:dyDescent="0.3">
      <c r="A474" s="3" vm="711">
        <f ca="1"/>
        <v>43487</v>
      </c>
      <c r="B474" s="3" vm="1932">
        <f ca="1"/>
        <v>28.2</v>
      </c>
      <c r="D474" s="10" vm="1933">
        <f ca="1"/>
        <v>24737.1996</v>
      </c>
      <c r="E474" s="13">
        <f t="shared" ca="1" si="8"/>
        <v>-1.5363128491620137E-2</v>
      </c>
    </row>
    <row r="475" spans="1:5" x14ac:dyDescent="0.3">
      <c r="A475" s="3" vm="712">
        <f ca="1"/>
        <v>43493</v>
      </c>
      <c r="B475" s="3" vm="1934">
        <f ca="1"/>
        <v>27.87</v>
      </c>
      <c r="D475" s="10" vm="1935">
        <f ca="1"/>
        <v>25063.886299999998</v>
      </c>
      <c r="E475" s="13">
        <f t="shared" ca="1" si="8"/>
        <v>-1.1702127659574457E-2</v>
      </c>
    </row>
    <row r="476" spans="1:5" x14ac:dyDescent="0.3">
      <c r="A476" s="3" vm="713">
        <f ca="1"/>
        <v>43500</v>
      </c>
      <c r="B476" s="3" vm="1936">
        <f ca="1"/>
        <v>27.83</v>
      </c>
      <c r="D476" s="10" vm="1937">
        <f ca="1"/>
        <v>25106.332600000002</v>
      </c>
      <c r="E476" s="13">
        <f t="shared" ca="1" si="8"/>
        <v>-1.4352350197345265E-3</v>
      </c>
    </row>
    <row r="477" spans="1:5" x14ac:dyDescent="0.3">
      <c r="A477" s="3" vm="714">
        <f ca="1"/>
        <v>43507</v>
      </c>
      <c r="B477" s="3" vm="1938">
        <f ca="1"/>
        <v>29.06</v>
      </c>
      <c r="D477" s="10" vm="1939">
        <f ca="1"/>
        <v>25883.2477</v>
      </c>
      <c r="E477" s="13">
        <f t="shared" ca="1" si="8"/>
        <v>4.4196909809558038E-2</v>
      </c>
    </row>
    <row r="478" spans="1:5" x14ac:dyDescent="0.3">
      <c r="A478" s="3" vm="715">
        <f ca="1"/>
        <v>43515</v>
      </c>
      <c r="B478" s="3" vm="1940">
        <f ca="1"/>
        <v>29.51</v>
      </c>
      <c r="D478" s="10" vm="1941">
        <f ca="1"/>
        <v>26031.809499999999</v>
      </c>
      <c r="E478" s="13">
        <f t="shared" ca="1" si="8"/>
        <v>1.5485203028217542E-2</v>
      </c>
    </row>
    <row r="479" spans="1:5" x14ac:dyDescent="0.3">
      <c r="A479" s="3" vm="716">
        <f ca="1"/>
        <v>43521</v>
      </c>
      <c r="B479" s="3" vm="1942">
        <f ca="1"/>
        <v>29.87</v>
      </c>
      <c r="D479" s="10" vm="1943">
        <f ca="1"/>
        <v>26026.317200000001</v>
      </c>
      <c r="E479" s="13">
        <f t="shared" ca="1" si="8"/>
        <v>1.2199254490003364E-2</v>
      </c>
    </row>
    <row r="480" spans="1:5" x14ac:dyDescent="0.3">
      <c r="A480" s="3" vm="717">
        <f ca="1"/>
        <v>43528</v>
      </c>
      <c r="B480" s="3" vm="1912">
        <f ca="1"/>
        <v>28.87</v>
      </c>
      <c r="D480" s="10" vm="1944">
        <f ca="1"/>
        <v>25450.241900000001</v>
      </c>
      <c r="E480" s="13">
        <f t="shared" ca="1" si="8"/>
        <v>-3.3478406427854046E-2</v>
      </c>
    </row>
    <row r="481" spans="1:5" x14ac:dyDescent="0.3">
      <c r="A481" s="3" vm="718">
        <f ca="1"/>
        <v>43535</v>
      </c>
      <c r="B481" s="3" vm="1945">
        <f ca="1"/>
        <v>29.46</v>
      </c>
      <c r="D481" s="10" vm="1946">
        <f ca="1"/>
        <v>25848.870299999999</v>
      </c>
      <c r="E481" s="13">
        <f t="shared" ca="1" si="8"/>
        <v>2.0436439210252955E-2</v>
      </c>
    </row>
    <row r="482" spans="1:5" x14ac:dyDescent="0.3">
      <c r="A482" s="3" vm="719">
        <f ca="1"/>
        <v>43542</v>
      </c>
      <c r="B482" s="3" vm="1947">
        <f ca="1"/>
        <v>28.88</v>
      </c>
      <c r="D482" s="10" vm="1948">
        <f ca="1"/>
        <v>25502.316500000001</v>
      </c>
      <c r="E482" s="13">
        <f t="shared" ca="1" si="8"/>
        <v>-1.9687712152070658E-2</v>
      </c>
    </row>
    <row r="483" spans="1:5" x14ac:dyDescent="0.3">
      <c r="A483" s="3" vm="720">
        <f ca="1"/>
        <v>43549</v>
      </c>
      <c r="B483" s="3" vm="1940">
        <f ca="1"/>
        <v>29.51</v>
      </c>
      <c r="D483" s="10" vm="1949">
        <f ca="1"/>
        <v>25928.677299999999</v>
      </c>
      <c r="E483" s="13">
        <f t="shared" ca="1" si="8"/>
        <v>2.1814404432133117E-2</v>
      </c>
    </row>
    <row r="484" spans="1:5" x14ac:dyDescent="0.3">
      <c r="A484" s="3" vm="721">
        <f ca="1"/>
        <v>43556</v>
      </c>
      <c r="B484" s="3" vm="1950">
        <f ca="1"/>
        <v>29.93</v>
      </c>
      <c r="D484" s="10" vm="1951">
        <f ca="1"/>
        <v>26424.985199999999</v>
      </c>
      <c r="E484" s="13">
        <f t="shared" ca="1" si="8"/>
        <v>1.4232463571670628E-2</v>
      </c>
    </row>
    <row r="485" spans="1:5" x14ac:dyDescent="0.3">
      <c r="A485" s="3" vm="722">
        <f ca="1"/>
        <v>43563</v>
      </c>
      <c r="B485" s="3" vm="1952">
        <f ca="1"/>
        <v>30.51</v>
      </c>
      <c r="D485" s="10" vm="1953">
        <f ca="1"/>
        <v>26412.302500000002</v>
      </c>
      <c r="E485" s="13">
        <f t="shared" ca="1" si="8"/>
        <v>1.9378549949883084E-2</v>
      </c>
    </row>
    <row r="486" spans="1:5" x14ac:dyDescent="0.3">
      <c r="A486" s="3" vm="723">
        <f ca="1"/>
        <v>43570</v>
      </c>
      <c r="B486" s="3" vm="1954">
        <f ca="1"/>
        <v>30.57</v>
      </c>
      <c r="D486" s="10" vm="1955">
        <f ca="1"/>
        <v>26559.5432</v>
      </c>
      <c r="E486" s="13">
        <f t="shared" ca="1" si="8"/>
        <v>1.9665683382497079E-3</v>
      </c>
    </row>
    <row r="487" spans="1:5" x14ac:dyDescent="0.3">
      <c r="A487" s="3" vm="724">
        <f ca="1"/>
        <v>43577</v>
      </c>
      <c r="B487" s="3" vm="1956">
        <f ca="1"/>
        <v>31.68</v>
      </c>
      <c r="D487" s="10" vm="1957">
        <f ca="1"/>
        <v>26543.3338</v>
      </c>
      <c r="E487" s="13">
        <f t="shared" ca="1" si="8"/>
        <v>3.6310107948969605E-2</v>
      </c>
    </row>
    <row r="488" spans="1:5" x14ac:dyDescent="0.3">
      <c r="A488" s="3" vm="725">
        <f ca="1"/>
        <v>43584</v>
      </c>
      <c r="B488" s="3" vm="1958">
        <f ca="1"/>
        <v>32.340000000000003</v>
      </c>
      <c r="D488" s="10" vm="1959">
        <f ca="1"/>
        <v>26504.946800000002</v>
      </c>
      <c r="E488" s="13">
        <f t="shared" ca="1" si="8"/>
        <v>2.0833333333333481E-2</v>
      </c>
    </row>
    <row r="489" spans="1:5" x14ac:dyDescent="0.3">
      <c r="A489" s="3" vm="726">
        <f ca="1"/>
        <v>43591</v>
      </c>
      <c r="B489" s="3" vm="1960">
        <f ca="1"/>
        <v>32.19</v>
      </c>
      <c r="D489" s="10" vm="1961">
        <f ca="1"/>
        <v>25942.3668</v>
      </c>
      <c r="E489" s="13">
        <f t="shared" ca="1" si="8"/>
        <v>-4.638218923933346E-3</v>
      </c>
    </row>
    <row r="490" spans="1:5" x14ac:dyDescent="0.3">
      <c r="A490" s="3" vm="727">
        <f ca="1"/>
        <v>43598</v>
      </c>
      <c r="B490" s="3" vm="1962">
        <f ca="1"/>
        <v>31.69</v>
      </c>
      <c r="D490" s="10" vm="1963">
        <f ca="1"/>
        <v>25763.995999999999</v>
      </c>
      <c r="E490" s="13">
        <f t="shared" ca="1" si="8"/>
        <v>-1.5532774153463658E-2</v>
      </c>
    </row>
    <row r="491" spans="1:5" x14ac:dyDescent="0.3">
      <c r="A491" s="3" vm="728">
        <f ca="1"/>
        <v>43605</v>
      </c>
      <c r="B491" s="3" vm="1964">
        <f ca="1"/>
        <v>31.85</v>
      </c>
      <c r="D491" s="10" vm="1965">
        <f ca="1"/>
        <v>25585.6931</v>
      </c>
      <c r="E491" s="13">
        <f t="shared" ca="1" si="8"/>
        <v>5.0489113284948317E-3</v>
      </c>
    </row>
    <row r="492" spans="1:5" x14ac:dyDescent="0.3">
      <c r="A492" s="3" vm="729">
        <f ca="1"/>
        <v>43613</v>
      </c>
      <c r="B492" s="3" vm="1966">
        <f ca="1"/>
        <v>31.57</v>
      </c>
      <c r="D492" s="10" vm="1967">
        <f ca="1"/>
        <v>24815.036400000001</v>
      </c>
      <c r="E492" s="13">
        <f t="shared" ca="1" si="8"/>
        <v>-8.791208791208871E-3</v>
      </c>
    </row>
    <row r="493" spans="1:5" x14ac:dyDescent="0.3">
      <c r="A493" s="3" vm="730">
        <f ca="1"/>
        <v>43619</v>
      </c>
      <c r="B493" s="3" vm="1968">
        <f ca="1"/>
        <v>32.869999999999997</v>
      </c>
      <c r="D493" s="10" vm="1969">
        <f ca="1"/>
        <v>25983.9414</v>
      </c>
      <c r="E493" s="13">
        <f t="shared" ca="1" si="8"/>
        <v>4.1178333861260574E-2</v>
      </c>
    </row>
    <row r="494" spans="1:5" x14ac:dyDescent="0.3">
      <c r="A494" s="3" vm="731">
        <f ca="1"/>
        <v>43626</v>
      </c>
      <c r="B494" s="3" vm="1970">
        <f ca="1"/>
        <v>32.82</v>
      </c>
      <c r="D494" s="10" vm="1971">
        <f ca="1"/>
        <v>26089.607400000001</v>
      </c>
      <c r="E494" s="13">
        <f t="shared" ca="1" si="8"/>
        <v>-1.5211439002128513E-3</v>
      </c>
    </row>
    <row r="495" spans="1:5" x14ac:dyDescent="0.3">
      <c r="A495" s="3" vm="732">
        <f ca="1"/>
        <v>43633</v>
      </c>
      <c r="B495" s="3" vm="1972">
        <f ca="1"/>
        <v>32.9</v>
      </c>
      <c r="D495" s="10" vm="1973">
        <f ca="1"/>
        <v>26719.127400000001</v>
      </c>
      <c r="E495" s="13">
        <f t="shared" ca="1" si="8"/>
        <v>2.4375380865324647E-3</v>
      </c>
    </row>
    <row r="496" spans="1:5" x14ac:dyDescent="0.3">
      <c r="A496" s="3" vm="733">
        <f ca="1"/>
        <v>43640</v>
      </c>
      <c r="B496" s="3" vm="1974">
        <f ca="1"/>
        <v>33.5</v>
      </c>
      <c r="D496" s="10" vm="1975">
        <f ca="1"/>
        <v>26599.964899999999</v>
      </c>
      <c r="E496" s="13">
        <f t="shared" ca="1" si="8"/>
        <v>1.8237082066869359E-2</v>
      </c>
    </row>
    <row r="497" spans="1:5" x14ac:dyDescent="0.3">
      <c r="A497" s="3" vm="734">
        <f ca="1"/>
        <v>43647</v>
      </c>
      <c r="B497" s="3" vm="1976">
        <f ca="1"/>
        <v>34.76</v>
      </c>
      <c r="D497" s="10" vm="1977">
        <f ca="1"/>
        <v>26922.117399999999</v>
      </c>
      <c r="E497" s="13">
        <f t="shared" ca="1" si="8"/>
        <v>3.761194029850734E-2</v>
      </c>
    </row>
    <row r="498" spans="1:5" x14ac:dyDescent="0.3">
      <c r="A498" s="3" vm="735">
        <f ca="1"/>
        <v>43654</v>
      </c>
      <c r="B498" s="3" vm="1978">
        <f ca="1"/>
        <v>34.99</v>
      </c>
      <c r="D498" s="10" vm="1979">
        <f ca="1"/>
        <v>27332.0311</v>
      </c>
      <c r="E498" s="13">
        <f t="shared" ca="1" si="8"/>
        <v>6.6168009205984646E-3</v>
      </c>
    </row>
    <row r="499" spans="1:5" x14ac:dyDescent="0.3">
      <c r="A499" s="3" vm="736">
        <f ca="1"/>
        <v>43661</v>
      </c>
      <c r="B499" s="3" vm="1980">
        <f ca="1"/>
        <v>34.700000000000003</v>
      </c>
      <c r="D499" s="10" vm="1981">
        <f ca="1"/>
        <v>27154.2029</v>
      </c>
      <c r="E499" s="13">
        <f t="shared" ca="1" si="8"/>
        <v>-8.2880823092311706E-3</v>
      </c>
    </row>
    <row r="500" spans="1:5" x14ac:dyDescent="0.3">
      <c r="A500" s="3" vm="737">
        <f ca="1"/>
        <v>43668</v>
      </c>
      <c r="B500" s="3" vm="1982">
        <f ca="1"/>
        <v>36.39</v>
      </c>
      <c r="D500" s="10" vm="1983">
        <f ca="1"/>
        <v>27192.4542</v>
      </c>
      <c r="E500" s="13">
        <f t="shared" ca="1" si="8"/>
        <v>4.8703170028818299E-2</v>
      </c>
    </row>
    <row r="501" spans="1:5" x14ac:dyDescent="0.3">
      <c r="A501" s="3" vm="738">
        <f ca="1"/>
        <v>43675</v>
      </c>
      <c r="B501" s="3" vm="1984">
        <f ca="1"/>
        <v>35.85</v>
      </c>
      <c r="D501" s="10" vm="1985">
        <f ca="1"/>
        <v>26485.007300000001</v>
      </c>
      <c r="E501" s="13">
        <f t="shared" ca="1" si="8"/>
        <v>-1.483924154987637E-2</v>
      </c>
    </row>
    <row r="502" spans="1:5" x14ac:dyDescent="0.3">
      <c r="A502" s="3" vm="739">
        <f ca="1"/>
        <v>43682</v>
      </c>
      <c r="B502" s="3" vm="1986">
        <f ca="1"/>
        <v>36.74</v>
      </c>
      <c r="D502" s="10" vm="1987">
        <f ca="1"/>
        <v>26287.442999999999</v>
      </c>
      <c r="E502" s="13">
        <f t="shared" ca="1" si="8"/>
        <v>2.4825662482566235E-2</v>
      </c>
    </row>
    <row r="503" spans="1:5" x14ac:dyDescent="0.3">
      <c r="A503" s="3" vm="740">
        <f ca="1"/>
        <v>43689</v>
      </c>
      <c r="B503" s="3" vm="1988">
        <f ca="1"/>
        <v>36.08</v>
      </c>
      <c r="D503" s="10" vm="1989">
        <f ca="1"/>
        <v>25886.007000000001</v>
      </c>
      <c r="E503" s="13">
        <f t="shared" ca="1" si="8"/>
        <v>-1.7964071856287567E-2</v>
      </c>
    </row>
    <row r="504" spans="1:5" x14ac:dyDescent="0.3">
      <c r="A504" s="3" vm="741">
        <f ca="1"/>
        <v>43696</v>
      </c>
      <c r="B504" s="3" vm="1990">
        <f ca="1"/>
        <v>35.42</v>
      </c>
      <c r="D504" s="10" vm="1991">
        <f ca="1"/>
        <v>25628.895400000001</v>
      </c>
      <c r="E504" s="13">
        <f t="shared" ca="1" si="8"/>
        <v>-1.8292682926829174E-2</v>
      </c>
    </row>
    <row r="505" spans="1:5" x14ac:dyDescent="0.3">
      <c r="A505" s="3" vm="742">
        <f ca="1"/>
        <v>43703</v>
      </c>
      <c r="B505" s="3" vm="1992">
        <f ca="1"/>
        <v>36.89</v>
      </c>
      <c r="D505" s="10" vm="1993">
        <f ca="1"/>
        <v>26403.282299999999</v>
      </c>
      <c r="E505" s="13">
        <f t="shared" ca="1" si="8"/>
        <v>4.1501976284584963E-2</v>
      </c>
    </row>
    <row r="506" spans="1:5" x14ac:dyDescent="0.3">
      <c r="A506" s="3" vm="743">
        <f ca="1"/>
        <v>43711</v>
      </c>
      <c r="B506" s="3" vm="1994">
        <f ca="1"/>
        <v>36.81</v>
      </c>
      <c r="D506" s="10" vm="1995">
        <f ca="1"/>
        <v>26797.461299999999</v>
      </c>
      <c r="E506" s="13">
        <f t="shared" ca="1" si="8"/>
        <v>-2.1686093792354644E-3</v>
      </c>
    </row>
    <row r="507" spans="1:5" x14ac:dyDescent="0.3">
      <c r="A507" s="3" vm="744">
        <f ca="1"/>
        <v>43717</v>
      </c>
      <c r="B507" s="3" vm="1996">
        <f ca="1"/>
        <v>35.979999999999997</v>
      </c>
      <c r="D507" s="10" vm="1997">
        <f ca="1"/>
        <v>27219.514999999999</v>
      </c>
      <c r="E507" s="13">
        <f t="shared" ca="1" si="8"/>
        <v>-2.2548220592230495E-2</v>
      </c>
    </row>
    <row r="508" spans="1:5" x14ac:dyDescent="0.3">
      <c r="A508" s="3" vm="745">
        <f ca="1"/>
        <v>43724</v>
      </c>
      <c r="B508" s="3" vm="1998">
        <f ca="1"/>
        <v>36.229999999999997</v>
      </c>
      <c r="D508" s="10" vm="1999">
        <f ca="1"/>
        <v>26935.0713</v>
      </c>
      <c r="E508" s="13">
        <f t="shared" ca="1" si="8"/>
        <v>6.9483046136742388E-3</v>
      </c>
    </row>
    <row r="509" spans="1:5" x14ac:dyDescent="0.3">
      <c r="A509" s="3" vm="746">
        <f ca="1"/>
        <v>43731</v>
      </c>
      <c r="B509" s="3" vm="2000">
        <f ca="1"/>
        <v>35.79</v>
      </c>
      <c r="D509" s="10" vm="2001">
        <f ca="1"/>
        <v>26820.249400000001</v>
      </c>
      <c r="E509" s="13">
        <f t="shared" ca="1" si="8"/>
        <v>-1.2144631520839E-2</v>
      </c>
    </row>
    <row r="510" spans="1:5" x14ac:dyDescent="0.3">
      <c r="A510" s="3" vm="747">
        <f ca="1"/>
        <v>43738</v>
      </c>
      <c r="B510" s="3" vm="2002">
        <f ca="1"/>
        <v>36.409999999999997</v>
      </c>
      <c r="D510" s="10" vm="2003">
        <f ca="1"/>
        <v>26573.7179</v>
      </c>
      <c r="E510" s="13">
        <f t="shared" ca="1" si="8"/>
        <v>1.7323274657725651E-2</v>
      </c>
    </row>
    <row r="511" spans="1:5" x14ac:dyDescent="0.3">
      <c r="A511" s="3" vm="748">
        <f ca="1"/>
        <v>43745</v>
      </c>
      <c r="B511" s="3" vm="2004">
        <f ca="1"/>
        <v>36.04</v>
      </c>
      <c r="D511" s="10" vm="2005">
        <f ca="1"/>
        <v>26816.587</v>
      </c>
      <c r="E511" s="13">
        <f t="shared" ca="1" si="8"/>
        <v>-1.0162043394671749E-2</v>
      </c>
    </row>
    <row r="512" spans="1:5" x14ac:dyDescent="0.3">
      <c r="A512" s="3" vm="749">
        <f ca="1"/>
        <v>43752</v>
      </c>
      <c r="B512" s="3" vm="2006">
        <f ca="1"/>
        <v>36.32</v>
      </c>
      <c r="D512" s="10" vm="2007">
        <f ca="1"/>
        <v>26770.197</v>
      </c>
      <c r="E512" s="13">
        <f t="shared" ca="1" si="8"/>
        <v>7.769145394006749E-3</v>
      </c>
    </row>
    <row r="513" spans="1:5" x14ac:dyDescent="0.3">
      <c r="A513" s="3" vm="750">
        <f ca="1"/>
        <v>43759</v>
      </c>
      <c r="B513" s="3" vm="2008">
        <f ca="1"/>
        <v>35.96</v>
      </c>
      <c r="D513" s="10" vm="2009">
        <f ca="1"/>
        <v>26958.0628</v>
      </c>
      <c r="E513" s="13">
        <f t="shared" ca="1" si="8"/>
        <v>-9.9118942731277748E-3</v>
      </c>
    </row>
    <row r="514" spans="1:5" x14ac:dyDescent="0.3">
      <c r="A514" s="3" vm="751">
        <f ca="1"/>
        <v>43766</v>
      </c>
      <c r="B514" s="3" vm="2010">
        <f ca="1"/>
        <v>37.630000000000003</v>
      </c>
      <c r="D514" s="10" vm="2011">
        <f ca="1"/>
        <v>27347.358700000001</v>
      </c>
      <c r="E514" s="13">
        <f t="shared" ca="1" si="8"/>
        <v>4.6440489432703069E-2</v>
      </c>
    </row>
    <row r="515" spans="1:5" x14ac:dyDescent="0.3">
      <c r="A515" s="3" vm="752">
        <f ca="1"/>
        <v>43773</v>
      </c>
      <c r="B515" s="3" vm="2012">
        <f ca="1"/>
        <v>37.75</v>
      </c>
      <c r="D515" s="10" vm="2013">
        <f ca="1"/>
        <v>27681.2444</v>
      </c>
      <c r="E515" s="13">
        <f t="shared" ca="1" si="8"/>
        <v>3.1889449906987721E-3</v>
      </c>
    </row>
    <row r="516" spans="1:5" x14ac:dyDescent="0.3">
      <c r="A516" s="3" vm="753">
        <f ca="1"/>
        <v>43780</v>
      </c>
      <c r="B516" s="3" vm="2014">
        <f ca="1"/>
        <v>37.869999999999997</v>
      </c>
      <c r="D516" s="10" vm="2015">
        <f ca="1"/>
        <v>28004.888999999999</v>
      </c>
      <c r="E516" s="13">
        <f t="shared" ca="1" si="8"/>
        <v>3.1788079470198571E-3</v>
      </c>
    </row>
    <row r="517" spans="1:5" x14ac:dyDescent="0.3">
      <c r="A517" s="3" vm="754">
        <f ca="1"/>
        <v>43787</v>
      </c>
      <c r="B517" s="3" vm="2016">
        <f ca="1"/>
        <v>37.85</v>
      </c>
      <c r="D517" s="10" vm="2017">
        <f ca="1"/>
        <v>27875.6211</v>
      </c>
      <c r="E517" s="13">
        <f t="shared" ca="1" si="8"/>
        <v>-5.2812252442557828E-4</v>
      </c>
    </row>
    <row r="518" spans="1:5" x14ac:dyDescent="0.3">
      <c r="A518" s="3" vm="755">
        <f ca="1"/>
        <v>43794</v>
      </c>
      <c r="B518" s="3" vm="2018">
        <f ca="1"/>
        <v>37.74</v>
      </c>
      <c r="D518" s="10" vm="2019">
        <f ca="1"/>
        <v>28051.4146</v>
      </c>
      <c r="E518" s="13">
        <f t="shared" ca="1" si="8"/>
        <v>-2.9062087186261243E-3</v>
      </c>
    </row>
    <row r="519" spans="1:5" x14ac:dyDescent="0.3">
      <c r="A519" s="3" vm="756">
        <f ca="1"/>
        <v>43801</v>
      </c>
      <c r="B519" s="3" vm="2020">
        <f ca="1"/>
        <v>38.369999999999997</v>
      </c>
      <c r="D519" s="10" vm="2021">
        <f ca="1"/>
        <v>28015.0622</v>
      </c>
      <c r="E519" s="13">
        <f t="shared" ca="1" si="8"/>
        <v>1.669316375198715E-2</v>
      </c>
    </row>
    <row r="520" spans="1:5" x14ac:dyDescent="0.3">
      <c r="A520" s="3" vm="757">
        <f ca="1"/>
        <v>43808</v>
      </c>
      <c r="B520" s="3" vm="2022">
        <f ca="1"/>
        <v>38.86</v>
      </c>
      <c r="D520" s="10" vm="2023">
        <f ca="1"/>
        <v>28135.377700000001</v>
      </c>
      <c r="E520" s="13">
        <f t="shared" ca="1" si="8"/>
        <v>1.2770393536617242E-2</v>
      </c>
    </row>
    <row r="521" spans="1:5" x14ac:dyDescent="0.3">
      <c r="A521" s="3" vm="758">
        <f ca="1"/>
        <v>43815</v>
      </c>
      <c r="B521" s="3" vm="2024">
        <f ca="1"/>
        <v>40.25</v>
      </c>
      <c r="D521" s="10" vm="2025">
        <f ca="1"/>
        <v>28455.0887</v>
      </c>
      <c r="E521" s="13">
        <f t="shared" ref="E521:E584" ca="1" si="9">IF(B521&gt;0,B521/B520-1,"")</f>
        <v>3.5769428718476659E-2</v>
      </c>
    </row>
    <row r="522" spans="1:5" x14ac:dyDescent="0.3">
      <c r="A522" s="3" vm="759">
        <f ca="1"/>
        <v>43822</v>
      </c>
      <c r="B522" s="3" vm="2026">
        <f ca="1"/>
        <v>39.299999999999997</v>
      </c>
      <c r="D522" s="10" vm="2027">
        <f ca="1"/>
        <v>28645.260399999999</v>
      </c>
      <c r="E522" s="13">
        <f t="shared" ca="1" si="9"/>
        <v>-2.3602484472049712E-2</v>
      </c>
    </row>
    <row r="523" spans="1:5" x14ac:dyDescent="0.3">
      <c r="A523" s="3" vm="760">
        <f ca="1"/>
        <v>43829</v>
      </c>
      <c r="B523" s="3" vm="2028">
        <f ca="1"/>
        <v>39.65</v>
      </c>
      <c r="D523" s="10" vm="2029">
        <f ca="1"/>
        <v>28634.883699999998</v>
      </c>
      <c r="E523" s="13">
        <f t="shared" ca="1" si="9"/>
        <v>8.9058524173029063E-3</v>
      </c>
    </row>
    <row r="524" spans="1:5" x14ac:dyDescent="0.3">
      <c r="A524" s="3" vm="761">
        <f ca="1"/>
        <v>43836</v>
      </c>
      <c r="B524" s="3" vm="2030">
        <f ca="1"/>
        <v>40.4</v>
      </c>
      <c r="D524" s="10" vm="2031">
        <f ca="1"/>
        <v>28823.766800000001</v>
      </c>
      <c r="E524" s="13">
        <f t="shared" ca="1" si="9"/>
        <v>1.8915510718789497E-2</v>
      </c>
    </row>
    <row r="525" spans="1:5" x14ac:dyDescent="0.3">
      <c r="A525" s="3" vm="762">
        <f ca="1"/>
        <v>43843</v>
      </c>
      <c r="B525" s="3" vm="2032">
        <f ca="1"/>
        <v>41.41</v>
      </c>
      <c r="D525" s="10" vm="2033">
        <f ca="1"/>
        <v>29348.095499999999</v>
      </c>
      <c r="E525" s="13">
        <f t="shared" ca="1" si="9"/>
        <v>2.4999999999999911E-2</v>
      </c>
    </row>
    <row r="526" spans="1:5" x14ac:dyDescent="0.3">
      <c r="A526" s="3" vm="763">
        <f ca="1"/>
        <v>43851</v>
      </c>
      <c r="B526" s="3" vm="2034">
        <f ca="1"/>
        <v>41.83</v>
      </c>
      <c r="D526" s="10" vm="2035">
        <f ca="1"/>
        <v>28989.726200000001</v>
      </c>
      <c r="E526" s="13">
        <f t="shared" ca="1" si="9"/>
        <v>1.0142477662400395E-2</v>
      </c>
    </row>
    <row r="527" spans="1:5" x14ac:dyDescent="0.3">
      <c r="A527" s="3" vm="764">
        <f ca="1"/>
        <v>43857</v>
      </c>
      <c r="B527" s="3" vm="2036">
        <f ca="1"/>
        <v>44.9</v>
      </c>
      <c r="D527" s="10" vm="2037">
        <f ca="1"/>
        <v>28256.032299999999</v>
      </c>
      <c r="E527" s="13">
        <f t="shared" ca="1" si="9"/>
        <v>7.3392302175472102E-2</v>
      </c>
    </row>
    <row r="528" spans="1:5" x14ac:dyDescent="0.3">
      <c r="A528" s="3" vm="765">
        <f ca="1"/>
        <v>43864</v>
      </c>
      <c r="B528" s="3" vm="2038">
        <f ca="1"/>
        <v>46.75</v>
      </c>
      <c r="D528" s="10" vm="2039">
        <f ca="1"/>
        <v>29102.513500000001</v>
      </c>
      <c r="E528" s="13">
        <f t="shared" ca="1" si="9"/>
        <v>4.120267260579058E-2</v>
      </c>
    </row>
    <row r="529" spans="1:5" x14ac:dyDescent="0.3">
      <c r="A529" s="3" vm="766">
        <f ca="1"/>
        <v>43871</v>
      </c>
      <c r="B529" s="3" vm="2040">
        <f ca="1"/>
        <v>47.85</v>
      </c>
      <c r="D529" s="10" vm="2041">
        <f ca="1"/>
        <v>29398.080000000002</v>
      </c>
      <c r="E529" s="13">
        <f t="shared" ca="1" si="9"/>
        <v>2.3529411764706021E-2</v>
      </c>
    </row>
    <row r="530" spans="1:5" x14ac:dyDescent="0.3">
      <c r="A530" s="3" vm="767">
        <f ca="1"/>
        <v>43879</v>
      </c>
      <c r="B530" s="3" vm="2042">
        <f ca="1"/>
        <v>48.36</v>
      </c>
      <c r="D530" s="10" vm="436">
        <f ca="1"/>
        <v>28992.405200000001</v>
      </c>
      <c r="E530" s="13">
        <f t="shared" ca="1" si="9"/>
        <v>1.0658307210031248E-2</v>
      </c>
    </row>
    <row r="531" spans="1:5" x14ac:dyDescent="0.3">
      <c r="A531" s="3" vm="768">
        <f ca="1"/>
        <v>43885</v>
      </c>
      <c r="B531" s="3" vm="2043">
        <f ca="1"/>
        <v>43.01</v>
      </c>
      <c r="D531" s="10" vm="486">
        <f ca="1"/>
        <v>25409.356899999999</v>
      </c>
      <c r="E531" s="13">
        <f t="shared" ca="1" si="9"/>
        <v>-0.11062861869313489</v>
      </c>
    </row>
    <row r="532" spans="1:5" x14ac:dyDescent="0.3">
      <c r="A532" s="3" vm="769">
        <f ca="1"/>
        <v>43892</v>
      </c>
      <c r="B532" s="3" vm="2044">
        <f ca="1"/>
        <v>45.16</v>
      </c>
      <c r="D532" s="10" vm="480">
        <f ca="1"/>
        <v>25864.778900000001</v>
      </c>
      <c r="E532" s="13">
        <f t="shared" ca="1" si="9"/>
        <v>4.9988374796558821E-2</v>
      </c>
    </row>
    <row r="533" spans="1:5" x14ac:dyDescent="0.3">
      <c r="A533" s="3" vm="770">
        <f ca="1"/>
        <v>43899</v>
      </c>
      <c r="B533" s="3" vm="2045">
        <f ca="1"/>
        <v>39.840000000000003</v>
      </c>
      <c r="D533" s="10" vm="506">
        <f ca="1"/>
        <v>23185.622800000001</v>
      </c>
      <c r="E533" s="13">
        <f t="shared" ca="1" si="9"/>
        <v>-0.11780336581045159</v>
      </c>
    </row>
    <row r="534" spans="1:5" x14ac:dyDescent="0.3">
      <c r="A534" s="3" vm="771">
        <f ca="1"/>
        <v>43906</v>
      </c>
      <c r="B534" s="3" vm="2046">
        <f ca="1"/>
        <v>33.619999999999997</v>
      </c>
      <c r="D534" s="10" vm="2047">
        <f ca="1"/>
        <v>19173.975999999999</v>
      </c>
      <c r="E534" s="13">
        <f t="shared" ca="1" si="9"/>
        <v>-0.15612449799196804</v>
      </c>
    </row>
    <row r="535" spans="1:5" x14ac:dyDescent="0.3">
      <c r="A535" s="3" vm="772">
        <f ca="1"/>
        <v>43913</v>
      </c>
      <c r="B535" s="3" vm="2048">
        <f ca="1"/>
        <v>35.93</v>
      </c>
      <c r="D535" s="10" vm="2049">
        <f ca="1"/>
        <v>21636.781200000001</v>
      </c>
      <c r="E535" s="13">
        <f t="shared" ca="1" si="9"/>
        <v>6.8709101725163757E-2</v>
      </c>
    </row>
    <row r="536" spans="1:5" x14ac:dyDescent="0.3">
      <c r="A536" s="3" vm="773">
        <f ca="1"/>
        <v>43920</v>
      </c>
      <c r="B536" s="3" vm="2050">
        <f ca="1"/>
        <v>33.409999999999997</v>
      </c>
      <c r="D536" s="10" vm="2051">
        <f ca="1"/>
        <v>21052.534800000001</v>
      </c>
      <c r="E536" s="13">
        <f t="shared" ca="1" si="9"/>
        <v>-7.0136376287225244E-2</v>
      </c>
    </row>
    <row r="537" spans="1:5" x14ac:dyDescent="0.3">
      <c r="A537" s="3" vm="774">
        <f ca="1"/>
        <v>43927</v>
      </c>
      <c r="B537" s="3" vm="2052">
        <f ca="1"/>
        <v>39.03</v>
      </c>
      <c r="D537" s="10" vm="502">
        <f ca="1"/>
        <v>23719.373</v>
      </c>
      <c r="E537" s="13">
        <f t="shared" ca="1" si="9"/>
        <v>0.16821310984735116</v>
      </c>
    </row>
    <row r="538" spans="1:5" x14ac:dyDescent="0.3">
      <c r="A538" s="3" vm="775">
        <f ca="1"/>
        <v>43934</v>
      </c>
      <c r="B538" s="3" vm="2053">
        <f ca="1"/>
        <v>38.1</v>
      </c>
      <c r="D538" s="10" vm="496">
        <f ca="1"/>
        <v>24242.493600000002</v>
      </c>
      <c r="E538" s="13">
        <f t="shared" ca="1" si="9"/>
        <v>-2.3827824750192184E-2</v>
      </c>
    </row>
    <row r="539" spans="1:5" x14ac:dyDescent="0.3">
      <c r="A539" s="3" vm="776">
        <f ca="1"/>
        <v>43941</v>
      </c>
      <c r="B539" s="3" vm="1976">
        <f ca="1"/>
        <v>34.76</v>
      </c>
      <c r="D539" s="10" vm="498">
        <f ca="1"/>
        <v>23775.272199999999</v>
      </c>
      <c r="E539" s="13">
        <f t="shared" ca="1" si="9"/>
        <v>-8.7664041994750752E-2</v>
      </c>
    </row>
    <row r="540" spans="1:5" x14ac:dyDescent="0.3">
      <c r="A540" s="3" vm="777">
        <f ca="1"/>
        <v>43948</v>
      </c>
      <c r="B540" s="3" vm="2054">
        <f ca="1"/>
        <v>35.06</v>
      </c>
      <c r="D540" s="10" vm="500">
        <f ca="1"/>
        <v>23723.694</v>
      </c>
      <c r="E540" s="13">
        <f t="shared" ca="1" si="9"/>
        <v>8.6306098964328282E-3</v>
      </c>
    </row>
    <row r="541" spans="1:5" x14ac:dyDescent="0.3">
      <c r="A541" s="3" vm="778">
        <f ca="1"/>
        <v>43955</v>
      </c>
      <c r="B541" s="3" vm="2055">
        <f ca="1"/>
        <v>37.6</v>
      </c>
      <c r="D541" s="10" vm="494">
        <f ca="1"/>
        <v>24331.314999999999</v>
      </c>
      <c r="E541" s="13">
        <f t="shared" ca="1" si="9"/>
        <v>7.2447233314318238E-2</v>
      </c>
    </row>
    <row r="542" spans="1:5" x14ac:dyDescent="0.3">
      <c r="A542" s="3" vm="779">
        <f ca="1"/>
        <v>43962</v>
      </c>
      <c r="B542" s="3" vm="2056">
        <f ca="1"/>
        <v>37</v>
      </c>
      <c r="D542" s="10" vm="504">
        <f ca="1"/>
        <v>23685.421900000001</v>
      </c>
      <c r="E542" s="13">
        <f t="shared" ca="1" si="9"/>
        <v>-1.5957446808510634E-2</v>
      </c>
    </row>
    <row r="543" spans="1:5" x14ac:dyDescent="0.3">
      <c r="A543" s="3" vm="780">
        <f ca="1"/>
        <v>43969</v>
      </c>
      <c r="B543" s="3" vm="2057">
        <f ca="1"/>
        <v>38.42</v>
      </c>
      <c r="D543" s="10" vm="492">
        <f ca="1"/>
        <v>24465.164499999999</v>
      </c>
      <c r="E543" s="13">
        <f t="shared" ca="1" si="9"/>
        <v>3.837837837837843E-2</v>
      </c>
    </row>
    <row r="544" spans="1:5" x14ac:dyDescent="0.3">
      <c r="A544" s="3" vm="781">
        <f ca="1"/>
        <v>43977</v>
      </c>
      <c r="B544" s="3" vm="2058">
        <f ca="1"/>
        <v>40.200000000000003</v>
      </c>
      <c r="D544" s="10" vm="488">
        <f ca="1"/>
        <v>25383.1119</v>
      </c>
      <c r="E544" s="13">
        <f t="shared" ca="1" si="9"/>
        <v>4.6330036439354627E-2</v>
      </c>
    </row>
    <row r="545" spans="1:5" x14ac:dyDescent="0.3">
      <c r="A545" s="3" vm="782">
        <f ca="1"/>
        <v>43983</v>
      </c>
      <c r="B545" s="3" vm="2059">
        <f ca="1"/>
        <v>42.73</v>
      </c>
      <c r="D545" s="10" vm="466">
        <f ca="1"/>
        <v>27110.980500000001</v>
      </c>
      <c r="E545" s="13">
        <f t="shared" ca="1" si="9"/>
        <v>6.2935323383084496E-2</v>
      </c>
    </row>
    <row r="546" spans="1:5" x14ac:dyDescent="0.3">
      <c r="A546" s="3" vm="783">
        <f ca="1"/>
        <v>43990</v>
      </c>
      <c r="B546" s="3" vm="2060">
        <f ca="1"/>
        <v>40.67</v>
      </c>
      <c r="D546" s="10" vm="484">
        <f ca="1"/>
        <v>25605.542700000002</v>
      </c>
      <c r="E546" s="13">
        <f t="shared" ca="1" si="9"/>
        <v>-4.8209688743271584E-2</v>
      </c>
    </row>
    <row r="547" spans="1:5" x14ac:dyDescent="0.3">
      <c r="A547" s="3" vm="784">
        <f ca="1"/>
        <v>43997</v>
      </c>
      <c r="B547" s="3" vm="2061">
        <f ca="1"/>
        <v>41.13</v>
      </c>
      <c r="D547" s="10" vm="478">
        <f ca="1"/>
        <v>25871.458299999998</v>
      </c>
      <c r="E547" s="13">
        <f t="shared" ca="1" si="9"/>
        <v>1.1310548315711877E-2</v>
      </c>
    </row>
    <row r="548" spans="1:5" x14ac:dyDescent="0.3">
      <c r="A548" s="3" vm="785">
        <f ca="1"/>
        <v>44004</v>
      </c>
      <c r="B548" s="3" vm="2062">
        <f ca="1"/>
        <v>40.08</v>
      </c>
      <c r="D548" s="10" vm="490">
        <f ca="1"/>
        <v>25015.5488</v>
      </c>
      <c r="E548" s="13">
        <f t="shared" ca="1" si="9"/>
        <v>-2.5528811086798053E-2</v>
      </c>
    </row>
    <row r="549" spans="1:5" x14ac:dyDescent="0.3">
      <c r="A549" s="3" vm="786">
        <f ca="1"/>
        <v>44011</v>
      </c>
      <c r="B549" s="3" vm="2063">
        <f ca="1"/>
        <v>40.85</v>
      </c>
      <c r="D549" s="10" vm="482">
        <f ca="1"/>
        <v>25827.356299999999</v>
      </c>
      <c r="E549" s="13">
        <f t="shared" ca="1" si="9"/>
        <v>1.9211576846307477E-2</v>
      </c>
    </row>
    <row r="550" spans="1:5" x14ac:dyDescent="0.3">
      <c r="A550" s="3" vm="787">
        <f ca="1"/>
        <v>44018</v>
      </c>
      <c r="B550" s="3" vm="2064">
        <f ca="1"/>
        <v>41.42</v>
      </c>
      <c r="D550" s="10" vm="476">
        <f ca="1"/>
        <v>26075.301800000001</v>
      </c>
      <c r="E550" s="13">
        <f t="shared" ca="1" si="9"/>
        <v>1.3953488372093092E-2</v>
      </c>
    </row>
    <row r="551" spans="1:5" x14ac:dyDescent="0.3">
      <c r="A551" s="3" vm="788">
        <f ca="1"/>
        <v>44025</v>
      </c>
      <c r="B551" s="3" vm="2065">
        <f ca="1"/>
        <v>43.7</v>
      </c>
      <c r="D551" s="10" vm="468">
        <f ca="1"/>
        <v>26671.948799999998</v>
      </c>
      <c r="E551" s="13">
        <f t="shared" ca="1" si="9"/>
        <v>5.5045871559633142E-2</v>
      </c>
    </row>
    <row r="552" spans="1:5" x14ac:dyDescent="0.3">
      <c r="A552" s="3" vm="789">
        <f ca="1"/>
        <v>44032</v>
      </c>
      <c r="B552" s="3" vm="2066">
        <f ca="1"/>
        <v>45.4</v>
      </c>
      <c r="D552" s="10" vm="472">
        <f ca="1"/>
        <v>26469.888599999998</v>
      </c>
      <c r="E552" s="13">
        <f t="shared" ca="1" si="9"/>
        <v>3.8901601830663601E-2</v>
      </c>
    </row>
    <row r="553" spans="1:5" x14ac:dyDescent="0.3">
      <c r="A553" s="3" vm="790">
        <f ca="1"/>
        <v>44039</v>
      </c>
      <c r="B553" s="3" vm="2067">
        <f ca="1"/>
        <v>45.47</v>
      </c>
      <c r="D553" s="10" vm="474">
        <f ca="1"/>
        <v>26428.324199999999</v>
      </c>
      <c r="E553" s="13">
        <f t="shared" ca="1" si="9"/>
        <v>1.5418502202644291E-3</v>
      </c>
    </row>
    <row r="554" spans="1:5" x14ac:dyDescent="0.3">
      <c r="A554" s="3" vm="791">
        <f ca="1"/>
        <v>44046</v>
      </c>
      <c r="B554" s="3" vm="2068">
        <f ca="1"/>
        <v>46.06</v>
      </c>
      <c r="D554" s="10" vm="462">
        <f ca="1"/>
        <v>27433.481199999998</v>
      </c>
      <c r="E554" s="13">
        <f t="shared" ca="1" si="9"/>
        <v>1.2975588299978025E-2</v>
      </c>
    </row>
    <row r="555" spans="1:5" x14ac:dyDescent="0.3">
      <c r="A555" s="3" vm="792">
        <f ca="1"/>
        <v>44053</v>
      </c>
      <c r="B555" s="3" vm="2069">
        <f ca="1"/>
        <v>45.82</v>
      </c>
      <c r="D555" s="10" vm="452">
        <f ca="1"/>
        <v>27931.018499999998</v>
      </c>
      <c r="E555" s="13">
        <f t="shared" ca="1" si="9"/>
        <v>-5.21059487624842E-3</v>
      </c>
    </row>
    <row r="556" spans="1:5" x14ac:dyDescent="0.3">
      <c r="A556" s="3" vm="793">
        <f ca="1"/>
        <v>44060</v>
      </c>
      <c r="B556" s="3" vm="2070">
        <f ca="1"/>
        <v>45.52</v>
      </c>
      <c r="D556" s="10" vm="454">
        <f ca="1"/>
        <v>27930.332600000002</v>
      </c>
      <c r="E556" s="13">
        <f t="shared" ca="1" si="9"/>
        <v>-6.5473592317764062E-3</v>
      </c>
    </row>
    <row r="557" spans="1:5" x14ac:dyDescent="0.3">
      <c r="A557" s="3" vm="794">
        <f ca="1"/>
        <v>44067</v>
      </c>
      <c r="B557" s="3" vm="2071">
        <f ca="1"/>
        <v>46.21</v>
      </c>
      <c r="D557" s="10" vm="440">
        <f ca="1"/>
        <v>28653.867300000002</v>
      </c>
      <c r="E557" s="13">
        <f t="shared" ca="1" si="9"/>
        <v>1.5158172231985789E-2</v>
      </c>
    </row>
    <row r="558" spans="1:5" x14ac:dyDescent="0.3">
      <c r="A558" s="3" vm="795">
        <f ca="1"/>
        <v>44074</v>
      </c>
      <c r="B558" s="3" vm="2072">
        <f ca="1"/>
        <v>45.25</v>
      </c>
      <c r="D558" s="10" vm="450">
        <f ca="1"/>
        <v>28133.313200000001</v>
      </c>
      <c r="E558" s="13">
        <f t="shared" ca="1" si="9"/>
        <v>-2.0774724085695806E-2</v>
      </c>
    </row>
    <row r="559" spans="1:5" x14ac:dyDescent="0.3">
      <c r="A559" s="3" vm="796">
        <f ca="1"/>
        <v>44082</v>
      </c>
      <c r="B559" s="3" vm="2073">
        <f ca="1"/>
        <v>44.64</v>
      </c>
      <c r="D559" s="10" vm="458">
        <f ca="1"/>
        <v>27665.641800000001</v>
      </c>
      <c r="E559" s="13">
        <f t="shared" ca="1" si="9"/>
        <v>-1.3480662983425429E-2</v>
      </c>
    </row>
    <row r="560" spans="1:5" x14ac:dyDescent="0.3">
      <c r="A560" s="3" vm="797">
        <f ca="1"/>
        <v>44088</v>
      </c>
      <c r="B560" s="3" vm="2074">
        <f ca="1"/>
        <v>44.8</v>
      </c>
      <c r="D560" s="10" vm="460">
        <f ca="1"/>
        <v>27657.4175</v>
      </c>
      <c r="E560" s="13">
        <f t="shared" ca="1" si="9"/>
        <v>3.5842293906809264E-3</v>
      </c>
    </row>
    <row r="561" spans="1:5" x14ac:dyDescent="0.3">
      <c r="A561" s="3" vm="798">
        <f ca="1"/>
        <v>44095</v>
      </c>
      <c r="B561" s="3" vm="2075">
        <f ca="1"/>
        <v>43.94</v>
      </c>
      <c r="D561" s="10" vm="464">
        <f ca="1"/>
        <v>27173.955300000001</v>
      </c>
      <c r="E561" s="13">
        <f t="shared" ca="1" si="9"/>
        <v>-1.9196428571428559E-2</v>
      </c>
    </row>
    <row r="562" spans="1:5" x14ac:dyDescent="0.3">
      <c r="A562" s="3" vm="799">
        <f ca="1"/>
        <v>44102</v>
      </c>
      <c r="B562" s="3" vm="2076">
        <f ca="1"/>
        <v>45.36</v>
      </c>
      <c r="D562" s="10" vm="456">
        <f ca="1"/>
        <v>27682.814399999999</v>
      </c>
      <c r="E562" s="13">
        <f t="shared" ca="1" si="9"/>
        <v>3.2316795630405126E-2</v>
      </c>
    </row>
    <row r="563" spans="1:5" x14ac:dyDescent="0.3">
      <c r="A563" s="3" vm="800">
        <f ca="1"/>
        <v>44109</v>
      </c>
      <c r="B563" s="3" vm="2077">
        <f ca="1"/>
        <v>47.22</v>
      </c>
      <c r="D563" s="10" vm="444">
        <f ca="1"/>
        <v>28586.904399999999</v>
      </c>
      <c r="E563" s="13">
        <f t="shared" ca="1" si="9"/>
        <v>4.1005291005290934E-2</v>
      </c>
    </row>
    <row r="564" spans="1:5" x14ac:dyDescent="0.3">
      <c r="A564" s="3" vm="801">
        <f ca="1"/>
        <v>44116</v>
      </c>
      <c r="B564" s="3" vm="2078">
        <f ca="1"/>
        <v>47.45</v>
      </c>
      <c r="D564" s="10" vm="442">
        <f ca="1"/>
        <v>28606.313900000001</v>
      </c>
      <c r="E564" s="13">
        <f t="shared" ca="1" si="9"/>
        <v>4.8708174502329893E-3</v>
      </c>
    </row>
    <row r="565" spans="1:5" x14ac:dyDescent="0.3">
      <c r="A565" s="3" vm="802">
        <f ca="1"/>
        <v>44123</v>
      </c>
      <c r="B565" s="3" vm="2079">
        <f ca="1"/>
        <v>46.72</v>
      </c>
      <c r="D565" s="10" vm="446">
        <f ca="1"/>
        <v>28335.567200000001</v>
      </c>
      <c r="E565" s="13">
        <f t="shared" ca="1" si="9"/>
        <v>-1.5384615384615441E-2</v>
      </c>
    </row>
    <row r="566" spans="1:5" x14ac:dyDescent="0.3">
      <c r="A566" s="3" vm="803">
        <f ca="1"/>
        <v>44130</v>
      </c>
      <c r="B566" s="3" vm="2080">
        <f ca="1"/>
        <v>43.51</v>
      </c>
      <c r="D566" s="10" vm="470">
        <f ca="1"/>
        <v>26501.595499999999</v>
      </c>
      <c r="E566" s="13">
        <f t="shared" ca="1" si="9"/>
        <v>-6.8707191780821963E-2</v>
      </c>
    </row>
    <row r="567" spans="1:5" x14ac:dyDescent="0.3">
      <c r="A567" s="3" vm="804">
        <f ca="1"/>
        <v>44137</v>
      </c>
      <c r="B567" s="3" vm="2081">
        <f ca="1"/>
        <v>45.73</v>
      </c>
      <c r="D567" s="10" vm="448">
        <f ca="1"/>
        <v>28323.395100000002</v>
      </c>
      <c r="E567" s="13">
        <f t="shared" ca="1" si="9"/>
        <v>5.1022753390025155E-2</v>
      </c>
    </row>
    <row r="568" spans="1:5" x14ac:dyDescent="0.3">
      <c r="A568" s="3" vm="805">
        <f ca="1"/>
        <v>44144</v>
      </c>
      <c r="B568" s="3" vm="2082">
        <f ca="1"/>
        <v>47.16</v>
      </c>
      <c r="D568" s="10" vm="430">
        <f ca="1"/>
        <v>29479.809300000001</v>
      </c>
      <c r="E568" s="13">
        <f t="shared" ca="1" si="9"/>
        <v>3.1270500765361975E-2</v>
      </c>
    </row>
    <row r="569" spans="1:5" x14ac:dyDescent="0.3">
      <c r="A569" s="3" vm="806">
        <f ca="1"/>
        <v>44151</v>
      </c>
      <c r="B569" s="3" vm="2083">
        <f ca="1"/>
        <v>47.18</v>
      </c>
      <c r="D569" s="10" vm="434">
        <f ca="1"/>
        <v>29263.4751</v>
      </c>
      <c r="E569" s="13">
        <f t="shared" ca="1" si="9"/>
        <v>4.240882103478949E-4</v>
      </c>
    </row>
    <row r="570" spans="1:5" x14ac:dyDescent="0.3">
      <c r="A570" s="3" vm="807">
        <f ca="1"/>
        <v>44158</v>
      </c>
      <c r="B570" s="3" vm="2084">
        <f ca="1"/>
        <v>45.62</v>
      </c>
      <c r="D570" s="10" vm="422">
        <f ca="1"/>
        <v>29910.372200000002</v>
      </c>
      <c r="E570" s="13">
        <f t="shared" ca="1" si="9"/>
        <v>-3.3064857990674046E-2</v>
      </c>
    </row>
    <row r="571" spans="1:5" x14ac:dyDescent="0.3">
      <c r="A571" s="3" vm="808">
        <f ca="1"/>
        <v>44165</v>
      </c>
      <c r="B571" s="3" vm="2085">
        <f ca="1"/>
        <v>44.81</v>
      </c>
      <c r="D571" s="10" vm="412">
        <f ca="1"/>
        <v>30218.260200000001</v>
      </c>
      <c r="E571" s="13">
        <f t="shared" ca="1" si="9"/>
        <v>-1.7755370451556285E-2</v>
      </c>
    </row>
    <row r="572" spans="1:5" x14ac:dyDescent="0.3">
      <c r="A572" s="3" vm="809">
        <f ca="1"/>
        <v>44172</v>
      </c>
      <c r="B572" s="3" vm="2086">
        <f ca="1"/>
        <v>45.01</v>
      </c>
      <c r="D572" s="10" vm="418">
        <f ca="1"/>
        <v>30046.370599999998</v>
      </c>
      <c r="E572" s="13">
        <f t="shared" ca="1" si="9"/>
        <v>4.4632894443203952E-3</v>
      </c>
    </row>
    <row r="573" spans="1:5" x14ac:dyDescent="0.3">
      <c r="A573" s="3" vm="810">
        <f ca="1"/>
        <v>44179</v>
      </c>
      <c r="B573" s="3" vm="2087">
        <f ca="1"/>
        <v>45.97</v>
      </c>
      <c r="D573" s="10" vm="416">
        <f ca="1"/>
        <v>30179.046300000002</v>
      </c>
      <c r="E573" s="13">
        <f t="shared" ca="1" si="9"/>
        <v>2.1328593645856486E-2</v>
      </c>
    </row>
    <row r="574" spans="1:5" x14ac:dyDescent="0.3">
      <c r="A574" s="3" vm="811">
        <f ca="1"/>
        <v>44186</v>
      </c>
      <c r="B574" s="3" vm="2088">
        <f ca="1"/>
        <v>46.31</v>
      </c>
      <c r="D574" s="10" vm="414">
        <f ca="1"/>
        <v>30199.870500000001</v>
      </c>
      <c r="E574" s="13">
        <f t="shared" ca="1" si="9"/>
        <v>7.3961279095062782E-3</v>
      </c>
    </row>
    <row r="575" spans="1:5" x14ac:dyDescent="0.3">
      <c r="A575" s="3" vm="812">
        <f ca="1"/>
        <v>44193</v>
      </c>
      <c r="B575" s="3" vm="2089">
        <f ca="1"/>
        <v>47.41</v>
      </c>
      <c r="D575" s="10" vm="410">
        <f ca="1"/>
        <v>30606.484</v>
      </c>
      <c r="E575" s="13">
        <f t="shared" ca="1" si="9"/>
        <v>2.375296912114E-2</v>
      </c>
    </row>
    <row r="576" spans="1:5" x14ac:dyDescent="0.3">
      <c r="A576" s="3" vm="813">
        <f ca="1"/>
        <v>44200</v>
      </c>
      <c r="B576" s="3" vm="2090">
        <f ca="1"/>
        <v>48.02</v>
      </c>
      <c r="D576" s="10" vm="396">
        <f ca="1"/>
        <v>31097.9732</v>
      </c>
      <c r="E576" s="13">
        <f t="shared" ca="1" si="9"/>
        <v>1.2866483864163891E-2</v>
      </c>
    </row>
    <row r="577" spans="1:5" x14ac:dyDescent="0.3">
      <c r="A577" s="3" vm="814">
        <f ca="1"/>
        <v>44207</v>
      </c>
      <c r="B577" s="3" vm="2091">
        <f ca="1"/>
        <v>46.3</v>
      </c>
      <c r="D577" s="10" vm="408">
        <f ca="1"/>
        <v>30814.264800000001</v>
      </c>
      <c r="E577" s="13">
        <f t="shared" ca="1" si="9"/>
        <v>-3.5818408996251661E-2</v>
      </c>
    </row>
    <row r="578" spans="1:5" x14ac:dyDescent="0.3">
      <c r="A578" s="3" vm="815">
        <f ca="1"/>
        <v>44215</v>
      </c>
      <c r="B578" s="3" vm="2092">
        <f ca="1"/>
        <v>47.49</v>
      </c>
      <c r="D578" s="10" vm="402">
        <f ca="1"/>
        <v>30996.977699999999</v>
      </c>
      <c r="E578" s="13">
        <f t="shared" ca="1" si="9"/>
        <v>2.5701943844492536E-2</v>
      </c>
    </row>
    <row r="579" spans="1:5" x14ac:dyDescent="0.3">
      <c r="A579" s="3" vm="816">
        <f ca="1"/>
        <v>44221</v>
      </c>
      <c r="B579" s="3" vm="2093">
        <f ca="1"/>
        <v>43.09</v>
      </c>
      <c r="D579" s="10" vm="420">
        <f ca="1"/>
        <v>29982.6152</v>
      </c>
      <c r="E579" s="13">
        <f t="shared" ca="1" si="9"/>
        <v>-9.265108443882919E-2</v>
      </c>
    </row>
    <row r="580" spans="1:5" x14ac:dyDescent="0.3">
      <c r="A580" s="3" vm="817">
        <f ca="1"/>
        <v>44228</v>
      </c>
      <c r="B580" s="3" vm="2094">
        <f ca="1"/>
        <v>44.77</v>
      </c>
      <c r="D580" s="10" vm="394">
        <f ca="1"/>
        <v>31148.240600000001</v>
      </c>
      <c r="E580" s="13">
        <f t="shared" ca="1" si="9"/>
        <v>3.8988164307263817E-2</v>
      </c>
    </row>
    <row r="581" spans="1:5" x14ac:dyDescent="0.3">
      <c r="A581" s="3" vm="818">
        <f ca="1"/>
        <v>44235</v>
      </c>
      <c r="B581" s="3" vm="2074">
        <f ca="1"/>
        <v>44.8</v>
      </c>
      <c r="D581" s="10" vm="382">
        <f ca="1"/>
        <v>31458.3986</v>
      </c>
      <c r="E581" s="13">
        <f t="shared" ca="1" si="9"/>
        <v>6.7009157918240803E-4</v>
      </c>
    </row>
    <row r="582" spans="1:5" x14ac:dyDescent="0.3">
      <c r="A582" s="3" vm="819">
        <f ca="1"/>
        <v>44243</v>
      </c>
      <c r="B582" s="3" vm="2095">
        <f ca="1"/>
        <v>45.59</v>
      </c>
      <c r="D582" s="10" vm="380">
        <f ca="1"/>
        <v>31494.322700000001</v>
      </c>
      <c r="E582" s="13">
        <f t="shared" ca="1" si="9"/>
        <v>1.7633928571428648E-2</v>
      </c>
    </row>
    <row r="583" spans="1:5" x14ac:dyDescent="0.3">
      <c r="A583" s="3" vm="820">
        <f ca="1"/>
        <v>44249</v>
      </c>
      <c r="B583" s="3" vm="2096">
        <f ca="1"/>
        <v>45.9</v>
      </c>
      <c r="D583" s="10" vm="404">
        <f ca="1"/>
        <v>30932.366999999998</v>
      </c>
      <c r="E583" s="13">
        <f t="shared" ca="1" si="9"/>
        <v>6.799736784382393E-3</v>
      </c>
    </row>
    <row r="584" spans="1:5" x14ac:dyDescent="0.3">
      <c r="A584" s="3" vm="821">
        <f ca="1"/>
        <v>44256</v>
      </c>
      <c r="B584" s="3" vm="2097">
        <f ca="1"/>
        <v>46.04</v>
      </c>
      <c r="D584" s="10" vm="378">
        <f ca="1"/>
        <v>31496.2965</v>
      </c>
      <c r="E584" s="13">
        <f t="shared" ca="1" si="9"/>
        <v>3.0501089324619368E-3</v>
      </c>
    </row>
    <row r="585" spans="1:5" x14ac:dyDescent="0.3">
      <c r="A585" s="3" vm="822">
        <f ca="1"/>
        <v>44263</v>
      </c>
      <c r="B585" s="3" vm="2098">
        <f ca="1"/>
        <v>46.82</v>
      </c>
      <c r="D585" s="10" vm="354">
        <f ca="1"/>
        <v>32778.642399999997</v>
      </c>
      <c r="E585" s="13">
        <f t="shared" ref="E585:E648" ca="1" si="10">IF(B585&gt;0,B585/B584-1,"")</f>
        <v>1.6941789748045277E-2</v>
      </c>
    </row>
    <row r="586" spans="1:5" x14ac:dyDescent="0.3">
      <c r="A586" s="3" vm="823">
        <f ca="1"/>
        <v>44270</v>
      </c>
      <c r="B586" s="3" vm="2099">
        <f ca="1"/>
        <v>44.76</v>
      </c>
      <c r="D586" s="10" vm="356">
        <f ca="1"/>
        <v>32627.971699999998</v>
      </c>
      <c r="E586" s="13">
        <f t="shared" ca="1" si="10"/>
        <v>-4.3998291328492201E-2</v>
      </c>
    </row>
    <row r="587" spans="1:5" x14ac:dyDescent="0.3">
      <c r="A587" s="3" vm="824">
        <f ca="1"/>
        <v>44277</v>
      </c>
      <c r="B587" s="3" vm="2100">
        <f ca="1"/>
        <v>46.19</v>
      </c>
      <c r="D587" s="10" vm="334">
        <f ca="1"/>
        <v>33072.877899999999</v>
      </c>
      <c r="E587" s="13">
        <f t="shared" ca="1" si="10"/>
        <v>3.1948168007149169E-2</v>
      </c>
    </row>
    <row r="588" spans="1:5" x14ac:dyDescent="0.3">
      <c r="A588" s="3" vm="825">
        <f ca="1"/>
        <v>44284</v>
      </c>
      <c r="B588" s="3" vm="2101">
        <f ca="1"/>
        <v>46.52</v>
      </c>
      <c r="D588" s="10" vm="326">
        <f ca="1"/>
        <v>33153.2137</v>
      </c>
      <c r="E588" s="13">
        <f t="shared" ca="1" si="10"/>
        <v>7.1444035505521253E-3</v>
      </c>
    </row>
    <row r="589" spans="1:5" x14ac:dyDescent="0.3">
      <c r="A589" s="3" vm="826">
        <f ca="1"/>
        <v>44291</v>
      </c>
      <c r="B589" s="3" vm="2102">
        <f ca="1"/>
        <v>47.83</v>
      </c>
      <c r="D589" s="10" vm="278">
        <f ca="1"/>
        <v>33800.604299999999</v>
      </c>
      <c r="E589" s="13">
        <f t="shared" ca="1" si="10"/>
        <v>2.8159931212381695E-2</v>
      </c>
    </row>
    <row r="590" spans="1:5" x14ac:dyDescent="0.3">
      <c r="A590" s="3" vm="827">
        <f ca="1"/>
        <v>44298</v>
      </c>
      <c r="B590" s="3" vm="2103">
        <f ca="1"/>
        <v>49.55</v>
      </c>
      <c r="D590" s="10" vm="246">
        <f ca="1"/>
        <v>34200.671199999997</v>
      </c>
      <c r="E590" s="13">
        <f t="shared" ca="1" si="10"/>
        <v>3.5960694125026116E-2</v>
      </c>
    </row>
    <row r="591" spans="1:5" x14ac:dyDescent="0.3">
      <c r="A591" s="3" vm="828">
        <f ca="1"/>
        <v>44305</v>
      </c>
      <c r="B591" s="3" vm="2104">
        <f ca="1"/>
        <v>50.48</v>
      </c>
      <c r="D591" s="10" vm="256">
        <f ca="1"/>
        <v>34043.486799999999</v>
      </c>
      <c r="E591" s="13">
        <f t="shared" ca="1" si="10"/>
        <v>1.8768920282542956E-2</v>
      </c>
    </row>
    <row r="592" spans="1:5" x14ac:dyDescent="0.3">
      <c r="A592" s="3" vm="829">
        <f ca="1"/>
        <v>44312</v>
      </c>
      <c r="B592" s="3" vm="2105">
        <f ca="1"/>
        <v>53.18</v>
      </c>
      <c r="D592" s="10" vm="268">
        <f ca="1"/>
        <v>33874.853999999999</v>
      </c>
      <c r="E592" s="13">
        <f t="shared" ca="1" si="10"/>
        <v>5.3486529318542031E-2</v>
      </c>
    </row>
    <row r="593" spans="1:5" x14ac:dyDescent="0.3">
      <c r="A593" s="3" vm="830">
        <f ca="1"/>
        <v>44319</v>
      </c>
      <c r="B593" s="3" vm="2106">
        <f ca="1"/>
        <v>53.69</v>
      </c>
      <c r="D593" s="10" vm="186">
        <f ca="1"/>
        <v>34777.759700000002</v>
      </c>
      <c r="E593" s="13">
        <f t="shared" ca="1" si="10"/>
        <v>9.5900714554344457E-3</v>
      </c>
    </row>
    <row r="594" spans="1:5" x14ac:dyDescent="0.3">
      <c r="A594" s="3" vm="831">
        <f ca="1"/>
        <v>44326</v>
      </c>
      <c r="B594" s="3" vm="2107">
        <f ca="1"/>
        <v>52.51</v>
      </c>
      <c r="D594" s="10" vm="228">
        <f ca="1"/>
        <v>34382.133999999998</v>
      </c>
      <c r="E594" s="13">
        <f t="shared" ca="1" si="10"/>
        <v>-2.1978021978022011E-2</v>
      </c>
    </row>
    <row r="595" spans="1:5" x14ac:dyDescent="0.3">
      <c r="A595" s="3" vm="832">
        <f ca="1"/>
        <v>44333</v>
      </c>
      <c r="B595" s="3" vm="2108">
        <f ca="1"/>
        <v>52.09</v>
      </c>
      <c r="D595" s="10" vm="244">
        <f ca="1"/>
        <v>34207.842900000003</v>
      </c>
      <c r="E595" s="13">
        <f t="shared" ca="1" si="10"/>
        <v>-7.9984764806702024E-3</v>
      </c>
    </row>
    <row r="596" spans="1:5" x14ac:dyDescent="0.3">
      <c r="A596" s="3" vm="833">
        <f ca="1"/>
        <v>44340</v>
      </c>
      <c r="B596" s="3" vm="2109">
        <f ca="1"/>
        <v>52.52</v>
      </c>
      <c r="D596" s="10" vm="212">
        <f ca="1"/>
        <v>34529.449200000003</v>
      </c>
      <c r="E596" s="13">
        <f t="shared" ca="1" si="10"/>
        <v>8.254943367248968E-3</v>
      </c>
    </row>
    <row r="597" spans="1:5" x14ac:dyDescent="0.3">
      <c r="A597" s="3" vm="834">
        <f ca="1"/>
        <v>44348</v>
      </c>
      <c r="B597" s="3" vm="2110">
        <f ca="1"/>
        <v>52.37</v>
      </c>
      <c r="D597" s="10" vm="188">
        <f ca="1"/>
        <v>34756.388800000001</v>
      </c>
      <c r="E597" s="13">
        <f t="shared" ca="1" si="10"/>
        <v>-2.8560548362529525E-3</v>
      </c>
    </row>
    <row r="598" spans="1:5" x14ac:dyDescent="0.3">
      <c r="A598" s="3" vm="835">
        <f ca="1"/>
        <v>44354</v>
      </c>
      <c r="B598" s="3" vm="2111">
        <f ca="1"/>
        <v>52.17</v>
      </c>
      <c r="D598" s="10" vm="218">
        <f ca="1"/>
        <v>34479.6008</v>
      </c>
      <c r="E598" s="13">
        <f t="shared" ca="1" si="10"/>
        <v>-3.8189803322512539E-3</v>
      </c>
    </row>
    <row r="599" spans="1:5" x14ac:dyDescent="0.3">
      <c r="A599" s="3" vm="836">
        <f ca="1"/>
        <v>44361</v>
      </c>
      <c r="B599" s="3" vm="2112">
        <f ca="1"/>
        <v>51.81</v>
      </c>
      <c r="D599" s="10" vm="318">
        <f ca="1"/>
        <v>33290.083700000003</v>
      </c>
      <c r="E599" s="13">
        <f t="shared" ca="1" si="10"/>
        <v>-6.9005175388153761E-3</v>
      </c>
    </row>
    <row r="600" spans="1:5" x14ac:dyDescent="0.3">
      <c r="A600" s="3" vm="837">
        <f ca="1"/>
        <v>44368</v>
      </c>
      <c r="B600" s="3" vm="2113">
        <f ca="1"/>
        <v>53.49</v>
      </c>
      <c r="D600" s="10" vm="222">
        <f ca="1"/>
        <v>34433.842499999999</v>
      </c>
      <c r="E600" s="13">
        <f t="shared" ca="1" si="10"/>
        <v>3.2426172553561061E-2</v>
      </c>
    </row>
    <row r="601" spans="1:5" x14ac:dyDescent="0.3">
      <c r="A601" s="3" vm="838">
        <f ca="1"/>
        <v>44375</v>
      </c>
      <c r="B601" s="3" vm="2114">
        <f ca="1"/>
        <v>53.67</v>
      </c>
      <c r="D601" s="10" vm="184">
        <f ca="1"/>
        <v>34786.345699999998</v>
      </c>
      <c r="E601" s="13">
        <f t="shared" ca="1" si="10"/>
        <v>3.3651149747615516E-3</v>
      </c>
    </row>
    <row r="602" spans="1:5" x14ac:dyDescent="0.3">
      <c r="A602" s="3" vm="839">
        <f ca="1"/>
        <v>44383</v>
      </c>
      <c r="B602" s="3" vm="2115">
        <f ca="1"/>
        <v>52.95</v>
      </c>
      <c r="D602" s="10" vm="174">
        <f ca="1"/>
        <v>34870.159</v>
      </c>
      <c r="E602" s="13">
        <f t="shared" ca="1" si="10"/>
        <v>-1.3415315818893214E-2</v>
      </c>
    </row>
    <row r="603" spans="1:5" x14ac:dyDescent="0.3">
      <c r="A603" s="3" vm="840">
        <f ca="1"/>
        <v>44389</v>
      </c>
      <c r="B603" s="3" vm="2116">
        <f ca="1"/>
        <v>53.74</v>
      </c>
      <c r="D603" s="10" vm="200">
        <f ca="1"/>
        <v>34687.850200000001</v>
      </c>
      <c r="E603" s="13">
        <f t="shared" ca="1" si="10"/>
        <v>1.491973559962223E-2</v>
      </c>
    </row>
    <row r="604" spans="1:5" x14ac:dyDescent="0.3">
      <c r="A604" s="3" vm="841">
        <f ca="1"/>
        <v>44396</v>
      </c>
      <c r="B604" s="3" vm="2117">
        <f ca="1"/>
        <v>54.35</v>
      </c>
      <c r="D604" s="10" vm="166">
        <f ca="1"/>
        <v>35061.553599999999</v>
      </c>
      <c r="E604" s="13">
        <f t="shared" ca="1" si="10"/>
        <v>1.1350949013769984E-2</v>
      </c>
    </row>
    <row r="605" spans="1:5" x14ac:dyDescent="0.3">
      <c r="A605" s="3" vm="842">
        <f ca="1"/>
        <v>44403</v>
      </c>
      <c r="B605" s="3" vm="2118">
        <f ca="1"/>
        <v>54.4</v>
      </c>
      <c r="D605" s="10" vm="170">
        <f ca="1"/>
        <v>34935.4715</v>
      </c>
      <c r="E605" s="13">
        <f t="shared" ca="1" si="10"/>
        <v>9.1996320147180732E-4</v>
      </c>
    </row>
    <row r="606" spans="1:5" x14ac:dyDescent="0.3">
      <c r="A606" s="3" vm="843">
        <f ca="1"/>
        <v>44410</v>
      </c>
      <c r="B606" s="3" vm="2119">
        <f ca="1"/>
        <v>54.48</v>
      </c>
      <c r="D606" s="10" vm="158">
        <f ca="1"/>
        <v>35208.506699999998</v>
      </c>
      <c r="E606" s="13">
        <f t="shared" ca="1" si="10"/>
        <v>1.4705882352941124E-3</v>
      </c>
    </row>
    <row r="607" spans="1:5" x14ac:dyDescent="0.3">
      <c r="A607" s="3" vm="844">
        <f ca="1"/>
        <v>44417</v>
      </c>
      <c r="B607" s="3" vm="2120">
        <f ca="1"/>
        <v>55.75</v>
      </c>
      <c r="D607" s="10" vm="140">
        <f ca="1"/>
        <v>35515.383300000001</v>
      </c>
      <c r="E607" s="13">
        <f t="shared" ca="1" si="10"/>
        <v>2.3311306901615314E-2</v>
      </c>
    </row>
    <row r="608" spans="1:5" x14ac:dyDescent="0.3">
      <c r="A608" s="3" vm="845">
        <f ca="1"/>
        <v>44424</v>
      </c>
      <c r="B608" s="3" vm="2121">
        <f ca="1"/>
        <v>57.76</v>
      </c>
      <c r="D608" s="10" vm="160">
        <f ca="1"/>
        <v>35120.084600000002</v>
      </c>
      <c r="E608" s="13">
        <f t="shared" ca="1" si="10"/>
        <v>3.6053811659192858E-2</v>
      </c>
    </row>
    <row r="609" spans="1:5" x14ac:dyDescent="0.3">
      <c r="A609" s="3" vm="846">
        <f ca="1"/>
        <v>44431</v>
      </c>
      <c r="B609" s="3" vm="2122">
        <f ca="1"/>
        <v>58.15</v>
      </c>
      <c r="D609" s="10" vm="144">
        <f ca="1"/>
        <v>35455.798799999997</v>
      </c>
      <c r="E609" s="13">
        <f t="shared" ca="1" si="10"/>
        <v>6.7520775623268747E-3</v>
      </c>
    </row>
    <row r="610" spans="1:5" x14ac:dyDescent="0.3">
      <c r="A610" s="3" vm="847">
        <f ca="1"/>
        <v>44438</v>
      </c>
      <c r="B610" s="3" vm="2123">
        <f ca="1"/>
        <v>58.94</v>
      </c>
      <c r="D610" s="10" vm="148">
        <f ca="1"/>
        <v>35369.088600000003</v>
      </c>
      <c r="E610" s="13">
        <f t="shared" ca="1" si="10"/>
        <v>1.3585554600171967E-2</v>
      </c>
    </row>
    <row r="611" spans="1:5" x14ac:dyDescent="0.3">
      <c r="A611" s="3" vm="848">
        <f ca="1"/>
        <v>44446</v>
      </c>
      <c r="B611" s="3" vm="2124">
        <f ca="1"/>
        <v>57.77</v>
      </c>
      <c r="D611" s="10" vm="204">
        <f ca="1"/>
        <v>34607.723899999997</v>
      </c>
      <c r="E611" s="13">
        <f t="shared" ca="1" si="10"/>
        <v>-1.9850695622667058E-2</v>
      </c>
    </row>
    <row r="612" spans="1:5" x14ac:dyDescent="0.3">
      <c r="A612" s="3" vm="849">
        <f ca="1"/>
        <v>44452</v>
      </c>
      <c r="B612" s="3" vm="2125">
        <f ca="1"/>
        <v>57.01</v>
      </c>
      <c r="D612" s="10" vm="206">
        <f ca="1"/>
        <v>34584.877699999997</v>
      </c>
      <c r="E612" s="13">
        <f t="shared" ca="1" si="10"/>
        <v>-1.3155617102302286E-2</v>
      </c>
    </row>
    <row r="613" spans="1:5" x14ac:dyDescent="0.3">
      <c r="A613" s="3" vm="850">
        <f ca="1"/>
        <v>44459</v>
      </c>
      <c r="B613" s="3" vm="2126">
        <f ca="1"/>
        <v>58.1</v>
      </c>
      <c r="D613" s="10" vm="182">
        <f ca="1"/>
        <v>34797.999199999998</v>
      </c>
      <c r="E613" s="13">
        <f t="shared" ca="1" si="10"/>
        <v>1.9119452727591746E-2</v>
      </c>
    </row>
    <row r="614" spans="1:5" x14ac:dyDescent="0.3">
      <c r="A614" s="3" vm="851">
        <f ca="1"/>
        <v>44466</v>
      </c>
      <c r="B614" s="3" vm="2127">
        <f ca="1"/>
        <v>57.6</v>
      </c>
      <c r="D614" s="10" vm="234">
        <f ca="1"/>
        <v>34326.4588</v>
      </c>
      <c r="E614" s="13">
        <f t="shared" ca="1" si="10"/>
        <v>-8.6058519793459354E-3</v>
      </c>
    </row>
    <row r="615" spans="1:5" x14ac:dyDescent="0.3">
      <c r="A615" s="3" vm="852">
        <f ca="1"/>
        <v>44473</v>
      </c>
      <c r="B615" s="3" vm="2128">
        <f ca="1"/>
        <v>59.99</v>
      </c>
      <c r="D615" s="10" vm="192">
        <f ca="1"/>
        <v>34746.249600000003</v>
      </c>
      <c r="E615" s="13">
        <f t="shared" ca="1" si="10"/>
        <v>4.1493055555555491E-2</v>
      </c>
    </row>
    <row r="616" spans="1:5" x14ac:dyDescent="0.3">
      <c r="A616" s="3" vm="853">
        <f ca="1"/>
        <v>44480</v>
      </c>
      <c r="B616" s="3" vm="2129">
        <f ca="1"/>
        <v>64.319999999999993</v>
      </c>
      <c r="D616" s="10" vm="152">
        <f ca="1"/>
        <v>35294.756099999999</v>
      </c>
      <c r="E616" s="13">
        <f t="shared" ca="1" si="10"/>
        <v>7.2178696449407997E-2</v>
      </c>
    </row>
    <row r="617" spans="1:5" x14ac:dyDescent="0.3">
      <c r="A617" s="3" vm="854">
        <f ca="1"/>
        <v>44487</v>
      </c>
      <c r="B617" s="3" vm="2130">
        <f ca="1"/>
        <v>66.489999999999995</v>
      </c>
      <c r="D617" s="10" vm="136">
        <f ca="1"/>
        <v>35677.018499999998</v>
      </c>
      <c r="E617" s="13">
        <f t="shared" ca="1" si="10"/>
        <v>3.3737562189054771E-2</v>
      </c>
    </row>
    <row r="618" spans="1:5" x14ac:dyDescent="0.3">
      <c r="A618" s="3" vm="855">
        <f ca="1"/>
        <v>44494</v>
      </c>
      <c r="B618" s="3" vm="2131">
        <f ca="1"/>
        <v>63.11</v>
      </c>
      <c r="D618" s="10" vm="134">
        <f ca="1"/>
        <v>35819.560400000002</v>
      </c>
      <c r="E618" s="13">
        <f t="shared" ca="1" si="10"/>
        <v>-5.0834711986764813E-2</v>
      </c>
    </row>
    <row r="619" spans="1:5" x14ac:dyDescent="0.3">
      <c r="A619" s="3" vm="856">
        <f ca="1"/>
        <v>44501</v>
      </c>
      <c r="B619" s="3" vm="2132">
        <f ca="1"/>
        <v>61.97</v>
      </c>
      <c r="D619" s="10" vm="118">
        <f ca="1"/>
        <v>36327.950199999999</v>
      </c>
      <c r="E619" s="13">
        <f t="shared" ca="1" si="10"/>
        <v>-1.8063698304547571E-2</v>
      </c>
    </row>
    <row r="620" spans="1:5" x14ac:dyDescent="0.3">
      <c r="A620" s="3" vm="857">
        <f ca="1"/>
        <v>44508</v>
      </c>
      <c r="B620" s="3" vm="2133">
        <f ca="1"/>
        <v>64.52</v>
      </c>
      <c r="D620" s="10" vm="126">
        <f ca="1"/>
        <v>36100.305200000003</v>
      </c>
      <c r="E620" s="13">
        <f t="shared" ca="1" si="10"/>
        <v>4.1148943036953378E-2</v>
      </c>
    </row>
    <row r="621" spans="1:5" x14ac:dyDescent="0.3">
      <c r="A621" s="3" vm="858">
        <f ca="1"/>
        <v>44515</v>
      </c>
      <c r="B621" s="3" vm="2134">
        <f ca="1"/>
        <v>64.540000000000006</v>
      </c>
      <c r="D621" s="10" vm="138">
        <f ca="1"/>
        <v>35601.977700000003</v>
      </c>
      <c r="E621" s="13">
        <f t="shared" ca="1" si="10"/>
        <v>3.09981401116044E-4</v>
      </c>
    </row>
    <row r="622" spans="1:5" x14ac:dyDescent="0.3">
      <c r="A622" s="3" vm="859">
        <f ca="1"/>
        <v>44522</v>
      </c>
      <c r="B622" s="3" vm="2135">
        <f ca="1"/>
        <v>64.760000000000005</v>
      </c>
      <c r="D622" s="10" vm="172">
        <f ca="1"/>
        <v>34899.336600000002</v>
      </c>
      <c r="E622" s="13">
        <f t="shared" ca="1" si="10"/>
        <v>3.4087387666563718E-3</v>
      </c>
    </row>
    <row r="623" spans="1:5" x14ac:dyDescent="0.3">
      <c r="A623" s="3" vm="860">
        <f ca="1"/>
        <v>44529</v>
      </c>
      <c r="B623" s="3" vm="2136">
        <f ca="1"/>
        <v>65.209999999999994</v>
      </c>
      <c r="D623" s="10" vm="208">
        <f ca="1"/>
        <v>34580.080099999999</v>
      </c>
      <c r="E623" s="13">
        <f t="shared" ca="1" si="10"/>
        <v>6.9487337862876863E-3</v>
      </c>
    </row>
    <row r="624" spans="1:5" x14ac:dyDescent="0.3">
      <c r="A624" s="3" vm="861">
        <f ca="1"/>
        <v>44536</v>
      </c>
      <c r="B624" s="3" vm="2137">
        <f ca="1"/>
        <v>67.209999999999994</v>
      </c>
      <c r="D624" s="10" vm="128">
        <f ca="1"/>
        <v>35970.994500000001</v>
      </c>
      <c r="E624" s="13">
        <f t="shared" ca="1" si="10"/>
        <v>3.0670142616163076E-2</v>
      </c>
    </row>
    <row r="625" spans="1:5" x14ac:dyDescent="0.3">
      <c r="A625" s="3" vm="862">
        <f ca="1"/>
        <v>44543</v>
      </c>
      <c r="B625" s="3" vm="2138">
        <f ca="1"/>
        <v>65.87</v>
      </c>
      <c r="D625" s="10" vm="150">
        <f ca="1"/>
        <v>35365.435299999997</v>
      </c>
      <c r="E625" s="13">
        <f t="shared" ca="1" si="10"/>
        <v>-1.9937509299211231E-2</v>
      </c>
    </row>
    <row r="626" spans="1:5" x14ac:dyDescent="0.3">
      <c r="A626" s="3" vm="863">
        <f ca="1"/>
        <v>44550</v>
      </c>
      <c r="B626" s="3" vm="2139">
        <f ca="1"/>
        <v>68.03</v>
      </c>
      <c r="D626" s="10" vm="130">
        <f ca="1"/>
        <v>35950.563099999999</v>
      </c>
      <c r="E626" s="13">
        <f t="shared" ca="1" si="10"/>
        <v>3.2791862759981694E-2</v>
      </c>
    </row>
    <row r="627" spans="1:5" x14ac:dyDescent="0.3">
      <c r="A627" s="3" vm="864">
        <f ca="1"/>
        <v>44557</v>
      </c>
      <c r="B627" s="3" vm="2140">
        <f ca="1"/>
        <v>70.28</v>
      </c>
      <c r="D627" s="10" vm="116">
        <f ca="1"/>
        <v>36338.297700000003</v>
      </c>
      <c r="E627" s="13">
        <f t="shared" ca="1" si="10"/>
        <v>3.3073643980596756E-2</v>
      </c>
    </row>
    <row r="628" spans="1:5" x14ac:dyDescent="0.3">
      <c r="A628" s="3" vm="865">
        <f ca="1"/>
        <v>44564</v>
      </c>
      <c r="B628" s="3" vm="2141">
        <f ca="1"/>
        <v>68.599999999999994</v>
      </c>
      <c r="D628" s="10" vm="124">
        <f ca="1"/>
        <v>36231.659099999997</v>
      </c>
      <c r="E628" s="13">
        <f t="shared" ca="1" si="10"/>
        <v>-2.3904382470119612E-2</v>
      </c>
    </row>
    <row r="629" spans="1:5" x14ac:dyDescent="0.3">
      <c r="A629" s="3" vm="866">
        <f ca="1"/>
        <v>44571</v>
      </c>
      <c r="B629" s="3" vm="2142">
        <f ca="1"/>
        <v>67.05</v>
      </c>
      <c r="D629" s="10" vm="132">
        <f ca="1"/>
        <v>35911.809500000003</v>
      </c>
      <c r="E629" s="13">
        <f t="shared" ca="1" si="10"/>
        <v>-2.2594752186588907E-2</v>
      </c>
    </row>
    <row r="630" spans="1:5" x14ac:dyDescent="0.3">
      <c r="A630" s="3" vm="867">
        <f ca="1"/>
        <v>44579</v>
      </c>
      <c r="B630" s="3" vm="2143">
        <f ca="1"/>
        <v>63.13</v>
      </c>
      <c r="D630" s="10" vm="242">
        <f ca="1"/>
        <v>34265.371200000001</v>
      </c>
      <c r="E630" s="13">
        <f t="shared" ca="1" si="10"/>
        <v>-5.8463832960477191E-2</v>
      </c>
    </row>
    <row r="631" spans="1:5" x14ac:dyDescent="0.3">
      <c r="A631" s="3" vm="868">
        <f ca="1"/>
        <v>44585</v>
      </c>
      <c r="B631" s="3" vm="2144">
        <f ca="1"/>
        <v>64.38</v>
      </c>
      <c r="D631" s="10" vm="196">
        <f ca="1"/>
        <v>34725.472300000001</v>
      </c>
      <c r="E631" s="13">
        <f t="shared" ca="1" si="10"/>
        <v>1.9800411848566402E-2</v>
      </c>
    </row>
    <row r="632" spans="1:5" x14ac:dyDescent="0.3">
      <c r="A632" s="3" vm="869">
        <f ca="1"/>
        <v>44592</v>
      </c>
      <c r="B632" s="3" vm="2145">
        <f ca="1"/>
        <v>67.53</v>
      </c>
      <c r="D632" s="10" vm="162">
        <f ca="1"/>
        <v>35089.743699999999</v>
      </c>
      <c r="E632" s="13">
        <f t="shared" ca="1" si="10"/>
        <v>4.892823858341111E-2</v>
      </c>
    </row>
    <row r="633" spans="1:5" x14ac:dyDescent="0.3">
      <c r="A633" s="3" vm="870">
        <f ca="1"/>
        <v>44599</v>
      </c>
      <c r="B633" s="3" vm="2146">
        <f ca="1"/>
        <v>66.91</v>
      </c>
      <c r="D633" s="10" vm="194">
        <f ca="1"/>
        <v>34738.060700000002</v>
      </c>
      <c r="E633" s="13">
        <f t="shared" ca="1" si="10"/>
        <v>-9.1811046942100738E-3</v>
      </c>
    </row>
    <row r="634" spans="1:5" x14ac:dyDescent="0.3">
      <c r="A634" s="3" vm="871">
        <f ca="1"/>
        <v>44606</v>
      </c>
      <c r="B634" s="3" vm="2147">
        <f ca="1"/>
        <v>66.14</v>
      </c>
      <c r="D634" s="10" vm="250">
        <f ca="1"/>
        <v>34079.182200000003</v>
      </c>
      <c r="E634" s="13">
        <f t="shared" ca="1" si="10"/>
        <v>-1.1507995815274175E-2</v>
      </c>
    </row>
    <row r="635" spans="1:5" x14ac:dyDescent="0.3">
      <c r="A635" s="3" vm="872">
        <f ca="1"/>
        <v>44614</v>
      </c>
      <c r="B635" s="3" vm="2148">
        <f ca="1"/>
        <v>67.59</v>
      </c>
      <c r="D635" s="10" vm="254">
        <f ca="1"/>
        <v>34058.750800000002</v>
      </c>
      <c r="E635" s="13">
        <f t="shared" ca="1" si="10"/>
        <v>2.192319322648939E-2</v>
      </c>
    </row>
    <row r="636" spans="1:5" x14ac:dyDescent="0.3">
      <c r="A636" s="3" vm="873">
        <f ca="1"/>
        <v>44620</v>
      </c>
      <c r="B636" s="3" vm="2149">
        <f ca="1"/>
        <v>68.41</v>
      </c>
      <c r="D636" s="10" vm="300">
        <f ca="1"/>
        <v>33614.797100000003</v>
      </c>
      <c r="E636" s="13">
        <f t="shared" ca="1" si="10"/>
        <v>1.213197218523443E-2</v>
      </c>
    </row>
    <row r="637" spans="1:5" x14ac:dyDescent="0.3">
      <c r="A637" s="3" vm="874">
        <f ca="1"/>
        <v>44627</v>
      </c>
      <c r="B637" s="3" vm="2150">
        <f ca="1"/>
        <v>62.71</v>
      </c>
      <c r="D637" s="10" vm="338">
        <f ca="1"/>
        <v>32944.187100000003</v>
      </c>
      <c r="E637" s="13">
        <f t="shared" ca="1" si="10"/>
        <v>-8.3321151878380295E-2</v>
      </c>
    </row>
    <row r="638" spans="1:5" x14ac:dyDescent="0.3">
      <c r="A638" s="3" vm="875">
        <f ca="1"/>
        <v>44634</v>
      </c>
      <c r="B638" s="3" vm="2151">
        <f ca="1"/>
        <v>69.59</v>
      </c>
      <c r="D638" s="10" vm="190">
        <f ca="1"/>
        <v>34754.932999999997</v>
      </c>
      <c r="E638" s="13">
        <f t="shared" ca="1" si="10"/>
        <v>0.10971136979748053</v>
      </c>
    </row>
    <row r="639" spans="1:5" x14ac:dyDescent="0.3">
      <c r="A639" s="3" vm="876">
        <f ca="1"/>
        <v>44641</v>
      </c>
      <c r="B639" s="3" vm="2152">
        <f ca="1"/>
        <v>70.37</v>
      </c>
      <c r="D639" s="10" vm="176">
        <f ca="1"/>
        <v>34861.241999999998</v>
      </c>
      <c r="E639" s="13">
        <f t="shared" ca="1" si="10"/>
        <v>1.1208506969392129E-2</v>
      </c>
    </row>
    <row r="640" spans="1:5" x14ac:dyDescent="0.3">
      <c r="A640" s="3" vm="877">
        <f ca="1"/>
        <v>44648</v>
      </c>
      <c r="B640" s="3" vm="2153">
        <f ca="1"/>
        <v>72.56</v>
      </c>
      <c r="D640" s="10" vm="180">
        <f ca="1"/>
        <v>34818.270199999999</v>
      </c>
      <c r="E640" s="13">
        <f t="shared" ca="1" si="10"/>
        <v>3.1121216427454801E-2</v>
      </c>
    </row>
    <row r="641" spans="1:5" x14ac:dyDescent="0.3">
      <c r="A641" s="3" vm="878">
        <f ca="1"/>
        <v>44655</v>
      </c>
      <c r="B641" s="3" vm="2154">
        <f ca="1"/>
        <v>72.959999999999994</v>
      </c>
      <c r="D641" s="10" vm="198">
        <f ca="1"/>
        <v>34721.1224</v>
      </c>
      <c r="E641" s="13">
        <f t="shared" ca="1" si="10"/>
        <v>5.5126791620725424E-3</v>
      </c>
    </row>
    <row r="642" spans="1:5" x14ac:dyDescent="0.3">
      <c r="A642" s="3" vm="879">
        <f ca="1"/>
        <v>44662</v>
      </c>
      <c r="B642" s="3" vm="2155">
        <f ca="1"/>
        <v>71.260000000000005</v>
      </c>
      <c r="D642" s="10" vm="220">
        <f ca="1"/>
        <v>34451.2307</v>
      </c>
      <c r="E642" s="13">
        <f t="shared" ca="1" si="10"/>
        <v>-2.3300438596491113E-2</v>
      </c>
    </row>
    <row r="643" spans="1:5" x14ac:dyDescent="0.3">
      <c r="A643" s="3" vm="880">
        <f ca="1"/>
        <v>44669</v>
      </c>
      <c r="B643" s="3" vm="2156">
        <f ca="1"/>
        <v>67.73</v>
      </c>
      <c r="D643" s="10" vm="274">
        <f ca="1"/>
        <v>33811.3995</v>
      </c>
      <c r="E643" s="13">
        <f t="shared" ca="1" si="10"/>
        <v>-4.9536907100757754E-2</v>
      </c>
    </row>
    <row r="644" spans="1:5" x14ac:dyDescent="0.3">
      <c r="A644" s="3" vm="881">
        <f ca="1"/>
        <v>44676</v>
      </c>
      <c r="B644" s="3" vm="2157">
        <f ca="1"/>
        <v>61.98</v>
      </c>
      <c r="D644" s="10" vm="336">
        <f ca="1"/>
        <v>32977.2068</v>
      </c>
      <c r="E644" s="13">
        <f t="shared" ca="1" si="10"/>
        <v>-8.4895910231802874E-2</v>
      </c>
    </row>
    <row r="645" spans="1:5" x14ac:dyDescent="0.3">
      <c r="A645" s="3" vm="882">
        <f ca="1"/>
        <v>44683</v>
      </c>
      <c r="B645" s="3" vm="2158">
        <f ca="1"/>
        <v>58.24</v>
      </c>
      <c r="D645" s="10" vm="344">
        <f ca="1"/>
        <v>32899.369899999998</v>
      </c>
      <c r="E645" s="13">
        <f t="shared" ca="1" si="10"/>
        <v>-6.0342045821232593E-2</v>
      </c>
    </row>
    <row r="646" spans="1:5" x14ac:dyDescent="0.3">
      <c r="A646" s="3" vm="883">
        <f ca="1"/>
        <v>44690</v>
      </c>
      <c r="B646" s="3" vm="2159">
        <f ca="1"/>
        <v>57.9</v>
      </c>
      <c r="D646" s="10" vm="366">
        <f ca="1"/>
        <v>32196.662899999999</v>
      </c>
      <c r="E646" s="13">
        <f t="shared" ca="1" si="10"/>
        <v>-5.8379120879121782E-3</v>
      </c>
    </row>
    <row r="647" spans="1:5" x14ac:dyDescent="0.3">
      <c r="A647" s="3" vm="884">
        <f ca="1"/>
        <v>44697</v>
      </c>
      <c r="B647" s="3" vm="2160">
        <f ca="1"/>
        <v>55</v>
      </c>
      <c r="D647" s="10" vm="392">
        <f ca="1"/>
        <v>31261.895100000002</v>
      </c>
      <c r="E647" s="13">
        <f t="shared" ca="1" si="10"/>
        <v>-5.0086355785837644E-2</v>
      </c>
    </row>
    <row r="648" spans="1:5" x14ac:dyDescent="0.3">
      <c r="A648" s="3" vm="885">
        <f ca="1"/>
        <v>44704</v>
      </c>
      <c r="B648" s="3" vm="2161">
        <f ca="1"/>
        <v>59.95</v>
      </c>
      <c r="D648" s="10" vm="322">
        <f ca="1"/>
        <v>33212.958400000003</v>
      </c>
      <c r="E648" s="13">
        <f t="shared" ca="1" si="10"/>
        <v>9.000000000000008E-2</v>
      </c>
    </row>
    <row r="649" spans="1:5" x14ac:dyDescent="0.3">
      <c r="A649" s="3" vm="886">
        <f ca="1"/>
        <v>44712</v>
      </c>
      <c r="B649" s="3" vm="2162">
        <f ca="1"/>
        <v>58.74</v>
      </c>
      <c r="D649" s="10" vm="342">
        <f ca="1"/>
        <v>32899.699399999998</v>
      </c>
      <c r="E649" s="13">
        <f t="shared" ref="E649:E712" ca="1" si="11">IF(B649&gt;0,B649/B648-1,"")</f>
        <v>-2.0183486238532167E-2</v>
      </c>
    </row>
    <row r="650" spans="1:5" x14ac:dyDescent="0.3">
      <c r="A650" s="3" vm="887">
        <f ca="1"/>
        <v>44718</v>
      </c>
      <c r="B650" s="3" vm="2120">
        <f ca="1"/>
        <v>55.75</v>
      </c>
      <c r="D650" s="10" vm="384">
        <f ca="1"/>
        <v>31392.7876</v>
      </c>
      <c r="E650" s="13">
        <f t="shared" ca="1" si="11"/>
        <v>-5.0902281239359914E-2</v>
      </c>
    </row>
    <row r="651" spans="1:5" x14ac:dyDescent="0.3">
      <c r="A651" s="3" vm="888">
        <f ca="1"/>
        <v>44725</v>
      </c>
      <c r="B651" s="3" vm="2163">
        <f ca="1"/>
        <v>53.5</v>
      </c>
      <c r="D651" s="10" vm="424">
        <f ca="1"/>
        <v>29888.775799999999</v>
      </c>
      <c r="E651" s="13">
        <f t="shared" ca="1" si="11"/>
        <v>-4.035874439461884E-2</v>
      </c>
    </row>
    <row r="652" spans="1:5" x14ac:dyDescent="0.3">
      <c r="A652" s="3" vm="889">
        <f ca="1"/>
        <v>44733</v>
      </c>
      <c r="B652" s="3" vm="2164">
        <f ca="1"/>
        <v>59.06</v>
      </c>
      <c r="D652" s="10" vm="376">
        <f ca="1"/>
        <v>31500.678400000001</v>
      </c>
      <c r="E652" s="13">
        <f t="shared" ca="1" si="11"/>
        <v>0.10392523364485995</v>
      </c>
    </row>
    <row r="653" spans="1:5" x14ac:dyDescent="0.3">
      <c r="A653" s="3" vm="890">
        <f ca="1"/>
        <v>44739</v>
      </c>
      <c r="B653" s="3" vm="2165">
        <f ca="1"/>
        <v>59.33</v>
      </c>
      <c r="D653" s="10" vm="398">
        <f ca="1"/>
        <v>31097.257900000001</v>
      </c>
      <c r="E653" s="13">
        <f t="shared" ca="1" si="11"/>
        <v>4.5716220792413331E-3</v>
      </c>
    </row>
    <row r="654" spans="1:5" x14ac:dyDescent="0.3">
      <c r="A654" s="3" vm="891">
        <f ca="1"/>
        <v>44747</v>
      </c>
      <c r="B654" s="3" vm="2166">
        <f ca="1"/>
        <v>60.08</v>
      </c>
      <c r="D654" s="10" vm="386">
        <f ca="1"/>
        <v>31338.1502</v>
      </c>
      <c r="E654" s="13">
        <f t="shared" ca="1" si="11"/>
        <v>1.2641159615708775E-2</v>
      </c>
    </row>
    <row r="655" spans="1:5" x14ac:dyDescent="0.3">
      <c r="A655" s="3" vm="892">
        <f ca="1"/>
        <v>44753</v>
      </c>
      <c r="B655" s="3" vm="2167">
        <f ca="1"/>
        <v>59.31</v>
      </c>
      <c r="D655" s="10" vm="390">
        <f ca="1"/>
        <v>31288.2582</v>
      </c>
      <c r="E655" s="13">
        <f t="shared" ca="1" si="11"/>
        <v>-1.2816245006657678E-2</v>
      </c>
    </row>
    <row r="656" spans="1:5" x14ac:dyDescent="0.3">
      <c r="A656" s="3" vm="893">
        <f ca="1"/>
        <v>44760</v>
      </c>
      <c r="B656" s="3" vm="2132">
        <f ca="1"/>
        <v>61.97</v>
      </c>
      <c r="D656" s="10" vm="372">
        <f ca="1"/>
        <v>31899.287700000001</v>
      </c>
      <c r="E656" s="13">
        <f t="shared" ca="1" si="11"/>
        <v>4.4849097959871909E-2</v>
      </c>
    </row>
    <row r="657" spans="1:5" x14ac:dyDescent="0.3">
      <c r="A657" s="3" vm="894">
        <f ca="1"/>
        <v>44767</v>
      </c>
      <c r="B657" s="3" vm="2168">
        <f ca="1"/>
        <v>65.099999999999994</v>
      </c>
      <c r="D657" s="10" vm="348">
        <f ca="1"/>
        <v>32845.127899999999</v>
      </c>
      <c r="E657" s="13">
        <f t="shared" ca="1" si="11"/>
        <v>5.0508310472809459E-2</v>
      </c>
    </row>
    <row r="658" spans="1:5" x14ac:dyDescent="0.3">
      <c r="A658" s="3" vm="895">
        <f ca="1"/>
        <v>44774</v>
      </c>
      <c r="B658" s="3" vm="2169">
        <f ca="1"/>
        <v>64.900000000000006</v>
      </c>
      <c r="D658" s="10" vm="352">
        <f ca="1"/>
        <v>32803.474300000002</v>
      </c>
      <c r="E658" s="13">
        <f t="shared" ca="1" si="11"/>
        <v>-3.072196620583556E-3</v>
      </c>
    </row>
    <row r="659" spans="1:5" x14ac:dyDescent="0.3">
      <c r="A659" s="3" vm="896">
        <f ca="1"/>
        <v>44781</v>
      </c>
      <c r="B659" s="3" vm="2170">
        <f ca="1"/>
        <v>67.55</v>
      </c>
      <c r="D659" s="10" vm="282">
        <f ca="1"/>
        <v>33761.0461</v>
      </c>
      <c r="E659" s="13">
        <f t="shared" ca="1" si="11"/>
        <v>4.0832049306625429E-2</v>
      </c>
    </row>
    <row r="660" spans="1:5" x14ac:dyDescent="0.3">
      <c r="A660" s="3" vm="897">
        <f ca="1"/>
        <v>44788</v>
      </c>
      <c r="B660" s="3" vm="2171">
        <f ca="1"/>
        <v>67.27</v>
      </c>
      <c r="D660" s="10" vm="292">
        <f ca="1"/>
        <v>33706.7382</v>
      </c>
      <c r="E660" s="13">
        <f t="shared" ca="1" si="11"/>
        <v>-4.1450777202072242E-3</v>
      </c>
    </row>
    <row r="661" spans="1:5" x14ac:dyDescent="0.3">
      <c r="A661" s="3" vm="898">
        <f ca="1"/>
        <v>44795</v>
      </c>
      <c r="B661" s="3" vm="2172">
        <f ca="1"/>
        <v>65.09</v>
      </c>
      <c r="D661" s="10" vm="362">
        <f ca="1"/>
        <v>32283.397300000001</v>
      </c>
      <c r="E661" s="13">
        <f t="shared" ca="1" si="11"/>
        <v>-3.2406719191318434E-2</v>
      </c>
    </row>
    <row r="662" spans="1:5" x14ac:dyDescent="0.3">
      <c r="A662" s="3" vm="899">
        <f ca="1"/>
        <v>44802</v>
      </c>
      <c r="B662" s="3" vm="2173">
        <f ca="1"/>
        <v>62.89</v>
      </c>
      <c r="D662" s="10" vm="388">
        <f ca="1"/>
        <v>31318.443800000001</v>
      </c>
      <c r="E662" s="13">
        <f t="shared" ca="1" si="11"/>
        <v>-3.3799354739591392E-2</v>
      </c>
    </row>
    <row r="663" spans="1:5" x14ac:dyDescent="0.3">
      <c r="A663" s="3" vm="900">
        <f ca="1"/>
        <v>44810</v>
      </c>
      <c r="B663" s="3" vm="2174">
        <f ca="1"/>
        <v>65.41</v>
      </c>
      <c r="D663" s="10" vm="368">
        <f ca="1"/>
        <v>32151.713899999999</v>
      </c>
      <c r="E663" s="13">
        <f t="shared" ca="1" si="11"/>
        <v>4.0069963428208011E-2</v>
      </c>
    </row>
    <row r="664" spans="1:5" x14ac:dyDescent="0.3">
      <c r="A664" s="3" vm="901">
        <f ca="1"/>
        <v>44816</v>
      </c>
      <c r="B664" s="3" vm="2175">
        <f ca="1"/>
        <v>61.54</v>
      </c>
      <c r="D664" s="10" vm="406">
        <f ca="1"/>
        <v>30822.4231</v>
      </c>
      <c r="E664" s="13">
        <f t="shared" ca="1" si="11"/>
        <v>-5.9165265249961796E-2</v>
      </c>
    </row>
    <row r="665" spans="1:5" x14ac:dyDescent="0.3">
      <c r="A665" s="3" vm="902">
        <f ca="1"/>
        <v>44823</v>
      </c>
      <c r="B665" s="3" vm="2176">
        <f ca="1"/>
        <v>58.92</v>
      </c>
      <c r="D665" s="10" vm="428">
        <f ca="1"/>
        <v>29590.412</v>
      </c>
      <c r="E665" s="13">
        <f t="shared" ca="1" si="11"/>
        <v>-4.2573935651608719E-2</v>
      </c>
    </row>
    <row r="666" spans="1:5" x14ac:dyDescent="0.3">
      <c r="A666" s="3" vm="903">
        <f ca="1"/>
        <v>44830</v>
      </c>
      <c r="B666" s="3" vm="2177">
        <f ca="1"/>
        <v>60.48</v>
      </c>
      <c r="D666" s="10" vm="438">
        <f ca="1"/>
        <v>28725.506300000001</v>
      </c>
      <c r="E666" s="13">
        <f t="shared" ca="1" si="11"/>
        <v>2.6476578411405161E-2</v>
      </c>
    </row>
    <row r="667" spans="1:5" x14ac:dyDescent="0.3">
      <c r="A667" s="3" vm="904">
        <f ca="1"/>
        <v>44837</v>
      </c>
      <c r="B667" s="3" vm="2178">
        <f ca="1"/>
        <v>61.22</v>
      </c>
      <c r="D667" s="10" vm="432">
        <f ca="1"/>
        <v>29296.7935</v>
      </c>
      <c r="E667" s="13">
        <f t="shared" ca="1" si="11"/>
        <v>1.2235449735449766E-2</v>
      </c>
    </row>
    <row r="668" spans="1:5" x14ac:dyDescent="0.3">
      <c r="A668" s="3" vm="905">
        <f ca="1"/>
        <v>44844</v>
      </c>
      <c r="B668" s="3" vm="2179">
        <f ca="1"/>
        <v>59.48</v>
      </c>
      <c r="D668" s="10" vm="426">
        <f ca="1"/>
        <v>29634.833699999999</v>
      </c>
      <c r="E668" s="13">
        <f t="shared" ca="1" si="11"/>
        <v>-2.8422084286180982E-2</v>
      </c>
    </row>
    <row r="669" spans="1:5" x14ac:dyDescent="0.3">
      <c r="A669" s="3" vm="906">
        <f ca="1"/>
        <v>44851</v>
      </c>
      <c r="B669" s="3" vm="2180">
        <f ca="1"/>
        <v>61.53</v>
      </c>
      <c r="D669" s="10" vm="400">
        <f ca="1"/>
        <v>31082.5605</v>
      </c>
      <c r="E669" s="13">
        <f t="shared" ca="1" si="11"/>
        <v>3.4465366509751183E-2</v>
      </c>
    </row>
    <row r="670" spans="1:5" x14ac:dyDescent="0.3">
      <c r="A670" s="3" vm="907">
        <f ca="1"/>
        <v>44858</v>
      </c>
      <c r="B670" s="3" vm="2181">
        <f ca="1"/>
        <v>58.64</v>
      </c>
      <c r="D670" s="10" vm="346">
        <f ca="1"/>
        <v>32861.802600000003</v>
      </c>
      <c r="E670" s="13">
        <f t="shared" ca="1" si="11"/>
        <v>-4.6968958231756841E-2</v>
      </c>
    </row>
    <row r="671" spans="1:5" x14ac:dyDescent="0.3">
      <c r="A671" s="3" vm="908">
        <f ca="1"/>
        <v>44865</v>
      </c>
      <c r="B671" s="3" vm="2182">
        <f ca="1"/>
        <v>55.77</v>
      </c>
      <c r="D671" s="10" vm="360">
        <f ca="1"/>
        <v>32403.2173</v>
      </c>
      <c r="E671" s="13">
        <f t="shared" ca="1" si="11"/>
        <v>-4.8942701227830843E-2</v>
      </c>
    </row>
    <row r="672" spans="1:5" x14ac:dyDescent="0.3">
      <c r="A672" s="3" vm="909">
        <f ca="1"/>
        <v>44872</v>
      </c>
      <c r="B672" s="3" vm="2183">
        <f ca="1"/>
        <v>56.67</v>
      </c>
      <c r="D672" s="10" vm="284">
        <f ca="1"/>
        <v>33747.864600000001</v>
      </c>
      <c r="E672" s="13">
        <f t="shared" ca="1" si="11"/>
        <v>1.6137708445400634E-2</v>
      </c>
    </row>
    <row r="673" spans="1:5" x14ac:dyDescent="0.3">
      <c r="A673" s="3" vm="910">
        <f ca="1"/>
        <v>44879</v>
      </c>
      <c r="B673" s="3" vm="2184">
        <f ca="1"/>
        <v>56.94</v>
      </c>
      <c r="D673" s="10" vm="286">
        <f ca="1"/>
        <v>33745.689599999998</v>
      </c>
      <c r="E673" s="13">
        <f t="shared" ca="1" si="11"/>
        <v>4.7644256220220615E-3</v>
      </c>
    </row>
    <row r="674" spans="1:5" x14ac:dyDescent="0.3">
      <c r="A674" s="3" vm="911">
        <f ca="1"/>
        <v>44886</v>
      </c>
      <c r="B674" s="3" vm="2185">
        <f ca="1"/>
        <v>59.26</v>
      </c>
      <c r="D674" s="10" vm="230">
        <f ca="1"/>
        <v>34347.0308</v>
      </c>
      <c r="E674" s="13">
        <f t="shared" ca="1" si="11"/>
        <v>4.0744643484369458E-2</v>
      </c>
    </row>
    <row r="675" spans="1:5" x14ac:dyDescent="0.3">
      <c r="A675" s="3" vm="912">
        <f ca="1"/>
        <v>44893</v>
      </c>
      <c r="B675" s="3" vm="2186">
        <f ca="1"/>
        <v>59.52</v>
      </c>
      <c r="D675" s="10" vm="224">
        <f ca="1"/>
        <v>34429.876600000003</v>
      </c>
      <c r="E675" s="13">
        <f t="shared" ca="1" si="11"/>
        <v>4.3874451569356765E-3</v>
      </c>
    </row>
    <row r="676" spans="1:5" x14ac:dyDescent="0.3">
      <c r="A676" s="3" vm="913">
        <f ca="1"/>
        <v>44900</v>
      </c>
      <c r="B676" s="3" vm="2187">
        <f ca="1"/>
        <v>57.5</v>
      </c>
      <c r="D676" s="10" vm="306">
        <f ca="1"/>
        <v>33476.457000000002</v>
      </c>
      <c r="E676" s="13">
        <f t="shared" ca="1" si="11"/>
        <v>-3.393817204301075E-2</v>
      </c>
    </row>
    <row r="677" spans="1:5" x14ac:dyDescent="0.3">
      <c r="A677" s="3" vm="914">
        <f ca="1"/>
        <v>44907</v>
      </c>
      <c r="B677" s="3" vm="2188">
        <f ca="1"/>
        <v>55.5</v>
      </c>
      <c r="D677" s="10" vm="340">
        <f ca="1"/>
        <v>32920.460299999999</v>
      </c>
      <c r="E677" s="13">
        <f t="shared" ca="1" si="11"/>
        <v>-3.4782608695652195E-2</v>
      </c>
    </row>
    <row r="678" spans="1:5" x14ac:dyDescent="0.3">
      <c r="A678" s="3" vm="915">
        <f ca="1"/>
        <v>44914</v>
      </c>
      <c r="B678" s="3" vm="2184">
        <f ca="1"/>
        <v>56.94</v>
      </c>
      <c r="D678" s="10" vm="324">
        <f ca="1"/>
        <v>33203.928999999996</v>
      </c>
      <c r="E678" s="13">
        <f t="shared" ca="1" si="11"/>
        <v>2.5945945945945903E-2</v>
      </c>
    </row>
    <row r="679" spans="1:5" x14ac:dyDescent="0.3">
      <c r="A679" s="3" vm="916">
        <f ca="1"/>
        <v>44922</v>
      </c>
      <c r="B679" s="3" vm="2189">
        <f ca="1"/>
        <v>56.97</v>
      </c>
      <c r="D679" s="10" vm="328">
        <f ca="1"/>
        <v>33147.248500000002</v>
      </c>
      <c r="E679" s="13">
        <f t="shared" ca="1" si="11"/>
        <v>5.268703898841931E-4</v>
      </c>
    </row>
    <row r="680" spans="1:5" x14ac:dyDescent="0.3">
      <c r="A680" s="3" vm="917">
        <f ca="1"/>
        <v>44929</v>
      </c>
      <c r="B680" s="3" vm="2190">
        <f ca="1"/>
        <v>58.83</v>
      </c>
      <c r="D680" s="10" vm="298">
        <f ca="1"/>
        <v>33630.6149</v>
      </c>
      <c r="E680" s="13">
        <f t="shared" ca="1" si="11"/>
        <v>3.2648762506582329E-2</v>
      </c>
    </row>
    <row r="681" spans="1:5" x14ac:dyDescent="0.3">
      <c r="A681" s="3" vm="918">
        <f ca="1"/>
        <v>44935</v>
      </c>
      <c r="B681" s="3" vm="2191">
        <f ca="1"/>
        <v>61.27</v>
      </c>
      <c r="D681" s="10" vm="236">
        <f ca="1"/>
        <v>34302.608999999997</v>
      </c>
      <c r="E681" s="13">
        <f t="shared" ca="1" si="11"/>
        <v>4.1475437701852913E-2</v>
      </c>
    </row>
    <row r="682" spans="1:5" x14ac:dyDescent="0.3">
      <c r="A682" s="3" vm="919">
        <f ca="1"/>
        <v>44943</v>
      </c>
      <c r="B682" s="3" vm="2192">
        <f ca="1"/>
        <v>61.72</v>
      </c>
      <c r="D682" s="10" vm="314">
        <f ca="1"/>
        <v>33375.486499999999</v>
      </c>
      <c r="E682" s="13">
        <f t="shared" ca="1" si="11"/>
        <v>7.3445405581851197E-3</v>
      </c>
    </row>
    <row r="683" spans="1:5" x14ac:dyDescent="0.3">
      <c r="A683" s="3" vm="920">
        <f ca="1"/>
        <v>44949</v>
      </c>
      <c r="B683" s="3" vm="2127">
        <f ca="1"/>
        <v>57.6</v>
      </c>
      <c r="D683" s="10" vm="258">
        <f ca="1"/>
        <v>33978.079899999997</v>
      </c>
      <c r="E683" s="13">
        <f t="shared" ca="1" si="11"/>
        <v>-6.6753078418664846E-2</v>
      </c>
    </row>
    <row r="684" spans="1:5" x14ac:dyDescent="0.3">
      <c r="A684" s="3" vm="921">
        <f ca="1"/>
        <v>44956</v>
      </c>
      <c r="B684" s="3" vm="2193">
        <f ca="1"/>
        <v>58.39</v>
      </c>
      <c r="D684" s="10" vm="262">
        <f ca="1"/>
        <v>33926.012900000002</v>
      </c>
      <c r="E684" s="13">
        <f t="shared" ca="1" si="11"/>
        <v>1.3715277777777812E-2</v>
      </c>
    </row>
    <row r="685" spans="1:5" x14ac:dyDescent="0.3">
      <c r="A685" s="3" vm="922">
        <f ca="1"/>
        <v>44963</v>
      </c>
      <c r="B685" s="3" vm="2194">
        <f ca="1"/>
        <v>58.25</v>
      </c>
      <c r="D685" s="10" vm="270">
        <f ca="1"/>
        <v>33869.2664</v>
      </c>
      <c r="E685" s="13">
        <f t="shared" ca="1" si="11"/>
        <v>-2.397670834046961E-3</v>
      </c>
    </row>
    <row r="686" spans="1:5" x14ac:dyDescent="0.3">
      <c r="A686" s="3" vm="923">
        <f ca="1"/>
        <v>44970</v>
      </c>
      <c r="B686" s="3" vm="2195">
        <f ca="1"/>
        <v>57.67</v>
      </c>
      <c r="D686" s="10" vm="272">
        <f ca="1"/>
        <v>33826.6901</v>
      </c>
      <c r="E686" s="13">
        <f t="shared" ca="1" si="11"/>
        <v>-9.9570815450643613E-3</v>
      </c>
    </row>
    <row r="687" spans="1:5" x14ac:dyDescent="0.3">
      <c r="A687" s="3" vm="924">
        <f ca="1"/>
        <v>44978</v>
      </c>
      <c r="B687" s="3" vm="2196">
        <f ca="1"/>
        <v>56.47</v>
      </c>
      <c r="D687" s="10" vm="350">
        <f ca="1"/>
        <v>32816.919500000004</v>
      </c>
      <c r="E687" s="13">
        <f t="shared" ca="1" si="11"/>
        <v>-2.080804577770079E-2</v>
      </c>
    </row>
    <row r="688" spans="1:5" x14ac:dyDescent="0.3">
      <c r="A688" s="3" vm="925">
        <f ca="1"/>
        <v>44984</v>
      </c>
      <c r="B688" s="3" vm="2197">
        <f ca="1"/>
        <v>56.76</v>
      </c>
      <c r="D688" s="10" vm="312">
        <f ca="1"/>
        <v>33390.974800000004</v>
      </c>
      <c r="E688" s="13">
        <f t="shared" ca="1" si="11"/>
        <v>5.1354701611474596E-3</v>
      </c>
    </row>
    <row r="689" spans="1:5" x14ac:dyDescent="0.3">
      <c r="A689" s="3" vm="926">
        <f ca="1"/>
        <v>44991</v>
      </c>
      <c r="B689" s="3" vm="2198">
        <f ca="1"/>
        <v>54.92</v>
      </c>
      <c r="D689" s="10" vm="370">
        <f ca="1"/>
        <v>31909.635200000001</v>
      </c>
      <c r="E689" s="13">
        <f t="shared" ca="1" si="11"/>
        <v>-3.2417195207892768E-2</v>
      </c>
    </row>
    <row r="690" spans="1:5" x14ac:dyDescent="0.3">
      <c r="A690" s="3" vm="927">
        <f ca="1"/>
        <v>44998</v>
      </c>
      <c r="B690" s="3" vm="2199">
        <f ca="1"/>
        <v>53.8</v>
      </c>
      <c r="D690" s="10" vm="374">
        <f ca="1"/>
        <v>31861.984</v>
      </c>
      <c r="E690" s="13">
        <f t="shared" ca="1" si="11"/>
        <v>-2.0393299344501181E-2</v>
      </c>
    </row>
    <row r="691" spans="1:5" x14ac:dyDescent="0.3">
      <c r="A691" s="3" vm="928">
        <f ca="1"/>
        <v>45005</v>
      </c>
      <c r="B691" s="3" vm="2200">
        <f ca="1"/>
        <v>55.36</v>
      </c>
      <c r="D691" s="10" vm="364">
        <f ca="1"/>
        <v>32237.525600000001</v>
      </c>
      <c r="E691" s="13">
        <f t="shared" ca="1" si="11"/>
        <v>2.8996282527881112E-2</v>
      </c>
    </row>
    <row r="692" spans="1:5" x14ac:dyDescent="0.3">
      <c r="A692" s="3" vm="929">
        <f ca="1"/>
        <v>45012</v>
      </c>
      <c r="B692" s="3" vm="2201">
        <f ca="1"/>
        <v>57.42</v>
      </c>
      <c r="D692" s="10" vm="320">
        <f ca="1"/>
        <v>33274.153599999998</v>
      </c>
      <c r="E692" s="13">
        <f t="shared" ca="1" si="11"/>
        <v>3.7210982658959502E-2</v>
      </c>
    </row>
    <row r="693" spans="1:5" x14ac:dyDescent="0.3">
      <c r="A693" s="3" vm="930">
        <f ca="1"/>
        <v>45019</v>
      </c>
      <c r="B693" s="3" vm="2202">
        <f ca="1"/>
        <v>59.14</v>
      </c>
      <c r="D693" s="10" vm="304">
        <f ca="1"/>
        <v>33485.2886</v>
      </c>
      <c r="E693" s="13">
        <f t="shared" ca="1" si="11"/>
        <v>2.9954719609891933E-2</v>
      </c>
    </row>
    <row r="694" spans="1:5" x14ac:dyDescent="0.3">
      <c r="A694" s="3" vm="931">
        <f ca="1"/>
        <v>45026</v>
      </c>
      <c r="B694" s="3" vm="2203">
        <f ca="1"/>
        <v>58.77</v>
      </c>
      <c r="D694" s="10" vm="264">
        <f ca="1"/>
        <v>33886.4683</v>
      </c>
      <c r="E694" s="13">
        <f t="shared" ca="1" si="11"/>
        <v>-6.2563408860331071E-3</v>
      </c>
    </row>
    <row r="695" spans="1:5" x14ac:dyDescent="0.3">
      <c r="A695" s="3" vm="932">
        <f ca="1"/>
        <v>45033</v>
      </c>
      <c r="B695" s="3" vm="2204">
        <f ca="1"/>
        <v>61.4</v>
      </c>
      <c r="D695" s="10" vm="276">
        <f ca="1"/>
        <v>33808.961000000003</v>
      </c>
      <c r="E695" s="13">
        <f t="shared" ca="1" si="11"/>
        <v>4.4750723158073713E-2</v>
      </c>
    </row>
    <row r="696" spans="1:5" x14ac:dyDescent="0.3">
      <c r="A696" s="3" vm="933">
        <f ca="1"/>
        <v>45040</v>
      </c>
      <c r="B696" s="3" vm="2205">
        <f ca="1"/>
        <v>64.39</v>
      </c>
      <c r="D696" s="10" vm="248">
        <f ca="1"/>
        <v>34098.1636</v>
      </c>
      <c r="E696" s="13">
        <f t="shared" ca="1" si="11"/>
        <v>4.869706840390875E-2</v>
      </c>
    </row>
    <row r="697" spans="1:5" x14ac:dyDescent="0.3">
      <c r="A697" s="3" vm="934">
        <f ca="1"/>
        <v>45047</v>
      </c>
      <c r="B697" s="3" vm="2206">
        <f ca="1"/>
        <v>65.31</v>
      </c>
      <c r="D697" s="10" vm="294">
        <f ca="1"/>
        <v>33674.3776</v>
      </c>
      <c r="E697" s="13">
        <f t="shared" ca="1" si="11"/>
        <v>1.4287932908836787E-2</v>
      </c>
    </row>
    <row r="698" spans="1:5" x14ac:dyDescent="0.3">
      <c r="A698" s="3" vm="935">
        <f ca="1"/>
        <v>45054</v>
      </c>
      <c r="B698" s="3" vm="2207">
        <f ca="1"/>
        <v>65.680000000000007</v>
      </c>
      <c r="D698" s="10" vm="316">
        <f ca="1"/>
        <v>33300.6155</v>
      </c>
      <c r="E698" s="13">
        <f t="shared" ca="1" si="11"/>
        <v>5.6652886234880295E-3</v>
      </c>
    </row>
    <row r="699" spans="1:5" x14ac:dyDescent="0.3">
      <c r="A699" s="3" vm="936">
        <f ca="1"/>
        <v>45061</v>
      </c>
      <c r="B699" s="3" vm="2208">
        <f ca="1"/>
        <v>66.36</v>
      </c>
      <c r="D699" s="10" vm="308">
        <f ca="1"/>
        <v>33426.630899999996</v>
      </c>
      <c r="E699" s="13">
        <f t="shared" ca="1" si="11"/>
        <v>1.0353227771010776E-2</v>
      </c>
    </row>
    <row r="700" spans="1:5" x14ac:dyDescent="0.3">
      <c r="A700" s="3" vm="937">
        <f ca="1"/>
        <v>45068</v>
      </c>
      <c r="B700" s="3" vm="2209">
        <f ca="1"/>
        <v>62.87</v>
      </c>
      <c r="D700" s="10" vm="332">
        <f ca="1"/>
        <v>33093.336000000003</v>
      </c>
      <c r="E700" s="13">
        <f t="shared" ca="1" si="11"/>
        <v>-5.2591922845087402E-2</v>
      </c>
    </row>
    <row r="701" spans="1:5" x14ac:dyDescent="0.3">
      <c r="A701" s="3" vm="938">
        <f ca="1"/>
        <v>45076</v>
      </c>
      <c r="B701" s="3" vm="2210">
        <f ca="1"/>
        <v>63.79</v>
      </c>
      <c r="D701" s="10" vm="280">
        <f ca="1"/>
        <v>33762.759700000002</v>
      </c>
      <c r="E701" s="13">
        <f t="shared" ca="1" si="11"/>
        <v>1.4633370446954119E-2</v>
      </c>
    </row>
    <row r="702" spans="1:5" x14ac:dyDescent="0.3">
      <c r="A702" s="3" vm="939">
        <f ca="1"/>
        <v>45082</v>
      </c>
      <c r="B702" s="3" vm="2211">
        <f ca="1"/>
        <v>64.03</v>
      </c>
      <c r="D702" s="10" vm="266">
        <f ca="1"/>
        <v>33876.779900000001</v>
      </c>
      <c r="E702" s="13">
        <f t="shared" ca="1" si="11"/>
        <v>3.7623451951716014E-3</v>
      </c>
    </row>
    <row r="703" spans="1:5" x14ac:dyDescent="0.3">
      <c r="A703" s="3" vm="940">
        <f ca="1"/>
        <v>45089</v>
      </c>
      <c r="B703" s="3" vm="2212">
        <f ca="1"/>
        <v>66.25</v>
      </c>
      <c r="D703" s="10" vm="238">
        <f ca="1"/>
        <v>34299.115899999997</v>
      </c>
      <c r="E703" s="13">
        <f t="shared" ca="1" si="11"/>
        <v>3.4671247852569032E-2</v>
      </c>
    </row>
    <row r="704" spans="1:5" x14ac:dyDescent="0.3">
      <c r="A704" s="3" vm="941">
        <f ca="1"/>
        <v>45097</v>
      </c>
      <c r="B704" s="3" vm="2213">
        <f ca="1"/>
        <v>66.430000000000007</v>
      </c>
      <c r="D704" s="10" vm="290">
        <f ca="1"/>
        <v>33727.433199999999</v>
      </c>
      <c r="E704" s="13">
        <f t="shared" ca="1" si="11"/>
        <v>2.7169811320755244E-3</v>
      </c>
    </row>
    <row r="705" spans="1:5" x14ac:dyDescent="0.3">
      <c r="A705" s="3" vm="942">
        <f ca="1"/>
        <v>45103</v>
      </c>
      <c r="B705" s="3" vm="2214">
        <f ca="1"/>
        <v>68.84</v>
      </c>
      <c r="D705" s="10" vm="226">
        <f ca="1"/>
        <v>34407.599900000001</v>
      </c>
      <c r="E705" s="13">
        <f t="shared" ca="1" si="11"/>
        <v>3.6278789703447112E-2</v>
      </c>
    </row>
    <row r="706" spans="1:5" x14ac:dyDescent="0.3">
      <c r="A706" s="3" vm="943">
        <f ca="1"/>
        <v>45110</v>
      </c>
      <c r="B706" s="3" vm="2215">
        <f ca="1"/>
        <v>67.8</v>
      </c>
      <c r="D706" s="10" vm="288">
        <f ca="1"/>
        <v>33734.880799999999</v>
      </c>
      <c r="E706" s="13">
        <f t="shared" ca="1" si="11"/>
        <v>-1.5107495642068702E-2</v>
      </c>
    </row>
    <row r="707" spans="1:5" x14ac:dyDescent="0.3">
      <c r="A707" s="3" vm="944">
        <f ca="1"/>
        <v>45117</v>
      </c>
      <c r="B707" s="3" vm="2216">
        <f ca="1"/>
        <v>68.72</v>
      </c>
      <c r="D707" s="10" vm="214">
        <f ca="1"/>
        <v>34509.0317</v>
      </c>
      <c r="E707" s="13">
        <f t="shared" ca="1" si="11"/>
        <v>1.3569321533923429E-2</v>
      </c>
    </row>
    <row r="708" spans="1:5" x14ac:dyDescent="0.3">
      <c r="A708" s="3" vm="945">
        <f ca="1"/>
        <v>45124</v>
      </c>
      <c r="B708" s="3" vm="2217">
        <f ca="1"/>
        <v>71.2</v>
      </c>
      <c r="D708" s="10" vm="156">
        <f ca="1"/>
        <v>35227.688399999999</v>
      </c>
      <c r="E708" s="13">
        <f t="shared" ca="1" si="11"/>
        <v>3.6088474970896511E-2</v>
      </c>
    </row>
    <row r="709" spans="1:5" x14ac:dyDescent="0.3">
      <c r="A709" s="3" vm="946">
        <f ca="1"/>
        <v>45131</v>
      </c>
      <c r="B709" s="3" vm="2218">
        <f ca="1"/>
        <v>70.59</v>
      </c>
      <c r="D709" s="10" vm="142">
        <f ca="1"/>
        <v>35459.287700000001</v>
      </c>
      <c r="E709" s="13">
        <f t="shared" ca="1" si="11"/>
        <v>-8.5674157303370357E-3</v>
      </c>
    </row>
    <row r="710" spans="1:5" x14ac:dyDescent="0.3">
      <c r="A710" s="3" vm="947">
        <f ca="1"/>
        <v>45138</v>
      </c>
      <c r="B710" s="3" vm="2219">
        <f ca="1"/>
        <v>70</v>
      </c>
      <c r="D710" s="10" vm="164">
        <f ca="1"/>
        <v>35065.621500000001</v>
      </c>
      <c r="E710" s="13">
        <f t="shared" ca="1" si="11"/>
        <v>-8.3581243802238747E-3</v>
      </c>
    </row>
    <row r="711" spans="1:5" x14ac:dyDescent="0.3">
      <c r="A711" s="3" vm="948">
        <f ca="1"/>
        <v>45145</v>
      </c>
      <c r="B711" s="3" vm="2220">
        <f ca="1"/>
        <v>70.78</v>
      </c>
      <c r="D711" s="10" vm="154">
        <f ca="1"/>
        <v>35281.403100000003</v>
      </c>
      <c r="E711" s="13">
        <f t="shared" ca="1" si="11"/>
        <v>1.1142857142857121E-2</v>
      </c>
    </row>
    <row r="712" spans="1:5" x14ac:dyDescent="0.3">
      <c r="A712" s="3" vm="949">
        <f ca="1"/>
        <v>45152</v>
      </c>
      <c r="B712" s="3" vm="2221">
        <f ca="1"/>
        <v>71.39</v>
      </c>
      <c r="D712" s="10" vm="216">
        <f ca="1"/>
        <v>34500.661399999997</v>
      </c>
      <c r="E712" s="13">
        <f t="shared" ca="1" si="11"/>
        <v>8.6182537439953855E-3</v>
      </c>
    </row>
    <row r="713" spans="1:5" x14ac:dyDescent="0.3">
      <c r="A713" s="3" vm="950">
        <f ca="1"/>
        <v>45159</v>
      </c>
      <c r="B713" s="3" vm="2222">
        <f ca="1"/>
        <v>73.069999999999993</v>
      </c>
      <c r="D713" s="10" vm="232">
        <f ca="1"/>
        <v>34346.8989</v>
      </c>
      <c r="E713" s="13">
        <f t="shared" ref="E713:E776" ca="1" si="12">IF(B713&gt;0,B713/B712-1,"")</f>
        <v>2.3532707662137442E-2</v>
      </c>
    </row>
    <row r="714" spans="1:5" x14ac:dyDescent="0.3">
      <c r="A714" s="3" vm="951">
        <f ca="1"/>
        <v>45166</v>
      </c>
      <c r="B714" s="3" vm="2223">
        <f ca="1"/>
        <v>74.2</v>
      </c>
      <c r="D714" s="10" vm="178">
        <f ca="1"/>
        <v>34837.713000000003</v>
      </c>
      <c r="E714" s="13">
        <f t="shared" ca="1" si="12"/>
        <v>1.5464622964280972E-2</v>
      </c>
    </row>
    <row r="715" spans="1:5" x14ac:dyDescent="0.3">
      <c r="A715" s="3" vm="952">
        <f ca="1"/>
        <v>45174</v>
      </c>
      <c r="B715" s="3" vm="2224">
        <f ca="1"/>
        <v>73.12</v>
      </c>
      <c r="D715" s="10" vm="210">
        <f ca="1"/>
        <v>34576.587</v>
      </c>
      <c r="E715" s="13">
        <f t="shared" ca="1" si="12"/>
        <v>-1.4555256064689992E-2</v>
      </c>
    </row>
    <row r="716" spans="1:5" x14ac:dyDescent="0.3">
      <c r="A716" s="3" vm="953">
        <f ca="1"/>
        <v>45180</v>
      </c>
      <c r="B716" s="3" vm="2225">
        <f ca="1"/>
        <v>72.63</v>
      </c>
      <c r="D716" s="10" vm="202">
        <f ca="1"/>
        <v>34618.240599999997</v>
      </c>
      <c r="E716" s="13">
        <f t="shared" ca="1" si="12"/>
        <v>-6.7013129102846403E-3</v>
      </c>
    </row>
    <row r="717" spans="1:5" x14ac:dyDescent="0.3">
      <c r="A717" s="3" vm="954">
        <f ca="1"/>
        <v>45187</v>
      </c>
      <c r="B717" s="3" vm="2226">
        <f ca="1"/>
        <v>72.27</v>
      </c>
      <c r="D717" s="10" vm="260">
        <f ca="1"/>
        <v>33963.8439</v>
      </c>
      <c r="E717" s="13">
        <f t="shared" ca="1" si="12"/>
        <v>-4.956629491945419E-3</v>
      </c>
    </row>
    <row r="718" spans="1:5" x14ac:dyDescent="0.3">
      <c r="A718" s="3" vm="955">
        <f ca="1"/>
        <v>45194</v>
      </c>
      <c r="B718" s="3" vm="2227">
        <f ca="1"/>
        <v>69.84</v>
      </c>
      <c r="D718" s="10" vm="302">
        <f ca="1"/>
        <v>33507.499499999998</v>
      </c>
      <c r="E718" s="13">
        <f t="shared" ca="1" si="12"/>
        <v>-3.3623910336239016E-2</v>
      </c>
    </row>
    <row r="719" spans="1:5" x14ac:dyDescent="0.3">
      <c r="A719" s="3" vm="956">
        <f ca="1"/>
        <v>45201</v>
      </c>
      <c r="B719" s="3" vm="2228">
        <f ca="1"/>
        <v>71.02</v>
      </c>
      <c r="D719" s="10" vm="310">
        <f ca="1"/>
        <v>33407.583599999998</v>
      </c>
      <c r="E719" s="13">
        <f t="shared" ca="1" si="12"/>
        <v>1.6895761741122506E-2</v>
      </c>
    </row>
    <row r="720" spans="1:5" x14ac:dyDescent="0.3">
      <c r="A720" s="3" vm="957">
        <f ca="1"/>
        <v>45208</v>
      </c>
      <c r="B720" s="3" vm="2229">
        <f ca="1"/>
        <v>69.709999999999994</v>
      </c>
      <c r="D720" s="10" vm="296">
        <f ca="1"/>
        <v>33670.291299999997</v>
      </c>
      <c r="E720" s="13">
        <f t="shared" ca="1" si="12"/>
        <v>-1.844550830751901E-2</v>
      </c>
    </row>
    <row r="721" spans="1:5" x14ac:dyDescent="0.3">
      <c r="A721" s="3" vm="958">
        <f ca="1"/>
        <v>45215</v>
      </c>
      <c r="B721" s="3" vm="2230">
        <f ca="1"/>
        <v>67.17</v>
      </c>
      <c r="D721" s="10" vm="330">
        <f ca="1"/>
        <v>33127.278400000003</v>
      </c>
      <c r="E721" s="13">
        <f t="shared" ca="1" si="12"/>
        <v>-3.6436666188495059E-2</v>
      </c>
    </row>
    <row r="722" spans="1:5" x14ac:dyDescent="0.3">
      <c r="A722" s="3" vm="959">
        <f ca="1"/>
        <v>45222</v>
      </c>
      <c r="B722" s="3" vm="2231">
        <f ca="1"/>
        <v>67.63</v>
      </c>
      <c r="D722" s="10" vm="358">
        <f ca="1"/>
        <v>32417.585200000001</v>
      </c>
      <c r="E722" s="13">
        <f t="shared" ca="1" si="12"/>
        <v>6.8482953699566806E-3</v>
      </c>
    </row>
    <row r="723" spans="1:5" x14ac:dyDescent="0.3">
      <c r="A723" s="3" vm="960">
        <f ca="1"/>
        <v>45229</v>
      </c>
      <c r="B723" s="3" vm="2232">
        <f ca="1"/>
        <v>70.53</v>
      </c>
      <c r="D723" s="10" vm="252">
        <f ca="1"/>
        <v>34061.321199999998</v>
      </c>
      <c r="E723" s="13">
        <f t="shared" ca="1" si="12"/>
        <v>4.2880378530238072E-2</v>
      </c>
    </row>
    <row r="724" spans="1:5" x14ac:dyDescent="0.3">
      <c r="A724" s="3" vm="961">
        <f ca="1"/>
        <v>45236</v>
      </c>
      <c r="B724" s="3" vm="2233">
        <f ca="1"/>
        <v>72.849999999999994</v>
      </c>
      <c r="D724" s="10" vm="240">
        <f ca="1"/>
        <v>34283.100400000003</v>
      </c>
      <c r="E724" s="13">
        <f t="shared" ca="1" si="12"/>
        <v>3.2893804055011966E-2</v>
      </c>
    </row>
    <row r="725" spans="1:5" x14ac:dyDescent="0.3">
      <c r="A725" s="3" vm="962">
        <f ca="1"/>
        <v>45243</v>
      </c>
      <c r="B725" s="3" vm="2234">
        <f ca="1"/>
        <v>73.010000000000005</v>
      </c>
      <c r="D725" s="10" vm="168">
        <f ca="1"/>
        <v>34947.284399999997</v>
      </c>
      <c r="E725" s="13">
        <f t="shared" ca="1" si="12"/>
        <v>2.1962937542898686E-3</v>
      </c>
    </row>
    <row r="726" spans="1:5" x14ac:dyDescent="0.3">
      <c r="A726" s="3" vm="963">
        <f ca="1"/>
        <v>45250</v>
      </c>
      <c r="B726" s="3" vm="2235">
        <f ca="1"/>
        <v>74.53</v>
      </c>
      <c r="D726" s="10" vm="146">
        <f ca="1"/>
        <v>35390.150600000001</v>
      </c>
      <c r="E726" s="13">
        <f t="shared" ca="1" si="12"/>
        <v>2.0819065881386045E-2</v>
      </c>
    </row>
    <row r="727" spans="1:5" x14ac:dyDescent="0.3">
      <c r="A727" s="3" vm="964">
        <f ca="1"/>
        <v>45257</v>
      </c>
      <c r="B727" s="3" vm="2236">
        <f ca="1"/>
        <v>74.14</v>
      </c>
      <c r="D727" s="10" vm="122">
        <f ca="1"/>
        <v>36245.4997</v>
      </c>
      <c r="E727" s="13">
        <f t="shared" ca="1" si="12"/>
        <v>-5.2327921642292274E-3</v>
      </c>
    </row>
    <row r="728" spans="1:5" x14ac:dyDescent="0.3">
      <c r="A728" s="3" vm="965">
        <f ca="1"/>
        <v>45264</v>
      </c>
      <c r="B728" s="3" vm="2237">
        <f ca="1"/>
        <v>74.150000000000006</v>
      </c>
      <c r="D728" s="10" vm="120">
        <f ca="1"/>
        <v>36247.8724</v>
      </c>
      <c r="E728" s="13">
        <f t="shared" ca="1" si="12"/>
        <v>1.34879956838585E-4</v>
      </c>
    </row>
    <row r="729" spans="1:5" x14ac:dyDescent="0.3">
      <c r="A729" s="3" vm="966">
        <f ca="1"/>
        <v>45271</v>
      </c>
      <c r="B729" s="3" vm="2238">
        <f ca="1"/>
        <v>69.47</v>
      </c>
      <c r="D729" s="10" vm="114">
        <f ca="1"/>
        <v>37305.162400000001</v>
      </c>
      <c r="E729" s="13">
        <f t="shared" ca="1" si="12"/>
        <v>-6.3115306810519356E-2</v>
      </c>
    </row>
    <row r="730" spans="1:5" x14ac:dyDescent="0.3">
      <c r="A730" s="3" vm="967">
        <f ca="1"/>
        <v>45278</v>
      </c>
      <c r="B730" s="3" vm="2239">
        <f ca="1"/>
        <v>70.48</v>
      </c>
      <c r="D730" s="10" vm="112">
        <f ca="1"/>
        <v>37385.965199999999</v>
      </c>
      <c r="E730" s="13">
        <f t="shared" ca="1" si="12"/>
        <v>1.453864977688224E-2</v>
      </c>
    </row>
    <row r="731" spans="1:5" x14ac:dyDescent="0.3">
      <c r="A731" s="3" vm="968">
        <f ca="1"/>
        <v>45286</v>
      </c>
      <c r="B731" s="3" vm="2240">
        <f ca="1"/>
        <v>71.11</v>
      </c>
      <c r="D731" s="10" vm="106">
        <f ca="1"/>
        <v>37689.5357</v>
      </c>
      <c r="E731" s="13">
        <f t="shared" ca="1" si="12"/>
        <v>8.9387060158909737E-3</v>
      </c>
    </row>
    <row r="732" spans="1:5" x14ac:dyDescent="0.3">
      <c r="A732" s="3" vm="969">
        <f ca="1"/>
        <v>45293</v>
      </c>
      <c r="B732" s="3" vm="2241">
        <f ca="1"/>
        <v>69.599999999999994</v>
      </c>
      <c r="D732" s="10" vm="110">
        <f ca="1"/>
        <v>37466.108800000002</v>
      </c>
      <c r="E732" s="13">
        <f t="shared" ca="1" si="12"/>
        <v>-2.1234706792293667E-2</v>
      </c>
    </row>
    <row r="733" spans="1:5" x14ac:dyDescent="0.3">
      <c r="A733" s="3" vm="970">
        <f ca="1"/>
        <v>45299</v>
      </c>
      <c r="B733" s="3" vm="2242">
        <f ca="1"/>
        <v>74.48</v>
      </c>
      <c r="D733" s="10" vm="108">
        <f ca="1"/>
        <v>37592.981</v>
      </c>
      <c r="E733" s="13">
        <f t="shared" ca="1" si="12"/>
        <v>7.0114942528735735E-2</v>
      </c>
    </row>
    <row r="734" spans="1:5" x14ac:dyDescent="0.3">
      <c r="A734" s="3" vm="971">
        <f ca="1"/>
        <v>45307</v>
      </c>
      <c r="B734" s="3" vm="2243">
        <f ca="1"/>
        <v>74.83</v>
      </c>
      <c r="D734" s="10" vm="104">
        <f ca="1"/>
        <v>37863.795400000003</v>
      </c>
      <c r="E734" s="13">
        <f t="shared" ca="1" si="12"/>
        <v>4.6992481203007586E-3</v>
      </c>
    </row>
    <row r="735" spans="1:5" x14ac:dyDescent="0.3">
      <c r="A735" s="3" vm="972">
        <f ca="1"/>
        <v>45313</v>
      </c>
      <c r="B735" s="3" vm="2244">
        <f ca="1"/>
        <v>76.88</v>
      </c>
      <c r="D735" s="10" vm="98">
        <f ca="1"/>
        <v>38109.433100000002</v>
      </c>
      <c r="E735" s="13">
        <f t="shared" ca="1" si="12"/>
        <v>2.7395429640518554E-2</v>
      </c>
    </row>
    <row r="736" spans="1:5" x14ac:dyDescent="0.3">
      <c r="A736" s="3" vm="973">
        <f ca="1"/>
        <v>45320</v>
      </c>
      <c r="B736" s="3" vm="2245">
        <f ca="1"/>
        <v>77.69</v>
      </c>
      <c r="D736" s="10" vm="90">
        <f ca="1"/>
        <v>38654.423199999997</v>
      </c>
      <c r="E736" s="13">
        <f t="shared" ca="1" si="12"/>
        <v>1.053590010405836E-2</v>
      </c>
    </row>
    <row r="737" spans="1:5" x14ac:dyDescent="0.3">
      <c r="A737" s="3" vm="974">
        <f ca="1"/>
        <v>45327</v>
      </c>
      <c r="B737" s="3" vm="2246">
        <f ca="1"/>
        <v>81</v>
      </c>
      <c r="D737" s="10" vm="88">
        <f ca="1"/>
        <v>38671.690999999999</v>
      </c>
      <c r="E737" s="13">
        <f t="shared" ca="1" si="12"/>
        <v>4.2605225897798915E-2</v>
      </c>
    </row>
    <row r="738" spans="1:5" x14ac:dyDescent="0.3">
      <c r="A738" s="3" vm="975">
        <f ca="1"/>
        <v>45334</v>
      </c>
      <c r="B738" s="3" vm="2247">
        <f ca="1"/>
        <v>82.69</v>
      </c>
      <c r="D738" s="10" vm="92">
        <f ca="1"/>
        <v>38627.994299999998</v>
      </c>
      <c r="E738" s="13">
        <f t="shared" ca="1" si="12"/>
        <v>2.0864197530864104E-2</v>
      </c>
    </row>
    <row r="739" spans="1:5" x14ac:dyDescent="0.3">
      <c r="A739" s="3" vm="976">
        <f ca="1"/>
        <v>45342</v>
      </c>
      <c r="B739" s="3" vm="2248">
        <f ca="1"/>
        <v>84.24</v>
      </c>
      <c r="D739" s="10" vm="68">
        <f ca="1"/>
        <v>39131.5285</v>
      </c>
      <c r="E739" s="13">
        <f t="shared" ca="1" si="12"/>
        <v>1.8744709154673966E-2</v>
      </c>
    </row>
    <row r="740" spans="1:5" x14ac:dyDescent="0.3">
      <c r="A740" s="3" vm="977">
        <f ca="1"/>
        <v>45348</v>
      </c>
      <c r="B740" s="3" vm="2249">
        <f ca="1"/>
        <v>83.74</v>
      </c>
      <c r="D740" s="10" vm="72">
        <f ca="1"/>
        <v>39087.376100000001</v>
      </c>
      <c r="E740" s="13">
        <f t="shared" ca="1" si="12"/>
        <v>-5.9354226020892353E-3</v>
      </c>
    </row>
    <row r="741" spans="1:5" x14ac:dyDescent="0.3">
      <c r="A741" s="3" vm="978">
        <f ca="1"/>
        <v>45355</v>
      </c>
      <c r="B741" s="3" vm="2250">
        <f ca="1"/>
        <v>85.19</v>
      </c>
      <c r="D741" s="10" vm="80">
        <f ca="1"/>
        <v>38722.693099999997</v>
      </c>
      <c r="E741" s="13">
        <f t="shared" ca="1" si="12"/>
        <v>1.731550035825169E-2</v>
      </c>
    </row>
    <row r="742" spans="1:5" x14ac:dyDescent="0.3">
      <c r="A742" s="3" vm="979">
        <f ca="1"/>
        <v>45362</v>
      </c>
      <c r="B742" s="3" vm="2251">
        <f ca="1"/>
        <v>84.94</v>
      </c>
      <c r="D742" s="10" vm="82">
        <f ca="1"/>
        <v>38714.766600000003</v>
      </c>
      <c r="E742" s="13">
        <f t="shared" ca="1" si="12"/>
        <v>-2.9346167390539302E-3</v>
      </c>
    </row>
    <row r="743" spans="1:5" x14ac:dyDescent="0.3">
      <c r="A743" s="3" vm="980">
        <f ca="1"/>
        <v>45369</v>
      </c>
      <c r="B743" s="3" vm="2252">
        <f ca="1"/>
        <v>86</v>
      </c>
      <c r="D743" s="10" vm="62">
        <f ca="1"/>
        <v>39475.904000000002</v>
      </c>
      <c r="E743" s="13">
        <f t="shared" ca="1" si="12"/>
        <v>1.2479397221568211E-2</v>
      </c>
    </row>
    <row r="744" spans="1:5" x14ac:dyDescent="0.3">
      <c r="A744" s="3" vm="981">
        <f ca="1"/>
        <v>45376</v>
      </c>
      <c r="B744" s="3" vm="2253">
        <f ca="1"/>
        <v>87.54</v>
      </c>
      <c r="D744" s="10" vm="54">
        <f ca="1"/>
        <v>39807.374499999998</v>
      </c>
      <c r="E744" s="13">
        <f t="shared" ca="1" si="12"/>
        <v>1.7906976744186176E-2</v>
      </c>
    </row>
    <row r="745" spans="1:5" x14ac:dyDescent="0.3">
      <c r="A745" s="3" vm="982">
        <f ca="1"/>
        <v>45383</v>
      </c>
      <c r="B745" s="3" vm="2254">
        <f ca="1"/>
        <v>85.15</v>
      </c>
      <c r="D745" s="10" vm="76">
        <f ca="1"/>
        <v>38904.038399999998</v>
      </c>
      <c r="E745" s="13">
        <f t="shared" ca="1" si="12"/>
        <v>-2.7301804889193537E-2</v>
      </c>
    </row>
    <row r="746" spans="1:5" x14ac:dyDescent="0.3">
      <c r="A746" s="3" vm="983">
        <f ca="1"/>
        <v>45390</v>
      </c>
      <c r="B746" s="3" vm="2255">
        <f ca="1"/>
        <v>81.900000000000006</v>
      </c>
      <c r="D746" s="10" vm="102">
        <f ca="1"/>
        <v>37983.243600000002</v>
      </c>
      <c r="E746" s="13">
        <f t="shared" ca="1" si="12"/>
        <v>-3.8167938931297662E-2</v>
      </c>
    </row>
    <row r="747" spans="1:5" x14ac:dyDescent="0.3">
      <c r="A747" s="3" vm="984">
        <f ca="1"/>
        <v>45397</v>
      </c>
      <c r="B747" s="3" vm="2256">
        <f ca="1"/>
        <v>82.17</v>
      </c>
      <c r="D747" s="10" vm="100">
        <f ca="1"/>
        <v>37986.396999999997</v>
      </c>
      <c r="E747" s="13">
        <f t="shared" ca="1" si="12"/>
        <v>3.296703296703285E-3</v>
      </c>
    </row>
    <row r="748" spans="1:5" x14ac:dyDescent="0.3">
      <c r="A748" s="3" vm="985">
        <f ca="1"/>
        <v>45404</v>
      </c>
      <c r="B748" s="3" vm="2257">
        <f ca="1"/>
        <v>81.459999999999994</v>
      </c>
      <c r="D748" s="10" vm="96">
        <f ca="1"/>
        <v>38239.654999999999</v>
      </c>
      <c r="E748" s="13">
        <f t="shared" ca="1" si="12"/>
        <v>-8.6406230984544807E-3</v>
      </c>
    </row>
    <row r="749" spans="1:5" x14ac:dyDescent="0.3">
      <c r="A749" s="3" vm="986">
        <f ca="1"/>
        <v>45411</v>
      </c>
      <c r="B749" s="3" vm="2258">
        <f ca="1"/>
        <v>83.5</v>
      </c>
      <c r="D749" s="10" vm="86">
        <f ca="1"/>
        <v>38675.679199999999</v>
      </c>
      <c r="E749" s="13">
        <f t="shared" ca="1" si="12"/>
        <v>2.5042965872821066E-2</v>
      </c>
    </row>
    <row r="750" spans="1:5" x14ac:dyDescent="0.3">
      <c r="A750" s="3" vm="987">
        <f ca="1"/>
        <v>45418</v>
      </c>
      <c r="B750" s="3" vm="2259">
        <f ca="1"/>
        <v>87.07</v>
      </c>
      <c r="D750" s="10" vm="58">
        <f ca="1"/>
        <v>39512.843000000001</v>
      </c>
      <c r="E750" s="13">
        <f t="shared" ca="1" si="12"/>
        <v>4.2754491017964025E-2</v>
      </c>
    </row>
    <row r="751" spans="1:5" x14ac:dyDescent="0.3">
      <c r="A751" s="3" vm="988">
        <f ca="1"/>
        <v>45425</v>
      </c>
      <c r="B751" s="3" vm="2260">
        <f ca="1"/>
        <v>89.83</v>
      </c>
      <c r="D751" s="10" vm="50">
        <f ca="1"/>
        <v>40003.591899999999</v>
      </c>
      <c r="E751" s="13">
        <f t="shared" ca="1" si="12"/>
        <v>3.1698633283564925E-2</v>
      </c>
    </row>
    <row r="752" spans="1:5" x14ac:dyDescent="0.3">
      <c r="A752" s="3" vm="989">
        <f ca="1"/>
        <v>45432</v>
      </c>
      <c r="B752" s="3" vm="2261">
        <f ca="1"/>
        <v>89.36</v>
      </c>
      <c r="D752" s="10" vm="74">
        <f ca="1"/>
        <v>39069.592299999997</v>
      </c>
      <c r="E752" s="13">
        <f t="shared" ca="1" si="12"/>
        <v>-5.232105087387251E-3</v>
      </c>
    </row>
    <row r="753" spans="1:5" x14ac:dyDescent="0.3">
      <c r="A753" s="3" vm="990">
        <f ca="1"/>
        <v>45440</v>
      </c>
      <c r="B753" s="3" vm="2262">
        <f ca="1"/>
        <v>89.51</v>
      </c>
      <c r="D753" s="10" vm="84">
        <f ca="1"/>
        <v>38686.321900000003</v>
      </c>
      <c r="E753" s="13">
        <f t="shared" ca="1" si="12"/>
        <v>1.6786034019695695E-3</v>
      </c>
    </row>
    <row r="754" spans="1:5" x14ac:dyDescent="0.3">
      <c r="A754" s="3" vm="991">
        <f ca="1"/>
        <v>45446</v>
      </c>
      <c r="B754" s="3" vm="2263">
        <f ca="1"/>
        <v>90.28</v>
      </c>
      <c r="D754" s="10" vm="78">
        <f ca="1"/>
        <v>38798.9905</v>
      </c>
      <c r="E754" s="13">
        <f t="shared" ca="1" si="12"/>
        <v>8.6023907943246769E-3</v>
      </c>
    </row>
    <row r="755" spans="1:5" x14ac:dyDescent="0.3">
      <c r="A755" s="3" vm="992">
        <f ca="1"/>
        <v>45453</v>
      </c>
      <c r="B755" s="3" vm="2264">
        <f ca="1"/>
        <v>90.08</v>
      </c>
      <c r="D755" s="10" vm="94">
        <f ca="1"/>
        <v>38589.157599999999</v>
      </c>
      <c r="E755" s="13">
        <f t="shared" ca="1" si="12"/>
        <v>-2.2153300841826207E-3</v>
      </c>
    </row>
    <row r="756" spans="1:5" x14ac:dyDescent="0.3">
      <c r="A756" s="3" vm="993">
        <f ca="1"/>
        <v>45460</v>
      </c>
      <c r="B756" s="3" vm="2265">
        <f ca="1"/>
        <v>93.02</v>
      </c>
      <c r="D756" s="10" vm="66">
        <f ca="1"/>
        <v>39150.332600000002</v>
      </c>
      <c r="E756" s="13">
        <f t="shared" ca="1" si="12"/>
        <v>3.2637655417406819E-2</v>
      </c>
    </row>
    <row r="757" spans="1:5" x14ac:dyDescent="0.3">
      <c r="A757" s="3" vm="994">
        <f ca="1"/>
        <v>45467</v>
      </c>
      <c r="B757" s="3" vm="2266">
        <f ca="1"/>
        <v>89.41</v>
      </c>
      <c r="D757" s="10" vm="70">
        <f ca="1"/>
        <v>39118.864200000004</v>
      </c>
      <c r="E757" s="13">
        <f t="shared" ca="1" si="12"/>
        <v>-3.8808858310040883E-2</v>
      </c>
    </row>
    <row r="758" spans="1:5" x14ac:dyDescent="0.3">
      <c r="A758" s="3" vm="995">
        <f ca="1"/>
        <v>45474</v>
      </c>
      <c r="B758" s="3" vm="2267">
        <f ca="1"/>
        <v>90.52</v>
      </c>
      <c r="D758" s="10" vm="64">
        <f ca="1"/>
        <v>39375.866900000001</v>
      </c>
      <c r="E758" s="13">
        <f t="shared" ca="1" si="12"/>
        <v>1.241471871155353E-2</v>
      </c>
    </row>
    <row r="759" spans="1:5" x14ac:dyDescent="0.3">
      <c r="A759" s="3" vm="996">
        <f ca="1"/>
        <v>45481</v>
      </c>
      <c r="B759" s="3" vm="2268">
        <f ca="1"/>
        <v>93.74</v>
      </c>
      <c r="D759" s="10" vm="52">
        <f ca="1"/>
        <v>40000.898399999998</v>
      </c>
      <c r="E759" s="13">
        <f t="shared" ca="1" si="12"/>
        <v>3.5572249226690333E-2</v>
      </c>
    </row>
    <row r="760" spans="1:5" x14ac:dyDescent="0.3">
      <c r="A760" s="3" vm="997">
        <f ca="1"/>
        <v>45488</v>
      </c>
      <c r="B760" s="3" vm="2269">
        <f ca="1"/>
        <v>92.46</v>
      </c>
      <c r="D760" s="10" vm="48">
        <f ca="1"/>
        <v>40287.529900000001</v>
      </c>
      <c r="E760" s="13">
        <f t="shared" ca="1" si="12"/>
        <v>-1.3654789844250059E-2</v>
      </c>
    </row>
    <row r="761" spans="1:5" x14ac:dyDescent="0.3">
      <c r="A761" s="3" vm="998">
        <f ca="1"/>
        <v>45495</v>
      </c>
      <c r="B761" s="3" vm="2270">
        <f ca="1"/>
        <v>99.17</v>
      </c>
      <c r="D761" s="10" vm="44">
        <f ca="1"/>
        <v>40589.337200000002</v>
      </c>
      <c r="E761" s="13">
        <f t="shared" ca="1" si="12"/>
        <v>7.2571922993727167E-2</v>
      </c>
    </row>
    <row r="762" spans="1:5" x14ac:dyDescent="0.3">
      <c r="A762" s="3" vm="999">
        <f ca="1"/>
        <v>45502</v>
      </c>
      <c r="B762" s="3" vm="2271">
        <f ca="1"/>
        <v>101.22</v>
      </c>
      <c r="D762" s="10" vm="56">
        <f ca="1"/>
        <v>39737.260399999999</v>
      </c>
      <c r="E762" s="13">
        <f t="shared" ca="1" si="12"/>
        <v>2.0671574064737186E-2</v>
      </c>
    </row>
    <row r="763" spans="1:5" x14ac:dyDescent="0.3">
      <c r="A763" s="3" vm="1000">
        <f ca="1"/>
        <v>45509</v>
      </c>
      <c r="B763" s="3" vm="2272">
        <f ca="1"/>
        <v>100.32</v>
      </c>
      <c r="D763" s="10" vm="60">
        <f ca="1"/>
        <v>39497.54</v>
      </c>
      <c r="E763" s="13">
        <f t="shared" ca="1" si="12"/>
        <v>-8.8915234143450705E-3</v>
      </c>
    </row>
    <row r="764" spans="1:5" x14ac:dyDescent="0.3">
      <c r="A764" s="3" vm="1001">
        <f ca="1"/>
        <v>45516</v>
      </c>
      <c r="B764" s="3" vm="2273">
        <f ca="1"/>
        <v>101.87</v>
      </c>
      <c r="D764" s="10" vm="42">
        <f ca="1"/>
        <v>40659.760000000002</v>
      </c>
      <c r="E764" s="13">
        <f t="shared" ca="1" si="12"/>
        <v>1.5450558213716326E-2</v>
      </c>
    </row>
    <row r="765" spans="1:5" x14ac:dyDescent="0.3">
      <c r="A765" s="3" vm="1002">
        <f ca="1"/>
        <v>45523</v>
      </c>
      <c r="B765" s="3" vm="2274">
        <f ca="1"/>
        <v>102</v>
      </c>
      <c r="D765" s="10" vm="40">
        <f ca="1"/>
        <v>41175.08</v>
      </c>
      <c r="E765" s="13">
        <f t="shared" ca="1" si="12"/>
        <v>1.276136252085891E-3</v>
      </c>
    </row>
    <row r="766" spans="1:5" x14ac:dyDescent="0.3">
      <c r="A766" s="3" vm="1003">
        <f ca="1"/>
        <v>45530</v>
      </c>
      <c r="B766" s="3" vm="2275">
        <f ca="1"/>
        <v>105.13</v>
      </c>
      <c r="D766" s="10" vm="36">
        <f ca="1"/>
        <v>41563.08</v>
      </c>
      <c r="E766" s="13">
        <f t="shared" ca="1" si="12"/>
        <v>3.0686274509803768E-2</v>
      </c>
    </row>
    <row r="767" spans="1:5" x14ac:dyDescent="0.3">
      <c r="A767" s="3" vm="1004">
        <f ca="1"/>
        <v>45538</v>
      </c>
      <c r="B767" s="3" vm="2276">
        <f ca="1"/>
        <v>103.94</v>
      </c>
      <c r="D767" s="10" vm="46">
        <f ca="1"/>
        <v>40345.410000000003</v>
      </c>
      <c r="E767" s="13">
        <f t="shared" ca="1" si="12"/>
        <v>-1.1319318938457168E-2</v>
      </c>
    </row>
    <row r="768" spans="1:5" x14ac:dyDescent="0.3">
      <c r="A768" s="3" vm="1005">
        <f ca="1"/>
        <v>45544</v>
      </c>
      <c r="B768" s="3" vm="2277">
        <f ca="1"/>
        <v>103.13</v>
      </c>
      <c r="D768" s="10" vm="38">
        <f ca="1"/>
        <v>41393.78</v>
      </c>
      <c r="E768" s="13">
        <f t="shared" ca="1" si="12"/>
        <v>-7.7929574754665998E-3</v>
      </c>
    </row>
    <row r="769" spans="1:5" x14ac:dyDescent="0.3">
      <c r="A769" s="3" vm="1006">
        <f ca="1"/>
        <v>45551</v>
      </c>
      <c r="B769" s="3" vm="2278">
        <f ca="1"/>
        <v>101.01</v>
      </c>
      <c r="D769" s="10" vm="30">
        <f ca="1"/>
        <v>42063.360000000001</v>
      </c>
      <c r="E769" s="13">
        <f t="shared" ca="1" si="12"/>
        <v>-2.0556579074953896E-2</v>
      </c>
    </row>
    <row r="770" spans="1:5" x14ac:dyDescent="0.3">
      <c r="A770" s="3" vm="1007">
        <f ca="1"/>
        <v>45558</v>
      </c>
      <c r="B770" s="3" vm="2279">
        <f ca="1"/>
        <v>102.65</v>
      </c>
      <c r="D770" s="10" vm="26">
        <f ca="1"/>
        <v>42313</v>
      </c>
      <c r="E770" s="13">
        <f t="shared" ca="1" si="12"/>
        <v>1.6236016236016226E-2</v>
      </c>
    </row>
    <row r="771" spans="1:5" x14ac:dyDescent="0.3">
      <c r="A771" s="3" vm="1008">
        <f ca="1"/>
        <v>45565</v>
      </c>
      <c r="B771" s="3" vm="2280">
        <f ca="1"/>
        <v>105.65</v>
      </c>
      <c r="D771" s="10" vm="24">
        <f ca="1"/>
        <v>42352.75</v>
      </c>
      <c r="E771" s="13">
        <f t="shared" ca="1" si="12"/>
        <v>2.9225523623964911E-2</v>
      </c>
    </row>
    <row r="772" spans="1:5" x14ac:dyDescent="0.3">
      <c r="A772" s="3" vm="1009">
        <f ca="1"/>
        <v>45572</v>
      </c>
      <c r="B772" s="3" vm="2281">
        <f ca="1"/>
        <v>104.75</v>
      </c>
      <c r="D772" s="10" vm="18">
        <f ca="1"/>
        <v>42863.86</v>
      </c>
      <c r="E772" s="13">
        <f t="shared" ca="1" si="12"/>
        <v>-8.5186938002840273E-3</v>
      </c>
    </row>
    <row r="773" spans="1:5" x14ac:dyDescent="0.3">
      <c r="A773" s="3" vm="1010">
        <f ca="1"/>
        <v>45579</v>
      </c>
      <c r="B773" s="3" vm="2282">
        <f ca="1"/>
        <v>106.39</v>
      </c>
      <c r="D773" s="10" vm="14">
        <f ca="1"/>
        <v>43275.91</v>
      </c>
      <c r="E773" s="13">
        <f t="shared" ca="1" si="12"/>
        <v>1.5656324582338899E-2</v>
      </c>
    </row>
    <row r="774" spans="1:5" x14ac:dyDescent="0.3">
      <c r="A774" s="3" vm="1011">
        <f ca="1"/>
        <v>45586</v>
      </c>
      <c r="B774" s="3" vm="2283">
        <f ca="1"/>
        <v>103.98</v>
      </c>
      <c r="D774" s="10" vm="28">
        <f ca="1"/>
        <v>42114.400000000001</v>
      </c>
      <c r="E774" s="13">
        <f t="shared" ca="1" si="12"/>
        <v>-2.26525049346743E-2</v>
      </c>
    </row>
    <row r="775" spans="1:5" x14ac:dyDescent="0.3">
      <c r="A775" s="3" vm="1012">
        <f ca="1"/>
        <v>45593</v>
      </c>
      <c r="B775" s="3" vm="2284">
        <f ca="1"/>
        <v>104.17</v>
      </c>
      <c r="D775" s="10" vm="32">
        <f ca="1"/>
        <v>42052.19</v>
      </c>
      <c r="E775" s="13">
        <f t="shared" ca="1" si="12"/>
        <v>1.8272744758607296E-3</v>
      </c>
    </row>
    <row r="776" spans="1:5" x14ac:dyDescent="0.3">
      <c r="A776" s="3" vm="1013">
        <f ca="1"/>
        <v>45600</v>
      </c>
      <c r="B776" s="3" vm="2285">
        <f ca="1"/>
        <v>112.43</v>
      </c>
      <c r="D776" s="10" vm="6">
        <f ca="1"/>
        <v>43988.99</v>
      </c>
      <c r="E776" s="13">
        <f t="shared" ca="1" si="12"/>
        <v>7.9293462609196563E-2</v>
      </c>
    </row>
    <row r="777" spans="1:5" x14ac:dyDescent="0.3">
      <c r="A777" s="3" vm="1014">
        <f ca="1"/>
        <v>45607</v>
      </c>
      <c r="B777" s="3" vm="2286">
        <f ca="1"/>
        <v>110.05</v>
      </c>
      <c r="D777" s="10" vm="12">
        <f ca="1"/>
        <v>43444.99</v>
      </c>
      <c r="E777" s="13">
        <f t="shared" ref="E777:E790" ca="1" si="13">IF(B777&gt;0,B777/B776-1,"")</f>
        <v>-2.1168727208040639E-2</v>
      </c>
    </row>
    <row r="778" spans="1:5" x14ac:dyDescent="0.3">
      <c r="A778" s="3" vm="1015">
        <f ca="1"/>
        <v>45614</v>
      </c>
      <c r="B778" s="3" vm="2287">
        <f ca="1"/>
        <v>112.05</v>
      </c>
      <c r="D778" s="10" vm="4">
        <f ca="1"/>
        <v>44296.51</v>
      </c>
      <c r="E778" s="13">
        <f t="shared" ca="1" si="13"/>
        <v>1.8173557473875501E-2</v>
      </c>
    </row>
    <row r="779" spans="1:5" x14ac:dyDescent="0.3">
      <c r="A779" s="3" vm="1016">
        <f ca="1"/>
        <v>45621</v>
      </c>
      <c r="B779" s="3" vm="2288">
        <f ca="1"/>
        <v>113.1</v>
      </c>
      <c r="D779" s="10" vm="2289">
        <f ca="1"/>
        <v>44910.65</v>
      </c>
      <c r="E779" s="13">
        <f t="shared" ca="1" si="13"/>
        <v>9.3708165997321569E-3</v>
      </c>
    </row>
    <row r="780" spans="1:5" x14ac:dyDescent="0.3">
      <c r="A780" s="3" vm="1017">
        <f ca="1"/>
        <v>45628</v>
      </c>
      <c r="B780" s="3" vm="2290">
        <f ca="1"/>
        <v>109.18</v>
      </c>
      <c r="D780" s="10" vm="2291">
        <f ca="1"/>
        <v>44642.52</v>
      </c>
      <c r="E780" s="13">
        <f t="shared" ca="1" si="13"/>
        <v>-3.4659593280282786E-2</v>
      </c>
    </row>
    <row r="781" spans="1:5" x14ac:dyDescent="0.3">
      <c r="A781" s="3" vm="1018">
        <f ca="1"/>
        <v>45635</v>
      </c>
      <c r="B781" s="3" vm="2292">
        <f ca="1"/>
        <v>104.19</v>
      </c>
      <c r="D781" s="10" vm="8">
        <f ca="1"/>
        <v>43828.06</v>
      </c>
      <c r="E781" s="13">
        <f t="shared" ca="1" si="13"/>
        <v>-4.5704341454478881E-2</v>
      </c>
    </row>
    <row r="782" spans="1:5" x14ac:dyDescent="0.3">
      <c r="A782" s="3" vm="1019">
        <f ca="1"/>
        <v>45642</v>
      </c>
      <c r="B782" s="3" vm="2293">
        <f ca="1"/>
        <v>102.93</v>
      </c>
      <c r="D782" s="10" vm="20">
        <f ca="1"/>
        <v>42840.26</v>
      </c>
      <c r="E782" s="13">
        <f t="shared" ca="1" si="13"/>
        <v>-1.2093291102792891E-2</v>
      </c>
    </row>
    <row r="783" spans="1:5" x14ac:dyDescent="0.3">
      <c r="A783" s="3" vm="1020">
        <f ca="1"/>
        <v>45649</v>
      </c>
      <c r="B783" s="3" vm="2294">
        <f ca="1"/>
        <v>102.89</v>
      </c>
      <c r="D783" s="10" vm="16">
        <f ca="1"/>
        <v>42992.21</v>
      </c>
      <c r="E783" s="13">
        <f t="shared" ca="1" si="13"/>
        <v>-3.886136209074742E-4</v>
      </c>
    </row>
    <row r="784" spans="1:5" x14ac:dyDescent="0.3">
      <c r="A784" s="3" vm="1021">
        <f ca="1"/>
        <v>45656</v>
      </c>
      <c r="B784" s="3" vm="2295">
        <f ca="1"/>
        <v>101.59</v>
      </c>
      <c r="D784" s="10" vm="22">
        <f ca="1"/>
        <v>42732.13</v>
      </c>
      <c r="E784" s="13">
        <f t="shared" ca="1" si="13"/>
        <v>-1.2634852755369796E-2</v>
      </c>
    </row>
    <row r="785" spans="1:5" x14ac:dyDescent="0.3">
      <c r="A785" s="3" vm="1022">
        <f ca="1"/>
        <v>45663</v>
      </c>
      <c r="B785" s="3" vm="2296">
        <f ca="1"/>
        <v>101.95</v>
      </c>
      <c r="D785" s="10" vm="34">
        <f ca="1"/>
        <v>41938.449999999997</v>
      </c>
      <c r="E785" s="13">
        <f t="shared" ca="1" si="13"/>
        <v>3.5436558716408495E-3</v>
      </c>
    </row>
    <row r="786" spans="1:5" x14ac:dyDescent="0.3">
      <c r="A786" s="3" vm="1023">
        <f ca="1"/>
        <v>45670</v>
      </c>
      <c r="B786" s="3" vm="2297">
        <f ca="1"/>
        <v>105.55</v>
      </c>
      <c r="D786" s="10" vm="10">
        <f ca="1"/>
        <v>43487.83</v>
      </c>
      <c r="E786" s="13">
        <f t="shared" ca="1" si="13"/>
        <v>3.531142717018132E-2</v>
      </c>
    </row>
    <row r="787" spans="1:5" x14ac:dyDescent="0.3">
      <c r="A787" s="3" vm="1024">
        <f ca="1"/>
        <v>45678</v>
      </c>
      <c r="B787" s="3" vm="2298">
        <f ca="1"/>
        <v>106</v>
      </c>
      <c r="D787" s="10" vm="1">
        <f ca="1"/>
        <v>44424.25</v>
      </c>
      <c r="E787" s="13">
        <f t="shared" ca="1" si="13"/>
        <v>4.2633822832780499E-3</v>
      </c>
    </row>
    <row r="788" spans="1:5" x14ac:dyDescent="0.3">
      <c r="A788" s="3" vm="1025">
        <f ca="1"/>
        <v>45684</v>
      </c>
      <c r="B788" s="3" vm="2299">
        <f ca="1"/>
        <v>104.66</v>
      </c>
      <c r="D788" s="10" vm="2300">
        <f ca="1"/>
        <v>44544.66</v>
      </c>
      <c r="E788" s="13">
        <f t="shared" ca="1" si="13"/>
        <v>-1.264150943396225E-2</v>
      </c>
    </row>
    <row r="789" spans="1:5" x14ac:dyDescent="0.3">
      <c r="A789" s="3" vm="1026">
        <f ca="1"/>
        <v>45691</v>
      </c>
      <c r="B789" s="3" vm="2301">
        <f ca="1"/>
        <v>108.58</v>
      </c>
      <c r="D789" s="10" vm="2">
        <f ca="1"/>
        <v>44303.4</v>
      </c>
      <c r="E789" s="13">
        <f t="shared" ca="1" si="13"/>
        <v>3.7454614943627007E-2</v>
      </c>
    </row>
    <row r="790" spans="1:5" x14ac:dyDescent="0.3">
      <c r="A790" s="3" vm="2302">
        <f ca="1"/>
        <v>45698</v>
      </c>
      <c r="B790" s="3" vm="1031">
        <f ca="1"/>
        <v>110.6</v>
      </c>
      <c r="D790" s="10" vm="2303">
        <f ca="1"/>
        <v>44546.080000000002</v>
      </c>
      <c r="E790" s="13">
        <f t="shared" ca="1" si="13"/>
        <v>1.8603794437281218E-2</v>
      </c>
    </row>
  </sheetData>
  <conditionalFormatting sqref="G1">
    <cfRule type="cellIs" dxfId="6" priority="9" operator="lessThanOrEqual">
      <formula>0</formula>
    </cfRule>
    <cfRule type="cellIs" dxfId="5" priority="10" operator="greaterThan">
      <formula>0</formula>
    </cfRule>
  </conditionalFormatting>
  <conditionalFormatting sqref="O10">
    <cfRule type="cellIs" dxfId="4" priority="7" operator="lessThanOrEqual">
      <formula>0</formula>
    </cfRule>
    <cfRule type="cellIs" dxfId="3" priority="8" operator="greaterThan">
      <formula>0</formula>
    </cfRule>
  </conditionalFormatting>
  <conditionalFormatting sqref="O17">
    <cfRule type="cellIs" dxfId="2" priority="1" operator="equal">
      <formula>"Error!"</formula>
    </cfRule>
    <cfRule type="cellIs" dxfId="1" priority="2" operator="lessThanOrEqual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75F87A9-D3A7-4EF3-9A34-ABEC727C71F3}">
          <x14:formula1>
            <xm:f>Backdoor!$DF$5:$DF$8</xm:f>
          </x14:formula1>
          <xm:sqref>B3</xm:sqref>
        </x14:dataValidation>
        <x14:dataValidation type="list" allowBlank="1" showInputMessage="1" showErrorMessage="1" xr:uid="{35100F98-907F-4EB7-A997-16DA5DB698B4}">
          <x14:formula1>
            <xm:f>Backdoor!$DH$5:$DH$16</xm:f>
          </x14:formula1>
          <xm:sqref>B2</xm:sqref>
        </x14:dataValidation>
        <x14:dataValidation type="list" allowBlank="1" showInputMessage="1" showErrorMessage="1" xr:uid="{0D005DCF-0C02-4682-8B0F-EAD5A9E5057A}">
          <x14:formula1>
            <xm:f>_xlfn.IFS(B3="Stock",'Assets List'!$F$6:$F$508,B3="ETF",'Assets List'!$B$6:$B$105,B3="Mutual Fund",'Assets List'!$J$6:$J$30,B3="Crypto",'Assets List'!$N$6:$N$10)</xm:f>
          </x14:formula1>
          <xm:sqref>B4:C4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14954-1E15-4684-83D9-12E53E441B18}">
  <sheetPr codeName="Sheet3">
    <tabColor theme="5" tint="0.59999389629810485"/>
  </sheetPr>
  <dimension ref="B1:R89"/>
  <sheetViews>
    <sheetView tabSelected="1" workbookViewId="0">
      <selection activeCell="J7" sqref="J7"/>
    </sheetView>
  </sheetViews>
  <sheetFormatPr defaultRowHeight="20.399999999999999" customHeight="1" x14ac:dyDescent="0.3"/>
  <cols>
    <col min="1" max="1" width="4.44140625" style="3" customWidth="1"/>
    <col min="2" max="2" width="12.109375" style="9" customWidth="1"/>
    <col min="3" max="3" width="12.77734375" style="9" customWidth="1"/>
    <col min="4" max="4" width="8.88671875" style="9"/>
    <col min="5" max="5" width="12.109375" style="45" customWidth="1"/>
    <col min="6" max="6" width="3.21875" style="3" customWidth="1"/>
    <col min="7" max="7" width="3.5546875" style="3" customWidth="1"/>
    <col min="8" max="8" width="16.6640625" style="3" customWidth="1"/>
    <col min="9" max="10" width="8.88671875" style="3"/>
    <col min="11" max="11" width="11.6640625" style="3" bestFit="1" customWidth="1"/>
    <col min="12" max="12" width="8.88671875" style="3"/>
    <col min="13" max="13" width="12.5546875" style="3" customWidth="1"/>
    <col min="14" max="14" width="11" style="3" customWidth="1"/>
    <col min="15" max="15" width="8.88671875" style="3"/>
    <col min="16" max="16" width="11.44140625" style="3" customWidth="1"/>
    <col min="17" max="16384" width="8.88671875" style="3"/>
  </cols>
  <sheetData>
    <row r="1" spans="2:18" ht="25.8" x14ac:dyDescent="0.5">
      <c r="B1" s="30" t="s">
        <v>1291</v>
      </c>
      <c r="C1" s="31"/>
      <c r="D1" s="31"/>
      <c r="E1" s="33" t="s">
        <v>1293</v>
      </c>
      <c r="I1" s="34" t="s">
        <v>1290</v>
      </c>
      <c r="J1" s="32"/>
      <c r="K1" s="18"/>
      <c r="M1" s="34" t="s">
        <v>1294</v>
      </c>
      <c r="N1" s="18"/>
      <c r="P1" s="34" t="s">
        <v>1318</v>
      </c>
      <c r="Q1" s="18"/>
      <c r="R1" s="18"/>
    </row>
    <row r="2" spans="2:18" ht="20.399999999999999" customHeight="1" x14ac:dyDescent="0.3">
      <c r="B2" s="3"/>
      <c r="C2" s="3"/>
      <c r="D2" s="3"/>
      <c r="E2" s="3"/>
      <c r="I2" s="35" t="s">
        <v>1292</v>
      </c>
      <c r="K2" s="39">
        <f>IF(SUM($E$5:$E$89)=0,0,SUM($E$5:$E$89))</f>
        <v>0</v>
      </c>
      <c r="M2" s="35" t="s">
        <v>1299</v>
      </c>
      <c r="N2" s="41">
        <f>Backdoor!C282</f>
        <v>0</v>
      </c>
      <c r="P2" s="35" t="str">
        <f>M2</f>
        <v>6mo Return:</v>
      </c>
      <c r="Q2" s="41">
        <f>IF(K2=0,0,Backdoor!C286)</f>
        <v>0</v>
      </c>
    </row>
    <row r="3" spans="2:18" ht="19.2" customHeight="1" x14ac:dyDescent="0.3">
      <c r="B3" s="3"/>
      <c r="C3" s="3"/>
      <c r="D3" s="3"/>
      <c r="E3" s="3"/>
      <c r="I3" s="4" t="s">
        <v>1297</v>
      </c>
      <c r="K3" s="40">
        <f>Backdoor!C266</f>
        <v>0</v>
      </c>
      <c r="M3" s="35" t="s">
        <v>1300</v>
      </c>
      <c r="N3" s="41">
        <f>Backdoor!C283</f>
        <v>0</v>
      </c>
      <c r="P3" s="35" t="str">
        <f t="shared" ref="P3:P4" si="0">M3</f>
        <v>1y Return:</v>
      </c>
      <c r="Q3" s="41">
        <f>IF(K2=0,0,Backdoor!C287)</f>
        <v>0</v>
      </c>
    </row>
    <row r="4" spans="2:18" ht="20.399999999999999" customHeight="1" x14ac:dyDescent="0.3">
      <c r="B4" s="4" t="s">
        <v>217</v>
      </c>
      <c r="C4" s="4" t="s">
        <v>1231</v>
      </c>
      <c r="D4" s="4" t="s">
        <v>1288</v>
      </c>
      <c r="E4" s="4" t="s">
        <v>1289</v>
      </c>
      <c r="I4" s="4" t="s">
        <v>1298</v>
      </c>
      <c r="K4" s="40">
        <f>Backdoor!C271</f>
        <v>0</v>
      </c>
      <c r="M4" s="35" t="s">
        <v>1301</v>
      </c>
      <c r="N4" s="41">
        <f>Backdoor!C284</f>
        <v>0</v>
      </c>
      <c r="P4" s="35" t="str">
        <f t="shared" si="0"/>
        <v>5y Return:</v>
      </c>
      <c r="Q4" s="41">
        <f>IF(K2=0,0,Backdoor!C288)</f>
        <v>0</v>
      </c>
    </row>
    <row r="5" spans="2:18" ht="20.399999999999999" customHeight="1" x14ac:dyDescent="0.3">
      <c r="E5" s="59"/>
    </row>
    <row r="6" spans="2:18" ht="20.399999999999999" customHeight="1" x14ac:dyDescent="0.3">
      <c r="E6" s="59"/>
    </row>
    <row r="7" spans="2:18" ht="20.399999999999999" customHeight="1" x14ac:dyDescent="0.3">
      <c r="E7" s="59"/>
    </row>
    <row r="8" spans="2:18" ht="20.399999999999999" customHeight="1" x14ac:dyDescent="0.3">
      <c r="E8" s="59"/>
    </row>
    <row r="9" spans="2:18" ht="20.399999999999999" customHeight="1" x14ac:dyDescent="0.3">
      <c r="E9" s="59"/>
    </row>
    <row r="10" spans="2:18" ht="20.399999999999999" customHeight="1" x14ac:dyDescent="0.3">
      <c r="E10" s="59"/>
    </row>
    <row r="11" spans="2:18" ht="20.399999999999999" customHeight="1" x14ac:dyDescent="0.3">
      <c r="E11" s="59"/>
    </row>
    <row r="12" spans="2:18" ht="20.399999999999999" customHeight="1" x14ac:dyDescent="0.3">
      <c r="E12" s="59"/>
    </row>
    <row r="13" spans="2:18" ht="20.399999999999999" customHeight="1" x14ac:dyDescent="0.3">
      <c r="E13" s="59"/>
    </row>
    <row r="14" spans="2:18" ht="20.399999999999999" customHeight="1" x14ac:dyDescent="0.3">
      <c r="E14" s="59"/>
    </row>
    <row r="15" spans="2:18" ht="20.399999999999999" customHeight="1" x14ac:dyDescent="0.3">
      <c r="E15" s="59"/>
    </row>
    <row r="16" spans="2:18" ht="20.399999999999999" customHeight="1" x14ac:dyDescent="0.3">
      <c r="E16" s="59"/>
    </row>
    <row r="17" spans="5:5" ht="20.399999999999999" customHeight="1" x14ac:dyDescent="0.3">
      <c r="E17" s="59"/>
    </row>
    <row r="18" spans="5:5" ht="20.399999999999999" customHeight="1" x14ac:dyDescent="0.3">
      <c r="E18" s="59"/>
    </row>
    <row r="19" spans="5:5" ht="20.399999999999999" customHeight="1" x14ac:dyDescent="0.3">
      <c r="E19" s="59"/>
    </row>
    <row r="20" spans="5:5" ht="20.399999999999999" customHeight="1" x14ac:dyDescent="0.3">
      <c r="E20" s="59"/>
    </row>
    <row r="21" spans="5:5" ht="20.399999999999999" customHeight="1" x14ac:dyDescent="0.3">
      <c r="E21" s="59"/>
    </row>
    <row r="22" spans="5:5" ht="20.399999999999999" customHeight="1" x14ac:dyDescent="0.3">
      <c r="E22" s="59"/>
    </row>
    <row r="23" spans="5:5" ht="20.399999999999999" customHeight="1" x14ac:dyDescent="0.3">
      <c r="E23" s="59"/>
    </row>
    <row r="24" spans="5:5" ht="20.399999999999999" customHeight="1" x14ac:dyDescent="0.3">
      <c r="E24" s="59"/>
    </row>
    <row r="25" spans="5:5" ht="20.399999999999999" customHeight="1" x14ac:dyDescent="0.3">
      <c r="E25" s="59"/>
    </row>
    <row r="26" spans="5:5" ht="20.399999999999999" customHeight="1" x14ac:dyDescent="0.3">
      <c r="E26" s="59"/>
    </row>
    <row r="27" spans="5:5" ht="20.399999999999999" customHeight="1" x14ac:dyDescent="0.3">
      <c r="E27" s="59"/>
    </row>
    <row r="28" spans="5:5" ht="20.399999999999999" customHeight="1" x14ac:dyDescent="0.3">
      <c r="E28" s="59"/>
    </row>
    <row r="29" spans="5:5" ht="20.399999999999999" customHeight="1" x14ac:dyDescent="0.3">
      <c r="E29" s="59"/>
    </row>
    <row r="30" spans="5:5" ht="20.399999999999999" customHeight="1" x14ac:dyDescent="0.3">
      <c r="E30" s="59"/>
    </row>
    <row r="31" spans="5:5" ht="20.399999999999999" customHeight="1" x14ac:dyDescent="0.3">
      <c r="E31" s="59"/>
    </row>
    <row r="32" spans="5:5" ht="20.399999999999999" customHeight="1" x14ac:dyDescent="0.3">
      <c r="E32" s="59"/>
    </row>
    <row r="33" spans="5:5" ht="20.399999999999999" customHeight="1" x14ac:dyDescent="0.3">
      <c r="E33" s="59"/>
    </row>
    <row r="34" spans="5:5" ht="20.399999999999999" customHeight="1" x14ac:dyDescent="0.3">
      <c r="E34" s="59"/>
    </row>
    <row r="35" spans="5:5" ht="20.399999999999999" customHeight="1" x14ac:dyDescent="0.3">
      <c r="E35" s="59"/>
    </row>
    <row r="36" spans="5:5" ht="20.399999999999999" customHeight="1" x14ac:dyDescent="0.3">
      <c r="E36" s="59"/>
    </row>
    <row r="37" spans="5:5" ht="20.399999999999999" customHeight="1" x14ac:dyDescent="0.3">
      <c r="E37" s="59"/>
    </row>
    <row r="38" spans="5:5" ht="20.399999999999999" customHeight="1" x14ac:dyDescent="0.3">
      <c r="E38" s="59"/>
    </row>
    <row r="39" spans="5:5" ht="20.399999999999999" customHeight="1" x14ac:dyDescent="0.3">
      <c r="E39" s="59"/>
    </row>
    <row r="40" spans="5:5" ht="20.399999999999999" customHeight="1" x14ac:dyDescent="0.3">
      <c r="E40" s="59"/>
    </row>
    <row r="41" spans="5:5" ht="20.399999999999999" customHeight="1" x14ac:dyDescent="0.3">
      <c r="E41" s="59"/>
    </row>
    <row r="42" spans="5:5" ht="20.399999999999999" customHeight="1" x14ac:dyDescent="0.3">
      <c r="E42" s="59"/>
    </row>
    <row r="43" spans="5:5" ht="20.399999999999999" customHeight="1" x14ac:dyDescent="0.3">
      <c r="E43" s="59"/>
    </row>
    <row r="44" spans="5:5" ht="20.399999999999999" customHeight="1" x14ac:dyDescent="0.3">
      <c r="E44" s="59"/>
    </row>
    <row r="45" spans="5:5" ht="20.399999999999999" customHeight="1" x14ac:dyDescent="0.3">
      <c r="E45" s="59"/>
    </row>
    <row r="46" spans="5:5" ht="20.399999999999999" customHeight="1" x14ac:dyDescent="0.3">
      <c r="E46" s="59"/>
    </row>
    <row r="47" spans="5:5" ht="20.399999999999999" customHeight="1" x14ac:dyDescent="0.3">
      <c r="E47" s="59"/>
    </row>
    <row r="48" spans="5:5" ht="20.399999999999999" customHeight="1" x14ac:dyDescent="0.3">
      <c r="E48" s="59"/>
    </row>
    <row r="49" spans="5:5" ht="20.399999999999999" customHeight="1" x14ac:dyDescent="0.3">
      <c r="E49" s="59"/>
    </row>
    <row r="50" spans="5:5" ht="20.399999999999999" customHeight="1" x14ac:dyDescent="0.3">
      <c r="E50" s="59"/>
    </row>
    <row r="51" spans="5:5" ht="20.399999999999999" customHeight="1" x14ac:dyDescent="0.3">
      <c r="E51" s="59"/>
    </row>
    <row r="52" spans="5:5" ht="20.399999999999999" customHeight="1" x14ac:dyDescent="0.3">
      <c r="E52" s="59"/>
    </row>
    <row r="53" spans="5:5" ht="20.399999999999999" customHeight="1" x14ac:dyDescent="0.3">
      <c r="E53" s="59"/>
    </row>
    <row r="54" spans="5:5" ht="20.399999999999999" customHeight="1" x14ac:dyDescent="0.3">
      <c r="E54" s="59"/>
    </row>
    <row r="55" spans="5:5" ht="20.399999999999999" customHeight="1" x14ac:dyDescent="0.3">
      <c r="E55" s="59"/>
    </row>
    <row r="56" spans="5:5" ht="20.399999999999999" customHeight="1" x14ac:dyDescent="0.3">
      <c r="E56" s="59"/>
    </row>
    <row r="57" spans="5:5" ht="20.399999999999999" customHeight="1" x14ac:dyDescent="0.3">
      <c r="E57" s="59"/>
    </row>
    <row r="58" spans="5:5" ht="20.399999999999999" customHeight="1" x14ac:dyDescent="0.3">
      <c r="E58" s="59"/>
    </row>
    <row r="59" spans="5:5" ht="20.399999999999999" customHeight="1" x14ac:dyDescent="0.3">
      <c r="E59" s="59"/>
    </row>
    <row r="60" spans="5:5" ht="20.399999999999999" customHeight="1" x14ac:dyDescent="0.3">
      <c r="E60" s="59"/>
    </row>
    <row r="61" spans="5:5" ht="20.399999999999999" customHeight="1" x14ac:dyDescent="0.3">
      <c r="E61" s="59"/>
    </row>
    <row r="62" spans="5:5" ht="20.399999999999999" customHeight="1" x14ac:dyDescent="0.3">
      <c r="E62" s="59"/>
    </row>
    <row r="63" spans="5:5" ht="20.399999999999999" customHeight="1" x14ac:dyDescent="0.3">
      <c r="E63" s="59"/>
    </row>
    <row r="64" spans="5:5" ht="20.399999999999999" customHeight="1" x14ac:dyDescent="0.3">
      <c r="E64" s="59"/>
    </row>
    <row r="65" spans="2:7" ht="20.399999999999999" customHeight="1" x14ac:dyDescent="0.3">
      <c r="E65" s="59"/>
    </row>
    <row r="66" spans="2:7" ht="20.399999999999999" customHeight="1" x14ac:dyDescent="0.3">
      <c r="E66" s="59"/>
    </row>
    <row r="67" spans="2:7" ht="20.399999999999999" customHeight="1" x14ac:dyDescent="0.3">
      <c r="E67" s="59"/>
    </row>
    <row r="68" spans="2:7" ht="20.399999999999999" customHeight="1" x14ac:dyDescent="0.3">
      <c r="E68" s="60"/>
    </row>
    <row r="69" spans="2:7" ht="20.399999999999999" customHeight="1" x14ac:dyDescent="0.3">
      <c r="E69" s="60"/>
    </row>
    <row r="70" spans="2:7" ht="20.399999999999999" customHeight="1" x14ac:dyDescent="0.3">
      <c r="E70" s="60"/>
    </row>
    <row r="71" spans="2:7" ht="20.399999999999999" customHeight="1" x14ac:dyDescent="0.3">
      <c r="E71" s="60"/>
    </row>
    <row r="72" spans="2:7" ht="20.399999999999999" customHeight="1" x14ac:dyDescent="0.3">
      <c r="E72" s="60"/>
    </row>
    <row r="73" spans="2:7" ht="20.399999999999999" customHeight="1" x14ac:dyDescent="0.3">
      <c r="E73" s="60"/>
    </row>
    <row r="74" spans="2:7" s="42" customFormat="1" ht="20.399999999999999" customHeight="1" x14ac:dyDescent="0.3">
      <c r="B74" s="44"/>
      <c r="C74" s="44"/>
      <c r="D74" s="44"/>
      <c r="E74" s="61"/>
      <c r="G74" s="43"/>
    </row>
    <row r="75" spans="2:7" ht="20.399999999999999" customHeight="1" x14ac:dyDescent="0.3">
      <c r="E75" s="60"/>
    </row>
    <row r="76" spans="2:7" ht="20.399999999999999" customHeight="1" x14ac:dyDescent="0.3">
      <c r="E76" s="60"/>
    </row>
    <row r="77" spans="2:7" ht="20.399999999999999" customHeight="1" x14ac:dyDescent="0.3">
      <c r="E77" s="60"/>
    </row>
    <row r="78" spans="2:7" ht="20.399999999999999" customHeight="1" x14ac:dyDescent="0.3">
      <c r="E78" s="60"/>
    </row>
    <row r="79" spans="2:7" ht="20.399999999999999" customHeight="1" x14ac:dyDescent="0.3">
      <c r="E79" s="60"/>
    </row>
    <row r="80" spans="2:7" ht="20.399999999999999" customHeight="1" x14ac:dyDescent="0.3">
      <c r="E80" s="60"/>
    </row>
    <row r="81" spans="5:5" ht="20.399999999999999" customHeight="1" x14ac:dyDescent="0.3">
      <c r="E81" s="60"/>
    </row>
    <row r="82" spans="5:5" ht="20.399999999999999" customHeight="1" x14ac:dyDescent="0.3">
      <c r="E82" s="60"/>
    </row>
    <row r="83" spans="5:5" ht="20.399999999999999" customHeight="1" x14ac:dyDescent="0.3">
      <c r="E83" s="60"/>
    </row>
    <row r="84" spans="5:5" ht="20.399999999999999" customHeight="1" x14ac:dyDescent="0.3">
      <c r="E84" s="60"/>
    </row>
    <row r="85" spans="5:5" ht="20.399999999999999" customHeight="1" x14ac:dyDescent="0.3">
      <c r="E85" s="60"/>
    </row>
    <row r="86" spans="5:5" ht="20.399999999999999" customHeight="1" x14ac:dyDescent="0.3">
      <c r="E86" s="60"/>
    </row>
    <row r="87" spans="5:5" ht="20.399999999999999" customHeight="1" x14ac:dyDescent="0.3">
      <c r="E87" s="60"/>
    </row>
    <row r="88" spans="5:5" ht="20.399999999999999" customHeight="1" x14ac:dyDescent="0.3">
      <c r="E88" s="60"/>
    </row>
    <row r="89" spans="5:5" ht="20.399999999999999" customHeight="1" x14ac:dyDescent="0.3">
      <c r="E89" s="6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erformMacroInNextRow">
                <anchor moveWithCells="1" sizeWithCells="1">
                  <from>
                    <xdr:col>0</xdr:col>
                    <xdr:colOff>297180</xdr:colOff>
                    <xdr:row>1</xdr:row>
                    <xdr:rowOff>167640</xdr:rowOff>
                  </from>
                  <to>
                    <xdr:col>2</xdr:col>
                    <xdr:colOff>45720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DeleteAllRowsWithContent">
                <anchor moveWithCells="1" sizeWithCells="1">
                  <from>
                    <xdr:col>4</xdr:col>
                    <xdr:colOff>754380</xdr:colOff>
                    <xdr:row>1</xdr:row>
                    <xdr:rowOff>152400</xdr:rowOff>
                  </from>
                  <to>
                    <xdr:col>7</xdr:col>
                    <xdr:colOff>373380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1CCB50-E44A-4294-B7DA-355EA76E10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Backdoor</vt:lpstr>
      <vt:lpstr>Assets List</vt:lpstr>
      <vt:lpstr>Returns</vt:lpstr>
      <vt:lpstr>Portfolio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Shrivas M</dc:creator>
  <cp:lastModifiedBy>Shrivas M</cp:lastModifiedBy>
  <dcterms:created xsi:type="dcterms:W3CDTF">2024-12-13T06:01:56Z</dcterms:created>
  <dcterms:modified xsi:type="dcterms:W3CDTF">2025-02-16T23:47:04Z</dcterms:modified>
</cp:coreProperties>
</file>