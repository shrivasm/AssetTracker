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_shr\OneDrive\Desktop\Excel Projects\"/>
    </mc:Choice>
  </mc:AlternateContent>
  <xr:revisionPtr revIDLastSave="0" documentId="13_ncr:1_{649C4DD8-D41E-48C7-81FC-E8CDD836CAF3}" xr6:coauthVersionLast="47" xr6:coauthVersionMax="47" xr10:uidLastSave="{00000000-0000-0000-0000-000000000000}"/>
  <bookViews>
    <workbookView xWindow="-108" yWindow="-108" windowWidth="23256" windowHeight="12456" activeTab="2" xr2:uid="{2E11F0B1-FAF2-45DB-9E0A-59657E98E86F}"/>
  </bookViews>
  <sheets>
    <sheet name="Backdoor" sheetId="6" r:id="rId1"/>
    <sheet name="Assets List" sheetId="2" r:id="rId2"/>
    <sheet name="Returns" sheetId="3" r:id="rId3"/>
    <sheet name="Portfolio Builder" sheetId="5" r:id="rId4"/>
  </sheets>
  <definedNames>
    <definedName name="_xleta.COUNTA" hidden="1" xlm="1">#NAME?</definedName>
    <definedName name="_xleta.N" hidden="1" xlm="1">#NAME?</definedName>
    <definedName name="_xleta.VAR.P" hidden="1" xlm="1">#NAME?</definedName>
    <definedName name="_xlpm.data" hidden="1" xlm="1">#NAME?</definedName>
    <definedName name="_xlpm.latestDate" hidden="1" xlm="1">#NAME?</definedName>
    <definedName name="XAXIS" localSheetId="2">OFFSET(Returns!$A$10, 0, 0, COUNTA(Returns!$A$10:$A$792), 1)</definedName>
    <definedName name="YAXIS" localSheetId="2">OFFSET(Returns!$B$10, 0, 0, COUNTA(Returns!$B$10:$B$792),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20" i="6" l="1"/>
  <c r="E520" i="6"/>
  <c r="F520" i="6"/>
  <c r="G520" i="6"/>
  <c r="H520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AU520" i="6"/>
  <c r="AV520" i="6"/>
  <c r="AW520" i="6"/>
  <c r="AX520" i="6"/>
  <c r="AY520" i="6"/>
  <c r="AZ520" i="6"/>
  <c r="BA520" i="6"/>
  <c r="BB520" i="6"/>
  <c r="BC520" i="6"/>
  <c r="BD520" i="6"/>
  <c r="BE520" i="6"/>
  <c r="BF520" i="6"/>
  <c r="BG520" i="6"/>
  <c r="BH520" i="6"/>
  <c r="BI520" i="6"/>
  <c r="BJ520" i="6"/>
  <c r="BK520" i="6"/>
  <c r="BL520" i="6"/>
  <c r="BM520" i="6"/>
  <c r="BN520" i="6"/>
  <c r="BO520" i="6"/>
  <c r="BP520" i="6"/>
  <c r="BQ520" i="6"/>
  <c r="BR520" i="6"/>
  <c r="BS520" i="6"/>
  <c r="BT520" i="6"/>
  <c r="BU520" i="6"/>
  <c r="BV520" i="6"/>
  <c r="BW520" i="6"/>
  <c r="BX520" i="6"/>
  <c r="BY520" i="6"/>
  <c r="BZ520" i="6"/>
  <c r="CA520" i="6"/>
  <c r="CB520" i="6"/>
  <c r="CC520" i="6"/>
  <c r="CD520" i="6"/>
  <c r="CE520" i="6"/>
  <c r="CF520" i="6"/>
  <c r="CG520" i="6"/>
  <c r="CH520" i="6"/>
  <c r="CI520" i="6"/>
  <c r="CJ520" i="6"/>
  <c r="CK520" i="6"/>
  <c r="CL520" i="6"/>
  <c r="CM520" i="6"/>
  <c r="CN520" i="6"/>
  <c r="CO520" i="6"/>
  <c r="CP520" i="6"/>
  <c r="CQ520" i="6"/>
  <c r="CR520" i="6"/>
  <c r="CS520" i="6"/>
  <c r="CT520" i="6"/>
  <c r="CU520" i="6"/>
  <c r="CV520" i="6"/>
  <c r="CW520" i="6"/>
  <c r="CX520" i="6"/>
  <c r="C520" i="6"/>
  <c r="C3" i="6" a="1"/>
  <c r="C3" i="6" s="1"/>
  <c r="C4" i="6" s="1" a="1"/>
  <c r="C4" i="6" s="1"/>
  <c r="C262" i="6" s="1"/>
  <c r="K259" i="6"/>
  <c r="L259" i="6"/>
  <c r="M259" i="6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F259" i="6"/>
  <c r="AG259" i="6"/>
  <c r="AH259" i="6"/>
  <c r="AI259" i="6"/>
  <c r="AJ259" i="6"/>
  <c r="AK259" i="6"/>
  <c r="AL259" i="6"/>
  <c r="AM259" i="6"/>
  <c r="AN259" i="6"/>
  <c r="AO259" i="6"/>
  <c r="AP259" i="6"/>
  <c r="AQ259" i="6"/>
  <c r="AR259" i="6"/>
  <c r="AS259" i="6"/>
  <c r="AT259" i="6"/>
  <c r="AU259" i="6"/>
  <c r="AV259" i="6"/>
  <c r="AW259" i="6"/>
  <c r="AX259" i="6"/>
  <c r="AY259" i="6"/>
  <c r="AZ259" i="6"/>
  <c r="BA259" i="6"/>
  <c r="BB259" i="6"/>
  <c r="BC259" i="6"/>
  <c r="BD259" i="6"/>
  <c r="BE259" i="6"/>
  <c r="BF259" i="6"/>
  <c r="BG259" i="6"/>
  <c r="BH259" i="6"/>
  <c r="BI259" i="6"/>
  <c r="BJ259" i="6"/>
  <c r="BK259" i="6"/>
  <c r="BL259" i="6"/>
  <c r="BM259" i="6"/>
  <c r="BN259" i="6"/>
  <c r="BO259" i="6"/>
  <c r="BP259" i="6"/>
  <c r="BQ259" i="6"/>
  <c r="BR259" i="6"/>
  <c r="BS259" i="6"/>
  <c r="BT259" i="6"/>
  <c r="BU259" i="6"/>
  <c r="BV259" i="6"/>
  <c r="BW259" i="6"/>
  <c r="BX259" i="6"/>
  <c r="BY259" i="6"/>
  <c r="BZ259" i="6"/>
  <c r="CA259" i="6"/>
  <c r="CB259" i="6"/>
  <c r="CC259" i="6"/>
  <c r="CD259" i="6"/>
  <c r="CE259" i="6"/>
  <c r="CF259" i="6"/>
  <c r="CG259" i="6"/>
  <c r="CH259" i="6"/>
  <c r="CI259" i="6"/>
  <c r="CJ259" i="6"/>
  <c r="CK259" i="6"/>
  <c r="CL259" i="6"/>
  <c r="CM259" i="6"/>
  <c r="CN259" i="6"/>
  <c r="CO259" i="6"/>
  <c r="CP259" i="6"/>
  <c r="CQ259" i="6"/>
  <c r="CR259" i="6"/>
  <c r="CS259" i="6"/>
  <c r="CT259" i="6"/>
  <c r="CU259" i="6"/>
  <c r="CV259" i="6"/>
  <c r="CW259" i="6"/>
  <c r="CX259" i="6"/>
  <c r="CY5" i="6" a="1"/>
  <c r="CY5" i="6" s="1"/>
  <c r="DC779" i="6"/>
  <c r="DC780" i="6"/>
  <c r="DC781" i="6"/>
  <c r="DC782" i="6"/>
  <c r="DC783" i="6"/>
  <c r="DC784" i="6"/>
  <c r="DC785" i="6"/>
  <c r="B7" i="3" a="1"/>
  <c r="B7" i="3" s="1"/>
  <c r="G9" i="3" a="1"/>
  <c r="G9" i="3" s="1"/>
  <c r="C5" i="6" a="1"/>
  <c r="B5" i="6" a="1"/>
  <c r="C259" i="6" l="1"/>
  <c r="B259" i="6"/>
  <c r="C5" i="6"/>
  <c r="C265" i="6"/>
  <c r="C267" i="6"/>
  <c r="C269" i="6"/>
  <c r="C271" i="6"/>
  <c r="C273" i="6"/>
  <c r="C275" i="6"/>
  <c r="C277" i="6"/>
  <c r="C279" i="6"/>
  <c r="C281" i="6"/>
  <c r="C283" i="6"/>
  <c r="C285" i="6"/>
  <c r="C287" i="6"/>
  <c r="C289" i="6"/>
  <c r="C291" i="6"/>
  <c r="C293" i="6"/>
  <c r="C295" i="6"/>
  <c r="C297" i="6"/>
  <c r="C299" i="6"/>
  <c r="C301" i="6"/>
  <c r="C303" i="6"/>
  <c r="C305" i="6"/>
  <c r="C307" i="6"/>
  <c r="C309" i="6"/>
  <c r="C311" i="6"/>
  <c r="C313" i="6"/>
  <c r="C315" i="6"/>
  <c r="C317" i="6"/>
  <c r="C319" i="6"/>
  <c r="C321" i="6"/>
  <c r="C323" i="6"/>
  <c r="C325" i="6"/>
  <c r="C327" i="6"/>
  <c r="C329" i="6"/>
  <c r="C331" i="6"/>
  <c r="C333" i="6"/>
  <c r="C335" i="6"/>
  <c r="C337" i="6"/>
  <c r="C339" i="6"/>
  <c r="C341" i="6"/>
  <c r="C343" i="6"/>
  <c r="C345" i="6"/>
  <c r="C266" i="6"/>
  <c r="C274" i="6"/>
  <c r="C282" i="6"/>
  <c r="C290" i="6"/>
  <c r="C298" i="6"/>
  <c r="C306" i="6"/>
  <c r="C314" i="6"/>
  <c r="C322" i="6"/>
  <c r="C330" i="6"/>
  <c r="C338" i="6"/>
  <c r="C348" i="6"/>
  <c r="C346" i="6"/>
  <c r="C353" i="6"/>
  <c r="C358" i="6"/>
  <c r="C369" i="6"/>
  <c r="C374" i="6"/>
  <c r="C385" i="6"/>
  <c r="C390" i="6"/>
  <c r="C393" i="6"/>
  <c r="C402" i="6"/>
  <c r="C409" i="6"/>
  <c r="C276" i="6"/>
  <c r="C292" i="6"/>
  <c r="C308" i="6"/>
  <c r="C324" i="6"/>
  <c r="C340" i="6"/>
  <c r="C359" i="6"/>
  <c r="C364" i="6"/>
  <c r="C375" i="6"/>
  <c r="C380" i="6"/>
  <c r="C391" i="6"/>
  <c r="C400" i="6"/>
  <c r="C407" i="6"/>
  <c r="C416" i="6"/>
  <c r="C418" i="6"/>
  <c r="C420" i="6"/>
  <c r="C422" i="6"/>
  <c r="C424" i="6"/>
  <c r="C426" i="6"/>
  <c r="C428" i="6"/>
  <c r="C430" i="6"/>
  <c r="C432" i="6"/>
  <c r="C434" i="6"/>
  <c r="C436" i="6"/>
  <c r="C438" i="6"/>
  <c r="C440" i="6"/>
  <c r="C442" i="6"/>
  <c r="C444" i="6"/>
  <c r="C446" i="6"/>
  <c r="C448" i="6"/>
  <c r="C450" i="6"/>
  <c r="C452" i="6"/>
  <c r="C454" i="6"/>
  <c r="C456" i="6"/>
  <c r="C458" i="6"/>
  <c r="C460" i="6"/>
  <c r="C462" i="6"/>
  <c r="C464" i="6"/>
  <c r="C466" i="6"/>
  <c r="C468" i="6"/>
  <c r="C280" i="6"/>
  <c r="C296" i="6"/>
  <c r="C312" i="6"/>
  <c r="C328" i="6"/>
  <c r="C344" i="6"/>
  <c r="C347" i="6"/>
  <c r="C354" i="6"/>
  <c r="C365" i="6"/>
  <c r="C370" i="6"/>
  <c r="C381" i="6"/>
  <c r="C386" i="6"/>
  <c r="C398" i="6"/>
  <c r="C405" i="6"/>
  <c r="C414" i="6"/>
  <c r="C294" i="6"/>
  <c r="C300" i="6"/>
  <c r="C376" i="6"/>
  <c r="C382" i="6"/>
  <c r="C388" i="6"/>
  <c r="C389" i="6"/>
  <c r="C394" i="6"/>
  <c r="C408" i="6"/>
  <c r="C415" i="6"/>
  <c r="C431" i="6"/>
  <c r="C447" i="6"/>
  <c r="C463" i="6"/>
  <c r="C484" i="6"/>
  <c r="C492" i="6"/>
  <c r="C500" i="6"/>
  <c r="C508" i="6"/>
  <c r="C493" i="6"/>
  <c r="C509" i="6"/>
  <c r="C326" i="6"/>
  <c r="C332" i="6"/>
  <c r="C355" i="6"/>
  <c r="C455" i="6"/>
  <c r="C477" i="6"/>
  <c r="C288" i="6"/>
  <c r="C318" i="6"/>
  <c r="C371" i="6"/>
  <c r="C377" i="6"/>
  <c r="C379" i="6"/>
  <c r="C383" i="6"/>
  <c r="C384" i="6"/>
  <c r="C395" i="6"/>
  <c r="C401" i="6"/>
  <c r="C410" i="6"/>
  <c r="C421" i="6"/>
  <c r="C437" i="6"/>
  <c r="C453" i="6"/>
  <c r="C469" i="6"/>
  <c r="C476" i="6"/>
  <c r="C479" i="6"/>
  <c r="C487" i="6"/>
  <c r="C495" i="6"/>
  <c r="C503" i="6"/>
  <c r="C511" i="6"/>
  <c r="C412" i="6"/>
  <c r="C433" i="6"/>
  <c r="C268" i="6"/>
  <c r="C363" i="6"/>
  <c r="C368" i="6"/>
  <c r="C474" i="6"/>
  <c r="C488" i="6"/>
  <c r="C310" i="6"/>
  <c r="C316" i="6"/>
  <c r="C378" i="6"/>
  <c r="C396" i="6"/>
  <c r="C403" i="6"/>
  <c r="C411" i="6"/>
  <c r="C427" i="6"/>
  <c r="C443" i="6"/>
  <c r="C459" i="6"/>
  <c r="C470" i="6"/>
  <c r="C473" i="6"/>
  <c r="C482" i="6"/>
  <c r="C490" i="6"/>
  <c r="C498" i="6"/>
  <c r="C506" i="6"/>
  <c r="C514" i="6"/>
  <c r="C516" i="6"/>
  <c r="C270" i="6"/>
  <c r="C304" i="6"/>
  <c r="C334" i="6"/>
  <c r="C360" i="6"/>
  <c r="C366" i="6"/>
  <c r="C372" i="6"/>
  <c r="C373" i="6"/>
  <c r="C417" i="6"/>
  <c r="C449" i="6"/>
  <c r="C465" i="6"/>
  <c r="C485" i="6"/>
  <c r="C501" i="6"/>
  <c r="C361" i="6"/>
  <c r="C367" i="6"/>
  <c r="C397" i="6"/>
  <c r="C404" i="6"/>
  <c r="C423" i="6"/>
  <c r="C439" i="6"/>
  <c r="C480" i="6"/>
  <c r="C496" i="6"/>
  <c r="C286" i="6"/>
  <c r="C451" i="6"/>
  <c r="C499" i="6"/>
  <c r="C502" i="6"/>
  <c r="C505" i="6"/>
  <c r="C507" i="6"/>
  <c r="C510" i="6"/>
  <c r="C513" i="6"/>
  <c r="C515" i="6"/>
  <c r="C472" i="6"/>
  <c r="C351" i="6"/>
  <c r="C413" i="6"/>
  <c r="C457" i="6"/>
  <c r="C486" i="6"/>
  <c r="C497" i="6"/>
  <c r="C467" i="6"/>
  <c r="C272" i="6"/>
  <c r="C284" i="6"/>
  <c r="C320" i="6"/>
  <c r="C336" i="6"/>
  <c r="C349" i="6"/>
  <c r="C350" i="6"/>
  <c r="C357" i="6"/>
  <c r="C419" i="6"/>
  <c r="C461" i="6"/>
  <c r="C475" i="6"/>
  <c r="C481" i="6"/>
  <c r="C392" i="6"/>
  <c r="C302" i="6"/>
  <c r="C356" i="6"/>
  <c r="C399" i="6"/>
  <c r="C425" i="6"/>
  <c r="C483" i="6"/>
  <c r="C494" i="6"/>
  <c r="C406" i="6"/>
  <c r="C362" i="6"/>
  <c r="C429" i="6"/>
  <c r="C278" i="6"/>
  <c r="C342" i="6"/>
  <c r="C435" i="6"/>
  <c r="C471" i="6"/>
  <c r="C491" i="6"/>
  <c r="C352" i="6"/>
  <c r="C445" i="6"/>
  <c r="C478" i="6"/>
  <c r="C504" i="6"/>
  <c r="C387" i="6"/>
  <c r="C512" i="6"/>
  <c r="C441" i="6"/>
  <c r="C489" i="6"/>
  <c r="B265" i="6"/>
  <c r="B267" i="6" s="1"/>
  <c r="B269" i="6" s="1"/>
  <c r="B271" i="6" s="1"/>
  <c r="B273" i="6" s="1"/>
  <c r="B275" i="6" s="1"/>
  <c r="B277" i="6" s="1"/>
  <c r="B279" i="6" s="1"/>
  <c r="B281" i="6" s="1"/>
  <c r="B283" i="6" s="1"/>
  <c r="B285" i="6" s="1"/>
  <c r="B287" i="6" s="1"/>
  <c r="B289" i="6" s="1"/>
  <c r="B291" i="6" s="1"/>
  <c r="B293" i="6" s="1"/>
  <c r="B295" i="6" s="1"/>
  <c r="B297" i="6" s="1"/>
  <c r="B299" i="6" s="1"/>
  <c r="B301" i="6" s="1"/>
  <c r="B303" i="6" s="1"/>
  <c r="B305" i="6" s="1"/>
  <c r="B307" i="6" s="1"/>
  <c r="B309" i="6" s="1"/>
  <c r="B311" i="6" s="1"/>
  <c r="B313" i="6" s="1"/>
  <c r="B315" i="6" s="1"/>
  <c r="B317" i="6" s="1"/>
  <c r="B319" i="6" s="1"/>
  <c r="B321" i="6" s="1"/>
  <c r="B323" i="6" s="1"/>
  <c r="B325" i="6" s="1"/>
  <c r="B327" i="6" s="1"/>
  <c r="B329" i="6" s="1"/>
  <c r="B331" i="6" s="1"/>
  <c r="B333" i="6" s="1"/>
  <c r="B335" i="6" s="1"/>
  <c r="B337" i="6" s="1"/>
  <c r="B339" i="6" s="1"/>
  <c r="B341" i="6" s="1"/>
  <c r="B343" i="6" s="1"/>
  <c r="B345" i="6" s="1"/>
  <c r="B347" i="6" s="1"/>
  <c r="B349" i="6" s="1"/>
  <c r="B351" i="6" s="1"/>
  <c r="B353" i="6" s="1"/>
  <c r="B355" i="6" s="1"/>
  <c r="B357" i="6" s="1"/>
  <c r="B359" i="6" s="1"/>
  <c r="B361" i="6" s="1"/>
  <c r="B363" i="6" s="1"/>
  <c r="B365" i="6" s="1"/>
  <c r="B367" i="6" s="1"/>
  <c r="B369" i="6" s="1"/>
  <c r="B371" i="6" s="1"/>
  <c r="B373" i="6" s="1"/>
  <c r="B375" i="6" s="1"/>
  <c r="B377" i="6" s="1"/>
  <c r="B379" i="6" s="1"/>
  <c r="B381" i="6" s="1"/>
  <c r="B383" i="6" s="1"/>
  <c r="B385" i="6" s="1"/>
  <c r="B387" i="6" s="1"/>
  <c r="B389" i="6" s="1"/>
  <c r="B391" i="6" s="1"/>
  <c r="B393" i="6" s="1"/>
  <c r="B395" i="6" s="1"/>
  <c r="B397" i="6" s="1"/>
  <c r="B399" i="6" s="1"/>
  <c r="B401" i="6" s="1"/>
  <c r="B403" i="6" s="1"/>
  <c r="B405" i="6" s="1"/>
  <c r="B407" i="6" s="1"/>
  <c r="B409" i="6" s="1"/>
  <c r="B411" i="6" s="1"/>
  <c r="B413" i="6" s="1"/>
  <c r="B415" i="6" s="1"/>
  <c r="B417" i="6" s="1"/>
  <c r="B419" i="6" s="1"/>
  <c r="B421" i="6" s="1"/>
  <c r="B423" i="6" s="1"/>
  <c r="B425" i="6" s="1"/>
  <c r="B427" i="6" s="1"/>
  <c r="B429" i="6" s="1"/>
  <c r="B431" i="6" s="1"/>
  <c r="B433" i="6" s="1"/>
  <c r="B435" i="6" s="1"/>
  <c r="B437" i="6" s="1"/>
  <c r="B439" i="6" s="1"/>
  <c r="B441" i="6" s="1"/>
  <c r="B443" i="6" s="1"/>
  <c r="B445" i="6" s="1"/>
  <c r="B447" i="6" s="1"/>
  <c r="B449" i="6" s="1"/>
  <c r="B451" i="6" s="1"/>
  <c r="B453" i="6" s="1"/>
  <c r="B455" i="6" s="1"/>
  <c r="B457" i="6" s="1"/>
  <c r="B459" i="6" s="1"/>
  <c r="B461" i="6" s="1"/>
  <c r="B463" i="6" s="1"/>
  <c r="B465" i="6" s="1"/>
  <c r="B467" i="6" s="1"/>
  <c r="B469" i="6" s="1"/>
  <c r="B471" i="6" s="1"/>
  <c r="B473" i="6" s="1"/>
  <c r="B475" i="6" s="1"/>
  <c r="B477" i="6" s="1"/>
  <c r="B479" i="6" s="1"/>
  <c r="B481" i="6" s="1"/>
  <c r="B483" i="6" s="1"/>
  <c r="B485" i="6" s="1"/>
  <c r="B487" i="6" s="1"/>
  <c r="B489" i="6" s="1"/>
  <c r="B491" i="6" s="1"/>
  <c r="B493" i="6" s="1"/>
  <c r="B495" i="6" s="1"/>
  <c r="B497" i="6" s="1"/>
  <c r="B499" i="6" s="1"/>
  <c r="B501" i="6" s="1"/>
  <c r="B503" i="6" s="1"/>
  <c r="B505" i="6" s="1"/>
  <c r="B507" i="6" s="1"/>
  <c r="B509" i="6" s="1"/>
  <c r="B511" i="6" s="1"/>
  <c r="B513" i="6" s="1"/>
  <c r="B515" i="6" s="1"/>
  <c r="CE4" i="6" a="1"/>
  <c r="CE4" i="6" s="1"/>
  <c r="CX4" i="6" a="1"/>
  <c r="CX4" i="6" s="1"/>
  <c r="BO4" i="6" a="1"/>
  <c r="BO4" i="6" s="1"/>
  <c r="AU4" i="6" a="1"/>
  <c r="AU4" i="6" s="1"/>
  <c r="K4" i="6" a="1"/>
  <c r="K4" i="6" s="1"/>
  <c r="CW4" i="6" a="1"/>
  <c r="CW4" i="6" s="1"/>
  <c r="CP4" i="6" a="1"/>
  <c r="CP4" i="6" s="1"/>
  <c r="CC4" i="6" a="1"/>
  <c r="CC4" i="6" s="1"/>
  <c r="BU4" i="6" a="1"/>
  <c r="BU4" i="6" s="1"/>
  <c r="BN4" i="6" a="1"/>
  <c r="BN4" i="6" s="1"/>
  <c r="BA4" i="6" a="1"/>
  <c r="BA4" i="6" s="1"/>
  <c r="AT4" i="6" a="1"/>
  <c r="AT4" i="6" s="1"/>
  <c r="AL4" i="6" a="1"/>
  <c r="AL4" i="6" s="1"/>
  <c r="Y4" i="6" a="1"/>
  <c r="Y4" i="6" s="1"/>
  <c r="R4" i="6" a="1"/>
  <c r="R4" i="6" s="1"/>
  <c r="J4" i="6" a="1"/>
  <c r="J4" i="6" s="1"/>
  <c r="BW4" i="6" a="1"/>
  <c r="BW4" i="6" s="1"/>
  <c r="CJ4" i="6" a="1"/>
  <c r="CJ4" i="6" s="1"/>
  <c r="BV4" i="6" a="1"/>
  <c r="BV4" i="6" s="1"/>
  <c r="BB4" i="6" a="1"/>
  <c r="BB4" i="6" s="1"/>
  <c r="AF4" i="6" a="1"/>
  <c r="AF4" i="6" s="1"/>
  <c r="Z4" i="6" a="1"/>
  <c r="Z4" i="6" s="1"/>
  <c r="CV4" i="6" a="1"/>
  <c r="CV4" i="6" s="1"/>
  <c r="CO4" i="6" a="1"/>
  <c r="CO4" i="6" s="1"/>
  <c r="CI4" i="6" a="1"/>
  <c r="CI4" i="6" s="1"/>
  <c r="CB4" i="6" a="1"/>
  <c r="CB4" i="6" s="1"/>
  <c r="BT4" i="6" a="1"/>
  <c r="BT4" i="6" s="1"/>
  <c r="BM4" i="6" a="1"/>
  <c r="BM4" i="6" s="1"/>
  <c r="BG4" i="6" a="1"/>
  <c r="BG4" i="6" s="1"/>
  <c r="AZ4" i="6" a="1"/>
  <c r="AZ4" i="6" s="1"/>
  <c r="AS4" i="6" a="1"/>
  <c r="AS4" i="6" s="1"/>
  <c r="AK4" i="6" a="1"/>
  <c r="AK4" i="6" s="1"/>
  <c r="AE4" i="6" a="1"/>
  <c r="AE4" i="6" s="1"/>
  <c r="X4" i="6" a="1"/>
  <c r="X4" i="6" s="1"/>
  <c r="Q4" i="6" a="1"/>
  <c r="Q4" i="6" s="1"/>
  <c r="I4" i="6" a="1"/>
  <c r="I4" i="6" s="1"/>
  <c r="CK4" i="6" a="1"/>
  <c r="CK4" i="6" s="1"/>
  <c r="CQ4" i="6" a="1"/>
  <c r="CQ4" i="6" s="1"/>
  <c r="CD4" i="6" a="1"/>
  <c r="CD4" i="6" s="1"/>
  <c r="BH4" i="6" a="1"/>
  <c r="BH4" i="6" s="1"/>
  <c r="AM4" i="6" a="1"/>
  <c r="AM4" i="6" s="1"/>
  <c r="S4" i="6" a="1"/>
  <c r="S4" i="6" s="1"/>
  <c r="CN4" i="6" a="1"/>
  <c r="CN4" i="6" s="1"/>
  <c r="CH4" i="6" a="1"/>
  <c r="CH4" i="6" s="1"/>
  <c r="CA4" i="6" a="1"/>
  <c r="CA4" i="6" s="1"/>
  <c r="BS4" i="6" a="1"/>
  <c r="BS4" i="6" s="1"/>
  <c r="BL4" i="6" a="1"/>
  <c r="BL4" i="6" s="1"/>
  <c r="BF4" i="6" a="1"/>
  <c r="BF4" i="6" s="1"/>
  <c r="AR4" i="6" a="1"/>
  <c r="AR4" i="6" s="1"/>
  <c r="AJ4" i="6" a="1"/>
  <c r="AJ4" i="6" s="1"/>
  <c r="AD4" i="6" a="1"/>
  <c r="AD4" i="6" s="1"/>
  <c r="W4" i="6" a="1"/>
  <c r="W4" i="6" s="1"/>
  <c r="P4" i="6" a="1"/>
  <c r="P4" i="6" s="1"/>
  <c r="H4" i="6" a="1"/>
  <c r="H4" i="6" s="1"/>
  <c r="AQ4" i="6" a="1"/>
  <c r="AQ4" i="6" s="1"/>
  <c r="G4" i="6" a="1"/>
  <c r="G4" i="6" s="1"/>
  <c r="CY4" i="6" a="1"/>
  <c r="CY4" i="6" s="1"/>
  <c r="BI4" i="6" a="1"/>
  <c r="BI4" i="6" s="1"/>
  <c r="BR4" i="6" a="1"/>
  <c r="BR4" i="6" s="1"/>
  <c r="AY4" i="6" a="1"/>
  <c r="AY4" i="6" s="1"/>
  <c r="O4" i="6" a="1"/>
  <c r="O4" i="6" s="1"/>
  <c r="CT4" i="6" a="1"/>
  <c r="CT4" i="6" s="1"/>
  <c r="CM4" i="6" a="1"/>
  <c r="CM4" i="6" s="1"/>
  <c r="CF4" i="6" a="1"/>
  <c r="CF4" i="6" s="1"/>
  <c r="BY4" i="6" a="1"/>
  <c r="BY4" i="6" s="1"/>
  <c r="BQ4" i="6" a="1"/>
  <c r="BQ4" i="6" s="1"/>
  <c r="BK4" i="6" a="1"/>
  <c r="BK4" i="6" s="1"/>
  <c r="BD4" i="6" a="1"/>
  <c r="BD4" i="6" s="1"/>
  <c r="AX4" i="6" a="1"/>
  <c r="AX4" i="6" s="1"/>
  <c r="AP4" i="6" a="1"/>
  <c r="AP4" i="6" s="1"/>
  <c r="AI4" i="6" a="1"/>
  <c r="AI4" i="6" s="1"/>
  <c r="AB4" i="6" a="1"/>
  <c r="AB4" i="6" s="1"/>
  <c r="U4" i="6" a="1"/>
  <c r="U4" i="6" s="1"/>
  <c r="N4" i="6" a="1"/>
  <c r="N4" i="6" s="1"/>
  <c r="F4" i="6" a="1"/>
  <c r="F4" i="6" s="1"/>
  <c r="CU4" i="6" a="1"/>
  <c r="CU4" i="6" s="1"/>
  <c r="CG4" i="6" a="1"/>
  <c r="CG4" i="6" s="1"/>
  <c r="BZ4" i="6" a="1"/>
  <c r="BZ4" i="6" s="1"/>
  <c r="BE4" i="6" a="1"/>
  <c r="BE4" i="6" s="1"/>
  <c r="AC4" i="6" a="1"/>
  <c r="AC4" i="6" s="1"/>
  <c r="V4" i="6" a="1"/>
  <c r="V4" i="6" s="1"/>
  <c r="CS4" i="6" a="1"/>
  <c r="CS4" i="6" s="1"/>
  <c r="CL4" i="6" a="1"/>
  <c r="CL4" i="6" s="1"/>
  <c r="BX4" i="6" a="1"/>
  <c r="BX4" i="6" s="1"/>
  <c r="BP4" i="6" a="1"/>
  <c r="BP4" i="6" s="1"/>
  <c r="BJ4" i="6" a="1"/>
  <c r="BJ4" i="6" s="1"/>
  <c r="AW4" i="6" a="1"/>
  <c r="AW4" i="6" s="1"/>
  <c r="AO4" i="6" a="1"/>
  <c r="AO4" i="6" s="1"/>
  <c r="AH4" i="6" a="1"/>
  <c r="AH4" i="6" s="1"/>
  <c r="T4" i="6" a="1"/>
  <c r="T4" i="6" s="1"/>
  <c r="M4" i="6" a="1"/>
  <c r="M4" i="6" s="1"/>
  <c r="E4" i="6" a="1"/>
  <c r="E4" i="6" s="1"/>
  <c r="CR4" i="6" a="1"/>
  <c r="CR4" i="6" s="1"/>
  <c r="BC4" i="6" a="1"/>
  <c r="BC4" i="6" s="1"/>
  <c r="AV4" i="6" a="1"/>
  <c r="AV4" i="6" s="1"/>
  <c r="AN4" i="6" a="1"/>
  <c r="AN4" i="6" s="1"/>
  <c r="AG4" i="6" a="1"/>
  <c r="AG4" i="6" s="1"/>
  <c r="AA4" i="6" a="1"/>
  <c r="AA4" i="6" s="1"/>
  <c r="L4" i="6" a="1"/>
  <c r="L4" i="6" s="1"/>
  <c r="D4" i="6" a="1"/>
  <c r="D4" i="6" s="1"/>
  <c r="B5" i="6"/>
  <c r="B264" i="6" s="1"/>
  <c r="B266" i="6" s="1"/>
  <c r="B268" i="6" s="1"/>
  <c r="B270" i="6" s="1"/>
  <c r="B272" i="6" s="1"/>
  <c r="B274" i="6" s="1"/>
  <c r="B276" i="6" s="1"/>
  <c r="B278" i="6" s="1"/>
  <c r="B280" i="6" s="1"/>
  <c r="B282" i="6" s="1"/>
  <c r="B284" i="6" s="1"/>
  <c r="B286" i="6" s="1"/>
  <c r="B288" i="6" s="1"/>
  <c r="B290" i="6" s="1"/>
  <c r="B292" i="6" s="1"/>
  <c r="B294" i="6" s="1"/>
  <c r="B296" i="6" s="1"/>
  <c r="B298" i="6" s="1"/>
  <c r="B300" i="6" s="1"/>
  <c r="B302" i="6" s="1"/>
  <c r="B304" i="6" s="1"/>
  <c r="B306" i="6" s="1"/>
  <c r="B308" i="6" s="1"/>
  <c r="B310" i="6" s="1"/>
  <c r="B312" i="6" s="1"/>
  <c r="B314" i="6" s="1"/>
  <c r="B316" i="6" s="1"/>
  <c r="B318" i="6" s="1"/>
  <c r="B320" i="6" s="1"/>
  <c r="B322" i="6" s="1"/>
  <c r="B324" i="6" s="1"/>
  <c r="B326" i="6" s="1"/>
  <c r="B328" i="6" s="1"/>
  <c r="B330" i="6" s="1"/>
  <c r="B332" i="6" s="1"/>
  <c r="B334" i="6" s="1"/>
  <c r="B336" i="6" s="1"/>
  <c r="B338" i="6" s="1"/>
  <c r="B340" i="6" s="1"/>
  <c r="B342" i="6" s="1"/>
  <c r="B344" i="6" s="1"/>
  <c r="B346" i="6" s="1"/>
  <c r="B348" i="6" s="1"/>
  <c r="B350" i="6" s="1"/>
  <c r="B352" i="6" s="1"/>
  <c r="B354" i="6" s="1"/>
  <c r="B356" i="6" s="1"/>
  <c r="B358" i="6" s="1"/>
  <c r="B360" i="6" s="1"/>
  <c r="B362" i="6" s="1"/>
  <c r="B364" i="6" s="1"/>
  <c r="B366" i="6" s="1"/>
  <c r="B368" i="6" s="1"/>
  <c r="B370" i="6" s="1"/>
  <c r="B372" i="6" s="1"/>
  <c r="B374" i="6" s="1"/>
  <c r="B376" i="6" s="1"/>
  <c r="B378" i="6" s="1"/>
  <c r="B380" i="6" s="1"/>
  <c r="B382" i="6" s="1"/>
  <c r="B384" i="6" s="1"/>
  <c r="B386" i="6" s="1"/>
  <c r="B388" i="6" s="1"/>
  <c r="B390" i="6" s="1"/>
  <c r="B392" i="6" s="1"/>
  <c r="B394" i="6" s="1"/>
  <c r="B396" i="6" s="1"/>
  <c r="B398" i="6" s="1"/>
  <c r="B400" i="6" s="1"/>
  <c r="B402" i="6" s="1"/>
  <c r="B404" i="6" s="1"/>
  <c r="B406" i="6" s="1"/>
  <c r="B408" i="6" s="1"/>
  <c r="B410" i="6" s="1"/>
  <c r="B412" i="6" s="1"/>
  <c r="B414" i="6" s="1"/>
  <c r="B416" i="6" s="1"/>
  <c r="B418" i="6" s="1"/>
  <c r="B420" i="6" s="1"/>
  <c r="B422" i="6" s="1"/>
  <c r="B424" i="6" s="1"/>
  <c r="B426" i="6" s="1"/>
  <c r="B428" i="6" s="1"/>
  <c r="B430" i="6" s="1"/>
  <c r="B432" i="6" s="1"/>
  <c r="B434" i="6" s="1"/>
  <c r="B436" i="6" s="1"/>
  <c r="B438" i="6" s="1"/>
  <c r="B440" i="6" s="1"/>
  <c r="B442" i="6" s="1"/>
  <c r="B444" i="6" s="1"/>
  <c r="B446" i="6" s="1"/>
  <c r="B448" i="6" s="1"/>
  <c r="B450" i="6" s="1"/>
  <c r="B452" i="6" s="1"/>
  <c r="B454" i="6" s="1"/>
  <c r="B456" i="6" s="1"/>
  <c r="B458" i="6" s="1"/>
  <c r="B460" i="6" s="1"/>
  <c r="B462" i="6" s="1"/>
  <c r="B464" i="6" s="1"/>
  <c r="B466" i="6" s="1"/>
  <c r="B468" i="6" s="1"/>
  <c r="B470" i="6" s="1"/>
  <c r="B472" i="6" s="1"/>
  <c r="B474" i="6" s="1"/>
  <c r="B476" i="6" s="1"/>
  <c r="B478" i="6" s="1"/>
  <c r="B480" i="6" s="1"/>
  <c r="B482" i="6" s="1"/>
  <c r="B484" i="6" s="1"/>
  <c r="B486" i="6" s="1"/>
  <c r="B488" i="6" s="1"/>
  <c r="B490" i="6" s="1"/>
  <c r="B492" i="6" s="1"/>
  <c r="B494" i="6" s="1"/>
  <c r="B496" i="6" s="1"/>
  <c r="B498" i="6" s="1"/>
  <c r="B500" i="6" s="1"/>
  <c r="B502" i="6" s="1"/>
  <c r="B504" i="6" s="1"/>
  <c r="B506" i="6" s="1"/>
  <c r="B508" i="6" s="1"/>
  <c r="B510" i="6" s="1"/>
  <c r="B512" i="6" s="1"/>
  <c r="B514" i="6" s="1"/>
  <c r="B516" i="6" s="1"/>
  <c r="DI15" i="6"/>
  <c r="DI16" i="6" s="1"/>
  <c r="DC5" i="6"/>
  <c r="B3" i="3"/>
  <c r="DJ5" i="6" s="1"/>
  <c r="Q3" i="5"/>
  <c r="Q4" i="5"/>
  <c r="Q2" i="5"/>
  <c r="H5" i="6" a="1"/>
  <c r="J5" i="6" a="1"/>
  <c r="G5" i="6" a="1"/>
  <c r="E5" i="6" a="1"/>
  <c r="F5" i="6" a="1"/>
  <c r="I5" i="6" a="1"/>
  <c r="D5" i="6" a="1"/>
  <c r="AG5" i="6" l="1" a="1"/>
  <c r="AG5" i="6" s="1"/>
  <c r="AG525" i="6"/>
  <c r="U5" i="6" a="1"/>
  <c r="U5" i="6" s="1"/>
  <c r="U525" i="6"/>
  <c r="AE5" i="6" a="1"/>
  <c r="AE5" i="6" s="1"/>
  <c r="AE525" i="6"/>
  <c r="BU5" i="6" a="1"/>
  <c r="BU5" i="6" s="1"/>
  <c r="BU525" i="6"/>
  <c r="AO5" i="6" a="1"/>
  <c r="AO5" i="6" s="1"/>
  <c r="AO525" i="6"/>
  <c r="AK5" i="6" a="1"/>
  <c r="AK5" i="6" s="1"/>
  <c r="AK525" i="6"/>
  <c r="CC5" i="6" a="1"/>
  <c r="CC5" i="6" s="1"/>
  <c r="CC525" i="6"/>
  <c r="AW5" i="6" a="1"/>
  <c r="AW5" i="6" s="1"/>
  <c r="AW525" i="6"/>
  <c r="CM5" i="6" a="1"/>
  <c r="CM5" i="6" s="1"/>
  <c r="CM525" i="6"/>
  <c r="CD5" i="6" a="1"/>
  <c r="CD5" i="6" s="1"/>
  <c r="CD525" i="6"/>
  <c r="R5" i="6" a="1"/>
  <c r="R5" i="6" s="1"/>
  <c r="R525" i="6"/>
  <c r="CR5" i="6" a="1"/>
  <c r="CR5" i="6" s="1"/>
  <c r="CR525" i="6"/>
  <c r="BP5" i="6" a="1"/>
  <c r="BP5" i="6" s="1"/>
  <c r="BP525" i="6"/>
  <c r="CG5" i="6" a="1"/>
  <c r="CG5" i="6" s="1"/>
  <c r="CG525" i="6"/>
  <c r="AX5" i="6" a="1"/>
  <c r="AX5" i="6" s="1"/>
  <c r="AX525" i="6"/>
  <c r="O5" i="6" a="1"/>
  <c r="O5" i="6" s="1"/>
  <c r="O525" i="6"/>
  <c r="P5" i="6" a="1"/>
  <c r="P5" i="6" s="1"/>
  <c r="P525" i="6"/>
  <c r="CA5" i="6" a="1"/>
  <c r="CA5" i="6" s="1"/>
  <c r="CA525" i="6"/>
  <c r="CK5" i="6" a="1"/>
  <c r="CK5" i="6" s="1"/>
  <c r="CK525" i="6"/>
  <c r="BG5" i="6" a="1"/>
  <c r="BG5" i="6" s="1"/>
  <c r="BG525" i="6"/>
  <c r="AF5" i="6" a="1"/>
  <c r="AF5" i="6" s="1"/>
  <c r="AF525" i="6"/>
  <c r="AL5" i="6" a="1"/>
  <c r="AL5" i="6" s="1"/>
  <c r="AL525" i="6"/>
  <c r="K5" i="6" a="1"/>
  <c r="K5" i="6" s="1"/>
  <c r="K525" i="6"/>
  <c r="V5" i="6" a="1"/>
  <c r="V5" i="6" s="1"/>
  <c r="V525" i="6"/>
  <c r="AR5" i="6" a="1"/>
  <c r="AR5" i="6" s="1"/>
  <c r="AR525" i="6"/>
  <c r="CI5" i="6" a="1"/>
  <c r="CI5" i="6" s="1"/>
  <c r="CI525" i="6"/>
  <c r="CE5" i="6" a="1"/>
  <c r="CE5" i="6" s="1"/>
  <c r="CE525" i="6"/>
  <c r="AC5" i="6" a="1"/>
  <c r="AC5" i="6" s="1"/>
  <c r="AC525" i="6"/>
  <c r="CF5" i="6" a="1"/>
  <c r="CF5" i="6" s="1"/>
  <c r="CF525" i="6"/>
  <c r="BH5" i="6" a="1"/>
  <c r="BH5" i="6" s="1"/>
  <c r="BH525" i="6"/>
  <c r="BE5" i="6" a="1"/>
  <c r="BE5" i="6" s="1"/>
  <c r="BE525" i="6"/>
  <c r="AQ5" i="6" a="1"/>
  <c r="AQ5" i="6" s="1"/>
  <c r="AQ525" i="6"/>
  <c r="CV5" i="6" a="1"/>
  <c r="CV5" i="6" s="1"/>
  <c r="CV525" i="6"/>
  <c r="BC5" i="6" a="1"/>
  <c r="BC5" i="6" s="1"/>
  <c r="BC525" i="6"/>
  <c r="AP5" i="6" a="1"/>
  <c r="AP5" i="6" s="1"/>
  <c r="AP525" i="6"/>
  <c r="BS5" i="6" a="1"/>
  <c r="BS5" i="6" s="1"/>
  <c r="BS525" i="6"/>
  <c r="Z5" i="6" a="1"/>
  <c r="Z5" i="6" s="1"/>
  <c r="Z525" i="6"/>
  <c r="CU5" i="6" a="1"/>
  <c r="CU5" i="6" s="1"/>
  <c r="CU525" i="6"/>
  <c r="AY5" i="6" a="1"/>
  <c r="AY5" i="6" s="1"/>
  <c r="AY525" i="6"/>
  <c r="AT5" i="6" a="1"/>
  <c r="AT5" i="6" s="1"/>
  <c r="AT525" i="6"/>
  <c r="AH5" i="6" a="1"/>
  <c r="AH5" i="6" s="1"/>
  <c r="AH525" i="6"/>
  <c r="BY5" i="6" a="1"/>
  <c r="BY5" i="6" s="1"/>
  <c r="BY525" i="6"/>
  <c r="AM5" i="6" a="1"/>
  <c r="AM5" i="6" s="1"/>
  <c r="AM525" i="6"/>
  <c r="BW5" i="6" a="1"/>
  <c r="BW5" i="6" s="1"/>
  <c r="BW525" i="6"/>
  <c r="AN5" i="6" a="1"/>
  <c r="AN5" i="6" s="1"/>
  <c r="AN525" i="6"/>
  <c r="AB5" i="6" a="1"/>
  <c r="AB5" i="6" s="1"/>
  <c r="AB525" i="6"/>
  <c r="BF5" i="6" a="1"/>
  <c r="BF5" i="6" s="1"/>
  <c r="BF525" i="6"/>
  <c r="CO5" i="6" a="1"/>
  <c r="CO5" i="6" s="1"/>
  <c r="CO525" i="6"/>
  <c r="AV5" i="6" a="1"/>
  <c r="AV5" i="6" s="1"/>
  <c r="AV525" i="6"/>
  <c r="AI5" i="6" a="1"/>
  <c r="AI5" i="6" s="1"/>
  <c r="AI525" i="6"/>
  <c r="BL5" i="6" a="1"/>
  <c r="BL5" i="6" s="1"/>
  <c r="BL525" i="6"/>
  <c r="AS5" i="6" a="1"/>
  <c r="AS5" i="6" s="1"/>
  <c r="AS525" i="6"/>
  <c r="CP5" i="6" a="1"/>
  <c r="CP5" i="6" s="1"/>
  <c r="CP525" i="6"/>
  <c r="BJ5" i="6" a="1"/>
  <c r="BJ5" i="6" s="1"/>
  <c r="BJ525" i="6"/>
  <c r="CT5" i="6" a="1"/>
  <c r="CT5" i="6" s="1"/>
  <c r="CT525" i="6"/>
  <c r="CQ5" i="6" a="1"/>
  <c r="CQ5" i="6" s="1"/>
  <c r="CQ525" i="6"/>
  <c r="AZ5" i="6" a="1"/>
  <c r="AZ5" i="6" s="1"/>
  <c r="AZ525" i="6"/>
  <c r="CW5" i="6" a="1"/>
  <c r="CW5" i="6" s="1"/>
  <c r="CW525" i="6"/>
  <c r="BX5" i="6" a="1"/>
  <c r="BX5" i="6" s="1"/>
  <c r="BX525" i="6"/>
  <c r="BD5" i="6" a="1"/>
  <c r="BD5" i="6" s="1"/>
  <c r="BD525" i="6"/>
  <c r="W5" i="6" a="1"/>
  <c r="W5" i="6" s="1"/>
  <c r="W525" i="6"/>
  <c r="CH5" i="6" a="1"/>
  <c r="CH5" i="6" s="1"/>
  <c r="CH525" i="6"/>
  <c r="BM5" i="6" a="1"/>
  <c r="BM5" i="6" s="1"/>
  <c r="BM525" i="6"/>
  <c r="BB5" i="6" a="1"/>
  <c r="BB5" i="6" s="1"/>
  <c r="BB525" i="6"/>
  <c r="AU5" i="6" a="1"/>
  <c r="AU5" i="6" s="1"/>
  <c r="AU525" i="6"/>
  <c r="L5" i="6" a="1"/>
  <c r="L5" i="6" s="1"/>
  <c r="L525" i="6"/>
  <c r="M5" i="6" a="1"/>
  <c r="M5" i="6" s="1"/>
  <c r="M525" i="6"/>
  <c r="CL5" i="6" a="1"/>
  <c r="CL5" i="6" s="1"/>
  <c r="CL525" i="6"/>
  <c r="BK5" i="6" a="1"/>
  <c r="BK5" i="6" s="1"/>
  <c r="BK525" i="6"/>
  <c r="BR5" i="6" a="1"/>
  <c r="BR5" i="6" s="1"/>
  <c r="BR525" i="6"/>
  <c r="AD5" i="6" a="1"/>
  <c r="AD5" i="6" s="1"/>
  <c r="AD525" i="6"/>
  <c r="CN5" i="6" a="1"/>
  <c r="CN5" i="6" s="1"/>
  <c r="CN525" i="6"/>
  <c r="Q5" i="6" a="1"/>
  <c r="Q5" i="6" s="1"/>
  <c r="Q525" i="6"/>
  <c r="BT5" i="6" a="1"/>
  <c r="BT5" i="6" s="1"/>
  <c r="BT525" i="6"/>
  <c r="BV5" i="6" a="1"/>
  <c r="BV5" i="6" s="1"/>
  <c r="BV525" i="6"/>
  <c r="BA5" i="6" a="1"/>
  <c r="BA5" i="6" s="1"/>
  <c r="BA525" i="6"/>
  <c r="BO5" i="6" a="1"/>
  <c r="BO5" i="6" s="1"/>
  <c r="BO525" i="6"/>
  <c r="BZ5" i="6" a="1"/>
  <c r="BZ5" i="6" s="1"/>
  <c r="BZ525" i="6"/>
  <c r="Y5" i="6" a="1"/>
  <c r="Y5" i="6" s="1"/>
  <c r="Y525" i="6"/>
  <c r="AA5" i="6" a="1"/>
  <c r="AA5" i="6" s="1"/>
  <c r="AA525" i="6"/>
  <c r="T5" i="6" a="1"/>
  <c r="T5" i="6" s="1"/>
  <c r="T525" i="6"/>
  <c r="CS5" i="6" a="1"/>
  <c r="CS5" i="6" s="1"/>
  <c r="CS525" i="6"/>
  <c r="N5" i="6" a="1"/>
  <c r="N5" i="6" s="1"/>
  <c r="N525" i="6"/>
  <c r="BQ5" i="6" a="1"/>
  <c r="BQ5" i="6" s="1"/>
  <c r="BQ525" i="6"/>
  <c r="BI5" i="6" a="1"/>
  <c r="BI5" i="6" s="1"/>
  <c r="BI525" i="6"/>
  <c r="AJ5" i="6" a="1"/>
  <c r="AJ5" i="6" s="1"/>
  <c r="AJ525" i="6"/>
  <c r="S5" i="6" a="1"/>
  <c r="S5" i="6" s="1"/>
  <c r="S525" i="6"/>
  <c r="X5" i="6" a="1"/>
  <c r="X5" i="6" s="1"/>
  <c r="X525" i="6"/>
  <c r="CB5" i="6" a="1"/>
  <c r="CB5" i="6" s="1"/>
  <c r="CB525" i="6"/>
  <c r="CJ5" i="6" a="1"/>
  <c r="CJ5" i="6" s="1"/>
  <c r="CJ525" i="6"/>
  <c r="BN5" i="6" a="1"/>
  <c r="BN5" i="6" s="1"/>
  <c r="BN525" i="6"/>
  <c r="CX5" i="6" a="1"/>
  <c r="CX5" i="6" s="1"/>
  <c r="CX525" i="6"/>
  <c r="C264" i="6"/>
  <c r="C532" i="6" s="1"/>
  <c r="C525" i="6"/>
  <c r="D259" i="6"/>
  <c r="I259" i="6"/>
  <c r="F259" i="6"/>
  <c r="E259" i="6"/>
  <c r="G259" i="6"/>
  <c r="J259" i="6"/>
  <c r="H259" i="6"/>
  <c r="C519" i="6" a="1"/>
  <c r="C519" i="6" s="1"/>
  <c r="D5" i="6"/>
  <c r="I5" i="6"/>
  <c r="F5" i="6"/>
  <c r="E5" i="6"/>
  <c r="G5" i="6"/>
  <c r="J5" i="6"/>
  <c r="H5" i="6"/>
  <c r="AG532" i="6"/>
  <c r="AG529" i="6"/>
  <c r="AG523" i="6"/>
  <c r="AG521" i="6"/>
  <c r="BU529" i="6"/>
  <c r="BU532" i="6"/>
  <c r="BU523" i="6"/>
  <c r="BU521" i="6"/>
  <c r="BY532" i="6"/>
  <c r="BY529" i="6"/>
  <c r="BY521" i="6"/>
  <c r="BY523" i="6"/>
  <c r="AC532" i="6"/>
  <c r="AC529" i="6"/>
  <c r="AC521" i="6"/>
  <c r="AC523" i="6"/>
  <c r="AK532" i="6"/>
  <c r="AK529" i="6"/>
  <c r="AK521" i="6"/>
  <c r="AK523" i="6"/>
  <c r="CO532" i="6"/>
  <c r="CO529" i="6"/>
  <c r="CO521" i="6"/>
  <c r="CO523" i="6"/>
  <c r="CC529" i="6"/>
  <c r="CC532" i="6"/>
  <c r="CC523" i="6"/>
  <c r="CC521" i="6"/>
  <c r="AV532" i="6"/>
  <c r="AV529" i="6"/>
  <c r="AV523" i="6"/>
  <c r="AV521" i="6"/>
  <c r="BE532" i="6"/>
  <c r="BE529" i="6"/>
  <c r="BE523" i="6"/>
  <c r="BE521" i="6"/>
  <c r="AI529" i="6"/>
  <c r="AI532" i="6"/>
  <c r="AI521" i="6"/>
  <c r="AI523" i="6"/>
  <c r="CM529" i="6"/>
  <c r="CM532" i="6"/>
  <c r="CM521" i="6"/>
  <c r="CM523" i="6"/>
  <c r="AQ529" i="6"/>
  <c r="AQ532" i="6"/>
  <c r="AQ521" i="6"/>
  <c r="AQ523" i="6"/>
  <c r="BL529" i="6"/>
  <c r="BL532" i="6"/>
  <c r="BL523" i="6"/>
  <c r="BL521" i="6"/>
  <c r="CD529" i="6"/>
  <c r="CD532" i="6"/>
  <c r="CD523" i="6"/>
  <c r="CD521" i="6"/>
  <c r="AS532" i="6"/>
  <c r="AS529" i="6"/>
  <c r="AS521" i="6"/>
  <c r="AS523" i="6"/>
  <c r="CV532" i="6"/>
  <c r="CV529" i="6"/>
  <c r="CV521" i="6"/>
  <c r="CV523" i="6"/>
  <c r="R529" i="6"/>
  <c r="R532" i="6"/>
  <c r="R523" i="6"/>
  <c r="R521" i="6"/>
  <c r="CP532" i="6"/>
  <c r="CP529" i="6"/>
  <c r="CP521" i="6"/>
  <c r="CP523" i="6"/>
  <c r="BJ532" i="6"/>
  <c r="BJ529" i="6"/>
  <c r="BJ521" i="6"/>
  <c r="BJ523" i="6"/>
  <c r="AP529" i="6"/>
  <c r="AP532" i="6"/>
  <c r="AP523" i="6"/>
  <c r="AP521" i="6"/>
  <c r="CQ529" i="6"/>
  <c r="CQ532" i="6"/>
  <c r="CQ521" i="6"/>
  <c r="CQ523" i="6"/>
  <c r="Z529" i="6"/>
  <c r="Z532" i="6"/>
  <c r="Z523" i="6"/>
  <c r="Z521" i="6"/>
  <c r="CW532" i="6"/>
  <c r="CW529" i="6"/>
  <c r="CW521" i="6"/>
  <c r="CW523" i="6"/>
  <c r="CG532" i="6"/>
  <c r="CG529" i="6"/>
  <c r="CG521" i="6"/>
  <c r="CG523" i="6"/>
  <c r="CA529" i="6"/>
  <c r="CA532" i="6"/>
  <c r="CA521" i="6"/>
  <c r="CA523" i="6"/>
  <c r="AL532" i="6"/>
  <c r="AL529" i="6"/>
  <c r="AL521" i="6"/>
  <c r="AL523" i="6"/>
  <c r="AH529" i="6"/>
  <c r="AH532" i="6"/>
  <c r="AH523" i="6"/>
  <c r="AH521" i="6"/>
  <c r="V532" i="6"/>
  <c r="V529" i="6"/>
  <c r="V521" i="6"/>
  <c r="V523" i="6"/>
  <c r="AR532" i="6"/>
  <c r="AR529" i="6"/>
  <c r="AR521" i="6"/>
  <c r="AR523" i="6"/>
  <c r="AM529" i="6"/>
  <c r="AM532" i="6"/>
  <c r="AM521" i="6"/>
  <c r="AM523" i="6"/>
  <c r="AE529" i="6"/>
  <c r="AE532" i="6"/>
  <c r="AE521" i="6"/>
  <c r="AE523" i="6"/>
  <c r="CI532" i="6"/>
  <c r="CI529" i="6"/>
  <c r="CI521" i="6"/>
  <c r="CI523" i="6"/>
  <c r="BW529" i="6"/>
  <c r="BW532" i="6"/>
  <c r="BW521" i="6"/>
  <c r="BW523" i="6"/>
  <c r="CE529" i="6"/>
  <c r="CE532" i="6"/>
  <c r="CE521" i="6"/>
  <c r="CE523" i="6"/>
  <c r="AN529" i="6"/>
  <c r="AN532" i="6"/>
  <c r="AN523" i="6"/>
  <c r="AN521" i="6"/>
  <c r="AB532" i="6"/>
  <c r="AB529" i="6"/>
  <c r="AB521" i="6"/>
  <c r="AB523" i="6"/>
  <c r="BF529" i="6"/>
  <c r="BF532" i="6"/>
  <c r="BF523" i="6"/>
  <c r="BF521" i="6"/>
  <c r="CR532" i="6"/>
  <c r="CR529" i="6"/>
  <c r="CR523" i="6"/>
  <c r="CR521" i="6"/>
  <c r="O532" i="6"/>
  <c r="O529" i="6"/>
  <c r="O521" i="6"/>
  <c r="O523" i="6"/>
  <c r="CK532" i="6"/>
  <c r="CK529" i="6"/>
  <c r="CK523" i="6"/>
  <c r="CK521" i="6"/>
  <c r="AF532" i="6"/>
  <c r="AF529" i="6"/>
  <c r="AF523" i="6"/>
  <c r="AF521" i="6"/>
  <c r="K529" i="6"/>
  <c r="K532" i="6"/>
  <c r="K521" i="6"/>
  <c r="K523" i="6"/>
  <c r="BX532" i="6"/>
  <c r="BX529" i="6"/>
  <c r="BX521" i="6"/>
  <c r="BX523" i="6"/>
  <c r="AY529" i="6"/>
  <c r="AY532" i="6"/>
  <c r="AY521" i="6"/>
  <c r="AY523" i="6"/>
  <c r="AT532" i="6"/>
  <c r="AT529" i="6"/>
  <c r="AT521" i="6"/>
  <c r="AT523" i="6"/>
  <c r="U532" i="6"/>
  <c r="U529" i="6"/>
  <c r="U521" i="6"/>
  <c r="U523" i="6"/>
  <c r="BC529" i="6"/>
  <c r="BC532" i="6"/>
  <c r="BC521" i="6"/>
  <c r="BC523" i="6"/>
  <c r="BZ532" i="6"/>
  <c r="BZ529" i="6"/>
  <c r="BZ521" i="6"/>
  <c r="BZ523" i="6"/>
  <c r="CT529" i="6"/>
  <c r="CT532" i="6"/>
  <c r="CT523" i="6"/>
  <c r="CT521" i="6"/>
  <c r="BS532" i="6"/>
  <c r="BS529" i="6"/>
  <c r="BS521" i="6"/>
  <c r="BS523" i="6"/>
  <c r="AZ532" i="6"/>
  <c r="AZ529" i="6"/>
  <c r="AZ521" i="6"/>
  <c r="AZ523" i="6"/>
  <c r="Y532" i="6"/>
  <c r="Y529" i="6"/>
  <c r="Y523" i="6"/>
  <c r="Y521" i="6"/>
  <c r="BP532" i="6"/>
  <c r="BP529" i="6"/>
  <c r="BP521" i="6"/>
  <c r="BP523" i="6"/>
  <c r="P532" i="6"/>
  <c r="P529" i="6"/>
  <c r="P523" i="6"/>
  <c r="P521" i="6"/>
  <c r="CU529" i="6"/>
  <c r="CU532" i="6"/>
  <c r="CU521" i="6"/>
  <c r="CU523" i="6"/>
  <c r="BD529" i="6"/>
  <c r="BD532" i="6"/>
  <c r="BD523" i="6"/>
  <c r="BD521" i="6"/>
  <c r="W532" i="6"/>
  <c r="W529" i="6"/>
  <c r="W521" i="6"/>
  <c r="W523" i="6"/>
  <c r="CH532" i="6"/>
  <c r="CH529" i="6"/>
  <c r="CH521" i="6"/>
  <c r="CH523" i="6"/>
  <c r="BM529" i="6"/>
  <c r="BM532" i="6"/>
  <c r="BM523" i="6"/>
  <c r="BM521" i="6"/>
  <c r="BB532" i="6"/>
  <c r="BB529" i="6"/>
  <c r="BB521" i="6"/>
  <c r="BB523" i="6"/>
  <c r="AU532" i="6"/>
  <c r="AU529" i="6"/>
  <c r="AU521" i="6"/>
  <c r="AU523" i="6"/>
  <c r="L532" i="6"/>
  <c r="L529" i="6"/>
  <c r="L523" i="6"/>
  <c r="L521" i="6"/>
  <c r="M532" i="6"/>
  <c r="M529" i="6"/>
  <c r="M521" i="6"/>
  <c r="M523" i="6"/>
  <c r="CL529" i="6"/>
  <c r="CL532" i="6"/>
  <c r="CL523" i="6"/>
  <c r="CL521" i="6"/>
  <c r="BK529" i="6"/>
  <c r="BK532" i="6"/>
  <c r="BK521" i="6"/>
  <c r="BK523" i="6"/>
  <c r="BR532" i="6"/>
  <c r="BR529" i="6"/>
  <c r="BR521" i="6"/>
  <c r="BR523" i="6"/>
  <c r="AD532" i="6"/>
  <c r="AD529" i="6"/>
  <c r="AD521" i="6"/>
  <c r="AD523" i="6"/>
  <c r="CN532" i="6"/>
  <c r="CN529" i="6"/>
  <c r="CN523" i="6"/>
  <c r="CN521" i="6"/>
  <c r="Q529" i="6"/>
  <c r="Q532" i="6"/>
  <c r="Q523" i="6"/>
  <c r="Q521" i="6"/>
  <c r="BT532" i="6"/>
  <c r="BT529" i="6"/>
  <c r="BT523" i="6"/>
  <c r="BT521" i="6"/>
  <c r="BV529" i="6"/>
  <c r="BV532" i="6"/>
  <c r="BV523" i="6"/>
  <c r="BV521" i="6"/>
  <c r="BA532" i="6"/>
  <c r="BA529" i="6"/>
  <c r="BA521" i="6"/>
  <c r="BA523" i="6"/>
  <c r="BO529" i="6"/>
  <c r="BO532" i="6"/>
  <c r="BO521" i="6"/>
  <c r="BO523" i="6"/>
  <c r="AO529" i="6"/>
  <c r="AO532" i="6"/>
  <c r="AO523" i="6"/>
  <c r="AO521" i="6"/>
  <c r="CF532" i="6"/>
  <c r="CF529" i="6"/>
  <c r="CF521" i="6"/>
  <c r="CF523" i="6"/>
  <c r="BH532" i="6"/>
  <c r="BH529" i="6"/>
  <c r="BH523" i="6"/>
  <c r="BH521" i="6"/>
  <c r="AW532" i="6"/>
  <c r="AW529" i="6"/>
  <c r="AW523" i="6"/>
  <c r="AW521" i="6"/>
  <c r="AX529" i="6"/>
  <c r="AX532" i="6"/>
  <c r="AX523" i="6"/>
  <c r="AX521" i="6"/>
  <c r="BG529" i="6"/>
  <c r="BG532" i="6"/>
  <c r="BG521" i="6"/>
  <c r="BG523" i="6"/>
  <c r="AA529" i="6"/>
  <c r="AA532" i="6"/>
  <c r="AA521" i="6"/>
  <c r="AA523" i="6"/>
  <c r="T532" i="6"/>
  <c r="T529" i="6"/>
  <c r="T521" i="6"/>
  <c r="T523" i="6"/>
  <c r="CS532" i="6"/>
  <c r="CS529" i="6"/>
  <c r="CS523" i="6"/>
  <c r="CS521" i="6"/>
  <c r="N532" i="6"/>
  <c r="N529" i="6"/>
  <c r="N521" i="6"/>
  <c r="N523" i="6"/>
  <c r="BQ532" i="6"/>
  <c r="BQ529" i="6"/>
  <c r="BQ521" i="6"/>
  <c r="BQ523" i="6"/>
  <c r="BI532" i="6"/>
  <c r="BI529" i="6"/>
  <c r="BI521" i="6"/>
  <c r="BI523" i="6"/>
  <c r="AJ532" i="6"/>
  <c r="AJ529" i="6"/>
  <c r="AJ523" i="6"/>
  <c r="AJ521" i="6"/>
  <c r="S529" i="6"/>
  <c r="S532" i="6"/>
  <c r="S521" i="6"/>
  <c r="S523" i="6"/>
  <c r="X532" i="6"/>
  <c r="X529" i="6"/>
  <c r="X523" i="6"/>
  <c r="X521" i="6"/>
  <c r="CB529" i="6"/>
  <c r="CB532" i="6"/>
  <c r="CB523" i="6"/>
  <c r="CB521" i="6"/>
  <c r="CJ532" i="6"/>
  <c r="CJ529" i="6"/>
  <c r="CJ523" i="6"/>
  <c r="CJ521" i="6"/>
  <c r="BN529" i="6"/>
  <c r="BN532" i="6"/>
  <c r="BN523" i="6"/>
  <c r="BN521" i="6"/>
  <c r="CX532" i="6"/>
  <c r="CX529" i="6"/>
  <c r="CX521" i="6"/>
  <c r="CX523" i="6"/>
  <c r="C521" i="6"/>
  <c r="C523" i="6"/>
  <c r="AW262" i="6"/>
  <c r="BC262" i="6"/>
  <c r="AP262" i="6"/>
  <c r="H262" i="6"/>
  <c r="CQ262" i="6"/>
  <c r="Z262" i="6"/>
  <c r="CW262" i="6"/>
  <c r="CR262" i="6"/>
  <c r="CG262" i="6"/>
  <c r="O262" i="6"/>
  <c r="CA262" i="6"/>
  <c r="BG262" i="6"/>
  <c r="AL262" i="6"/>
  <c r="D262" i="6"/>
  <c r="BX262" i="6"/>
  <c r="BD262" i="6"/>
  <c r="W262" i="6"/>
  <c r="I262" i="6"/>
  <c r="BB262" i="6"/>
  <c r="AU262" i="6"/>
  <c r="M262" i="6"/>
  <c r="BK262" i="6"/>
  <c r="AD262" i="6"/>
  <c r="Q262" i="6"/>
  <c r="BV262" i="6"/>
  <c r="BO262" i="6"/>
  <c r="AA262" i="6"/>
  <c r="T262" i="6"/>
  <c r="CS262" i="6"/>
  <c r="N262" i="6"/>
  <c r="BQ262" i="6"/>
  <c r="BI262" i="6"/>
  <c r="AJ262" i="6"/>
  <c r="S262" i="6"/>
  <c r="X262" i="6"/>
  <c r="CB262" i="6"/>
  <c r="CJ262" i="6"/>
  <c r="BN262" i="6"/>
  <c r="CX262" i="6"/>
  <c r="AV262" i="6"/>
  <c r="BJ262" i="6"/>
  <c r="BZ262" i="6"/>
  <c r="CT262" i="6"/>
  <c r="BS262" i="6"/>
  <c r="AZ262" i="6"/>
  <c r="Y262" i="6"/>
  <c r="BP262" i="6"/>
  <c r="AX262" i="6"/>
  <c r="P262" i="6"/>
  <c r="CK262" i="6"/>
  <c r="AF262" i="6"/>
  <c r="K262" i="6"/>
  <c r="E262" i="6"/>
  <c r="CU262" i="6"/>
  <c r="AY262" i="6"/>
  <c r="CH262" i="6"/>
  <c r="BM262" i="6"/>
  <c r="AT262" i="6"/>
  <c r="L262" i="6"/>
  <c r="CL262" i="6"/>
  <c r="F262" i="6"/>
  <c r="BR262" i="6"/>
  <c r="CN262" i="6"/>
  <c r="BT262" i="6"/>
  <c r="BA262" i="6"/>
  <c r="AG262" i="6"/>
  <c r="AH262" i="6"/>
  <c r="V262" i="6"/>
  <c r="U262" i="6"/>
  <c r="BY262" i="6"/>
  <c r="AR262" i="6"/>
  <c r="AM262" i="6"/>
  <c r="AE262" i="6"/>
  <c r="CI262" i="6"/>
  <c r="BW262" i="6"/>
  <c r="BU262" i="6"/>
  <c r="CE262" i="6"/>
  <c r="AN262" i="6"/>
  <c r="AO262" i="6"/>
  <c r="AC262" i="6"/>
  <c r="AB262" i="6"/>
  <c r="CF262" i="6"/>
  <c r="G262" i="6"/>
  <c r="BF262" i="6"/>
  <c r="BH262" i="6"/>
  <c r="AK262" i="6"/>
  <c r="CO262" i="6"/>
  <c r="J262" i="6"/>
  <c r="CC262" i="6"/>
  <c r="BE262" i="6"/>
  <c r="AI262" i="6"/>
  <c r="CM262" i="6"/>
  <c r="AQ262" i="6"/>
  <c r="BL262" i="6"/>
  <c r="CD262" i="6"/>
  <c r="AS262" i="6"/>
  <c r="CV262" i="6"/>
  <c r="R262" i="6"/>
  <c r="CP262" i="6"/>
  <c r="L2" i="5"/>
  <c r="C542" i="6"/>
  <c r="C540" i="6"/>
  <c r="C541" i="6"/>
  <c r="DJ15" i="6"/>
  <c r="DJ10" i="6"/>
  <c r="DJ12" i="6"/>
  <c r="DJ9" i="6"/>
  <c r="DJ11" i="6"/>
  <c r="DJ16" i="6"/>
  <c r="DJ8" i="6"/>
  <c r="DJ7" i="6"/>
  <c r="DJ14" i="6"/>
  <c r="DJ6" i="6"/>
  <c r="DJ13" i="6"/>
  <c r="D10" i="3" a="1"/>
  <c r="A9" i="3" a="1"/>
  <c r="H525" i="6" l="1"/>
  <c r="C529" i="6"/>
  <c r="D525" i="6"/>
  <c r="E525" i="6"/>
  <c r="G525" i="6"/>
  <c r="I525" i="6"/>
  <c r="F525" i="6"/>
  <c r="J523" i="6"/>
  <c r="J525" i="6"/>
  <c r="J521" i="6"/>
  <c r="CO266" i="6"/>
  <c r="CO271" i="6"/>
  <c r="CO268" i="6"/>
  <c r="CO265" i="6"/>
  <c r="CO272" i="6"/>
  <c r="CO275" i="6"/>
  <c r="CO274" i="6"/>
  <c r="CO284" i="6"/>
  <c r="CO281" i="6"/>
  <c r="CO269" i="6"/>
  <c r="CO280" i="6"/>
  <c r="CO283" i="6"/>
  <c r="CO292" i="6"/>
  <c r="CO300" i="6"/>
  <c r="CO279" i="6"/>
  <c r="CO289" i="6"/>
  <c r="CO297" i="6"/>
  <c r="CO282" i="6"/>
  <c r="CO288" i="6"/>
  <c r="CO273" i="6"/>
  <c r="CO276" i="6"/>
  <c r="CO285" i="6"/>
  <c r="CO291" i="6"/>
  <c r="CO295" i="6"/>
  <c r="CO267" i="6"/>
  <c r="CO294" i="6"/>
  <c r="CO298" i="6"/>
  <c r="CO306" i="6"/>
  <c r="CO287" i="6"/>
  <c r="CO301" i="6"/>
  <c r="CO311" i="6"/>
  <c r="CO286" i="6"/>
  <c r="CO305" i="6"/>
  <c r="CO309" i="6"/>
  <c r="CO302" i="6"/>
  <c r="CO304" i="6"/>
  <c r="CO308" i="6"/>
  <c r="CO270" i="6"/>
  <c r="CO315" i="6"/>
  <c r="CO323" i="6"/>
  <c r="CO312" i="6"/>
  <c r="CO320" i="6"/>
  <c r="CO277" i="6"/>
  <c r="CO278" i="6"/>
  <c r="CO290" i="6"/>
  <c r="CO307" i="6"/>
  <c r="CO324" i="6"/>
  <c r="CO329" i="6"/>
  <c r="CO313" i="6"/>
  <c r="CO326" i="6"/>
  <c r="CO334" i="6"/>
  <c r="CO296" i="6"/>
  <c r="CO310" i="6"/>
  <c r="CO316" i="6"/>
  <c r="CO331" i="6"/>
  <c r="CO339" i="6"/>
  <c r="CO347" i="6"/>
  <c r="CO319" i="6"/>
  <c r="CO328" i="6"/>
  <c r="CO336" i="6"/>
  <c r="CO344" i="6"/>
  <c r="CO322" i="6"/>
  <c r="CO333" i="6"/>
  <c r="CO337" i="6"/>
  <c r="CO353" i="6"/>
  <c r="CO361" i="6"/>
  <c r="CO340" i="6"/>
  <c r="CO350" i="6"/>
  <c r="CO358" i="6"/>
  <c r="CO303" i="6"/>
  <c r="CO314" i="6"/>
  <c r="CO327" i="6"/>
  <c r="CO343" i="6"/>
  <c r="CO355" i="6"/>
  <c r="CO363" i="6"/>
  <c r="CO371" i="6"/>
  <c r="CO379" i="6"/>
  <c r="CO317" i="6"/>
  <c r="CO332" i="6"/>
  <c r="CO346" i="6"/>
  <c r="CO352" i="6"/>
  <c r="CO360" i="6"/>
  <c r="CO368" i="6"/>
  <c r="CO376" i="6"/>
  <c r="CO370" i="6"/>
  <c r="CO374" i="6"/>
  <c r="CO386" i="6"/>
  <c r="CO394" i="6"/>
  <c r="CO402" i="6"/>
  <c r="CO293" i="6"/>
  <c r="CO330" i="6"/>
  <c r="CO342" i="6"/>
  <c r="CO354" i="6"/>
  <c r="CO373" i="6"/>
  <c r="CO377" i="6"/>
  <c r="CO391" i="6"/>
  <c r="CO345" i="6"/>
  <c r="CO359" i="6"/>
  <c r="CO366" i="6"/>
  <c r="CO380" i="6"/>
  <c r="CO382" i="6"/>
  <c r="CO388" i="6"/>
  <c r="CO396" i="6"/>
  <c r="CO321" i="6"/>
  <c r="CO348" i="6"/>
  <c r="CO365" i="6"/>
  <c r="CO369" i="6"/>
  <c r="CO383" i="6"/>
  <c r="CO385" i="6"/>
  <c r="CO393" i="6"/>
  <c r="CO401" i="6"/>
  <c r="CO299" i="6"/>
  <c r="CO349" i="6"/>
  <c r="CO357" i="6"/>
  <c r="CO372" i="6"/>
  <c r="CO403" i="6"/>
  <c r="CO410" i="6"/>
  <c r="CO338" i="6"/>
  <c r="CO375" i="6"/>
  <c r="CO387" i="6"/>
  <c r="CO404" i="6"/>
  <c r="CO335" i="6"/>
  <c r="CO364" i="6"/>
  <c r="CO378" i="6"/>
  <c r="CO392" i="6"/>
  <c r="CO397" i="6"/>
  <c r="CO412" i="6"/>
  <c r="CO420" i="6"/>
  <c r="CO428" i="6"/>
  <c r="CO356" i="6"/>
  <c r="CO367" i="6"/>
  <c r="CO381" i="6"/>
  <c r="CO400" i="6"/>
  <c r="CO405" i="6"/>
  <c r="CO409" i="6"/>
  <c r="CO417" i="6"/>
  <c r="CO425" i="6"/>
  <c r="CO433" i="6"/>
  <c r="CO325" i="6"/>
  <c r="CO406" i="6"/>
  <c r="CO427" i="6"/>
  <c r="CO431" i="6"/>
  <c r="CO437" i="6"/>
  <c r="CO445" i="6"/>
  <c r="CO453" i="6"/>
  <c r="CO362" i="6"/>
  <c r="CO395" i="6"/>
  <c r="CO399" i="6"/>
  <c r="CO407" i="6"/>
  <c r="CO411" i="6"/>
  <c r="CO416" i="6"/>
  <c r="CO430" i="6"/>
  <c r="CO434" i="6"/>
  <c r="CO442" i="6"/>
  <c r="CO450" i="6"/>
  <c r="CO458" i="6"/>
  <c r="CO318" i="6"/>
  <c r="CO351" i="6"/>
  <c r="CO384" i="6"/>
  <c r="CO419" i="6"/>
  <c r="CO423" i="6"/>
  <c r="CO439" i="6"/>
  <c r="CO447" i="6"/>
  <c r="CO455" i="6"/>
  <c r="CO463" i="6"/>
  <c r="CO471" i="6"/>
  <c r="CO479" i="6"/>
  <c r="CO422" i="6"/>
  <c r="CO426" i="6"/>
  <c r="CO436" i="6"/>
  <c r="CO444" i="6"/>
  <c r="CO452" i="6"/>
  <c r="CO460" i="6"/>
  <c r="CO468" i="6"/>
  <c r="CO476" i="6"/>
  <c r="CO449" i="6"/>
  <c r="CO464" i="6"/>
  <c r="CO478" i="6"/>
  <c r="CO484" i="6"/>
  <c r="CO492" i="6"/>
  <c r="CO500" i="6"/>
  <c r="CO508" i="6"/>
  <c r="CO516" i="6"/>
  <c r="CO488" i="6"/>
  <c r="CO504" i="6"/>
  <c r="CO438" i="6"/>
  <c r="CO454" i="6"/>
  <c r="CO467" i="6"/>
  <c r="CO481" i="6"/>
  <c r="CO489" i="6"/>
  <c r="CO497" i="6"/>
  <c r="CO505" i="6"/>
  <c r="CO513" i="6"/>
  <c r="CO496" i="6"/>
  <c r="CO341" i="6"/>
  <c r="CO408" i="6"/>
  <c r="CO415" i="6"/>
  <c r="CO443" i="6"/>
  <c r="CO470" i="6"/>
  <c r="CO474" i="6"/>
  <c r="CO486" i="6"/>
  <c r="CO494" i="6"/>
  <c r="CO502" i="6"/>
  <c r="CO510" i="6"/>
  <c r="CO390" i="6"/>
  <c r="CO414" i="6"/>
  <c r="CO429" i="6"/>
  <c r="CO466" i="6"/>
  <c r="CO480" i="6"/>
  <c r="CO389" i="6"/>
  <c r="CO398" i="6"/>
  <c r="CO448" i="6"/>
  <c r="CO459" i="6"/>
  <c r="CO473" i="6"/>
  <c r="CO477" i="6"/>
  <c r="CO483" i="6"/>
  <c r="CO491" i="6"/>
  <c r="CO499" i="6"/>
  <c r="CO507" i="6"/>
  <c r="CO515" i="6"/>
  <c r="CO441" i="6"/>
  <c r="CO457" i="6"/>
  <c r="CO462" i="6"/>
  <c r="CO512" i="6"/>
  <c r="CO418" i="6"/>
  <c r="CO421" i="6"/>
  <c r="CO424" i="6"/>
  <c r="CO435" i="6"/>
  <c r="CO498" i="6"/>
  <c r="CO501" i="6"/>
  <c r="CO493" i="6"/>
  <c r="CO475" i="6"/>
  <c r="CO451" i="6"/>
  <c r="CO456" i="6"/>
  <c r="CO432" i="6"/>
  <c r="CO465" i="6"/>
  <c r="CO472" i="6"/>
  <c r="CO503" i="6"/>
  <c r="CO509" i="6"/>
  <c r="CO413" i="6"/>
  <c r="CO440" i="6"/>
  <c r="CO495" i="6"/>
  <c r="CO482" i="6"/>
  <c r="CO485" i="6"/>
  <c r="CO461" i="6"/>
  <c r="CO469" i="6"/>
  <c r="CO511" i="6"/>
  <c r="CO514" i="6"/>
  <c r="CO264" i="6"/>
  <c r="CO446" i="6"/>
  <c r="CO506" i="6"/>
  <c r="CO487" i="6"/>
  <c r="CO490" i="6"/>
  <c r="CN271" i="6"/>
  <c r="CN268" i="6"/>
  <c r="CN265" i="6"/>
  <c r="CN272" i="6"/>
  <c r="CN266" i="6"/>
  <c r="CN270" i="6"/>
  <c r="CN281" i="6"/>
  <c r="CN269" i="6"/>
  <c r="CN278" i="6"/>
  <c r="CN283" i="6"/>
  <c r="CN275" i="6"/>
  <c r="CN279" i="6"/>
  <c r="CN289" i="6"/>
  <c r="CN297" i="6"/>
  <c r="CN277" i="6"/>
  <c r="CN282" i="6"/>
  <c r="CN286" i="6"/>
  <c r="CN294" i="6"/>
  <c r="CN302" i="6"/>
  <c r="CN273" i="6"/>
  <c r="CN276" i="6"/>
  <c r="CN285" i="6"/>
  <c r="CN291" i="6"/>
  <c r="CN295" i="6"/>
  <c r="CN267" i="6"/>
  <c r="CN298" i="6"/>
  <c r="CN287" i="6"/>
  <c r="CN301" i="6"/>
  <c r="CN311" i="6"/>
  <c r="CN280" i="6"/>
  <c r="CN290" i="6"/>
  <c r="CN304" i="6"/>
  <c r="CN308" i="6"/>
  <c r="CN300" i="6"/>
  <c r="CN312" i="6"/>
  <c r="CN320" i="6"/>
  <c r="CN292" i="6"/>
  <c r="CN299" i="6"/>
  <c r="CN307" i="6"/>
  <c r="CN317" i="6"/>
  <c r="CN313" i="6"/>
  <c r="CN326" i="6"/>
  <c r="CN334" i="6"/>
  <c r="CN296" i="6"/>
  <c r="CN310" i="6"/>
  <c r="CN316" i="6"/>
  <c r="CN331" i="6"/>
  <c r="CN319" i="6"/>
  <c r="CN323" i="6"/>
  <c r="CN328" i="6"/>
  <c r="CN336" i="6"/>
  <c r="CN344" i="6"/>
  <c r="CN305" i="6"/>
  <c r="CN322" i="6"/>
  <c r="CN325" i="6"/>
  <c r="CN333" i="6"/>
  <c r="CN341" i="6"/>
  <c r="CN349" i="6"/>
  <c r="CN340" i="6"/>
  <c r="CN350" i="6"/>
  <c r="CN358" i="6"/>
  <c r="CN274" i="6"/>
  <c r="CN303" i="6"/>
  <c r="CN314" i="6"/>
  <c r="CN327" i="6"/>
  <c r="CN343" i="6"/>
  <c r="CN347" i="6"/>
  <c r="CN355" i="6"/>
  <c r="CN363" i="6"/>
  <c r="CN332" i="6"/>
  <c r="CN346" i="6"/>
  <c r="CN352" i="6"/>
  <c r="CN360" i="6"/>
  <c r="CN368" i="6"/>
  <c r="CN376" i="6"/>
  <c r="CN284" i="6"/>
  <c r="CN288" i="6"/>
  <c r="CN309" i="6"/>
  <c r="CN339" i="6"/>
  <c r="CN357" i="6"/>
  <c r="CN365" i="6"/>
  <c r="CN373" i="6"/>
  <c r="CN381" i="6"/>
  <c r="CN293" i="6"/>
  <c r="CN315" i="6"/>
  <c r="CN330" i="6"/>
  <c r="CN342" i="6"/>
  <c r="CN354" i="6"/>
  <c r="CN377" i="6"/>
  <c r="CN391" i="6"/>
  <c r="CN399" i="6"/>
  <c r="CN407" i="6"/>
  <c r="CN345" i="6"/>
  <c r="CN359" i="6"/>
  <c r="CN366" i="6"/>
  <c r="CN380" i="6"/>
  <c r="CN382" i="6"/>
  <c r="CN388" i="6"/>
  <c r="CN396" i="6"/>
  <c r="CN321" i="6"/>
  <c r="CN348" i="6"/>
  <c r="CN369" i="6"/>
  <c r="CN383" i="6"/>
  <c r="CN385" i="6"/>
  <c r="CN393" i="6"/>
  <c r="CN329" i="6"/>
  <c r="CN337" i="6"/>
  <c r="CN353" i="6"/>
  <c r="CN372" i="6"/>
  <c r="CN390" i="6"/>
  <c r="CN398" i="6"/>
  <c r="CN338" i="6"/>
  <c r="CN375" i="6"/>
  <c r="CN387" i="6"/>
  <c r="CN401" i="6"/>
  <c r="CN404" i="6"/>
  <c r="CN415" i="6"/>
  <c r="CN335" i="6"/>
  <c r="CN364" i="6"/>
  <c r="CN378" i="6"/>
  <c r="CN392" i="6"/>
  <c r="CN397" i="6"/>
  <c r="CN412" i="6"/>
  <c r="CN306" i="6"/>
  <c r="CN356" i="6"/>
  <c r="CN367" i="6"/>
  <c r="CN400" i="6"/>
  <c r="CN405" i="6"/>
  <c r="CN409" i="6"/>
  <c r="CN417" i="6"/>
  <c r="CN425" i="6"/>
  <c r="CN433" i="6"/>
  <c r="CN324" i="6"/>
  <c r="CN370" i="6"/>
  <c r="CN386" i="6"/>
  <c r="CN406" i="6"/>
  <c r="CN414" i="6"/>
  <c r="CN422" i="6"/>
  <c r="CN430" i="6"/>
  <c r="CN362" i="6"/>
  <c r="CN379" i="6"/>
  <c r="CN395" i="6"/>
  <c r="CN411" i="6"/>
  <c r="CN416" i="6"/>
  <c r="CN420" i="6"/>
  <c r="CN434" i="6"/>
  <c r="CN442" i="6"/>
  <c r="CN450" i="6"/>
  <c r="CN458" i="6"/>
  <c r="CN318" i="6"/>
  <c r="CN351" i="6"/>
  <c r="CN384" i="6"/>
  <c r="CN419" i="6"/>
  <c r="CN423" i="6"/>
  <c r="CN439" i="6"/>
  <c r="CN447" i="6"/>
  <c r="CN455" i="6"/>
  <c r="CN402" i="6"/>
  <c r="CN426" i="6"/>
  <c r="CN436" i="6"/>
  <c r="CN444" i="6"/>
  <c r="CN452" i="6"/>
  <c r="CN460" i="6"/>
  <c r="CN468" i="6"/>
  <c r="CN476" i="6"/>
  <c r="CN374" i="6"/>
  <c r="CN394" i="6"/>
  <c r="CN410" i="6"/>
  <c r="CN429" i="6"/>
  <c r="CN441" i="6"/>
  <c r="CN449" i="6"/>
  <c r="CN457" i="6"/>
  <c r="CN465" i="6"/>
  <c r="CN473" i="6"/>
  <c r="CN438" i="6"/>
  <c r="CN454" i="6"/>
  <c r="CN467" i="6"/>
  <c r="CN471" i="6"/>
  <c r="CN481" i="6"/>
  <c r="CN489" i="6"/>
  <c r="CN497" i="6"/>
  <c r="CN505" i="6"/>
  <c r="CN513" i="6"/>
  <c r="CN493" i="6"/>
  <c r="CN264" i="6"/>
  <c r="CN408" i="6"/>
  <c r="CN443" i="6"/>
  <c r="CN470" i="6"/>
  <c r="CN474" i="6"/>
  <c r="CN486" i="6"/>
  <c r="CN494" i="6"/>
  <c r="CN502" i="6"/>
  <c r="CN510" i="6"/>
  <c r="CN371" i="6"/>
  <c r="CN389" i="6"/>
  <c r="CN428" i="6"/>
  <c r="CN448" i="6"/>
  <c r="CN459" i="6"/>
  <c r="CN463" i="6"/>
  <c r="CN477" i="6"/>
  <c r="CN483" i="6"/>
  <c r="CN491" i="6"/>
  <c r="CN499" i="6"/>
  <c r="CN507" i="6"/>
  <c r="CN515" i="6"/>
  <c r="CN418" i="6"/>
  <c r="CN469" i="6"/>
  <c r="CN485" i="6"/>
  <c r="CN509" i="6"/>
  <c r="CN361" i="6"/>
  <c r="CN403" i="6"/>
  <c r="CN431" i="6"/>
  <c r="CN437" i="6"/>
  <c r="CN453" i="6"/>
  <c r="CN462" i="6"/>
  <c r="CN466" i="6"/>
  <c r="CN480" i="6"/>
  <c r="CN488" i="6"/>
  <c r="CN496" i="6"/>
  <c r="CN504" i="6"/>
  <c r="CN512" i="6"/>
  <c r="CN432" i="6"/>
  <c r="CN446" i="6"/>
  <c r="CN501" i="6"/>
  <c r="CN475" i="6"/>
  <c r="CN490" i="6"/>
  <c r="CN482" i="6"/>
  <c r="CN464" i="6"/>
  <c r="CN472" i="6"/>
  <c r="CN479" i="6"/>
  <c r="CN516" i="6"/>
  <c r="CN514" i="6"/>
  <c r="CN440" i="6"/>
  <c r="CN478" i="6"/>
  <c r="CN461" i="6"/>
  <c r="CN508" i="6"/>
  <c r="CN511" i="6"/>
  <c r="CN492" i="6"/>
  <c r="CN484" i="6"/>
  <c r="CN487" i="6"/>
  <c r="CN421" i="6"/>
  <c r="CN451" i="6"/>
  <c r="CN456" i="6"/>
  <c r="CN500" i="6"/>
  <c r="CN503" i="6"/>
  <c r="CN506" i="6"/>
  <c r="CN413" i="6"/>
  <c r="CN435" i="6"/>
  <c r="CN445" i="6"/>
  <c r="CN495" i="6"/>
  <c r="CN498" i="6"/>
  <c r="CN424" i="6"/>
  <c r="CN427" i="6"/>
  <c r="BP271" i="6"/>
  <c r="BP268" i="6"/>
  <c r="BP265" i="6"/>
  <c r="BP272" i="6"/>
  <c r="BP266" i="6"/>
  <c r="BP270" i="6"/>
  <c r="BP274" i="6"/>
  <c r="BP276" i="6"/>
  <c r="BP281" i="6"/>
  <c r="BP278" i="6"/>
  <c r="BP286" i="6"/>
  <c r="BP279" i="6"/>
  <c r="BP282" i="6"/>
  <c r="BP267" i="6"/>
  <c r="BP285" i="6"/>
  <c r="BP289" i="6"/>
  <c r="BP297" i="6"/>
  <c r="BP305" i="6"/>
  <c r="BP275" i="6"/>
  <c r="BP294" i="6"/>
  <c r="BP302" i="6"/>
  <c r="BP287" i="6"/>
  <c r="BP280" i="6"/>
  <c r="BP290" i="6"/>
  <c r="BP283" i="6"/>
  <c r="BP293" i="6"/>
  <c r="BP311" i="6"/>
  <c r="BP296" i="6"/>
  <c r="BP300" i="6"/>
  <c r="BP308" i="6"/>
  <c r="BP277" i="6"/>
  <c r="BP273" i="6"/>
  <c r="BP284" i="6"/>
  <c r="BP292" i="6"/>
  <c r="BP307" i="6"/>
  <c r="BP295" i="6"/>
  <c r="BP310" i="6"/>
  <c r="BP312" i="6"/>
  <c r="BP320" i="6"/>
  <c r="BP298" i="6"/>
  <c r="BP317" i="6"/>
  <c r="BP304" i="6"/>
  <c r="BP319" i="6"/>
  <c r="BP323" i="6"/>
  <c r="BP326" i="6"/>
  <c r="BP334" i="6"/>
  <c r="BP288" i="6"/>
  <c r="BP322" i="6"/>
  <c r="BP331" i="6"/>
  <c r="BP315" i="6"/>
  <c r="BP328" i="6"/>
  <c r="BP336" i="6"/>
  <c r="BP344" i="6"/>
  <c r="BP301" i="6"/>
  <c r="BP314" i="6"/>
  <c r="BP318" i="6"/>
  <c r="BP325" i="6"/>
  <c r="BP333" i="6"/>
  <c r="BP341" i="6"/>
  <c r="BP349" i="6"/>
  <c r="BP269" i="6"/>
  <c r="BP306" i="6"/>
  <c r="BP330" i="6"/>
  <c r="BP346" i="6"/>
  <c r="BP350" i="6"/>
  <c r="BP358" i="6"/>
  <c r="BP299" i="6"/>
  <c r="BP335" i="6"/>
  <c r="BP339" i="6"/>
  <c r="BP355" i="6"/>
  <c r="BP363" i="6"/>
  <c r="BP291" i="6"/>
  <c r="BP338" i="6"/>
  <c r="BP342" i="6"/>
  <c r="BP352" i="6"/>
  <c r="BP360" i="6"/>
  <c r="BP368" i="6"/>
  <c r="BP376" i="6"/>
  <c r="BP329" i="6"/>
  <c r="BP345" i="6"/>
  <c r="BP357" i="6"/>
  <c r="BP365" i="6"/>
  <c r="BP373" i="6"/>
  <c r="BP381" i="6"/>
  <c r="BP348" i="6"/>
  <c r="BP362" i="6"/>
  <c r="BP369" i="6"/>
  <c r="BP391" i="6"/>
  <c r="BP399" i="6"/>
  <c r="BP407" i="6"/>
  <c r="BP324" i="6"/>
  <c r="BP337" i="6"/>
  <c r="BP351" i="6"/>
  <c r="BP372" i="6"/>
  <c r="BP388" i="6"/>
  <c r="BP396" i="6"/>
  <c r="BP313" i="6"/>
  <c r="BP332" i="6"/>
  <c r="BP340" i="6"/>
  <c r="BP356" i="6"/>
  <c r="BP375" i="6"/>
  <c r="BP379" i="6"/>
  <c r="BP385" i="6"/>
  <c r="BP393" i="6"/>
  <c r="BP343" i="6"/>
  <c r="BP361" i="6"/>
  <c r="BP364" i="6"/>
  <c r="BP378" i="6"/>
  <c r="BP390" i="6"/>
  <c r="BP398" i="6"/>
  <c r="BP367" i="6"/>
  <c r="BP395" i="6"/>
  <c r="BP400" i="6"/>
  <c r="BP415" i="6"/>
  <c r="BP327" i="6"/>
  <c r="BP359" i="6"/>
  <c r="BP370" i="6"/>
  <c r="BP384" i="6"/>
  <c r="BP412" i="6"/>
  <c r="BP389" i="6"/>
  <c r="BP403" i="6"/>
  <c r="BP409" i="6"/>
  <c r="BP417" i="6"/>
  <c r="BP425" i="6"/>
  <c r="BP433" i="6"/>
  <c r="BP316" i="6"/>
  <c r="BP347" i="6"/>
  <c r="BP394" i="6"/>
  <c r="BP404" i="6"/>
  <c r="BP414" i="6"/>
  <c r="BP422" i="6"/>
  <c r="BP430" i="6"/>
  <c r="BP354" i="6"/>
  <c r="BP371" i="6"/>
  <c r="BP382" i="6"/>
  <c r="BP387" i="6"/>
  <c r="BP402" i="6"/>
  <c r="BP416" i="6"/>
  <c r="BP426" i="6"/>
  <c r="BP442" i="6"/>
  <c r="BP450" i="6"/>
  <c r="BP458" i="6"/>
  <c r="BP408" i="6"/>
  <c r="BP429" i="6"/>
  <c r="BP434" i="6"/>
  <c r="BP439" i="6"/>
  <c r="BP447" i="6"/>
  <c r="BP455" i="6"/>
  <c r="BP377" i="6"/>
  <c r="BP413" i="6"/>
  <c r="BP418" i="6"/>
  <c r="BP432" i="6"/>
  <c r="BP436" i="6"/>
  <c r="BP444" i="6"/>
  <c r="BP452" i="6"/>
  <c r="BP460" i="6"/>
  <c r="BP468" i="6"/>
  <c r="BP476" i="6"/>
  <c r="BP303" i="6"/>
  <c r="BP366" i="6"/>
  <c r="BP386" i="6"/>
  <c r="BP397" i="6"/>
  <c r="BP421" i="6"/>
  <c r="BP441" i="6"/>
  <c r="BP449" i="6"/>
  <c r="BP457" i="6"/>
  <c r="BP465" i="6"/>
  <c r="BP473" i="6"/>
  <c r="BP321" i="6"/>
  <c r="BP411" i="6"/>
  <c r="BP428" i="6"/>
  <c r="BP446" i="6"/>
  <c r="BP459" i="6"/>
  <c r="BP463" i="6"/>
  <c r="BP477" i="6"/>
  <c r="BP481" i="6"/>
  <c r="BP489" i="6"/>
  <c r="BP497" i="6"/>
  <c r="BP505" i="6"/>
  <c r="BP513" i="6"/>
  <c r="BP509" i="6"/>
  <c r="BP309" i="6"/>
  <c r="BP374" i="6"/>
  <c r="BP383" i="6"/>
  <c r="BP392" i="6"/>
  <c r="BP431" i="6"/>
  <c r="BP435" i="6"/>
  <c r="BP451" i="6"/>
  <c r="BP462" i="6"/>
  <c r="BP466" i="6"/>
  <c r="BP486" i="6"/>
  <c r="BP494" i="6"/>
  <c r="BP502" i="6"/>
  <c r="BP510" i="6"/>
  <c r="BP264" i="6"/>
  <c r="BP405" i="6"/>
  <c r="BP401" i="6"/>
  <c r="BP406" i="6"/>
  <c r="BP420" i="6"/>
  <c r="BP440" i="6"/>
  <c r="BP456" i="6"/>
  <c r="BP469" i="6"/>
  <c r="BP483" i="6"/>
  <c r="BP491" i="6"/>
  <c r="BP499" i="6"/>
  <c r="BP507" i="6"/>
  <c r="BP515" i="6"/>
  <c r="BP438" i="6"/>
  <c r="BP454" i="6"/>
  <c r="BP461" i="6"/>
  <c r="BP475" i="6"/>
  <c r="BP501" i="6"/>
  <c r="BP353" i="6"/>
  <c r="BP410" i="6"/>
  <c r="BP423" i="6"/>
  <c r="BP445" i="6"/>
  <c r="BP472" i="6"/>
  <c r="BP480" i="6"/>
  <c r="BP488" i="6"/>
  <c r="BP496" i="6"/>
  <c r="BP504" i="6"/>
  <c r="BP512" i="6"/>
  <c r="BP424" i="6"/>
  <c r="BP479" i="6"/>
  <c r="BP485" i="6"/>
  <c r="BP493" i="6"/>
  <c r="BP467" i="6"/>
  <c r="BP474" i="6"/>
  <c r="BP516" i="6"/>
  <c r="BP478" i="6"/>
  <c r="BP464" i="6"/>
  <c r="BP471" i="6"/>
  <c r="BP508" i="6"/>
  <c r="BP511" i="6"/>
  <c r="BP514" i="6"/>
  <c r="BP500" i="6"/>
  <c r="BP503" i="6"/>
  <c r="BP506" i="6"/>
  <c r="BP470" i="6"/>
  <c r="BP427" i="6"/>
  <c r="BP482" i="6"/>
  <c r="BP380" i="6"/>
  <c r="BP419" i="6"/>
  <c r="BP443" i="6"/>
  <c r="BP448" i="6"/>
  <c r="BP453" i="6"/>
  <c r="BP492" i="6"/>
  <c r="BP495" i="6"/>
  <c r="BP498" i="6"/>
  <c r="BP437" i="6"/>
  <c r="BP484" i="6"/>
  <c r="BP487" i="6"/>
  <c r="BP490" i="6"/>
  <c r="BQ266" i="6"/>
  <c r="BQ271" i="6"/>
  <c r="BQ268" i="6"/>
  <c r="BQ267" i="6"/>
  <c r="BQ272" i="6"/>
  <c r="BQ275" i="6"/>
  <c r="BQ270" i="6"/>
  <c r="BQ273" i="6"/>
  <c r="BQ284" i="6"/>
  <c r="BQ274" i="6"/>
  <c r="BQ276" i="6"/>
  <c r="BQ281" i="6"/>
  <c r="BQ286" i="6"/>
  <c r="BQ279" i="6"/>
  <c r="BQ278" i="6"/>
  <c r="BQ282" i="6"/>
  <c r="BQ292" i="6"/>
  <c r="BQ300" i="6"/>
  <c r="BQ285" i="6"/>
  <c r="BQ289" i="6"/>
  <c r="BQ297" i="6"/>
  <c r="BQ305" i="6"/>
  <c r="BQ294" i="6"/>
  <c r="BQ287" i="6"/>
  <c r="BQ265" i="6"/>
  <c r="BQ280" i="6"/>
  <c r="BQ290" i="6"/>
  <c r="BQ304" i="6"/>
  <c r="BQ306" i="6"/>
  <c r="BQ283" i="6"/>
  <c r="BQ293" i="6"/>
  <c r="BQ311" i="6"/>
  <c r="BQ301" i="6"/>
  <c r="BQ303" i="6"/>
  <c r="BQ277" i="6"/>
  <c r="BQ307" i="6"/>
  <c r="BQ315" i="6"/>
  <c r="BQ323" i="6"/>
  <c r="BQ295" i="6"/>
  <c r="BQ302" i="6"/>
  <c r="BQ310" i="6"/>
  <c r="BQ312" i="6"/>
  <c r="BQ320" i="6"/>
  <c r="BQ298" i="6"/>
  <c r="BQ316" i="6"/>
  <c r="BQ329" i="6"/>
  <c r="BQ319" i="6"/>
  <c r="BQ326" i="6"/>
  <c r="BQ334" i="6"/>
  <c r="BQ288" i="6"/>
  <c r="BQ322" i="6"/>
  <c r="BQ331" i="6"/>
  <c r="BQ339" i="6"/>
  <c r="BQ347" i="6"/>
  <c r="BQ308" i="6"/>
  <c r="BQ328" i="6"/>
  <c r="BQ336" i="6"/>
  <c r="BQ344" i="6"/>
  <c r="BQ314" i="6"/>
  <c r="BQ325" i="6"/>
  <c r="BQ343" i="6"/>
  <c r="BQ353" i="6"/>
  <c r="BQ361" i="6"/>
  <c r="BQ269" i="6"/>
  <c r="BQ317" i="6"/>
  <c r="BQ330" i="6"/>
  <c r="BQ346" i="6"/>
  <c r="BQ350" i="6"/>
  <c r="BQ358" i="6"/>
  <c r="BQ299" i="6"/>
  <c r="BQ335" i="6"/>
  <c r="BQ349" i="6"/>
  <c r="BQ355" i="6"/>
  <c r="BQ363" i="6"/>
  <c r="BQ371" i="6"/>
  <c r="BQ379" i="6"/>
  <c r="BQ291" i="6"/>
  <c r="BQ338" i="6"/>
  <c r="BQ342" i="6"/>
  <c r="BQ352" i="6"/>
  <c r="BQ360" i="6"/>
  <c r="BQ368" i="6"/>
  <c r="BQ376" i="6"/>
  <c r="BQ318" i="6"/>
  <c r="BQ333" i="6"/>
  <c r="BQ345" i="6"/>
  <c r="BQ357" i="6"/>
  <c r="BQ366" i="6"/>
  <c r="BQ380" i="6"/>
  <c r="BQ386" i="6"/>
  <c r="BQ394" i="6"/>
  <c r="BQ402" i="6"/>
  <c r="BQ348" i="6"/>
  <c r="BQ362" i="6"/>
  <c r="BQ365" i="6"/>
  <c r="BQ369" i="6"/>
  <c r="BQ391" i="6"/>
  <c r="BQ324" i="6"/>
  <c r="BQ337" i="6"/>
  <c r="BQ351" i="6"/>
  <c r="BQ372" i="6"/>
  <c r="BQ388" i="6"/>
  <c r="BQ396" i="6"/>
  <c r="BQ313" i="6"/>
  <c r="BQ332" i="6"/>
  <c r="BQ340" i="6"/>
  <c r="BQ356" i="6"/>
  <c r="BQ375" i="6"/>
  <c r="BQ385" i="6"/>
  <c r="BQ393" i="6"/>
  <c r="BQ401" i="6"/>
  <c r="BQ296" i="6"/>
  <c r="BQ341" i="6"/>
  <c r="BQ364" i="6"/>
  <c r="BQ378" i="6"/>
  <c r="BQ390" i="6"/>
  <c r="BQ397" i="6"/>
  <c r="BQ407" i="6"/>
  <c r="BQ410" i="6"/>
  <c r="BQ367" i="6"/>
  <c r="BQ381" i="6"/>
  <c r="BQ395" i="6"/>
  <c r="BQ400" i="6"/>
  <c r="BQ327" i="6"/>
  <c r="BQ359" i="6"/>
  <c r="BQ370" i="6"/>
  <c r="BQ384" i="6"/>
  <c r="BQ412" i="6"/>
  <c r="BQ420" i="6"/>
  <c r="BQ428" i="6"/>
  <c r="BQ373" i="6"/>
  <c r="BQ389" i="6"/>
  <c r="BQ399" i="6"/>
  <c r="BQ403" i="6"/>
  <c r="BQ409" i="6"/>
  <c r="BQ417" i="6"/>
  <c r="BQ425" i="6"/>
  <c r="BQ433" i="6"/>
  <c r="BQ414" i="6"/>
  <c r="BQ419" i="6"/>
  <c r="BQ423" i="6"/>
  <c r="BQ437" i="6"/>
  <c r="BQ445" i="6"/>
  <c r="BQ453" i="6"/>
  <c r="BQ354" i="6"/>
  <c r="BQ382" i="6"/>
  <c r="BQ387" i="6"/>
  <c r="BQ416" i="6"/>
  <c r="BQ422" i="6"/>
  <c r="BQ426" i="6"/>
  <c r="BQ442" i="6"/>
  <c r="BQ450" i="6"/>
  <c r="BQ458" i="6"/>
  <c r="BQ408" i="6"/>
  <c r="BQ429" i="6"/>
  <c r="BQ434" i="6"/>
  <c r="BQ439" i="6"/>
  <c r="BQ447" i="6"/>
  <c r="BQ455" i="6"/>
  <c r="BQ463" i="6"/>
  <c r="BQ471" i="6"/>
  <c r="BQ479" i="6"/>
  <c r="BQ377" i="6"/>
  <c r="BQ413" i="6"/>
  <c r="BQ418" i="6"/>
  <c r="BQ432" i="6"/>
  <c r="BQ436" i="6"/>
  <c r="BQ444" i="6"/>
  <c r="BQ452" i="6"/>
  <c r="BQ460" i="6"/>
  <c r="BQ468" i="6"/>
  <c r="BQ476" i="6"/>
  <c r="BQ404" i="6"/>
  <c r="BQ441" i="6"/>
  <c r="BQ457" i="6"/>
  <c r="BQ470" i="6"/>
  <c r="BQ474" i="6"/>
  <c r="BQ484" i="6"/>
  <c r="BQ492" i="6"/>
  <c r="BQ500" i="6"/>
  <c r="BQ508" i="6"/>
  <c r="BQ516" i="6"/>
  <c r="BQ496" i="6"/>
  <c r="BQ321" i="6"/>
  <c r="BQ411" i="6"/>
  <c r="BQ446" i="6"/>
  <c r="BQ459" i="6"/>
  <c r="BQ473" i="6"/>
  <c r="BQ477" i="6"/>
  <c r="BQ481" i="6"/>
  <c r="BQ489" i="6"/>
  <c r="BQ497" i="6"/>
  <c r="BQ505" i="6"/>
  <c r="BQ513" i="6"/>
  <c r="BQ488" i="6"/>
  <c r="BQ398" i="6"/>
  <c r="BQ309" i="6"/>
  <c r="BQ374" i="6"/>
  <c r="BQ383" i="6"/>
  <c r="BQ392" i="6"/>
  <c r="BQ431" i="6"/>
  <c r="BQ435" i="6"/>
  <c r="BQ451" i="6"/>
  <c r="BQ462" i="6"/>
  <c r="BQ466" i="6"/>
  <c r="BQ486" i="6"/>
  <c r="BQ494" i="6"/>
  <c r="BQ502" i="6"/>
  <c r="BQ510" i="6"/>
  <c r="BQ421" i="6"/>
  <c r="BQ472" i="6"/>
  <c r="BQ504" i="6"/>
  <c r="BQ512" i="6"/>
  <c r="BQ406" i="6"/>
  <c r="BQ415" i="6"/>
  <c r="BQ440" i="6"/>
  <c r="BQ456" i="6"/>
  <c r="BQ465" i="6"/>
  <c r="BQ469" i="6"/>
  <c r="BQ483" i="6"/>
  <c r="BQ491" i="6"/>
  <c r="BQ499" i="6"/>
  <c r="BQ507" i="6"/>
  <c r="BQ515" i="6"/>
  <c r="BQ449" i="6"/>
  <c r="BQ480" i="6"/>
  <c r="BQ478" i="6"/>
  <c r="BQ487" i="6"/>
  <c r="BQ405" i="6"/>
  <c r="BQ467" i="6"/>
  <c r="BQ475" i="6"/>
  <c r="BQ511" i="6"/>
  <c r="BQ514" i="6"/>
  <c r="BQ264" i="6"/>
  <c r="BQ443" i="6"/>
  <c r="BQ493" i="6"/>
  <c r="BQ464" i="6"/>
  <c r="BQ495" i="6"/>
  <c r="BQ498" i="6"/>
  <c r="BQ501" i="6"/>
  <c r="BQ482" i="6"/>
  <c r="BQ424" i="6"/>
  <c r="BQ427" i="6"/>
  <c r="BQ430" i="6"/>
  <c r="BQ454" i="6"/>
  <c r="BQ461" i="6"/>
  <c r="BQ503" i="6"/>
  <c r="BQ506" i="6"/>
  <c r="BQ509" i="6"/>
  <c r="BQ438" i="6"/>
  <c r="BQ448" i="6"/>
  <c r="BQ490" i="6"/>
  <c r="BQ485" i="6"/>
  <c r="CW266" i="6"/>
  <c r="CW271" i="6"/>
  <c r="CW268" i="6"/>
  <c r="CW269" i="6"/>
  <c r="CW270" i="6"/>
  <c r="CW272" i="6"/>
  <c r="CW265" i="6"/>
  <c r="CW267" i="6"/>
  <c r="CW275" i="6"/>
  <c r="CW284" i="6"/>
  <c r="CW276" i="6"/>
  <c r="CW281" i="6"/>
  <c r="CW273" i="6"/>
  <c r="CW274" i="6"/>
  <c r="CW277" i="6"/>
  <c r="CW279" i="6"/>
  <c r="CW278" i="6"/>
  <c r="CW282" i="6"/>
  <c r="CW292" i="6"/>
  <c r="CW300" i="6"/>
  <c r="CW285" i="6"/>
  <c r="CW289" i="6"/>
  <c r="CW297" i="6"/>
  <c r="CW286" i="6"/>
  <c r="CW294" i="6"/>
  <c r="CW287" i="6"/>
  <c r="CW290" i="6"/>
  <c r="CW304" i="6"/>
  <c r="CW306" i="6"/>
  <c r="CW293" i="6"/>
  <c r="CW311" i="6"/>
  <c r="CW296" i="6"/>
  <c r="CW299" i="6"/>
  <c r="CW280" i="6"/>
  <c r="CW288" i="6"/>
  <c r="CW301" i="6"/>
  <c r="CW303" i="6"/>
  <c r="CW307" i="6"/>
  <c r="CW315" i="6"/>
  <c r="CW323" i="6"/>
  <c r="CW291" i="6"/>
  <c r="CW298" i="6"/>
  <c r="CW310" i="6"/>
  <c r="CW312" i="6"/>
  <c r="CW320" i="6"/>
  <c r="CW316" i="6"/>
  <c r="CW329" i="6"/>
  <c r="CW319" i="6"/>
  <c r="CW326" i="6"/>
  <c r="CW334" i="6"/>
  <c r="CW309" i="6"/>
  <c r="CW322" i="6"/>
  <c r="CW331" i="6"/>
  <c r="CW339" i="6"/>
  <c r="CW347" i="6"/>
  <c r="CW295" i="6"/>
  <c r="CW328" i="6"/>
  <c r="CW336" i="6"/>
  <c r="CW344" i="6"/>
  <c r="CW318" i="6"/>
  <c r="CW325" i="6"/>
  <c r="CW343" i="6"/>
  <c r="CW353" i="6"/>
  <c r="CW361" i="6"/>
  <c r="CW321" i="6"/>
  <c r="CW330" i="6"/>
  <c r="CW346" i="6"/>
  <c r="CW350" i="6"/>
  <c r="CW358" i="6"/>
  <c r="CW335" i="6"/>
  <c r="CW349" i="6"/>
  <c r="CW355" i="6"/>
  <c r="CW363" i="6"/>
  <c r="CW371" i="6"/>
  <c r="CW379" i="6"/>
  <c r="CW308" i="6"/>
  <c r="CW313" i="6"/>
  <c r="CW324" i="6"/>
  <c r="CW338" i="6"/>
  <c r="CW342" i="6"/>
  <c r="CW352" i="6"/>
  <c r="CW360" i="6"/>
  <c r="CW368" i="6"/>
  <c r="CW376" i="6"/>
  <c r="CW314" i="6"/>
  <c r="CW333" i="6"/>
  <c r="CW341" i="6"/>
  <c r="CW357" i="6"/>
  <c r="CW366" i="6"/>
  <c r="CW380" i="6"/>
  <c r="CW386" i="6"/>
  <c r="CW394" i="6"/>
  <c r="CW402" i="6"/>
  <c r="CW302" i="6"/>
  <c r="CW362" i="6"/>
  <c r="CW365" i="6"/>
  <c r="CW369" i="6"/>
  <c r="CW382" i="6"/>
  <c r="CW391" i="6"/>
  <c r="CW351" i="6"/>
  <c r="CW372" i="6"/>
  <c r="CW383" i="6"/>
  <c r="CW388" i="6"/>
  <c r="CW396" i="6"/>
  <c r="CW332" i="6"/>
  <c r="CW356" i="6"/>
  <c r="CW375" i="6"/>
  <c r="CW385" i="6"/>
  <c r="CW393" i="6"/>
  <c r="CW401" i="6"/>
  <c r="CW390" i="6"/>
  <c r="CW397" i="6"/>
  <c r="CW404" i="6"/>
  <c r="CW410" i="6"/>
  <c r="CW348" i="6"/>
  <c r="CW395" i="6"/>
  <c r="CW400" i="6"/>
  <c r="CW337" i="6"/>
  <c r="CW359" i="6"/>
  <c r="CW374" i="6"/>
  <c r="CW384" i="6"/>
  <c r="CW405" i="6"/>
  <c r="CW412" i="6"/>
  <c r="CW420" i="6"/>
  <c r="CW428" i="6"/>
  <c r="CW283" i="6"/>
  <c r="CW377" i="6"/>
  <c r="CW389" i="6"/>
  <c r="CW399" i="6"/>
  <c r="CW406" i="6"/>
  <c r="CW409" i="6"/>
  <c r="CW417" i="6"/>
  <c r="CW425" i="6"/>
  <c r="CW433" i="6"/>
  <c r="CW345" i="6"/>
  <c r="CW378" i="6"/>
  <c r="CW414" i="6"/>
  <c r="CW419" i="6"/>
  <c r="CW423" i="6"/>
  <c r="CW437" i="6"/>
  <c r="CW445" i="6"/>
  <c r="CW453" i="6"/>
  <c r="CW367" i="6"/>
  <c r="CW387" i="6"/>
  <c r="CW398" i="6"/>
  <c r="CW422" i="6"/>
  <c r="CW426" i="6"/>
  <c r="CW434" i="6"/>
  <c r="CW442" i="6"/>
  <c r="CW450" i="6"/>
  <c r="CW458" i="6"/>
  <c r="CW408" i="6"/>
  <c r="CW429" i="6"/>
  <c r="CW439" i="6"/>
  <c r="CW447" i="6"/>
  <c r="CW455" i="6"/>
  <c r="CW463" i="6"/>
  <c r="CW471" i="6"/>
  <c r="CW479" i="6"/>
  <c r="CW373" i="6"/>
  <c r="CW403" i="6"/>
  <c r="CW413" i="6"/>
  <c r="CW415" i="6"/>
  <c r="CW418" i="6"/>
  <c r="CW432" i="6"/>
  <c r="CW436" i="6"/>
  <c r="CW444" i="6"/>
  <c r="CW452" i="6"/>
  <c r="CW460" i="6"/>
  <c r="CW468" i="6"/>
  <c r="CW476" i="6"/>
  <c r="CW421" i="6"/>
  <c r="CW441" i="6"/>
  <c r="CW457" i="6"/>
  <c r="CW470" i="6"/>
  <c r="CW474" i="6"/>
  <c r="CW484" i="6"/>
  <c r="CW492" i="6"/>
  <c r="CW500" i="6"/>
  <c r="CW508" i="6"/>
  <c r="CW516" i="6"/>
  <c r="CW496" i="6"/>
  <c r="CW317" i="6"/>
  <c r="CW354" i="6"/>
  <c r="CW381" i="6"/>
  <c r="CW411" i="6"/>
  <c r="CW424" i="6"/>
  <c r="CW446" i="6"/>
  <c r="CW459" i="6"/>
  <c r="CW473" i="6"/>
  <c r="CW477" i="6"/>
  <c r="CW481" i="6"/>
  <c r="CW489" i="6"/>
  <c r="CW497" i="6"/>
  <c r="CW505" i="6"/>
  <c r="CW513" i="6"/>
  <c r="CW327" i="6"/>
  <c r="CW370" i="6"/>
  <c r="CW427" i="6"/>
  <c r="CW435" i="6"/>
  <c r="CW451" i="6"/>
  <c r="CW462" i="6"/>
  <c r="CW466" i="6"/>
  <c r="CW486" i="6"/>
  <c r="CW494" i="6"/>
  <c r="CW502" i="6"/>
  <c r="CW510" i="6"/>
  <c r="CW407" i="6"/>
  <c r="CW488" i="6"/>
  <c r="CW504" i="6"/>
  <c r="CW512" i="6"/>
  <c r="CW416" i="6"/>
  <c r="CW430" i="6"/>
  <c r="CW440" i="6"/>
  <c r="CW456" i="6"/>
  <c r="CW465" i="6"/>
  <c r="CW469" i="6"/>
  <c r="CW483" i="6"/>
  <c r="CW491" i="6"/>
  <c r="CW499" i="6"/>
  <c r="CW507" i="6"/>
  <c r="CW515" i="6"/>
  <c r="CW364" i="6"/>
  <c r="CW449" i="6"/>
  <c r="CW472" i="6"/>
  <c r="CW480" i="6"/>
  <c r="CW495" i="6"/>
  <c r="CW498" i="6"/>
  <c r="CW501" i="6"/>
  <c r="CW264" i="6"/>
  <c r="CW506" i="6"/>
  <c r="CW340" i="6"/>
  <c r="CW454" i="6"/>
  <c r="CW478" i="6"/>
  <c r="CW487" i="6"/>
  <c r="CW490" i="6"/>
  <c r="CW493" i="6"/>
  <c r="CW431" i="6"/>
  <c r="CW461" i="6"/>
  <c r="CW509" i="6"/>
  <c r="CW305" i="6"/>
  <c r="CW438" i="6"/>
  <c r="CW443" i="6"/>
  <c r="CW448" i="6"/>
  <c r="CW467" i="6"/>
  <c r="CW475" i="6"/>
  <c r="CW482" i="6"/>
  <c r="CW485" i="6"/>
  <c r="CW511" i="6"/>
  <c r="CW514" i="6"/>
  <c r="CW503" i="6"/>
  <c r="CW464" i="6"/>
  <c r="CW392" i="6"/>
  <c r="BL267" i="6"/>
  <c r="BL269" i="6"/>
  <c r="BL265" i="6"/>
  <c r="BL266" i="6"/>
  <c r="BL273" i="6"/>
  <c r="BL272" i="6"/>
  <c r="BL276" i="6"/>
  <c r="BL268" i="6"/>
  <c r="BL271" i="6"/>
  <c r="BL285" i="6"/>
  <c r="BL282" i="6"/>
  <c r="BL281" i="6"/>
  <c r="BL275" i="6"/>
  <c r="BL277" i="6"/>
  <c r="BL284" i="6"/>
  <c r="BL293" i="6"/>
  <c r="BL301" i="6"/>
  <c r="BL270" i="6"/>
  <c r="BL280" i="6"/>
  <c r="BL290" i="6"/>
  <c r="BL298" i="6"/>
  <c r="BL283" i="6"/>
  <c r="BL289" i="6"/>
  <c r="BL286" i="6"/>
  <c r="BL292" i="6"/>
  <c r="BL296" i="6"/>
  <c r="BL295" i="6"/>
  <c r="BL299" i="6"/>
  <c r="BL307" i="6"/>
  <c r="BL278" i="6"/>
  <c r="BL288" i="6"/>
  <c r="BL302" i="6"/>
  <c r="BL279" i="6"/>
  <c r="BL287" i="6"/>
  <c r="BL300" i="6"/>
  <c r="BL306" i="6"/>
  <c r="BL310" i="6"/>
  <c r="BL309" i="6"/>
  <c r="BL304" i="6"/>
  <c r="BL316" i="6"/>
  <c r="BL324" i="6"/>
  <c r="BL274" i="6"/>
  <c r="BL313" i="6"/>
  <c r="BL321" i="6"/>
  <c r="BL308" i="6"/>
  <c r="BL330" i="6"/>
  <c r="BL294" i="6"/>
  <c r="BL305" i="6"/>
  <c r="BL314" i="6"/>
  <c r="BL327" i="6"/>
  <c r="BL335" i="6"/>
  <c r="BL317" i="6"/>
  <c r="BL332" i="6"/>
  <c r="BL340" i="6"/>
  <c r="BL348" i="6"/>
  <c r="BL320" i="6"/>
  <c r="BL329" i="6"/>
  <c r="BL337" i="6"/>
  <c r="BL345" i="6"/>
  <c r="BL291" i="6"/>
  <c r="BL323" i="6"/>
  <c r="BL334" i="6"/>
  <c r="BL338" i="6"/>
  <c r="BL354" i="6"/>
  <c r="BL362" i="6"/>
  <c r="BL312" i="6"/>
  <c r="BL341" i="6"/>
  <c r="BL351" i="6"/>
  <c r="BL359" i="6"/>
  <c r="BL315" i="6"/>
  <c r="BL328" i="6"/>
  <c r="BL344" i="6"/>
  <c r="BL356" i="6"/>
  <c r="BL364" i="6"/>
  <c r="BL372" i="6"/>
  <c r="BL380" i="6"/>
  <c r="BL318" i="6"/>
  <c r="BL333" i="6"/>
  <c r="BL347" i="6"/>
  <c r="BL353" i="6"/>
  <c r="BL361" i="6"/>
  <c r="BL369" i="6"/>
  <c r="BL377" i="6"/>
  <c r="BL350" i="6"/>
  <c r="BL371" i="6"/>
  <c r="BL375" i="6"/>
  <c r="BL382" i="6"/>
  <c r="BL387" i="6"/>
  <c r="BL395" i="6"/>
  <c r="BL403" i="6"/>
  <c r="BL331" i="6"/>
  <c r="BL343" i="6"/>
  <c r="BL355" i="6"/>
  <c r="BL374" i="6"/>
  <c r="BL378" i="6"/>
  <c r="BL384" i="6"/>
  <c r="BL392" i="6"/>
  <c r="BL297" i="6"/>
  <c r="BL311" i="6"/>
  <c r="BL319" i="6"/>
  <c r="BL346" i="6"/>
  <c r="BL360" i="6"/>
  <c r="BL367" i="6"/>
  <c r="BL381" i="6"/>
  <c r="BL383" i="6"/>
  <c r="BL389" i="6"/>
  <c r="BL349" i="6"/>
  <c r="BL366" i="6"/>
  <c r="BL370" i="6"/>
  <c r="BL386" i="6"/>
  <c r="BL394" i="6"/>
  <c r="BL402" i="6"/>
  <c r="BL358" i="6"/>
  <c r="BL373" i="6"/>
  <c r="BL404" i="6"/>
  <c r="BL411" i="6"/>
  <c r="BL376" i="6"/>
  <c r="BL388" i="6"/>
  <c r="BL405" i="6"/>
  <c r="BL408" i="6"/>
  <c r="BL336" i="6"/>
  <c r="BL342" i="6"/>
  <c r="BL365" i="6"/>
  <c r="BL379" i="6"/>
  <c r="BL393" i="6"/>
  <c r="BL398" i="6"/>
  <c r="BL413" i="6"/>
  <c r="BL421" i="6"/>
  <c r="BL429" i="6"/>
  <c r="BL325" i="6"/>
  <c r="BL357" i="6"/>
  <c r="BL368" i="6"/>
  <c r="BL401" i="6"/>
  <c r="BL406" i="6"/>
  <c r="BL410" i="6"/>
  <c r="BL418" i="6"/>
  <c r="BL426" i="6"/>
  <c r="BL434" i="6"/>
  <c r="BL397" i="6"/>
  <c r="BL428" i="6"/>
  <c r="BL432" i="6"/>
  <c r="BL438" i="6"/>
  <c r="BL446" i="6"/>
  <c r="BL454" i="6"/>
  <c r="BL303" i="6"/>
  <c r="BL339" i="6"/>
  <c r="BL363" i="6"/>
  <c r="BL396" i="6"/>
  <c r="BL400" i="6"/>
  <c r="BL412" i="6"/>
  <c r="BL417" i="6"/>
  <c r="BL431" i="6"/>
  <c r="BL435" i="6"/>
  <c r="BL443" i="6"/>
  <c r="BL451" i="6"/>
  <c r="BL352" i="6"/>
  <c r="BL385" i="6"/>
  <c r="BL420" i="6"/>
  <c r="BL424" i="6"/>
  <c r="BL440" i="6"/>
  <c r="BL448" i="6"/>
  <c r="BL456" i="6"/>
  <c r="BL464" i="6"/>
  <c r="BL472" i="6"/>
  <c r="BL322" i="6"/>
  <c r="BL415" i="6"/>
  <c r="BL423" i="6"/>
  <c r="BL427" i="6"/>
  <c r="BL437" i="6"/>
  <c r="BL445" i="6"/>
  <c r="BL453" i="6"/>
  <c r="BL461" i="6"/>
  <c r="BL469" i="6"/>
  <c r="BL477" i="6"/>
  <c r="BL450" i="6"/>
  <c r="BL465" i="6"/>
  <c r="BL479" i="6"/>
  <c r="BL485" i="6"/>
  <c r="BL493" i="6"/>
  <c r="BL501" i="6"/>
  <c r="BL509" i="6"/>
  <c r="BL264" i="6"/>
  <c r="BL505" i="6"/>
  <c r="BL439" i="6"/>
  <c r="BL455" i="6"/>
  <c r="BL468" i="6"/>
  <c r="BL482" i="6"/>
  <c r="BL490" i="6"/>
  <c r="BL498" i="6"/>
  <c r="BL506" i="6"/>
  <c r="BL514" i="6"/>
  <c r="BL497" i="6"/>
  <c r="BL409" i="6"/>
  <c r="BL444" i="6"/>
  <c r="BL471" i="6"/>
  <c r="BL475" i="6"/>
  <c r="BL487" i="6"/>
  <c r="BL495" i="6"/>
  <c r="BL503" i="6"/>
  <c r="BL511" i="6"/>
  <c r="BL326" i="6"/>
  <c r="BL467" i="6"/>
  <c r="BL481" i="6"/>
  <c r="BL489" i="6"/>
  <c r="BL513" i="6"/>
  <c r="BL390" i="6"/>
  <c r="BL449" i="6"/>
  <c r="BL460" i="6"/>
  <c r="BL474" i="6"/>
  <c r="BL478" i="6"/>
  <c r="BL484" i="6"/>
  <c r="BL492" i="6"/>
  <c r="BL500" i="6"/>
  <c r="BL508" i="6"/>
  <c r="BL516" i="6"/>
  <c r="BL391" i="6"/>
  <c r="BL407" i="6"/>
  <c r="BL430" i="6"/>
  <c r="BL442" i="6"/>
  <c r="BL458" i="6"/>
  <c r="BL463" i="6"/>
  <c r="BL433" i="6"/>
  <c r="BL447" i="6"/>
  <c r="BL452" i="6"/>
  <c r="BL457" i="6"/>
  <c r="BL507" i="6"/>
  <c r="BL510" i="6"/>
  <c r="BL462" i="6"/>
  <c r="BL470" i="6"/>
  <c r="BL496" i="6"/>
  <c r="BL499" i="6"/>
  <c r="BL483" i="6"/>
  <c r="BL414" i="6"/>
  <c r="BL419" i="6"/>
  <c r="BL422" i="6"/>
  <c r="BL425" i="6"/>
  <c r="BL436" i="6"/>
  <c r="BL441" i="6"/>
  <c r="BL466" i="6"/>
  <c r="BL473" i="6"/>
  <c r="BL488" i="6"/>
  <c r="BL491" i="6"/>
  <c r="BL502" i="6"/>
  <c r="BL486" i="6"/>
  <c r="BL399" i="6"/>
  <c r="BL416" i="6"/>
  <c r="BL476" i="6"/>
  <c r="BL512" i="6"/>
  <c r="BL515" i="6"/>
  <c r="BL504" i="6"/>
  <c r="BL459" i="6"/>
  <c r="BL494" i="6"/>
  <c r="BL480" i="6"/>
  <c r="BR269" i="6"/>
  <c r="BR266" i="6"/>
  <c r="BR271" i="6"/>
  <c r="BR273" i="6"/>
  <c r="BR267" i="6"/>
  <c r="BR268" i="6"/>
  <c r="BR274" i="6"/>
  <c r="BR275" i="6"/>
  <c r="BR270" i="6"/>
  <c r="BR277" i="6"/>
  <c r="BR279" i="6"/>
  <c r="BR284" i="6"/>
  <c r="BR276" i="6"/>
  <c r="BR283" i="6"/>
  <c r="BR286" i="6"/>
  <c r="BR287" i="6"/>
  <c r="BR295" i="6"/>
  <c r="BR303" i="6"/>
  <c r="BR272" i="6"/>
  <c r="BR278" i="6"/>
  <c r="BR282" i="6"/>
  <c r="BR292" i="6"/>
  <c r="BR300" i="6"/>
  <c r="BR285" i="6"/>
  <c r="BR291" i="6"/>
  <c r="BR294" i="6"/>
  <c r="BR298" i="6"/>
  <c r="BR297" i="6"/>
  <c r="BR301" i="6"/>
  <c r="BR309" i="6"/>
  <c r="BR265" i="6"/>
  <c r="BR280" i="6"/>
  <c r="BR290" i="6"/>
  <c r="BR304" i="6"/>
  <c r="BR306" i="6"/>
  <c r="BR289" i="6"/>
  <c r="BR308" i="6"/>
  <c r="BR305" i="6"/>
  <c r="BR318" i="6"/>
  <c r="BR307" i="6"/>
  <c r="BR315" i="6"/>
  <c r="BR323" i="6"/>
  <c r="BR281" i="6"/>
  <c r="BR293" i="6"/>
  <c r="BR310" i="6"/>
  <c r="BR313" i="6"/>
  <c r="BR332" i="6"/>
  <c r="BR312" i="6"/>
  <c r="BR316" i="6"/>
  <c r="BR329" i="6"/>
  <c r="BR311" i="6"/>
  <c r="BR319" i="6"/>
  <c r="BR326" i="6"/>
  <c r="BR334" i="6"/>
  <c r="BR342" i="6"/>
  <c r="BR288" i="6"/>
  <c r="BR322" i="6"/>
  <c r="BR331" i="6"/>
  <c r="BR339" i="6"/>
  <c r="BR347" i="6"/>
  <c r="BR302" i="6"/>
  <c r="BR336" i="6"/>
  <c r="BR340" i="6"/>
  <c r="BR356" i="6"/>
  <c r="BR314" i="6"/>
  <c r="BR325" i="6"/>
  <c r="BR343" i="6"/>
  <c r="BR353" i="6"/>
  <c r="BR361" i="6"/>
  <c r="BR317" i="6"/>
  <c r="BR330" i="6"/>
  <c r="BR346" i="6"/>
  <c r="BR350" i="6"/>
  <c r="BR358" i="6"/>
  <c r="BR366" i="6"/>
  <c r="BR374" i="6"/>
  <c r="BR299" i="6"/>
  <c r="BR320" i="6"/>
  <c r="BR335" i="6"/>
  <c r="BR349" i="6"/>
  <c r="BR355" i="6"/>
  <c r="BR363" i="6"/>
  <c r="BR371" i="6"/>
  <c r="BR379" i="6"/>
  <c r="BR352" i="6"/>
  <c r="BR373" i="6"/>
  <c r="BR377" i="6"/>
  <c r="BR389" i="6"/>
  <c r="BR397" i="6"/>
  <c r="BR405" i="6"/>
  <c r="BR333" i="6"/>
  <c r="BR345" i="6"/>
  <c r="BR357" i="6"/>
  <c r="BR376" i="6"/>
  <c r="BR380" i="6"/>
  <c r="BR386" i="6"/>
  <c r="BR394" i="6"/>
  <c r="BR348" i="6"/>
  <c r="BR362" i="6"/>
  <c r="BR365" i="6"/>
  <c r="BR369" i="6"/>
  <c r="BR391" i="6"/>
  <c r="BR324" i="6"/>
  <c r="BR337" i="6"/>
  <c r="BR351" i="6"/>
  <c r="BR368" i="6"/>
  <c r="BR372" i="6"/>
  <c r="BR388" i="6"/>
  <c r="BR396" i="6"/>
  <c r="BR360" i="6"/>
  <c r="BR375" i="6"/>
  <c r="BR385" i="6"/>
  <c r="BR406" i="6"/>
  <c r="BR413" i="6"/>
  <c r="BR296" i="6"/>
  <c r="BR341" i="6"/>
  <c r="BR364" i="6"/>
  <c r="BR378" i="6"/>
  <c r="BR390" i="6"/>
  <c r="BR407" i="6"/>
  <c r="BR410" i="6"/>
  <c r="BR367" i="6"/>
  <c r="BR381" i="6"/>
  <c r="BR395" i="6"/>
  <c r="BR400" i="6"/>
  <c r="BR415" i="6"/>
  <c r="BR423" i="6"/>
  <c r="BR431" i="6"/>
  <c r="BR327" i="6"/>
  <c r="BR359" i="6"/>
  <c r="BR370" i="6"/>
  <c r="BR384" i="6"/>
  <c r="BR412" i="6"/>
  <c r="BR420" i="6"/>
  <c r="BR428" i="6"/>
  <c r="BR328" i="6"/>
  <c r="BR338" i="6"/>
  <c r="BR399" i="6"/>
  <c r="BR409" i="6"/>
  <c r="BR430" i="6"/>
  <c r="BR440" i="6"/>
  <c r="BR448" i="6"/>
  <c r="BR456" i="6"/>
  <c r="BR402" i="6"/>
  <c r="BR414" i="6"/>
  <c r="BR419" i="6"/>
  <c r="BR433" i="6"/>
  <c r="BR437" i="6"/>
  <c r="BR445" i="6"/>
  <c r="BR453" i="6"/>
  <c r="BR354" i="6"/>
  <c r="BR382" i="6"/>
  <c r="BR387" i="6"/>
  <c r="BR416" i="6"/>
  <c r="BR422" i="6"/>
  <c r="BR426" i="6"/>
  <c r="BR442" i="6"/>
  <c r="BR450" i="6"/>
  <c r="BR458" i="6"/>
  <c r="BR466" i="6"/>
  <c r="BR474" i="6"/>
  <c r="BR408" i="6"/>
  <c r="BR425" i="6"/>
  <c r="BR429" i="6"/>
  <c r="BR434" i="6"/>
  <c r="BR439" i="6"/>
  <c r="BR447" i="6"/>
  <c r="BR455" i="6"/>
  <c r="BR463" i="6"/>
  <c r="BR471" i="6"/>
  <c r="BR479" i="6"/>
  <c r="BR436" i="6"/>
  <c r="BR452" i="6"/>
  <c r="BR467" i="6"/>
  <c r="BR487" i="6"/>
  <c r="BR495" i="6"/>
  <c r="BR503" i="6"/>
  <c r="BR511" i="6"/>
  <c r="BR403" i="6"/>
  <c r="BR404" i="6"/>
  <c r="BR417" i="6"/>
  <c r="BR441" i="6"/>
  <c r="BR457" i="6"/>
  <c r="BR470" i="6"/>
  <c r="BR484" i="6"/>
  <c r="BR492" i="6"/>
  <c r="BR500" i="6"/>
  <c r="BR508" i="6"/>
  <c r="BR516" i="6"/>
  <c r="BR499" i="6"/>
  <c r="BR507" i="6"/>
  <c r="BR321" i="6"/>
  <c r="BR411" i="6"/>
  <c r="BR446" i="6"/>
  <c r="BR459" i="6"/>
  <c r="BR473" i="6"/>
  <c r="BR477" i="6"/>
  <c r="BR481" i="6"/>
  <c r="BR489" i="6"/>
  <c r="BR497" i="6"/>
  <c r="BR505" i="6"/>
  <c r="BR513" i="6"/>
  <c r="BR393" i="6"/>
  <c r="BR432" i="6"/>
  <c r="BR483" i="6"/>
  <c r="BR383" i="6"/>
  <c r="BR392" i="6"/>
  <c r="BR401" i="6"/>
  <c r="BR435" i="6"/>
  <c r="BR451" i="6"/>
  <c r="BR462" i="6"/>
  <c r="BR476" i="6"/>
  <c r="BR486" i="6"/>
  <c r="BR494" i="6"/>
  <c r="BR502" i="6"/>
  <c r="BR510" i="6"/>
  <c r="BR418" i="6"/>
  <c r="BR444" i="6"/>
  <c r="BR465" i="6"/>
  <c r="BR469" i="6"/>
  <c r="BR491" i="6"/>
  <c r="BR515" i="6"/>
  <c r="BR480" i="6"/>
  <c r="BR506" i="6"/>
  <c r="BR509" i="6"/>
  <c r="BR438" i="6"/>
  <c r="BR482" i="6"/>
  <c r="BR478" i="6"/>
  <c r="BR424" i="6"/>
  <c r="BR512" i="6"/>
  <c r="BR490" i="6"/>
  <c r="BR485" i="6"/>
  <c r="BR460" i="6"/>
  <c r="BR468" i="6"/>
  <c r="BR475" i="6"/>
  <c r="BR501" i="6"/>
  <c r="BR504" i="6"/>
  <c r="BR493" i="6"/>
  <c r="BR464" i="6"/>
  <c r="BR472" i="6"/>
  <c r="BR514" i="6"/>
  <c r="BR264" i="6"/>
  <c r="BR344" i="6"/>
  <c r="BR421" i="6"/>
  <c r="BR427" i="6"/>
  <c r="BR449" i="6"/>
  <c r="BR454" i="6"/>
  <c r="BR461" i="6"/>
  <c r="BR443" i="6"/>
  <c r="BR498" i="6"/>
  <c r="BR398" i="6"/>
  <c r="BR496" i="6"/>
  <c r="BR488" i="6"/>
  <c r="AQ268" i="6"/>
  <c r="AQ265" i="6"/>
  <c r="AQ270" i="6"/>
  <c r="AQ272" i="6"/>
  <c r="AQ271" i="6"/>
  <c r="AQ274" i="6"/>
  <c r="AQ277" i="6"/>
  <c r="AQ275" i="6"/>
  <c r="AQ286" i="6"/>
  <c r="AQ283" i="6"/>
  <c r="AQ266" i="6"/>
  <c r="AQ269" i="6"/>
  <c r="AQ278" i="6"/>
  <c r="AQ276" i="6"/>
  <c r="AQ281" i="6"/>
  <c r="AQ280" i="6"/>
  <c r="AQ284" i="6"/>
  <c r="AQ294" i="6"/>
  <c r="AQ302" i="6"/>
  <c r="AQ273" i="6"/>
  <c r="AQ291" i="6"/>
  <c r="AQ299" i="6"/>
  <c r="AQ296" i="6"/>
  <c r="AQ289" i="6"/>
  <c r="AQ288" i="6"/>
  <c r="AQ292" i="6"/>
  <c r="AQ308" i="6"/>
  <c r="AQ287" i="6"/>
  <c r="AQ295" i="6"/>
  <c r="AQ298" i="6"/>
  <c r="AQ301" i="6"/>
  <c r="AQ306" i="6"/>
  <c r="AQ282" i="6"/>
  <c r="AQ290" i="6"/>
  <c r="AQ303" i="6"/>
  <c r="AQ305" i="6"/>
  <c r="AQ309" i="6"/>
  <c r="AQ317" i="6"/>
  <c r="AQ293" i="6"/>
  <c r="AQ312" i="6"/>
  <c r="AQ314" i="6"/>
  <c r="AQ322" i="6"/>
  <c r="AQ318" i="6"/>
  <c r="AQ331" i="6"/>
  <c r="AQ300" i="6"/>
  <c r="AQ304" i="6"/>
  <c r="AQ321" i="6"/>
  <c r="AQ328" i="6"/>
  <c r="AQ336" i="6"/>
  <c r="AQ267" i="6"/>
  <c r="AQ324" i="6"/>
  <c r="AQ325" i="6"/>
  <c r="AQ333" i="6"/>
  <c r="AQ341" i="6"/>
  <c r="AQ349" i="6"/>
  <c r="AQ285" i="6"/>
  <c r="AQ297" i="6"/>
  <c r="AQ311" i="6"/>
  <c r="AQ313" i="6"/>
  <c r="AQ330" i="6"/>
  <c r="AQ338" i="6"/>
  <c r="AQ346" i="6"/>
  <c r="AQ320" i="6"/>
  <c r="AQ327" i="6"/>
  <c r="AQ345" i="6"/>
  <c r="AQ355" i="6"/>
  <c r="AQ363" i="6"/>
  <c r="AQ279" i="6"/>
  <c r="AQ323" i="6"/>
  <c r="AQ332" i="6"/>
  <c r="AQ348" i="6"/>
  <c r="AQ352" i="6"/>
  <c r="AQ360" i="6"/>
  <c r="AQ337" i="6"/>
  <c r="AQ357" i="6"/>
  <c r="AQ365" i="6"/>
  <c r="AQ373" i="6"/>
  <c r="AQ381" i="6"/>
  <c r="AQ310" i="6"/>
  <c r="AQ315" i="6"/>
  <c r="AQ326" i="6"/>
  <c r="AQ340" i="6"/>
  <c r="AQ344" i="6"/>
  <c r="AQ354" i="6"/>
  <c r="AQ362" i="6"/>
  <c r="AQ370" i="6"/>
  <c r="AQ378" i="6"/>
  <c r="AQ316" i="6"/>
  <c r="AQ335" i="6"/>
  <c r="AQ343" i="6"/>
  <c r="AQ359" i="6"/>
  <c r="AQ368" i="6"/>
  <c r="AQ382" i="6"/>
  <c r="AQ388" i="6"/>
  <c r="AQ396" i="6"/>
  <c r="AQ404" i="6"/>
  <c r="AQ364" i="6"/>
  <c r="AQ367" i="6"/>
  <c r="AQ371" i="6"/>
  <c r="AQ385" i="6"/>
  <c r="AQ393" i="6"/>
  <c r="AQ307" i="6"/>
  <c r="AQ353" i="6"/>
  <c r="AQ374" i="6"/>
  <c r="AQ390" i="6"/>
  <c r="AQ334" i="6"/>
  <c r="AQ358" i="6"/>
  <c r="AQ377" i="6"/>
  <c r="AQ387" i="6"/>
  <c r="AQ395" i="6"/>
  <c r="AQ403" i="6"/>
  <c r="AQ351" i="6"/>
  <c r="AQ392" i="6"/>
  <c r="AQ399" i="6"/>
  <c r="AQ406" i="6"/>
  <c r="AQ412" i="6"/>
  <c r="AQ319" i="6"/>
  <c r="AQ397" i="6"/>
  <c r="AQ402" i="6"/>
  <c r="AQ409" i="6"/>
  <c r="AQ339" i="6"/>
  <c r="AQ361" i="6"/>
  <c r="AQ376" i="6"/>
  <c r="AQ386" i="6"/>
  <c r="AQ398" i="6"/>
  <c r="AQ407" i="6"/>
  <c r="AQ414" i="6"/>
  <c r="AQ422" i="6"/>
  <c r="AQ430" i="6"/>
  <c r="AQ350" i="6"/>
  <c r="AQ379" i="6"/>
  <c r="AQ383" i="6"/>
  <c r="AQ391" i="6"/>
  <c r="AQ401" i="6"/>
  <c r="AQ411" i="6"/>
  <c r="AQ419" i="6"/>
  <c r="AQ427" i="6"/>
  <c r="AQ380" i="6"/>
  <c r="AQ416" i="6"/>
  <c r="AQ421" i="6"/>
  <c r="AQ425" i="6"/>
  <c r="AQ439" i="6"/>
  <c r="AQ447" i="6"/>
  <c r="AQ455" i="6"/>
  <c r="AQ369" i="6"/>
  <c r="AQ389" i="6"/>
  <c r="AQ400" i="6"/>
  <c r="AQ424" i="6"/>
  <c r="AQ428" i="6"/>
  <c r="AQ436" i="6"/>
  <c r="AQ444" i="6"/>
  <c r="AQ452" i="6"/>
  <c r="AQ410" i="6"/>
  <c r="AQ417" i="6"/>
  <c r="AQ431" i="6"/>
  <c r="AQ441" i="6"/>
  <c r="AQ449" i="6"/>
  <c r="AQ457" i="6"/>
  <c r="AQ465" i="6"/>
  <c r="AQ473" i="6"/>
  <c r="AQ342" i="6"/>
  <c r="AQ375" i="6"/>
  <c r="AQ405" i="6"/>
  <c r="AQ420" i="6"/>
  <c r="AQ434" i="6"/>
  <c r="AQ438" i="6"/>
  <c r="AQ446" i="6"/>
  <c r="AQ454" i="6"/>
  <c r="AQ462" i="6"/>
  <c r="AQ470" i="6"/>
  <c r="AQ478" i="6"/>
  <c r="AQ347" i="6"/>
  <c r="AQ366" i="6"/>
  <c r="AQ384" i="6"/>
  <c r="AQ423" i="6"/>
  <c r="AQ443" i="6"/>
  <c r="AQ472" i="6"/>
  <c r="AQ476" i="6"/>
  <c r="AQ486" i="6"/>
  <c r="AQ494" i="6"/>
  <c r="AQ502" i="6"/>
  <c r="AQ510" i="6"/>
  <c r="AQ490" i="6"/>
  <c r="AQ498" i="6"/>
  <c r="AQ356" i="6"/>
  <c r="AQ413" i="6"/>
  <c r="AQ426" i="6"/>
  <c r="AQ448" i="6"/>
  <c r="AQ461" i="6"/>
  <c r="AQ475" i="6"/>
  <c r="AQ479" i="6"/>
  <c r="AQ483" i="6"/>
  <c r="AQ491" i="6"/>
  <c r="AQ499" i="6"/>
  <c r="AQ507" i="6"/>
  <c r="AQ515" i="6"/>
  <c r="AQ429" i="6"/>
  <c r="AQ437" i="6"/>
  <c r="AQ453" i="6"/>
  <c r="AQ464" i="6"/>
  <c r="AQ468" i="6"/>
  <c r="AQ480" i="6"/>
  <c r="AQ488" i="6"/>
  <c r="AQ496" i="6"/>
  <c r="AQ504" i="6"/>
  <c r="AQ512" i="6"/>
  <c r="AQ506" i="6"/>
  <c r="AQ514" i="6"/>
  <c r="AQ415" i="6"/>
  <c r="AQ418" i="6"/>
  <c r="AQ432" i="6"/>
  <c r="AQ442" i="6"/>
  <c r="AQ458" i="6"/>
  <c r="AQ467" i="6"/>
  <c r="AQ471" i="6"/>
  <c r="AQ485" i="6"/>
  <c r="AQ493" i="6"/>
  <c r="AQ501" i="6"/>
  <c r="AQ509" i="6"/>
  <c r="AQ264" i="6"/>
  <c r="AQ408" i="6"/>
  <c r="AQ435" i="6"/>
  <c r="AQ451" i="6"/>
  <c r="AQ460" i="6"/>
  <c r="AQ474" i="6"/>
  <c r="AQ482" i="6"/>
  <c r="AQ372" i="6"/>
  <c r="AQ394" i="6"/>
  <c r="AQ463" i="6"/>
  <c r="AQ497" i="6"/>
  <c r="AQ500" i="6"/>
  <c r="AQ503" i="6"/>
  <c r="AQ329" i="6"/>
  <c r="AQ433" i="6"/>
  <c r="AQ466" i="6"/>
  <c r="AQ456" i="6"/>
  <c r="AQ489" i="6"/>
  <c r="AQ492" i="6"/>
  <c r="AQ495" i="6"/>
  <c r="AQ469" i="6"/>
  <c r="AQ440" i="6"/>
  <c r="AQ445" i="6"/>
  <c r="AQ450" i="6"/>
  <c r="AQ481" i="6"/>
  <c r="AQ484" i="6"/>
  <c r="AQ487" i="6"/>
  <c r="AQ516" i="6"/>
  <c r="AQ459" i="6"/>
  <c r="AQ505" i="6"/>
  <c r="AQ511" i="6"/>
  <c r="AQ477" i="6"/>
  <c r="AQ513" i="6"/>
  <c r="AQ508" i="6"/>
  <c r="BH271" i="6"/>
  <c r="BH268" i="6"/>
  <c r="BH265" i="6"/>
  <c r="BH270" i="6"/>
  <c r="BH266" i="6"/>
  <c r="BH272" i="6"/>
  <c r="BH267" i="6"/>
  <c r="BH273" i="6"/>
  <c r="BH277" i="6"/>
  <c r="BH269" i="6"/>
  <c r="BH281" i="6"/>
  <c r="BH278" i="6"/>
  <c r="BH286" i="6"/>
  <c r="BH283" i="6"/>
  <c r="BH287" i="6"/>
  <c r="BH276" i="6"/>
  <c r="BH279" i="6"/>
  <c r="BH289" i="6"/>
  <c r="BH297" i="6"/>
  <c r="BH305" i="6"/>
  <c r="BH282" i="6"/>
  <c r="BH294" i="6"/>
  <c r="BH302" i="6"/>
  <c r="BH291" i="6"/>
  <c r="BH295" i="6"/>
  <c r="BH298" i="6"/>
  <c r="BH301" i="6"/>
  <c r="BH311" i="6"/>
  <c r="BH284" i="6"/>
  <c r="BH290" i="6"/>
  <c r="BH304" i="6"/>
  <c r="BH308" i="6"/>
  <c r="BH285" i="6"/>
  <c r="BH293" i="6"/>
  <c r="BH274" i="6"/>
  <c r="BH296" i="6"/>
  <c r="BH299" i="6"/>
  <c r="BH312" i="6"/>
  <c r="BH320" i="6"/>
  <c r="BH280" i="6"/>
  <c r="BH288" i="6"/>
  <c r="BH303" i="6"/>
  <c r="BH307" i="6"/>
  <c r="BH317" i="6"/>
  <c r="BH313" i="6"/>
  <c r="BH326" i="6"/>
  <c r="BH334" i="6"/>
  <c r="BH316" i="6"/>
  <c r="BH331" i="6"/>
  <c r="BH306" i="6"/>
  <c r="BH319" i="6"/>
  <c r="BH323" i="6"/>
  <c r="BH328" i="6"/>
  <c r="BH336" i="6"/>
  <c r="BH344" i="6"/>
  <c r="BH275" i="6"/>
  <c r="BH309" i="6"/>
  <c r="BH322" i="6"/>
  <c r="BH325" i="6"/>
  <c r="BH333" i="6"/>
  <c r="BH341" i="6"/>
  <c r="BH349" i="6"/>
  <c r="BH315" i="6"/>
  <c r="BH340" i="6"/>
  <c r="BH350" i="6"/>
  <c r="BH358" i="6"/>
  <c r="BH318" i="6"/>
  <c r="BH327" i="6"/>
  <c r="BH343" i="6"/>
  <c r="BH347" i="6"/>
  <c r="BH355" i="6"/>
  <c r="BH363" i="6"/>
  <c r="BH321" i="6"/>
  <c r="BH332" i="6"/>
  <c r="BH346" i="6"/>
  <c r="BH352" i="6"/>
  <c r="BH360" i="6"/>
  <c r="BH368" i="6"/>
  <c r="BH376" i="6"/>
  <c r="BH292" i="6"/>
  <c r="BH324" i="6"/>
  <c r="BH339" i="6"/>
  <c r="BH357" i="6"/>
  <c r="BH365" i="6"/>
  <c r="BH373" i="6"/>
  <c r="BH381" i="6"/>
  <c r="BH330" i="6"/>
  <c r="BH338" i="6"/>
  <c r="BH354" i="6"/>
  <c r="BH377" i="6"/>
  <c r="BH391" i="6"/>
  <c r="BH399" i="6"/>
  <c r="BH407" i="6"/>
  <c r="BH314" i="6"/>
  <c r="BH359" i="6"/>
  <c r="BH366" i="6"/>
  <c r="BH380" i="6"/>
  <c r="BH388" i="6"/>
  <c r="BH396" i="6"/>
  <c r="BH300" i="6"/>
  <c r="BH369" i="6"/>
  <c r="BH385" i="6"/>
  <c r="BH393" i="6"/>
  <c r="BH329" i="6"/>
  <c r="BH353" i="6"/>
  <c r="BH372" i="6"/>
  <c r="BH390" i="6"/>
  <c r="BH398" i="6"/>
  <c r="BH310" i="6"/>
  <c r="BH342" i="6"/>
  <c r="BH379" i="6"/>
  <c r="BH387" i="6"/>
  <c r="BH401" i="6"/>
  <c r="BH415" i="6"/>
  <c r="BH382" i="6"/>
  <c r="BH392" i="6"/>
  <c r="BH412" i="6"/>
  <c r="BH348" i="6"/>
  <c r="BH356" i="6"/>
  <c r="BH371" i="6"/>
  <c r="BH383" i="6"/>
  <c r="BH397" i="6"/>
  <c r="BH400" i="6"/>
  <c r="BH409" i="6"/>
  <c r="BH417" i="6"/>
  <c r="BH425" i="6"/>
  <c r="BH433" i="6"/>
  <c r="BH337" i="6"/>
  <c r="BH374" i="6"/>
  <c r="BH386" i="6"/>
  <c r="BH403" i="6"/>
  <c r="BH414" i="6"/>
  <c r="BH422" i="6"/>
  <c r="BH430" i="6"/>
  <c r="BH395" i="6"/>
  <c r="BH404" i="6"/>
  <c r="BH411" i="6"/>
  <c r="BH420" i="6"/>
  <c r="BH442" i="6"/>
  <c r="BH450" i="6"/>
  <c r="BH458" i="6"/>
  <c r="BH335" i="6"/>
  <c r="BH378" i="6"/>
  <c r="BH384" i="6"/>
  <c r="BH419" i="6"/>
  <c r="BH423" i="6"/>
  <c r="BH439" i="6"/>
  <c r="BH447" i="6"/>
  <c r="BH455" i="6"/>
  <c r="BH367" i="6"/>
  <c r="BH405" i="6"/>
  <c r="BH426" i="6"/>
  <c r="BH434" i="6"/>
  <c r="BH436" i="6"/>
  <c r="BH444" i="6"/>
  <c r="BH452" i="6"/>
  <c r="BH460" i="6"/>
  <c r="BH468" i="6"/>
  <c r="BH476" i="6"/>
  <c r="BH361" i="6"/>
  <c r="BH394" i="6"/>
  <c r="BH406" i="6"/>
  <c r="BH410" i="6"/>
  <c r="BH416" i="6"/>
  <c r="BH429" i="6"/>
  <c r="BH441" i="6"/>
  <c r="BH449" i="6"/>
  <c r="BH457" i="6"/>
  <c r="BH465" i="6"/>
  <c r="BH473" i="6"/>
  <c r="BH375" i="6"/>
  <c r="BH418" i="6"/>
  <c r="BH432" i="6"/>
  <c r="BH438" i="6"/>
  <c r="BH454" i="6"/>
  <c r="BH467" i="6"/>
  <c r="BH471" i="6"/>
  <c r="BH481" i="6"/>
  <c r="BH489" i="6"/>
  <c r="BH497" i="6"/>
  <c r="BH505" i="6"/>
  <c r="BH513" i="6"/>
  <c r="BH264" i="6"/>
  <c r="BH345" i="6"/>
  <c r="BH364" i="6"/>
  <c r="BH408" i="6"/>
  <c r="BH421" i="6"/>
  <c r="BH443" i="6"/>
  <c r="BH470" i="6"/>
  <c r="BH474" i="6"/>
  <c r="BH486" i="6"/>
  <c r="BH494" i="6"/>
  <c r="BH502" i="6"/>
  <c r="BH510" i="6"/>
  <c r="BH493" i="6"/>
  <c r="BH351" i="6"/>
  <c r="BH402" i="6"/>
  <c r="BH424" i="6"/>
  <c r="BH448" i="6"/>
  <c r="BH459" i="6"/>
  <c r="BH463" i="6"/>
  <c r="BH477" i="6"/>
  <c r="BH483" i="6"/>
  <c r="BH491" i="6"/>
  <c r="BH499" i="6"/>
  <c r="BH507" i="6"/>
  <c r="BH515" i="6"/>
  <c r="BH469" i="6"/>
  <c r="BH485" i="6"/>
  <c r="BH427" i="6"/>
  <c r="BH437" i="6"/>
  <c r="BH453" i="6"/>
  <c r="BH462" i="6"/>
  <c r="BH466" i="6"/>
  <c r="BH480" i="6"/>
  <c r="BH488" i="6"/>
  <c r="BH496" i="6"/>
  <c r="BH504" i="6"/>
  <c r="BH512" i="6"/>
  <c r="BH362" i="6"/>
  <c r="BH446" i="6"/>
  <c r="BH501" i="6"/>
  <c r="BH509" i="6"/>
  <c r="BH464" i="6"/>
  <c r="BH472" i="6"/>
  <c r="BH479" i="6"/>
  <c r="BH492" i="6"/>
  <c r="BH495" i="6"/>
  <c r="BH498" i="6"/>
  <c r="BH370" i="6"/>
  <c r="BH435" i="6"/>
  <c r="BH440" i="6"/>
  <c r="BH478" i="6"/>
  <c r="BH511" i="6"/>
  <c r="BH431" i="6"/>
  <c r="BH500" i="6"/>
  <c r="BH461" i="6"/>
  <c r="BH484" i="6"/>
  <c r="BH487" i="6"/>
  <c r="BH490" i="6"/>
  <c r="BH516" i="6"/>
  <c r="BH508" i="6"/>
  <c r="BH475" i="6"/>
  <c r="BH503" i="6"/>
  <c r="BH389" i="6"/>
  <c r="BH413" i="6"/>
  <c r="BH482" i="6"/>
  <c r="BH451" i="6"/>
  <c r="BH456" i="6"/>
  <c r="BH428" i="6"/>
  <c r="BH445" i="6"/>
  <c r="BH514" i="6"/>
  <c r="BH506" i="6"/>
  <c r="CE268" i="6"/>
  <c r="CE265" i="6"/>
  <c r="CE270" i="6"/>
  <c r="CE267" i="6"/>
  <c r="CE272" i="6"/>
  <c r="CE271" i="6"/>
  <c r="CE277" i="6"/>
  <c r="CE266" i="6"/>
  <c r="CE269" i="6"/>
  <c r="CE278" i="6"/>
  <c r="CE286" i="6"/>
  <c r="CE274" i="6"/>
  <c r="CE283" i="6"/>
  <c r="CE280" i="6"/>
  <c r="CE284" i="6"/>
  <c r="CE273" i="6"/>
  <c r="CE294" i="6"/>
  <c r="CE302" i="6"/>
  <c r="CE279" i="6"/>
  <c r="CE291" i="6"/>
  <c r="CE299" i="6"/>
  <c r="CE288" i="6"/>
  <c r="CE292" i="6"/>
  <c r="CE295" i="6"/>
  <c r="CE298" i="6"/>
  <c r="CE308" i="6"/>
  <c r="CE281" i="6"/>
  <c r="CE287" i="6"/>
  <c r="CE301" i="6"/>
  <c r="CE305" i="6"/>
  <c r="CE275" i="6"/>
  <c r="CE282" i="6"/>
  <c r="CE290" i="6"/>
  <c r="CE303" i="6"/>
  <c r="CE309" i="6"/>
  <c r="CE293" i="6"/>
  <c r="CE296" i="6"/>
  <c r="CE317" i="6"/>
  <c r="CE300" i="6"/>
  <c r="CE304" i="6"/>
  <c r="CE314" i="6"/>
  <c r="CE322" i="6"/>
  <c r="CE324" i="6"/>
  <c r="CE331" i="6"/>
  <c r="CE297" i="6"/>
  <c r="CE311" i="6"/>
  <c r="CE313" i="6"/>
  <c r="CE328" i="6"/>
  <c r="CE316" i="6"/>
  <c r="CE320" i="6"/>
  <c r="CE325" i="6"/>
  <c r="CE333" i="6"/>
  <c r="CE341" i="6"/>
  <c r="CE349" i="6"/>
  <c r="CE276" i="6"/>
  <c r="CE306" i="6"/>
  <c r="CE319" i="6"/>
  <c r="CE323" i="6"/>
  <c r="CE330" i="6"/>
  <c r="CE338" i="6"/>
  <c r="CE346" i="6"/>
  <c r="CE312" i="6"/>
  <c r="CE335" i="6"/>
  <c r="CE337" i="6"/>
  <c r="CE355" i="6"/>
  <c r="CE363" i="6"/>
  <c r="CE310" i="6"/>
  <c r="CE315" i="6"/>
  <c r="CE340" i="6"/>
  <c r="CE344" i="6"/>
  <c r="CE352" i="6"/>
  <c r="CE360" i="6"/>
  <c r="CE318" i="6"/>
  <c r="CE329" i="6"/>
  <c r="CE343" i="6"/>
  <c r="CE347" i="6"/>
  <c r="CE357" i="6"/>
  <c r="CE365" i="6"/>
  <c r="CE373" i="6"/>
  <c r="CE381" i="6"/>
  <c r="CE289" i="6"/>
  <c r="CE321" i="6"/>
  <c r="CE334" i="6"/>
  <c r="CE336" i="6"/>
  <c r="CE354" i="6"/>
  <c r="CE362" i="6"/>
  <c r="CE370" i="6"/>
  <c r="CE378" i="6"/>
  <c r="CE327" i="6"/>
  <c r="CE351" i="6"/>
  <c r="CE374" i="6"/>
  <c r="CE388" i="6"/>
  <c r="CE396" i="6"/>
  <c r="CE404" i="6"/>
  <c r="CE285" i="6"/>
  <c r="CE356" i="6"/>
  <c r="CE377" i="6"/>
  <c r="CE382" i="6"/>
  <c r="CE385" i="6"/>
  <c r="CE393" i="6"/>
  <c r="CE361" i="6"/>
  <c r="CE366" i="6"/>
  <c r="CE380" i="6"/>
  <c r="CE383" i="6"/>
  <c r="CE390" i="6"/>
  <c r="CE326" i="6"/>
  <c r="CE350" i="6"/>
  <c r="CE369" i="6"/>
  <c r="CE387" i="6"/>
  <c r="CE395" i="6"/>
  <c r="CE339" i="6"/>
  <c r="CE376" i="6"/>
  <c r="CE384" i="6"/>
  <c r="CE398" i="6"/>
  <c r="CE412" i="6"/>
  <c r="CE379" i="6"/>
  <c r="CE389" i="6"/>
  <c r="CE401" i="6"/>
  <c r="CE409" i="6"/>
  <c r="CE345" i="6"/>
  <c r="CE353" i="6"/>
  <c r="CE368" i="6"/>
  <c r="CE394" i="6"/>
  <c r="CE397" i="6"/>
  <c r="CE405" i="6"/>
  <c r="CE414" i="6"/>
  <c r="CE422" i="6"/>
  <c r="CE430" i="6"/>
  <c r="CE371" i="6"/>
  <c r="CE400" i="6"/>
  <c r="CE406" i="6"/>
  <c r="CE411" i="6"/>
  <c r="CE419" i="6"/>
  <c r="CE427" i="6"/>
  <c r="CE307" i="6"/>
  <c r="CE392" i="6"/>
  <c r="CE408" i="6"/>
  <c r="CE415" i="6"/>
  <c r="CE417" i="6"/>
  <c r="CE431" i="6"/>
  <c r="CE439" i="6"/>
  <c r="CE447" i="6"/>
  <c r="CE455" i="6"/>
  <c r="CE332" i="6"/>
  <c r="CE375" i="6"/>
  <c r="CE413" i="6"/>
  <c r="CE416" i="6"/>
  <c r="CE420" i="6"/>
  <c r="CE436" i="6"/>
  <c r="CE444" i="6"/>
  <c r="CE452" i="6"/>
  <c r="CE364" i="6"/>
  <c r="CE423" i="6"/>
  <c r="CE441" i="6"/>
  <c r="CE449" i="6"/>
  <c r="CE457" i="6"/>
  <c r="CE465" i="6"/>
  <c r="CE473" i="6"/>
  <c r="CE348" i="6"/>
  <c r="CE358" i="6"/>
  <c r="CE391" i="6"/>
  <c r="CE403" i="6"/>
  <c r="CE426" i="6"/>
  <c r="CE438" i="6"/>
  <c r="CE446" i="6"/>
  <c r="CE454" i="6"/>
  <c r="CE462" i="6"/>
  <c r="CE470" i="6"/>
  <c r="CE478" i="6"/>
  <c r="CE372" i="6"/>
  <c r="CE429" i="6"/>
  <c r="CE435" i="6"/>
  <c r="CE451" i="6"/>
  <c r="CE464" i="6"/>
  <c r="CE468" i="6"/>
  <c r="CE486" i="6"/>
  <c r="CE494" i="6"/>
  <c r="CE502" i="6"/>
  <c r="CE510" i="6"/>
  <c r="CE342" i="6"/>
  <c r="CE407" i="6"/>
  <c r="CE418" i="6"/>
  <c r="CE432" i="6"/>
  <c r="CE440" i="6"/>
  <c r="CE456" i="6"/>
  <c r="CE467" i="6"/>
  <c r="CE471" i="6"/>
  <c r="CE483" i="6"/>
  <c r="CE491" i="6"/>
  <c r="CE499" i="6"/>
  <c r="CE507" i="6"/>
  <c r="CE515" i="6"/>
  <c r="CE490" i="6"/>
  <c r="CE514" i="6"/>
  <c r="CE399" i="6"/>
  <c r="CE421" i="6"/>
  <c r="CE445" i="6"/>
  <c r="CE460" i="6"/>
  <c r="CE474" i="6"/>
  <c r="CE480" i="6"/>
  <c r="CE488" i="6"/>
  <c r="CE496" i="6"/>
  <c r="CE504" i="6"/>
  <c r="CE512" i="6"/>
  <c r="CE443" i="6"/>
  <c r="CE482" i="6"/>
  <c r="CE498" i="6"/>
  <c r="CE424" i="6"/>
  <c r="CE434" i="6"/>
  <c r="CE450" i="6"/>
  <c r="CE459" i="6"/>
  <c r="CE463" i="6"/>
  <c r="CE477" i="6"/>
  <c r="CE485" i="6"/>
  <c r="CE493" i="6"/>
  <c r="CE501" i="6"/>
  <c r="CE509" i="6"/>
  <c r="CE264" i="6"/>
  <c r="CE359" i="6"/>
  <c r="CE433" i="6"/>
  <c r="CE466" i="6"/>
  <c r="CE506" i="6"/>
  <c r="CE461" i="6"/>
  <c r="CE469" i="6"/>
  <c r="CE476" i="6"/>
  <c r="CE489" i="6"/>
  <c r="CE492" i="6"/>
  <c r="CE495" i="6"/>
  <c r="CE448" i="6"/>
  <c r="CE458" i="6"/>
  <c r="CE367" i="6"/>
  <c r="CE479" i="6"/>
  <c r="CE402" i="6"/>
  <c r="CE481" i="6"/>
  <c r="CE484" i="6"/>
  <c r="CE487" i="6"/>
  <c r="CE513" i="6"/>
  <c r="CE475" i="6"/>
  <c r="CE511" i="6"/>
  <c r="CE497" i="6"/>
  <c r="CE386" i="6"/>
  <c r="CE410" i="6"/>
  <c r="CE453" i="6"/>
  <c r="CE516" i="6"/>
  <c r="CE437" i="6"/>
  <c r="CE442" i="6"/>
  <c r="CE505" i="6"/>
  <c r="CE472" i="6"/>
  <c r="CE425" i="6"/>
  <c r="CE428" i="6"/>
  <c r="CE508" i="6"/>
  <c r="CE500" i="6"/>
  <c r="CE503" i="6"/>
  <c r="U266" i="6"/>
  <c r="U271" i="6"/>
  <c r="U268" i="6"/>
  <c r="U270" i="6"/>
  <c r="U267" i="6"/>
  <c r="U265" i="6"/>
  <c r="U272" i="6"/>
  <c r="U273" i="6"/>
  <c r="U275" i="6"/>
  <c r="U274" i="6"/>
  <c r="U284" i="6"/>
  <c r="U281" i="6"/>
  <c r="U277" i="6"/>
  <c r="U287" i="6"/>
  <c r="U280" i="6"/>
  <c r="U292" i="6"/>
  <c r="U300" i="6"/>
  <c r="U278" i="6"/>
  <c r="U283" i="6"/>
  <c r="U289" i="6"/>
  <c r="U297" i="6"/>
  <c r="U305" i="6"/>
  <c r="U286" i="6"/>
  <c r="U296" i="6"/>
  <c r="U299" i="6"/>
  <c r="U288" i="6"/>
  <c r="U302" i="6"/>
  <c r="U306" i="6"/>
  <c r="U269" i="6"/>
  <c r="U291" i="6"/>
  <c r="U295" i="6"/>
  <c r="U311" i="6"/>
  <c r="U298" i="6"/>
  <c r="U279" i="6"/>
  <c r="U304" i="6"/>
  <c r="U290" i="6"/>
  <c r="U309" i="6"/>
  <c r="U315" i="6"/>
  <c r="U323" i="6"/>
  <c r="U285" i="6"/>
  <c r="U293" i="6"/>
  <c r="U308" i="6"/>
  <c r="U312" i="6"/>
  <c r="U320" i="6"/>
  <c r="U294" i="6"/>
  <c r="U314" i="6"/>
  <c r="U318" i="6"/>
  <c r="U329" i="6"/>
  <c r="U317" i="6"/>
  <c r="U321" i="6"/>
  <c r="U326" i="6"/>
  <c r="U334" i="6"/>
  <c r="U303" i="6"/>
  <c r="U324" i="6"/>
  <c r="U331" i="6"/>
  <c r="U339" i="6"/>
  <c r="U347" i="6"/>
  <c r="U313" i="6"/>
  <c r="U328" i="6"/>
  <c r="U336" i="6"/>
  <c r="U344" i="6"/>
  <c r="U325" i="6"/>
  <c r="U341" i="6"/>
  <c r="U345" i="6"/>
  <c r="U353" i="6"/>
  <c r="U361" i="6"/>
  <c r="U330" i="6"/>
  <c r="U348" i="6"/>
  <c r="U358" i="6"/>
  <c r="U307" i="6"/>
  <c r="U335" i="6"/>
  <c r="U337" i="6"/>
  <c r="U355" i="6"/>
  <c r="U363" i="6"/>
  <c r="U371" i="6"/>
  <c r="U379" i="6"/>
  <c r="U340" i="6"/>
  <c r="U352" i="6"/>
  <c r="U360" i="6"/>
  <c r="U368" i="6"/>
  <c r="U376" i="6"/>
  <c r="U343" i="6"/>
  <c r="U357" i="6"/>
  <c r="U378" i="6"/>
  <c r="U382" i="6"/>
  <c r="U386" i="6"/>
  <c r="U394" i="6"/>
  <c r="U402" i="6"/>
  <c r="U319" i="6"/>
  <c r="U346" i="6"/>
  <c r="U362" i="6"/>
  <c r="U367" i="6"/>
  <c r="U381" i="6"/>
  <c r="U391" i="6"/>
  <c r="U282" i="6"/>
  <c r="U327" i="6"/>
  <c r="U349" i="6"/>
  <c r="U351" i="6"/>
  <c r="U370" i="6"/>
  <c r="U374" i="6"/>
  <c r="U388" i="6"/>
  <c r="U396" i="6"/>
  <c r="U310" i="6"/>
  <c r="U338" i="6"/>
  <c r="U356" i="6"/>
  <c r="U373" i="6"/>
  <c r="U377" i="6"/>
  <c r="U385" i="6"/>
  <c r="U393" i="6"/>
  <c r="U401" i="6"/>
  <c r="U333" i="6"/>
  <c r="U383" i="6"/>
  <c r="U390" i="6"/>
  <c r="U408" i="6"/>
  <c r="U410" i="6"/>
  <c r="U276" i="6"/>
  <c r="U354" i="6"/>
  <c r="U365" i="6"/>
  <c r="U395" i="6"/>
  <c r="U398" i="6"/>
  <c r="U322" i="6"/>
  <c r="U384" i="6"/>
  <c r="U404" i="6"/>
  <c r="U412" i="6"/>
  <c r="U420" i="6"/>
  <c r="U428" i="6"/>
  <c r="U342" i="6"/>
  <c r="U364" i="6"/>
  <c r="U389" i="6"/>
  <c r="U409" i="6"/>
  <c r="U417" i="6"/>
  <c r="U425" i="6"/>
  <c r="U433" i="6"/>
  <c r="U366" i="6"/>
  <c r="U405" i="6"/>
  <c r="U414" i="6"/>
  <c r="U421" i="6"/>
  <c r="U437" i="6"/>
  <c r="U445" i="6"/>
  <c r="U453" i="6"/>
  <c r="U400" i="6"/>
  <c r="U406" i="6"/>
  <c r="U415" i="6"/>
  <c r="U424" i="6"/>
  <c r="U442" i="6"/>
  <c r="U450" i="6"/>
  <c r="U458" i="6"/>
  <c r="U372" i="6"/>
  <c r="U392" i="6"/>
  <c r="U403" i="6"/>
  <c r="U407" i="6"/>
  <c r="U427" i="6"/>
  <c r="U431" i="6"/>
  <c r="U439" i="6"/>
  <c r="U447" i="6"/>
  <c r="U455" i="6"/>
  <c r="U463" i="6"/>
  <c r="U471" i="6"/>
  <c r="U479" i="6"/>
  <c r="U413" i="6"/>
  <c r="U416" i="6"/>
  <c r="U430" i="6"/>
  <c r="U434" i="6"/>
  <c r="U436" i="6"/>
  <c r="U444" i="6"/>
  <c r="U452" i="6"/>
  <c r="U460" i="6"/>
  <c r="U468" i="6"/>
  <c r="U476" i="6"/>
  <c r="U301" i="6"/>
  <c r="U380" i="6"/>
  <c r="U423" i="6"/>
  <c r="U441" i="6"/>
  <c r="U457" i="6"/>
  <c r="U472" i="6"/>
  <c r="U484" i="6"/>
  <c r="U492" i="6"/>
  <c r="U500" i="6"/>
  <c r="U508" i="6"/>
  <c r="U516" i="6"/>
  <c r="U512" i="6"/>
  <c r="U350" i="6"/>
  <c r="U369" i="6"/>
  <c r="U387" i="6"/>
  <c r="U426" i="6"/>
  <c r="U446" i="6"/>
  <c r="U461" i="6"/>
  <c r="U475" i="6"/>
  <c r="U481" i="6"/>
  <c r="U489" i="6"/>
  <c r="U497" i="6"/>
  <c r="U505" i="6"/>
  <c r="U513" i="6"/>
  <c r="U504" i="6"/>
  <c r="U359" i="6"/>
  <c r="U429" i="6"/>
  <c r="U435" i="6"/>
  <c r="U451" i="6"/>
  <c r="U464" i="6"/>
  <c r="U478" i="6"/>
  <c r="U486" i="6"/>
  <c r="U494" i="6"/>
  <c r="U502" i="6"/>
  <c r="U510" i="6"/>
  <c r="U449" i="6"/>
  <c r="U470" i="6"/>
  <c r="U418" i="6"/>
  <c r="U432" i="6"/>
  <c r="U440" i="6"/>
  <c r="U456" i="6"/>
  <c r="U467" i="6"/>
  <c r="U483" i="6"/>
  <c r="U491" i="6"/>
  <c r="U499" i="6"/>
  <c r="U507" i="6"/>
  <c r="U515" i="6"/>
  <c r="U316" i="6"/>
  <c r="U419" i="6"/>
  <c r="U474" i="6"/>
  <c r="U488" i="6"/>
  <c r="U496" i="6"/>
  <c r="U411" i="6"/>
  <c r="U462" i="6"/>
  <c r="U469" i="6"/>
  <c r="U477" i="6"/>
  <c r="U511" i="6"/>
  <c r="U514" i="6"/>
  <c r="U264" i="6"/>
  <c r="U375" i="6"/>
  <c r="U465" i="6"/>
  <c r="U473" i="6"/>
  <c r="U332" i="6"/>
  <c r="U397" i="6"/>
  <c r="U399" i="6"/>
  <c r="U466" i="6"/>
  <c r="U503" i="6"/>
  <c r="U506" i="6"/>
  <c r="U509" i="6"/>
  <c r="U498" i="6"/>
  <c r="U501" i="6"/>
  <c r="U482" i="6"/>
  <c r="U422" i="6"/>
  <c r="U454" i="6"/>
  <c r="U459" i="6"/>
  <c r="U495" i="6"/>
  <c r="U480" i="6"/>
  <c r="U438" i="6"/>
  <c r="U443" i="6"/>
  <c r="U448" i="6"/>
  <c r="U487" i="6"/>
  <c r="U490" i="6"/>
  <c r="U493" i="6"/>
  <c r="U485" i="6"/>
  <c r="CJ267" i="6"/>
  <c r="CJ269" i="6"/>
  <c r="CJ265" i="6"/>
  <c r="CJ266" i="6"/>
  <c r="CJ273" i="6"/>
  <c r="CJ268" i="6"/>
  <c r="CJ270" i="6"/>
  <c r="CJ274" i="6"/>
  <c r="CJ276" i="6"/>
  <c r="CJ271" i="6"/>
  <c r="CJ277" i="6"/>
  <c r="CJ285" i="6"/>
  <c r="CJ275" i="6"/>
  <c r="CJ282" i="6"/>
  <c r="CJ278" i="6"/>
  <c r="CJ281" i="6"/>
  <c r="CJ293" i="6"/>
  <c r="CJ301" i="6"/>
  <c r="CJ272" i="6"/>
  <c r="CJ284" i="6"/>
  <c r="CJ290" i="6"/>
  <c r="CJ298" i="6"/>
  <c r="CJ297" i="6"/>
  <c r="CJ280" i="6"/>
  <c r="CJ283" i="6"/>
  <c r="CJ289" i="6"/>
  <c r="CJ303" i="6"/>
  <c r="CJ307" i="6"/>
  <c r="CJ286" i="6"/>
  <c r="CJ292" i="6"/>
  <c r="CJ296" i="6"/>
  <c r="CJ295" i="6"/>
  <c r="CJ304" i="6"/>
  <c r="CJ299" i="6"/>
  <c r="CJ287" i="6"/>
  <c r="CJ306" i="6"/>
  <c r="CJ310" i="6"/>
  <c r="CJ316" i="6"/>
  <c r="CJ324" i="6"/>
  <c r="CJ309" i="6"/>
  <c r="CJ313" i="6"/>
  <c r="CJ321" i="6"/>
  <c r="CJ315" i="6"/>
  <c r="CJ319" i="6"/>
  <c r="CJ330" i="6"/>
  <c r="CJ305" i="6"/>
  <c r="CJ318" i="6"/>
  <c r="CJ322" i="6"/>
  <c r="CJ327" i="6"/>
  <c r="CJ335" i="6"/>
  <c r="CJ279" i="6"/>
  <c r="CJ291" i="6"/>
  <c r="CJ302" i="6"/>
  <c r="CJ308" i="6"/>
  <c r="CJ332" i="6"/>
  <c r="CJ340" i="6"/>
  <c r="CJ348" i="6"/>
  <c r="CJ314" i="6"/>
  <c r="CJ329" i="6"/>
  <c r="CJ337" i="6"/>
  <c r="CJ345" i="6"/>
  <c r="CJ317" i="6"/>
  <c r="CJ326" i="6"/>
  <c r="CJ342" i="6"/>
  <c r="CJ346" i="6"/>
  <c r="CJ354" i="6"/>
  <c r="CJ362" i="6"/>
  <c r="CJ288" i="6"/>
  <c r="CJ320" i="6"/>
  <c r="CJ331" i="6"/>
  <c r="CJ349" i="6"/>
  <c r="CJ351" i="6"/>
  <c r="CJ359" i="6"/>
  <c r="CJ300" i="6"/>
  <c r="CJ323" i="6"/>
  <c r="CJ338" i="6"/>
  <c r="CJ356" i="6"/>
  <c r="CJ364" i="6"/>
  <c r="CJ372" i="6"/>
  <c r="CJ380" i="6"/>
  <c r="CJ312" i="6"/>
  <c r="CJ325" i="6"/>
  <c r="CJ341" i="6"/>
  <c r="CJ353" i="6"/>
  <c r="CJ361" i="6"/>
  <c r="CJ369" i="6"/>
  <c r="CJ377" i="6"/>
  <c r="CJ358" i="6"/>
  <c r="CJ365" i="6"/>
  <c r="CJ379" i="6"/>
  <c r="CJ387" i="6"/>
  <c r="CJ395" i="6"/>
  <c r="CJ403" i="6"/>
  <c r="CJ363" i="6"/>
  <c r="CJ368" i="6"/>
  <c r="CJ384" i="6"/>
  <c r="CJ392" i="6"/>
  <c r="CJ328" i="6"/>
  <c r="CJ352" i="6"/>
  <c r="CJ371" i="6"/>
  <c r="CJ375" i="6"/>
  <c r="CJ389" i="6"/>
  <c r="CJ343" i="6"/>
  <c r="CJ357" i="6"/>
  <c r="CJ374" i="6"/>
  <c r="CJ378" i="6"/>
  <c r="CJ386" i="6"/>
  <c r="CJ394" i="6"/>
  <c r="CJ402" i="6"/>
  <c r="CJ311" i="6"/>
  <c r="CJ344" i="6"/>
  <c r="CJ367" i="6"/>
  <c r="CJ381" i="6"/>
  <c r="CJ391" i="6"/>
  <c r="CJ406" i="6"/>
  <c r="CJ411" i="6"/>
  <c r="CJ355" i="6"/>
  <c r="CJ370" i="6"/>
  <c r="CJ396" i="6"/>
  <c r="CJ399" i="6"/>
  <c r="CJ407" i="6"/>
  <c r="CJ408" i="6"/>
  <c r="CJ373" i="6"/>
  <c r="CJ385" i="6"/>
  <c r="CJ413" i="6"/>
  <c r="CJ421" i="6"/>
  <c r="CJ429" i="6"/>
  <c r="CJ333" i="6"/>
  <c r="CJ339" i="6"/>
  <c r="CJ376" i="6"/>
  <c r="CJ390" i="6"/>
  <c r="CJ410" i="6"/>
  <c r="CJ418" i="6"/>
  <c r="CJ426" i="6"/>
  <c r="CJ422" i="6"/>
  <c r="CJ438" i="6"/>
  <c r="CJ446" i="6"/>
  <c r="CJ454" i="6"/>
  <c r="CJ347" i="6"/>
  <c r="CJ425" i="6"/>
  <c r="CJ435" i="6"/>
  <c r="CJ443" i="6"/>
  <c r="CJ451" i="6"/>
  <c r="CJ336" i="6"/>
  <c r="CJ360" i="6"/>
  <c r="CJ393" i="6"/>
  <c r="CJ397" i="6"/>
  <c r="CJ409" i="6"/>
  <c r="CJ415" i="6"/>
  <c r="CJ428" i="6"/>
  <c r="CJ432" i="6"/>
  <c r="CJ440" i="6"/>
  <c r="CJ448" i="6"/>
  <c r="CJ456" i="6"/>
  <c r="CJ464" i="6"/>
  <c r="CJ472" i="6"/>
  <c r="CJ383" i="6"/>
  <c r="CJ400" i="6"/>
  <c r="CJ414" i="6"/>
  <c r="CJ417" i="6"/>
  <c r="CJ431" i="6"/>
  <c r="CJ437" i="6"/>
  <c r="CJ445" i="6"/>
  <c r="CJ453" i="6"/>
  <c r="CJ461" i="6"/>
  <c r="CJ469" i="6"/>
  <c r="CJ477" i="6"/>
  <c r="CJ350" i="6"/>
  <c r="CJ398" i="6"/>
  <c r="CJ420" i="6"/>
  <c r="CJ442" i="6"/>
  <c r="CJ458" i="6"/>
  <c r="CJ459" i="6"/>
  <c r="CJ473" i="6"/>
  <c r="CJ485" i="6"/>
  <c r="CJ493" i="6"/>
  <c r="CJ501" i="6"/>
  <c r="CJ509" i="6"/>
  <c r="CJ264" i="6"/>
  <c r="CJ366" i="6"/>
  <c r="CJ388" i="6"/>
  <c r="CJ401" i="6"/>
  <c r="CJ382" i="6"/>
  <c r="CJ423" i="6"/>
  <c r="CJ447" i="6"/>
  <c r="CJ462" i="6"/>
  <c r="CJ476" i="6"/>
  <c r="CJ482" i="6"/>
  <c r="CJ490" i="6"/>
  <c r="CJ498" i="6"/>
  <c r="CJ506" i="6"/>
  <c r="CJ514" i="6"/>
  <c r="CJ505" i="6"/>
  <c r="CJ405" i="6"/>
  <c r="CJ436" i="6"/>
  <c r="CJ452" i="6"/>
  <c r="CJ465" i="6"/>
  <c r="CJ479" i="6"/>
  <c r="CJ487" i="6"/>
  <c r="CJ495" i="6"/>
  <c r="CJ503" i="6"/>
  <c r="CJ511" i="6"/>
  <c r="CJ424" i="6"/>
  <c r="CJ434" i="6"/>
  <c r="CJ450" i="6"/>
  <c r="CJ475" i="6"/>
  <c r="CJ497" i="6"/>
  <c r="CJ513" i="6"/>
  <c r="CJ404" i="6"/>
  <c r="CJ441" i="6"/>
  <c r="CJ457" i="6"/>
  <c r="CJ468" i="6"/>
  <c r="CJ484" i="6"/>
  <c r="CJ492" i="6"/>
  <c r="CJ500" i="6"/>
  <c r="CJ508" i="6"/>
  <c r="CJ516" i="6"/>
  <c r="CJ334" i="6"/>
  <c r="CJ471" i="6"/>
  <c r="CJ481" i="6"/>
  <c r="CJ489" i="6"/>
  <c r="CJ412" i="6"/>
  <c r="CJ455" i="6"/>
  <c r="CJ480" i="6"/>
  <c r="CJ483" i="6"/>
  <c r="CJ486" i="6"/>
  <c r="CJ512" i="6"/>
  <c r="CJ515" i="6"/>
  <c r="CJ433" i="6"/>
  <c r="CJ463" i="6"/>
  <c r="CJ496" i="6"/>
  <c r="CJ502" i="6"/>
  <c r="CJ294" i="6"/>
  <c r="CJ439" i="6"/>
  <c r="CJ444" i="6"/>
  <c r="CJ449" i="6"/>
  <c r="CJ474" i="6"/>
  <c r="CJ504" i="6"/>
  <c r="CJ419" i="6"/>
  <c r="CJ494" i="6"/>
  <c r="CJ430" i="6"/>
  <c r="CJ470" i="6"/>
  <c r="CJ478" i="6"/>
  <c r="CJ510" i="6"/>
  <c r="CJ416" i="6"/>
  <c r="CJ488" i="6"/>
  <c r="CJ491" i="6"/>
  <c r="CJ466" i="6"/>
  <c r="CJ427" i="6"/>
  <c r="CJ507" i="6"/>
  <c r="CJ460" i="6"/>
  <c r="CJ467" i="6"/>
  <c r="CJ499" i="6"/>
  <c r="M266" i="6"/>
  <c r="M271" i="6"/>
  <c r="M268" i="6"/>
  <c r="M265" i="6"/>
  <c r="M272" i="6"/>
  <c r="M269" i="6"/>
  <c r="M275" i="6"/>
  <c r="M274" i="6"/>
  <c r="M278" i="6"/>
  <c r="M284" i="6"/>
  <c r="M281" i="6"/>
  <c r="M282" i="6"/>
  <c r="M273" i="6"/>
  <c r="M276" i="6"/>
  <c r="M285" i="6"/>
  <c r="M287" i="6"/>
  <c r="M267" i="6"/>
  <c r="M270" i="6"/>
  <c r="M292" i="6"/>
  <c r="M300" i="6"/>
  <c r="M289" i="6"/>
  <c r="M297" i="6"/>
  <c r="M305" i="6"/>
  <c r="M290" i="6"/>
  <c r="M293" i="6"/>
  <c r="M296" i="6"/>
  <c r="M306" i="6"/>
  <c r="M279" i="6"/>
  <c r="M299" i="6"/>
  <c r="M303" i="6"/>
  <c r="M311" i="6"/>
  <c r="M277" i="6"/>
  <c r="M280" i="6"/>
  <c r="M288" i="6"/>
  <c r="M301" i="6"/>
  <c r="M307" i="6"/>
  <c r="M291" i="6"/>
  <c r="M310" i="6"/>
  <c r="M286" i="6"/>
  <c r="M294" i="6"/>
  <c r="M315" i="6"/>
  <c r="M323" i="6"/>
  <c r="M302" i="6"/>
  <c r="M320" i="6"/>
  <c r="M309" i="6"/>
  <c r="M322" i="6"/>
  <c r="M329" i="6"/>
  <c r="M295" i="6"/>
  <c r="M304" i="6"/>
  <c r="M326" i="6"/>
  <c r="M334" i="6"/>
  <c r="M314" i="6"/>
  <c r="M318" i="6"/>
  <c r="M331" i="6"/>
  <c r="M339" i="6"/>
  <c r="M347" i="6"/>
  <c r="M317" i="6"/>
  <c r="M321" i="6"/>
  <c r="M328" i="6"/>
  <c r="M336" i="6"/>
  <c r="M344" i="6"/>
  <c r="M324" i="6"/>
  <c r="M333" i="6"/>
  <c r="M349" i="6"/>
  <c r="M353" i="6"/>
  <c r="M361" i="6"/>
  <c r="M283" i="6"/>
  <c r="M308" i="6"/>
  <c r="M313" i="6"/>
  <c r="M338" i="6"/>
  <c r="M342" i="6"/>
  <c r="M358" i="6"/>
  <c r="M298" i="6"/>
  <c r="M312" i="6"/>
  <c r="M316" i="6"/>
  <c r="M327" i="6"/>
  <c r="M341" i="6"/>
  <c r="M345" i="6"/>
  <c r="M355" i="6"/>
  <c r="M363" i="6"/>
  <c r="M371" i="6"/>
  <c r="M379" i="6"/>
  <c r="M319" i="6"/>
  <c r="M332" i="6"/>
  <c r="M348" i="6"/>
  <c r="M352" i="6"/>
  <c r="M360" i="6"/>
  <c r="M368" i="6"/>
  <c r="M376" i="6"/>
  <c r="M384" i="6"/>
  <c r="M325" i="6"/>
  <c r="M372" i="6"/>
  <c r="M386" i="6"/>
  <c r="M394" i="6"/>
  <c r="M402" i="6"/>
  <c r="M354" i="6"/>
  <c r="M375" i="6"/>
  <c r="M391" i="6"/>
  <c r="M335" i="6"/>
  <c r="M359" i="6"/>
  <c r="M378" i="6"/>
  <c r="M382" i="6"/>
  <c r="M388" i="6"/>
  <c r="M396" i="6"/>
  <c r="M350" i="6"/>
  <c r="M364" i="6"/>
  <c r="M367" i="6"/>
  <c r="M381" i="6"/>
  <c r="M385" i="6"/>
  <c r="M393" i="6"/>
  <c r="M401" i="6"/>
  <c r="M337" i="6"/>
  <c r="M374" i="6"/>
  <c r="M403" i="6"/>
  <c r="M410" i="6"/>
  <c r="M362" i="6"/>
  <c r="M377" i="6"/>
  <c r="M387" i="6"/>
  <c r="M399" i="6"/>
  <c r="M408" i="6"/>
  <c r="M343" i="6"/>
  <c r="M351" i="6"/>
  <c r="M366" i="6"/>
  <c r="M380" i="6"/>
  <c r="M392" i="6"/>
  <c r="M412" i="6"/>
  <c r="M420" i="6"/>
  <c r="M428" i="6"/>
  <c r="M369" i="6"/>
  <c r="M397" i="6"/>
  <c r="M398" i="6"/>
  <c r="M404" i="6"/>
  <c r="M409" i="6"/>
  <c r="M417" i="6"/>
  <c r="M425" i="6"/>
  <c r="M433" i="6"/>
  <c r="M390" i="6"/>
  <c r="M429" i="6"/>
  <c r="M437" i="6"/>
  <c r="M445" i="6"/>
  <c r="M453" i="6"/>
  <c r="M330" i="6"/>
  <c r="M373" i="6"/>
  <c r="M383" i="6"/>
  <c r="M411" i="6"/>
  <c r="M418" i="6"/>
  <c r="M432" i="6"/>
  <c r="M442" i="6"/>
  <c r="M450" i="6"/>
  <c r="M458" i="6"/>
  <c r="M421" i="6"/>
  <c r="M439" i="6"/>
  <c r="M447" i="6"/>
  <c r="M455" i="6"/>
  <c r="M463" i="6"/>
  <c r="M471" i="6"/>
  <c r="M479" i="6"/>
  <c r="M346" i="6"/>
  <c r="M356" i="6"/>
  <c r="M389" i="6"/>
  <c r="M424" i="6"/>
  <c r="M436" i="6"/>
  <c r="M444" i="6"/>
  <c r="M452" i="6"/>
  <c r="M460" i="6"/>
  <c r="M468" i="6"/>
  <c r="M476" i="6"/>
  <c r="M370" i="6"/>
  <c r="M414" i="6"/>
  <c r="M415" i="6"/>
  <c r="M427" i="6"/>
  <c r="M449" i="6"/>
  <c r="M462" i="6"/>
  <c r="M466" i="6"/>
  <c r="M480" i="6"/>
  <c r="M484" i="6"/>
  <c r="M492" i="6"/>
  <c r="M500" i="6"/>
  <c r="M508" i="6"/>
  <c r="M516" i="6"/>
  <c r="M340" i="6"/>
  <c r="M405" i="6"/>
  <c r="M430" i="6"/>
  <c r="M438" i="6"/>
  <c r="M454" i="6"/>
  <c r="M465" i="6"/>
  <c r="M469" i="6"/>
  <c r="M481" i="6"/>
  <c r="M489" i="6"/>
  <c r="M497" i="6"/>
  <c r="M505" i="6"/>
  <c r="M513" i="6"/>
  <c r="M512" i="6"/>
  <c r="M395" i="6"/>
  <c r="M419" i="6"/>
  <c r="M443" i="6"/>
  <c r="M459" i="6"/>
  <c r="M472" i="6"/>
  <c r="M486" i="6"/>
  <c r="M494" i="6"/>
  <c r="M502" i="6"/>
  <c r="M510" i="6"/>
  <c r="M441" i="6"/>
  <c r="M457" i="6"/>
  <c r="M488" i="6"/>
  <c r="M496" i="6"/>
  <c r="M504" i="6"/>
  <c r="M407" i="6"/>
  <c r="M413" i="6"/>
  <c r="M422" i="6"/>
  <c r="M448" i="6"/>
  <c r="M461" i="6"/>
  <c r="M475" i="6"/>
  <c r="M483" i="6"/>
  <c r="M491" i="6"/>
  <c r="M499" i="6"/>
  <c r="M507" i="6"/>
  <c r="M515" i="6"/>
  <c r="M357" i="6"/>
  <c r="M431" i="6"/>
  <c r="M464" i="6"/>
  <c r="M478" i="6"/>
  <c r="M406" i="6"/>
  <c r="M467" i="6"/>
  <c r="M474" i="6"/>
  <c r="M487" i="6"/>
  <c r="M490" i="6"/>
  <c r="M493" i="6"/>
  <c r="M400" i="6"/>
  <c r="M446" i="6"/>
  <c r="M456" i="6"/>
  <c r="M264" i="6"/>
  <c r="M506" i="6"/>
  <c r="M509" i="6"/>
  <c r="M426" i="6"/>
  <c r="M495" i="6"/>
  <c r="M365" i="6"/>
  <c r="M482" i="6"/>
  <c r="M485" i="6"/>
  <c r="M451" i="6"/>
  <c r="M434" i="6"/>
  <c r="M440" i="6"/>
  <c r="M423" i="6"/>
  <c r="M477" i="6"/>
  <c r="M501" i="6"/>
  <c r="M416" i="6"/>
  <c r="M511" i="6"/>
  <c r="M514" i="6"/>
  <c r="M498" i="6"/>
  <c r="M435" i="6"/>
  <c r="M473" i="6"/>
  <c r="M503" i="6"/>
  <c r="M470" i="6"/>
  <c r="CQ269" i="6"/>
  <c r="CQ266" i="6"/>
  <c r="CQ271" i="6"/>
  <c r="CQ267" i="6"/>
  <c r="CQ273" i="6"/>
  <c r="CQ268" i="6"/>
  <c r="CQ270" i="6"/>
  <c r="CQ282" i="6"/>
  <c r="CQ279" i="6"/>
  <c r="CQ284" i="6"/>
  <c r="CQ275" i="6"/>
  <c r="CQ280" i="6"/>
  <c r="CQ290" i="6"/>
  <c r="CQ298" i="6"/>
  <c r="CQ265" i="6"/>
  <c r="CQ283" i="6"/>
  <c r="CQ287" i="6"/>
  <c r="CQ295" i="6"/>
  <c r="CQ303" i="6"/>
  <c r="CQ292" i="6"/>
  <c r="CQ296" i="6"/>
  <c r="CQ272" i="6"/>
  <c r="CQ288" i="6"/>
  <c r="CQ302" i="6"/>
  <c r="CQ276" i="6"/>
  <c r="CQ285" i="6"/>
  <c r="CQ291" i="6"/>
  <c r="CQ309" i="6"/>
  <c r="CQ294" i="6"/>
  <c r="CQ297" i="6"/>
  <c r="CQ300" i="6"/>
  <c r="CQ286" i="6"/>
  <c r="CQ305" i="6"/>
  <c r="CQ313" i="6"/>
  <c r="CQ321" i="6"/>
  <c r="CQ281" i="6"/>
  <c r="CQ289" i="6"/>
  <c r="CQ304" i="6"/>
  <c r="CQ308" i="6"/>
  <c r="CQ318" i="6"/>
  <c r="CQ314" i="6"/>
  <c r="CQ327" i="6"/>
  <c r="CQ335" i="6"/>
  <c r="CQ317" i="6"/>
  <c r="CQ332" i="6"/>
  <c r="CQ277" i="6"/>
  <c r="CQ278" i="6"/>
  <c r="CQ301" i="6"/>
  <c r="CQ307" i="6"/>
  <c r="CQ320" i="6"/>
  <c r="CQ324" i="6"/>
  <c r="CQ329" i="6"/>
  <c r="CQ337" i="6"/>
  <c r="CQ345" i="6"/>
  <c r="CQ323" i="6"/>
  <c r="CQ326" i="6"/>
  <c r="CQ334" i="6"/>
  <c r="CQ342" i="6"/>
  <c r="CQ316" i="6"/>
  <c r="CQ341" i="6"/>
  <c r="CQ351" i="6"/>
  <c r="CQ359" i="6"/>
  <c r="CQ319" i="6"/>
  <c r="CQ328" i="6"/>
  <c r="CQ344" i="6"/>
  <c r="CQ348" i="6"/>
  <c r="CQ356" i="6"/>
  <c r="CQ274" i="6"/>
  <c r="CQ322" i="6"/>
  <c r="CQ333" i="6"/>
  <c r="CQ347" i="6"/>
  <c r="CQ353" i="6"/>
  <c r="CQ361" i="6"/>
  <c r="CQ369" i="6"/>
  <c r="CQ377" i="6"/>
  <c r="CQ336" i="6"/>
  <c r="CQ340" i="6"/>
  <c r="CQ350" i="6"/>
  <c r="CQ358" i="6"/>
  <c r="CQ366" i="6"/>
  <c r="CQ374" i="6"/>
  <c r="CQ382" i="6"/>
  <c r="CQ310" i="6"/>
  <c r="CQ331" i="6"/>
  <c r="CQ339" i="6"/>
  <c r="CQ355" i="6"/>
  <c r="CQ364" i="6"/>
  <c r="CQ378" i="6"/>
  <c r="CQ384" i="6"/>
  <c r="CQ392" i="6"/>
  <c r="CQ400" i="6"/>
  <c r="CQ315" i="6"/>
  <c r="CQ360" i="6"/>
  <c r="CQ367" i="6"/>
  <c r="CQ381" i="6"/>
  <c r="CQ389" i="6"/>
  <c r="CQ370" i="6"/>
  <c r="CQ386" i="6"/>
  <c r="CQ394" i="6"/>
  <c r="CQ293" i="6"/>
  <c r="CQ330" i="6"/>
  <c r="CQ354" i="6"/>
  <c r="CQ373" i="6"/>
  <c r="CQ391" i="6"/>
  <c r="CQ399" i="6"/>
  <c r="CQ312" i="6"/>
  <c r="CQ343" i="6"/>
  <c r="CQ380" i="6"/>
  <c r="CQ388" i="6"/>
  <c r="CQ402" i="6"/>
  <c r="CQ408" i="6"/>
  <c r="CQ383" i="6"/>
  <c r="CQ393" i="6"/>
  <c r="CQ398" i="6"/>
  <c r="CQ413" i="6"/>
  <c r="CQ299" i="6"/>
  <c r="CQ349" i="6"/>
  <c r="CQ357" i="6"/>
  <c r="CQ372" i="6"/>
  <c r="CQ401" i="6"/>
  <c r="CQ403" i="6"/>
  <c r="CQ410" i="6"/>
  <c r="CQ418" i="6"/>
  <c r="CQ426" i="6"/>
  <c r="CQ306" i="6"/>
  <c r="CQ311" i="6"/>
  <c r="CQ338" i="6"/>
  <c r="CQ375" i="6"/>
  <c r="CQ387" i="6"/>
  <c r="CQ397" i="6"/>
  <c r="CQ404" i="6"/>
  <c r="CQ415" i="6"/>
  <c r="CQ423" i="6"/>
  <c r="CQ431" i="6"/>
  <c r="CQ396" i="6"/>
  <c r="CQ405" i="6"/>
  <c r="CQ412" i="6"/>
  <c r="CQ417" i="6"/>
  <c r="CQ421" i="6"/>
  <c r="CQ435" i="6"/>
  <c r="CQ443" i="6"/>
  <c r="CQ451" i="6"/>
  <c r="CQ346" i="6"/>
  <c r="CQ379" i="6"/>
  <c r="CQ385" i="6"/>
  <c r="CQ420" i="6"/>
  <c r="CQ424" i="6"/>
  <c r="CQ440" i="6"/>
  <c r="CQ448" i="6"/>
  <c r="CQ456" i="6"/>
  <c r="CQ325" i="6"/>
  <c r="CQ368" i="6"/>
  <c r="CQ406" i="6"/>
  <c r="CQ427" i="6"/>
  <c r="CQ437" i="6"/>
  <c r="CQ445" i="6"/>
  <c r="CQ453" i="6"/>
  <c r="CQ461" i="6"/>
  <c r="CQ469" i="6"/>
  <c r="CQ477" i="6"/>
  <c r="CQ362" i="6"/>
  <c r="CQ395" i="6"/>
  <c r="CQ407" i="6"/>
  <c r="CQ411" i="6"/>
  <c r="CQ416" i="6"/>
  <c r="CQ430" i="6"/>
  <c r="CQ434" i="6"/>
  <c r="CQ442" i="6"/>
  <c r="CQ450" i="6"/>
  <c r="CQ458" i="6"/>
  <c r="CQ466" i="6"/>
  <c r="CQ474" i="6"/>
  <c r="CQ419" i="6"/>
  <c r="CQ433" i="6"/>
  <c r="CQ439" i="6"/>
  <c r="CQ455" i="6"/>
  <c r="CQ468" i="6"/>
  <c r="CQ472" i="6"/>
  <c r="CQ482" i="6"/>
  <c r="CQ490" i="6"/>
  <c r="CQ498" i="6"/>
  <c r="CQ506" i="6"/>
  <c r="CQ514" i="6"/>
  <c r="CQ494" i="6"/>
  <c r="CQ352" i="6"/>
  <c r="CQ409" i="6"/>
  <c r="CQ422" i="6"/>
  <c r="CQ444" i="6"/>
  <c r="CQ471" i="6"/>
  <c r="CQ475" i="6"/>
  <c r="CQ487" i="6"/>
  <c r="CQ495" i="6"/>
  <c r="CQ503" i="6"/>
  <c r="CQ511" i="6"/>
  <c r="CQ365" i="6"/>
  <c r="CQ425" i="6"/>
  <c r="CQ449" i="6"/>
  <c r="CQ460" i="6"/>
  <c r="CQ464" i="6"/>
  <c r="CQ478" i="6"/>
  <c r="CQ484" i="6"/>
  <c r="CQ492" i="6"/>
  <c r="CQ500" i="6"/>
  <c r="CQ508" i="6"/>
  <c r="CQ516" i="6"/>
  <c r="CQ363" i="6"/>
  <c r="CQ376" i="6"/>
  <c r="CQ486" i="6"/>
  <c r="CQ502" i="6"/>
  <c r="CQ510" i="6"/>
  <c r="CQ371" i="6"/>
  <c r="CQ428" i="6"/>
  <c r="CQ438" i="6"/>
  <c r="CQ454" i="6"/>
  <c r="CQ463" i="6"/>
  <c r="CQ467" i="6"/>
  <c r="CQ481" i="6"/>
  <c r="CQ489" i="6"/>
  <c r="CQ497" i="6"/>
  <c r="CQ505" i="6"/>
  <c r="CQ513" i="6"/>
  <c r="CQ447" i="6"/>
  <c r="CQ470" i="6"/>
  <c r="CQ493" i="6"/>
  <c r="CQ496" i="6"/>
  <c r="CQ499" i="6"/>
  <c r="CQ457" i="6"/>
  <c r="CQ390" i="6"/>
  <c r="CQ441" i="6"/>
  <c r="CQ509" i="6"/>
  <c r="CQ501" i="6"/>
  <c r="CQ504" i="6"/>
  <c r="CQ429" i="6"/>
  <c r="CQ432" i="6"/>
  <c r="CQ485" i="6"/>
  <c r="CQ488" i="6"/>
  <c r="CQ491" i="6"/>
  <c r="CQ465" i="6"/>
  <c r="CQ446" i="6"/>
  <c r="CQ459" i="6"/>
  <c r="CQ414" i="6"/>
  <c r="CQ479" i="6"/>
  <c r="CQ480" i="6"/>
  <c r="CQ483" i="6"/>
  <c r="CQ473" i="6"/>
  <c r="CQ452" i="6"/>
  <c r="CQ512" i="6"/>
  <c r="CQ507" i="6"/>
  <c r="CQ476" i="6"/>
  <c r="CQ462" i="6"/>
  <c r="CQ264" i="6"/>
  <c r="CQ436" i="6"/>
  <c r="CQ515" i="6"/>
  <c r="CM268" i="6"/>
  <c r="CM265" i="6"/>
  <c r="CM270" i="6"/>
  <c r="CM272" i="6"/>
  <c r="CM269" i="6"/>
  <c r="CM266" i="6"/>
  <c r="CM277" i="6"/>
  <c r="CM278" i="6"/>
  <c r="CM271" i="6"/>
  <c r="CM273" i="6"/>
  <c r="CM276" i="6"/>
  <c r="CM283" i="6"/>
  <c r="CM275" i="6"/>
  <c r="CM279" i="6"/>
  <c r="CM282" i="6"/>
  <c r="CM286" i="6"/>
  <c r="CM294" i="6"/>
  <c r="CM302" i="6"/>
  <c r="CM285" i="6"/>
  <c r="CM291" i="6"/>
  <c r="CM299" i="6"/>
  <c r="CM267" i="6"/>
  <c r="CM287" i="6"/>
  <c r="CM280" i="6"/>
  <c r="CM290" i="6"/>
  <c r="CM304" i="6"/>
  <c r="CM308" i="6"/>
  <c r="CM293" i="6"/>
  <c r="CM297" i="6"/>
  <c r="CM305" i="6"/>
  <c r="CM281" i="6"/>
  <c r="CM289" i="6"/>
  <c r="CM292" i="6"/>
  <c r="CM307" i="6"/>
  <c r="CM311" i="6"/>
  <c r="CM317" i="6"/>
  <c r="CM295" i="6"/>
  <c r="CM310" i="6"/>
  <c r="CM314" i="6"/>
  <c r="CM322" i="6"/>
  <c r="CM296" i="6"/>
  <c r="CM301" i="6"/>
  <c r="CM316" i="6"/>
  <c r="CM320" i="6"/>
  <c r="CM331" i="6"/>
  <c r="CM319" i="6"/>
  <c r="CM323" i="6"/>
  <c r="CM328" i="6"/>
  <c r="CM312" i="6"/>
  <c r="CM325" i="6"/>
  <c r="CM333" i="6"/>
  <c r="CM341" i="6"/>
  <c r="CM349" i="6"/>
  <c r="CM315" i="6"/>
  <c r="CM330" i="6"/>
  <c r="CM338" i="6"/>
  <c r="CM346" i="6"/>
  <c r="CM274" i="6"/>
  <c r="CM303" i="6"/>
  <c r="CM327" i="6"/>
  <c r="CM343" i="6"/>
  <c r="CM347" i="6"/>
  <c r="CM355" i="6"/>
  <c r="CM363" i="6"/>
  <c r="CM332" i="6"/>
  <c r="CM336" i="6"/>
  <c r="CM352" i="6"/>
  <c r="CM360" i="6"/>
  <c r="CM284" i="6"/>
  <c r="CM288" i="6"/>
  <c r="CM298" i="6"/>
  <c r="CM309" i="6"/>
  <c r="CM339" i="6"/>
  <c r="CM357" i="6"/>
  <c r="CM365" i="6"/>
  <c r="CM373" i="6"/>
  <c r="CM381" i="6"/>
  <c r="CM300" i="6"/>
  <c r="CM326" i="6"/>
  <c r="CM342" i="6"/>
  <c r="CM354" i="6"/>
  <c r="CM362" i="6"/>
  <c r="CM370" i="6"/>
  <c r="CM378" i="6"/>
  <c r="CM345" i="6"/>
  <c r="CM359" i="6"/>
  <c r="CM366" i="6"/>
  <c r="CM380" i="6"/>
  <c r="CM382" i="6"/>
  <c r="CM388" i="6"/>
  <c r="CM396" i="6"/>
  <c r="CM404" i="6"/>
  <c r="CM321" i="6"/>
  <c r="CM348" i="6"/>
  <c r="CM369" i="6"/>
  <c r="CM383" i="6"/>
  <c r="CM385" i="6"/>
  <c r="CM393" i="6"/>
  <c r="CM329" i="6"/>
  <c r="CM337" i="6"/>
  <c r="CM353" i="6"/>
  <c r="CM372" i="6"/>
  <c r="CM376" i="6"/>
  <c r="CM390" i="6"/>
  <c r="CM340" i="6"/>
  <c r="CM358" i="6"/>
  <c r="CM375" i="6"/>
  <c r="CM379" i="6"/>
  <c r="CM387" i="6"/>
  <c r="CM395" i="6"/>
  <c r="CM335" i="6"/>
  <c r="CM364" i="6"/>
  <c r="CM392" i="6"/>
  <c r="CM397" i="6"/>
  <c r="CM412" i="6"/>
  <c r="CM306" i="6"/>
  <c r="CM356" i="6"/>
  <c r="CM367" i="6"/>
  <c r="CM400" i="6"/>
  <c r="CM405" i="6"/>
  <c r="CM409" i="6"/>
  <c r="CM324" i="6"/>
  <c r="CM386" i="6"/>
  <c r="CM406" i="6"/>
  <c r="CM414" i="6"/>
  <c r="CM422" i="6"/>
  <c r="CM430" i="6"/>
  <c r="CM313" i="6"/>
  <c r="CM344" i="6"/>
  <c r="CM391" i="6"/>
  <c r="CM411" i="6"/>
  <c r="CM419" i="6"/>
  <c r="CM427" i="6"/>
  <c r="CM318" i="6"/>
  <c r="CM351" i="6"/>
  <c r="CM368" i="6"/>
  <c r="CM384" i="6"/>
  <c r="CM399" i="6"/>
  <c r="CM407" i="6"/>
  <c r="CM423" i="6"/>
  <c r="CM439" i="6"/>
  <c r="CM447" i="6"/>
  <c r="CM455" i="6"/>
  <c r="CM402" i="6"/>
  <c r="CM426" i="6"/>
  <c r="CM436" i="6"/>
  <c r="CM444" i="6"/>
  <c r="CM452" i="6"/>
  <c r="CM374" i="6"/>
  <c r="CM394" i="6"/>
  <c r="CM410" i="6"/>
  <c r="CM429" i="6"/>
  <c r="CM433" i="6"/>
  <c r="CM441" i="6"/>
  <c r="CM449" i="6"/>
  <c r="CM457" i="6"/>
  <c r="CM465" i="6"/>
  <c r="CM473" i="6"/>
  <c r="CM418" i="6"/>
  <c r="CM432" i="6"/>
  <c r="CM438" i="6"/>
  <c r="CM446" i="6"/>
  <c r="CM454" i="6"/>
  <c r="CM462" i="6"/>
  <c r="CM470" i="6"/>
  <c r="CM478" i="6"/>
  <c r="CM408" i="6"/>
  <c r="CM425" i="6"/>
  <c r="CM443" i="6"/>
  <c r="CM460" i="6"/>
  <c r="CM474" i="6"/>
  <c r="CM486" i="6"/>
  <c r="CM494" i="6"/>
  <c r="CM502" i="6"/>
  <c r="CM510" i="6"/>
  <c r="CM413" i="6"/>
  <c r="CM371" i="6"/>
  <c r="CM389" i="6"/>
  <c r="CM415" i="6"/>
  <c r="CM428" i="6"/>
  <c r="CM448" i="6"/>
  <c r="CM459" i="6"/>
  <c r="CM463" i="6"/>
  <c r="CM477" i="6"/>
  <c r="CM483" i="6"/>
  <c r="CM491" i="6"/>
  <c r="CM499" i="6"/>
  <c r="CM507" i="6"/>
  <c r="CM515" i="6"/>
  <c r="CM506" i="6"/>
  <c r="CM361" i="6"/>
  <c r="CM398" i="6"/>
  <c r="CM403" i="6"/>
  <c r="CM417" i="6"/>
  <c r="CM431" i="6"/>
  <c r="CM437" i="6"/>
  <c r="CM453" i="6"/>
  <c r="CM466" i="6"/>
  <c r="CM480" i="6"/>
  <c r="CM488" i="6"/>
  <c r="CM496" i="6"/>
  <c r="CM504" i="6"/>
  <c r="CM512" i="6"/>
  <c r="CM435" i="6"/>
  <c r="CM451" i="6"/>
  <c r="CM472" i="6"/>
  <c r="CM490" i="6"/>
  <c r="CM514" i="6"/>
  <c r="CM350" i="6"/>
  <c r="CM420" i="6"/>
  <c r="CM442" i="6"/>
  <c r="CM458" i="6"/>
  <c r="CM469" i="6"/>
  <c r="CM485" i="6"/>
  <c r="CM493" i="6"/>
  <c r="CM501" i="6"/>
  <c r="CM509" i="6"/>
  <c r="CM264" i="6"/>
  <c r="CM421" i="6"/>
  <c r="CM476" i="6"/>
  <c r="CM482" i="6"/>
  <c r="CM498" i="6"/>
  <c r="CM464" i="6"/>
  <c r="CM471" i="6"/>
  <c r="CM479" i="6"/>
  <c r="CM513" i="6"/>
  <c r="CM516" i="6"/>
  <c r="CM377" i="6"/>
  <c r="CM424" i="6"/>
  <c r="CM461" i="6"/>
  <c r="CM468" i="6"/>
  <c r="CM505" i="6"/>
  <c r="CM508" i="6"/>
  <c r="CM511" i="6"/>
  <c r="CM487" i="6"/>
  <c r="CM416" i="6"/>
  <c r="CM456" i="6"/>
  <c r="CM497" i="6"/>
  <c r="CM500" i="6"/>
  <c r="CM503" i="6"/>
  <c r="CM484" i="6"/>
  <c r="CM401" i="6"/>
  <c r="CM467" i="6"/>
  <c r="CM475" i="6"/>
  <c r="CM334" i="6"/>
  <c r="CM440" i="6"/>
  <c r="CM445" i="6"/>
  <c r="CM450" i="6"/>
  <c r="CM489" i="6"/>
  <c r="CM492" i="6"/>
  <c r="CM495" i="6"/>
  <c r="CM434" i="6"/>
  <c r="CM481" i="6"/>
  <c r="BF265" i="6"/>
  <c r="BF270" i="6"/>
  <c r="BF267" i="6"/>
  <c r="BF274" i="6"/>
  <c r="BF271" i="6"/>
  <c r="BF269" i="6"/>
  <c r="BF266" i="6"/>
  <c r="BF276" i="6"/>
  <c r="BF283" i="6"/>
  <c r="BF280" i="6"/>
  <c r="BF273" i="6"/>
  <c r="BF279" i="6"/>
  <c r="BF272" i="6"/>
  <c r="BF282" i="6"/>
  <c r="BF286" i="6"/>
  <c r="BF285" i="6"/>
  <c r="BF291" i="6"/>
  <c r="BF299" i="6"/>
  <c r="BF278" i="6"/>
  <c r="BF288" i="6"/>
  <c r="BF296" i="6"/>
  <c r="BF304" i="6"/>
  <c r="BF281" i="6"/>
  <c r="BF284" i="6"/>
  <c r="BF290" i="6"/>
  <c r="BF294" i="6"/>
  <c r="BF287" i="6"/>
  <c r="BF293" i="6"/>
  <c r="BF297" i="6"/>
  <c r="BF277" i="6"/>
  <c r="BF300" i="6"/>
  <c r="BF310" i="6"/>
  <c r="BF308" i="6"/>
  <c r="BF301" i="6"/>
  <c r="BF303" i="6"/>
  <c r="BF307" i="6"/>
  <c r="BF268" i="6"/>
  <c r="BF314" i="6"/>
  <c r="BF322" i="6"/>
  <c r="BF305" i="6"/>
  <c r="BF319" i="6"/>
  <c r="BF289" i="6"/>
  <c r="BF306" i="6"/>
  <c r="BF323" i="6"/>
  <c r="BF328" i="6"/>
  <c r="BF336" i="6"/>
  <c r="BF275" i="6"/>
  <c r="BF309" i="6"/>
  <c r="BF312" i="6"/>
  <c r="BF325" i="6"/>
  <c r="BF333" i="6"/>
  <c r="BF295" i="6"/>
  <c r="BF302" i="6"/>
  <c r="BF315" i="6"/>
  <c r="BF330" i="6"/>
  <c r="BF338" i="6"/>
  <c r="BF346" i="6"/>
  <c r="BF318" i="6"/>
  <c r="BF327" i="6"/>
  <c r="BF335" i="6"/>
  <c r="BF343" i="6"/>
  <c r="BF321" i="6"/>
  <c r="BF332" i="6"/>
  <c r="BF352" i="6"/>
  <c r="BF360" i="6"/>
  <c r="BF292" i="6"/>
  <c r="BF324" i="6"/>
  <c r="BF339" i="6"/>
  <c r="BF357" i="6"/>
  <c r="BF313" i="6"/>
  <c r="BF326" i="6"/>
  <c r="BF342" i="6"/>
  <c r="BF354" i="6"/>
  <c r="BF362" i="6"/>
  <c r="BF370" i="6"/>
  <c r="BF378" i="6"/>
  <c r="BF316" i="6"/>
  <c r="BF331" i="6"/>
  <c r="BF345" i="6"/>
  <c r="BF349" i="6"/>
  <c r="BF351" i="6"/>
  <c r="BF359" i="6"/>
  <c r="BF367" i="6"/>
  <c r="BF375" i="6"/>
  <c r="BF383" i="6"/>
  <c r="BF311" i="6"/>
  <c r="BF369" i="6"/>
  <c r="BF373" i="6"/>
  <c r="BF385" i="6"/>
  <c r="BF393" i="6"/>
  <c r="BF401" i="6"/>
  <c r="BF329" i="6"/>
  <c r="BF341" i="6"/>
  <c r="BF353" i="6"/>
  <c r="BF372" i="6"/>
  <c r="BF376" i="6"/>
  <c r="BF390" i="6"/>
  <c r="BF344" i="6"/>
  <c r="BF358" i="6"/>
  <c r="BF365" i="6"/>
  <c r="BF379" i="6"/>
  <c r="BF387" i="6"/>
  <c r="BF395" i="6"/>
  <c r="BF320" i="6"/>
  <c r="BF347" i="6"/>
  <c r="BF363" i="6"/>
  <c r="BF364" i="6"/>
  <c r="BF368" i="6"/>
  <c r="BF382" i="6"/>
  <c r="BF384" i="6"/>
  <c r="BF392" i="6"/>
  <c r="BF400" i="6"/>
  <c r="BF348" i="6"/>
  <c r="BF356" i="6"/>
  <c r="BF371" i="6"/>
  <c r="BF397" i="6"/>
  <c r="BF409" i="6"/>
  <c r="BF337" i="6"/>
  <c r="BF374" i="6"/>
  <c r="BF386" i="6"/>
  <c r="BF414" i="6"/>
  <c r="BF317" i="6"/>
  <c r="BF334" i="6"/>
  <c r="BF377" i="6"/>
  <c r="BF391" i="6"/>
  <c r="BF403" i="6"/>
  <c r="BF411" i="6"/>
  <c r="BF419" i="6"/>
  <c r="BF427" i="6"/>
  <c r="BF355" i="6"/>
  <c r="BF366" i="6"/>
  <c r="BF380" i="6"/>
  <c r="BF396" i="6"/>
  <c r="BF399" i="6"/>
  <c r="BF404" i="6"/>
  <c r="BF408" i="6"/>
  <c r="BF416" i="6"/>
  <c r="BF424" i="6"/>
  <c r="BF432" i="6"/>
  <c r="BF405" i="6"/>
  <c r="BF415" i="6"/>
  <c r="BF426" i="6"/>
  <c r="BF430" i="6"/>
  <c r="BF434" i="6"/>
  <c r="BF436" i="6"/>
  <c r="BF444" i="6"/>
  <c r="BF452" i="6"/>
  <c r="BF361" i="6"/>
  <c r="BF394" i="6"/>
  <c r="BF398" i="6"/>
  <c r="BF406" i="6"/>
  <c r="BF410" i="6"/>
  <c r="BF429" i="6"/>
  <c r="BF433" i="6"/>
  <c r="BF441" i="6"/>
  <c r="BF449" i="6"/>
  <c r="BF457" i="6"/>
  <c r="BF340" i="6"/>
  <c r="BF350" i="6"/>
  <c r="BF418" i="6"/>
  <c r="BF422" i="6"/>
  <c r="BF438" i="6"/>
  <c r="BF446" i="6"/>
  <c r="BF454" i="6"/>
  <c r="BF462" i="6"/>
  <c r="BF470" i="6"/>
  <c r="BF478" i="6"/>
  <c r="BF298" i="6"/>
  <c r="BF407" i="6"/>
  <c r="BF421" i="6"/>
  <c r="BF425" i="6"/>
  <c r="BF435" i="6"/>
  <c r="BF443" i="6"/>
  <c r="BF451" i="6"/>
  <c r="BF459" i="6"/>
  <c r="BF467" i="6"/>
  <c r="BF475" i="6"/>
  <c r="BF402" i="6"/>
  <c r="BF448" i="6"/>
  <c r="BF463" i="6"/>
  <c r="BF477" i="6"/>
  <c r="BF483" i="6"/>
  <c r="BF491" i="6"/>
  <c r="BF499" i="6"/>
  <c r="BF507" i="6"/>
  <c r="BF515" i="6"/>
  <c r="BF487" i="6"/>
  <c r="BF503" i="6"/>
  <c r="BF437" i="6"/>
  <c r="BF453" i="6"/>
  <c r="BF466" i="6"/>
  <c r="BF480" i="6"/>
  <c r="BF488" i="6"/>
  <c r="BF496" i="6"/>
  <c r="BF504" i="6"/>
  <c r="BF512" i="6"/>
  <c r="BF495" i="6"/>
  <c r="BF442" i="6"/>
  <c r="BF458" i="6"/>
  <c r="BF469" i="6"/>
  <c r="BF473" i="6"/>
  <c r="BF485" i="6"/>
  <c r="BF493" i="6"/>
  <c r="BF501" i="6"/>
  <c r="BF509" i="6"/>
  <c r="BF264" i="6"/>
  <c r="BF389" i="6"/>
  <c r="BF413" i="6"/>
  <c r="BF428" i="6"/>
  <c r="BF465" i="6"/>
  <c r="BF479" i="6"/>
  <c r="BF388" i="6"/>
  <c r="BF447" i="6"/>
  <c r="BF472" i="6"/>
  <c r="BF476" i="6"/>
  <c r="BF482" i="6"/>
  <c r="BF490" i="6"/>
  <c r="BF498" i="6"/>
  <c r="BF506" i="6"/>
  <c r="BF514" i="6"/>
  <c r="BF440" i="6"/>
  <c r="BF456" i="6"/>
  <c r="BF461" i="6"/>
  <c r="BF511" i="6"/>
  <c r="BF412" i="6"/>
  <c r="BF431" i="6"/>
  <c r="BF439" i="6"/>
  <c r="BF494" i="6"/>
  <c r="BF500" i="6"/>
  <c r="BF471" i="6"/>
  <c r="BF492" i="6"/>
  <c r="BF460" i="6"/>
  <c r="BF445" i="6"/>
  <c r="BF508" i="6"/>
  <c r="BF417" i="6"/>
  <c r="BF484" i="6"/>
  <c r="BF502" i="6"/>
  <c r="BF474" i="6"/>
  <c r="BF486" i="6"/>
  <c r="BF489" i="6"/>
  <c r="BF481" i="6"/>
  <c r="BF510" i="6"/>
  <c r="BF513" i="6"/>
  <c r="BF516" i="6"/>
  <c r="BF381" i="6"/>
  <c r="BF450" i="6"/>
  <c r="BF455" i="6"/>
  <c r="BF505" i="6"/>
  <c r="BF497" i="6"/>
  <c r="BF420" i="6"/>
  <c r="BF423" i="6"/>
  <c r="BF464" i="6"/>
  <c r="BF468" i="6"/>
  <c r="BU270" i="6"/>
  <c r="BU267" i="6"/>
  <c r="BU266" i="6"/>
  <c r="BU276" i="6"/>
  <c r="BU265" i="6"/>
  <c r="BU268" i="6"/>
  <c r="BU280" i="6"/>
  <c r="BU273" i="6"/>
  <c r="BU285" i="6"/>
  <c r="BU271" i="6"/>
  <c r="BU284" i="6"/>
  <c r="BU288" i="6"/>
  <c r="BU296" i="6"/>
  <c r="BU304" i="6"/>
  <c r="BU274" i="6"/>
  <c r="BU279" i="6"/>
  <c r="BU283" i="6"/>
  <c r="BU293" i="6"/>
  <c r="BU301" i="6"/>
  <c r="BU282" i="6"/>
  <c r="BU292" i="6"/>
  <c r="BU295" i="6"/>
  <c r="BU275" i="6"/>
  <c r="BU298" i="6"/>
  <c r="BU302" i="6"/>
  <c r="BU310" i="6"/>
  <c r="BU287" i="6"/>
  <c r="BU291" i="6"/>
  <c r="BU305" i="6"/>
  <c r="BU307" i="6"/>
  <c r="BU294" i="6"/>
  <c r="BU309" i="6"/>
  <c r="BU297" i="6"/>
  <c r="BU272" i="6"/>
  <c r="BU278" i="6"/>
  <c r="BU299" i="6"/>
  <c r="BU303" i="6"/>
  <c r="BU319" i="6"/>
  <c r="BU277" i="6"/>
  <c r="BU289" i="6"/>
  <c r="BU308" i="6"/>
  <c r="BU316" i="6"/>
  <c r="BU324" i="6"/>
  <c r="BU314" i="6"/>
  <c r="BU325" i="6"/>
  <c r="BU333" i="6"/>
  <c r="BU300" i="6"/>
  <c r="BU313" i="6"/>
  <c r="BU317" i="6"/>
  <c r="BU330" i="6"/>
  <c r="BU320" i="6"/>
  <c r="BU327" i="6"/>
  <c r="BU335" i="6"/>
  <c r="BU343" i="6"/>
  <c r="BU281" i="6"/>
  <c r="BU311" i="6"/>
  <c r="BU323" i="6"/>
  <c r="BU332" i="6"/>
  <c r="BU340" i="6"/>
  <c r="BU348" i="6"/>
  <c r="BU286" i="6"/>
  <c r="BU290" i="6"/>
  <c r="BU337" i="6"/>
  <c r="BU341" i="6"/>
  <c r="BU357" i="6"/>
  <c r="BU326" i="6"/>
  <c r="BU344" i="6"/>
  <c r="BU354" i="6"/>
  <c r="BU362" i="6"/>
  <c r="BU269" i="6"/>
  <c r="BU322" i="6"/>
  <c r="BU331" i="6"/>
  <c r="BU347" i="6"/>
  <c r="BU351" i="6"/>
  <c r="BU359" i="6"/>
  <c r="BU367" i="6"/>
  <c r="BU375" i="6"/>
  <c r="BU306" i="6"/>
  <c r="BU336" i="6"/>
  <c r="BU356" i="6"/>
  <c r="BU364" i="6"/>
  <c r="BU372" i="6"/>
  <c r="BU380" i="6"/>
  <c r="BU312" i="6"/>
  <c r="BU339" i="6"/>
  <c r="BU353" i="6"/>
  <c r="BU374" i="6"/>
  <c r="BU378" i="6"/>
  <c r="BU382" i="6"/>
  <c r="BU390" i="6"/>
  <c r="BU398" i="6"/>
  <c r="BU406" i="6"/>
  <c r="BU334" i="6"/>
  <c r="BU342" i="6"/>
  <c r="BU358" i="6"/>
  <c r="BU377" i="6"/>
  <c r="BU381" i="6"/>
  <c r="BU387" i="6"/>
  <c r="BU395" i="6"/>
  <c r="BU318" i="6"/>
  <c r="BU345" i="6"/>
  <c r="BU363" i="6"/>
  <c r="BU366" i="6"/>
  <c r="BU370" i="6"/>
  <c r="BU383" i="6"/>
  <c r="BU384" i="6"/>
  <c r="BU392" i="6"/>
  <c r="BU352" i="6"/>
  <c r="BU369" i="6"/>
  <c r="BU373" i="6"/>
  <c r="BU389" i="6"/>
  <c r="BU397" i="6"/>
  <c r="BU329" i="6"/>
  <c r="BU361" i="6"/>
  <c r="BU386" i="6"/>
  <c r="BU404" i="6"/>
  <c r="BU414" i="6"/>
  <c r="BU315" i="6"/>
  <c r="BU346" i="6"/>
  <c r="BU350" i="6"/>
  <c r="BU391" i="6"/>
  <c r="BU405" i="6"/>
  <c r="BU411" i="6"/>
  <c r="BU396" i="6"/>
  <c r="BU401" i="6"/>
  <c r="BU408" i="6"/>
  <c r="BU416" i="6"/>
  <c r="BU424" i="6"/>
  <c r="BU432" i="6"/>
  <c r="BU360" i="6"/>
  <c r="BU385" i="6"/>
  <c r="BU413" i="6"/>
  <c r="BU421" i="6"/>
  <c r="BU429" i="6"/>
  <c r="BU376" i="6"/>
  <c r="BU407" i="6"/>
  <c r="BU410" i="6"/>
  <c r="BU417" i="6"/>
  <c r="BU431" i="6"/>
  <c r="BU441" i="6"/>
  <c r="BU449" i="6"/>
  <c r="BU457" i="6"/>
  <c r="BU365" i="6"/>
  <c r="BU415" i="6"/>
  <c r="BU420" i="6"/>
  <c r="BU438" i="6"/>
  <c r="BU446" i="6"/>
  <c r="BU454" i="6"/>
  <c r="BU349" i="6"/>
  <c r="BU388" i="6"/>
  <c r="BU399" i="6"/>
  <c r="BU423" i="6"/>
  <c r="BU427" i="6"/>
  <c r="BU435" i="6"/>
  <c r="BU443" i="6"/>
  <c r="BU451" i="6"/>
  <c r="BU459" i="6"/>
  <c r="BU467" i="6"/>
  <c r="BU475" i="6"/>
  <c r="BU328" i="6"/>
  <c r="BU338" i="6"/>
  <c r="BU371" i="6"/>
  <c r="BU402" i="6"/>
  <c r="BU409" i="6"/>
  <c r="BU426" i="6"/>
  <c r="BU430" i="6"/>
  <c r="BU440" i="6"/>
  <c r="BU448" i="6"/>
  <c r="BU456" i="6"/>
  <c r="BU464" i="6"/>
  <c r="BU472" i="6"/>
  <c r="BU394" i="6"/>
  <c r="BU400" i="6"/>
  <c r="BU419" i="6"/>
  <c r="BU433" i="6"/>
  <c r="BU437" i="6"/>
  <c r="BU453" i="6"/>
  <c r="BU468" i="6"/>
  <c r="BU480" i="6"/>
  <c r="BU488" i="6"/>
  <c r="BU496" i="6"/>
  <c r="BU504" i="6"/>
  <c r="BU512" i="6"/>
  <c r="BU484" i="6"/>
  <c r="BU379" i="6"/>
  <c r="BU422" i="6"/>
  <c r="BU442" i="6"/>
  <c r="BU458" i="6"/>
  <c r="BU471" i="6"/>
  <c r="BU485" i="6"/>
  <c r="BU493" i="6"/>
  <c r="BU501" i="6"/>
  <c r="BU509" i="6"/>
  <c r="BU264" i="6"/>
  <c r="BU500" i="6"/>
  <c r="BU508" i="6"/>
  <c r="BU516" i="6"/>
  <c r="BU412" i="6"/>
  <c r="BU425" i="6"/>
  <c r="BU447" i="6"/>
  <c r="BU460" i="6"/>
  <c r="BU474" i="6"/>
  <c r="BU478" i="6"/>
  <c r="BU482" i="6"/>
  <c r="BU490" i="6"/>
  <c r="BU498" i="6"/>
  <c r="BU506" i="6"/>
  <c r="BU514" i="6"/>
  <c r="BU466" i="6"/>
  <c r="BU321" i="6"/>
  <c r="BU428" i="6"/>
  <c r="BU436" i="6"/>
  <c r="BU452" i="6"/>
  <c r="BU463" i="6"/>
  <c r="BU477" i="6"/>
  <c r="BU487" i="6"/>
  <c r="BU495" i="6"/>
  <c r="BU503" i="6"/>
  <c r="BU511" i="6"/>
  <c r="BU445" i="6"/>
  <c r="BU470" i="6"/>
  <c r="BU492" i="6"/>
  <c r="BU368" i="6"/>
  <c r="BU507" i="6"/>
  <c r="BU510" i="6"/>
  <c r="BU513" i="6"/>
  <c r="BU393" i="6"/>
  <c r="BU439" i="6"/>
  <c r="BU499" i="6"/>
  <c r="BU502" i="6"/>
  <c r="BU505" i="6"/>
  <c r="BU481" i="6"/>
  <c r="BU461" i="6"/>
  <c r="BU476" i="6"/>
  <c r="BU455" i="6"/>
  <c r="BU473" i="6"/>
  <c r="BU515" i="6"/>
  <c r="BU355" i="6"/>
  <c r="BU491" i="6"/>
  <c r="BU494" i="6"/>
  <c r="BU497" i="6"/>
  <c r="BU479" i="6"/>
  <c r="BU418" i="6"/>
  <c r="BU469" i="6"/>
  <c r="BU450" i="6"/>
  <c r="BU434" i="6"/>
  <c r="BU462" i="6"/>
  <c r="BU483" i="6"/>
  <c r="BU486" i="6"/>
  <c r="BU489" i="6"/>
  <c r="BU403" i="6"/>
  <c r="BU465" i="6"/>
  <c r="BU444" i="6"/>
  <c r="V269" i="6"/>
  <c r="V266" i="6"/>
  <c r="V271" i="6"/>
  <c r="V273" i="6"/>
  <c r="V270" i="6"/>
  <c r="V278" i="6"/>
  <c r="V265" i="6"/>
  <c r="V267" i="6"/>
  <c r="V272" i="6"/>
  <c r="V275" i="6"/>
  <c r="V279" i="6"/>
  <c r="V268" i="6"/>
  <c r="V284" i="6"/>
  <c r="V281" i="6"/>
  <c r="V285" i="6"/>
  <c r="V277" i="6"/>
  <c r="V287" i="6"/>
  <c r="V295" i="6"/>
  <c r="V303" i="6"/>
  <c r="V280" i="6"/>
  <c r="V292" i="6"/>
  <c r="V300" i="6"/>
  <c r="V283" i="6"/>
  <c r="V289" i="6"/>
  <c r="V293" i="6"/>
  <c r="V286" i="6"/>
  <c r="V296" i="6"/>
  <c r="V299" i="6"/>
  <c r="V309" i="6"/>
  <c r="V288" i="6"/>
  <c r="V302" i="6"/>
  <c r="V306" i="6"/>
  <c r="V310" i="6"/>
  <c r="V298" i="6"/>
  <c r="V304" i="6"/>
  <c r="V318" i="6"/>
  <c r="V290" i="6"/>
  <c r="V315" i="6"/>
  <c r="V323" i="6"/>
  <c r="V274" i="6"/>
  <c r="V308" i="6"/>
  <c r="V332" i="6"/>
  <c r="V294" i="6"/>
  <c r="V314" i="6"/>
  <c r="V329" i="6"/>
  <c r="V317" i="6"/>
  <c r="V321" i="6"/>
  <c r="V326" i="6"/>
  <c r="V334" i="6"/>
  <c r="V342" i="6"/>
  <c r="V350" i="6"/>
  <c r="V312" i="6"/>
  <c r="V320" i="6"/>
  <c r="V324" i="6"/>
  <c r="V331" i="6"/>
  <c r="V339" i="6"/>
  <c r="V347" i="6"/>
  <c r="V336" i="6"/>
  <c r="V338" i="6"/>
  <c r="V356" i="6"/>
  <c r="V364" i="6"/>
  <c r="V305" i="6"/>
  <c r="V325" i="6"/>
  <c r="V341" i="6"/>
  <c r="V345" i="6"/>
  <c r="V353" i="6"/>
  <c r="V361" i="6"/>
  <c r="V297" i="6"/>
  <c r="V311" i="6"/>
  <c r="V330" i="6"/>
  <c r="V344" i="6"/>
  <c r="V348" i="6"/>
  <c r="V358" i="6"/>
  <c r="V366" i="6"/>
  <c r="V374" i="6"/>
  <c r="V382" i="6"/>
  <c r="V307" i="6"/>
  <c r="V335" i="6"/>
  <c r="V337" i="6"/>
  <c r="V355" i="6"/>
  <c r="V363" i="6"/>
  <c r="V371" i="6"/>
  <c r="V379" i="6"/>
  <c r="V313" i="6"/>
  <c r="V328" i="6"/>
  <c r="V340" i="6"/>
  <c r="V352" i="6"/>
  <c r="V375" i="6"/>
  <c r="V389" i="6"/>
  <c r="V397" i="6"/>
  <c r="V405" i="6"/>
  <c r="V343" i="6"/>
  <c r="V357" i="6"/>
  <c r="V378" i="6"/>
  <c r="V386" i="6"/>
  <c r="V394" i="6"/>
  <c r="V319" i="6"/>
  <c r="V346" i="6"/>
  <c r="V362" i="6"/>
  <c r="V367" i="6"/>
  <c r="V381" i="6"/>
  <c r="V391" i="6"/>
  <c r="V282" i="6"/>
  <c r="V327" i="6"/>
  <c r="V349" i="6"/>
  <c r="V351" i="6"/>
  <c r="V370" i="6"/>
  <c r="V388" i="6"/>
  <c r="V396" i="6"/>
  <c r="V373" i="6"/>
  <c r="V385" i="6"/>
  <c r="V399" i="6"/>
  <c r="V413" i="6"/>
  <c r="V333" i="6"/>
  <c r="V376" i="6"/>
  <c r="V383" i="6"/>
  <c r="V390" i="6"/>
  <c r="V402" i="6"/>
  <c r="V408" i="6"/>
  <c r="V410" i="6"/>
  <c r="V276" i="6"/>
  <c r="V354" i="6"/>
  <c r="V365" i="6"/>
  <c r="V395" i="6"/>
  <c r="V398" i="6"/>
  <c r="V415" i="6"/>
  <c r="V423" i="6"/>
  <c r="V431" i="6"/>
  <c r="V322" i="6"/>
  <c r="V368" i="6"/>
  <c r="V384" i="6"/>
  <c r="V401" i="6"/>
  <c r="V404" i="6"/>
  <c r="V412" i="6"/>
  <c r="V420" i="6"/>
  <c r="V428" i="6"/>
  <c r="V291" i="6"/>
  <c r="V360" i="6"/>
  <c r="V377" i="6"/>
  <c r="V393" i="6"/>
  <c r="V409" i="6"/>
  <c r="V418" i="6"/>
  <c r="V432" i="6"/>
  <c r="V440" i="6"/>
  <c r="V448" i="6"/>
  <c r="V456" i="6"/>
  <c r="V414" i="6"/>
  <c r="V417" i="6"/>
  <c r="V421" i="6"/>
  <c r="V437" i="6"/>
  <c r="V445" i="6"/>
  <c r="V453" i="6"/>
  <c r="V400" i="6"/>
  <c r="V406" i="6"/>
  <c r="V424" i="6"/>
  <c r="V442" i="6"/>
  <c r="V450" i="6"/>
  <c r="V458" i="6"/>
  <c r="V466" i="6"/>
  <c r="V474" i="6"/>
  <c r="V372" i="6"/>
  <c r="V392" i="6"/>
  <c r="V403" i="6"/>
  <c r="V407" i="6"/>
  <c r="V427" i="6"/>
  <c r="V439" i="6"/>
  <c r="V447" i="6"/>
  <c r="V455" i="6"/>
  <c r="V463" i="6"/>
  <c r="V471" i="6"/>
  <c r="V479" i="6"/>
  <c r="V416" i="6"/>
  <c r="V434" i="6"/>
  <c r="V436" i="6"/>
  <c r="V452" i="6"/>
  <c r="V465" i="6"/>
  <c r="V469" i="6"/>
  <c r="V487" i="6"/>
  <c r="V495" i="6"/>
  <c r="V503" i="6"/>
  <c r="V511" i="6"/>
  <c r="V301" i="6"/>
  <c r="V380" i="6"/>
  <c r="V441" i="6"/>
  <c r="V457" i="6"/>
  <c r="V468" i="6"/>
  <c r="V472" i="6"/>
  <c r="V484" i="6"/>
  <c r="V492" i="6"/>
  <c r="V500" i="6"/>
  <c r="V508" i="6"/>
  <c r="V516" i="6"/>
  <c r="V491" i="6"/>
  <c r="V369" i="6"/>
  <c r="V387" i="6"/>
  <c r="V426" i="6"/>
  <c r="V446" i="6"/>
  <c r="V461" i="6"/>
  <c r="V475" i="6"/>
  <c r="V481" i="6"/>
  <c r="V489" i="6"/>
  <c r="V497" i="6"/>
  <c r="V505" i="6"/>
  <c r="V513" i="6"/>
  <c r="V444" i="6"/>
  <c r="V467" i="6"/>
  <c r="V483" i="6"/>
  <c r="V499" i="6"/>
  <c r="V507" i="6"/>
  <c r="V316" i="6"/>
  <c r="V359" i="6"/>
  <c r="V429" i="6"/>
  <c r="V435" i="6"/>
  <c r="V451" i="6"/>
  <c r="V460" i="6"/>
  <c r="V464" i="6"/>
  <c r="V478" i="6"/>
  <c r="V486" i="6"/>
  <c r="V494" i="6"/>
  <c r="V502" i="6"/>
  <c r="V510" i="6"/>
  <c r="V430" i="6"/>
  <c r="V515" i="6"/>
  <c r="V473" i="6"/>
  <c r="V480" i="6"/>
  <c r="V482" i="6"/>
  <c r="V485" i="6"/>
  <c r="V476" i="6"/>
  <c r="V462" i="6"/>
  <c r="V470" i="6"/>
  <c r="V477" i="6"/>
  <c r="V514" i="6"/>
  <c r="V264" i="6"/>
  <c r="V506" i="6"/>
  <c r="V509" i="6"/>
  <c r="V512" i="6"/>
  <c r="V438" i="6"/>
  <c r="V493" i="6"/>
  <c r="V496" i="6"/>
  <c r="V488" i="6"/>
  <c r="V433" i="6"/>
  <c r="V490" i="6"/>
  <c r="V419" i="6"/>
  <c r="V422" i="6"/>
  <c r="V425" i="6"/>
  <c r="V449" i="6"/>
  <c r="V454" i="6"/>
  <c r="V459" i="6"/>
  <c r="V498" i="6"/>
  <c r="V501" i="6"/>
  <c r="V504" i="6"/>
  <c r="V411" i="6"/>
  <c r="V443" i="6"/>
  <c r="CL265" i="6"/>
  <c r="CL270" i="6"/>
  <c r="CL267" i="6"/>
  <c r="CL268" i="6"/>
  <c r="CL269" i="6"/>
  <c r="CL274" i="6"/>
  <c r="CL272" i="6"/>
  <c r="CL266" i="6"/>
  <c r="CL271" i="6"/>
  <c r="CL273" i="6"/>
  <c r="CL276" i="6"/>
  <c r="CL283" i="6"/>
  <c r="CL280" i="6"/>
  <c r="CL279" i="6"/>
  <c r="CL282" i="6"/>
  <c r="CL286" i="6"/>
  <c r="CL277" i="6"/>
  <c r="CL285" i="6"/>
  <c r="CL291" i="6"/>
  <c r="CL299" i="6"/>
  <c r="CL278" i="6"/>
  <c r="CL288" i="6"/>
  <c r="CL296" i="6"/>
  <c r="CL304" i="6"/>
  <c r="CL287" i="6"/>
  <c r="CL290" i="6"/>
  <c r="CL294" i="6"/>
  <c r="CL293" i="6"/>
  <c r="CL297" i="6"/>
  <c r="CL305" i="6"/>
  <c r="CL300" i="6"/>
  <c r="CL310" i="6"/>
  <c r="CL281" i="6"/>
  <c r="CL289" i="6"/>
  <c r="CL302" i="6"/>
  <c r="CL308" i="6"/>
  <c r="CL292" i="6"/>
  <c r="CL307" i="6"/>
  <c r="CL295" i="6"/>
  <c r="CL314" i="6"/>
  <c r="CL322" i="6"/>
  <c r="CL275" i="6"/>
  <c r="CL301" i="6"/>
  <c r="CL303" i="6"/>
  <c r="CL319" i="6"/>
  <c r="CL323" i="6"/>
  <c r="CL328" i="6"/>
  <c r="CL312" i="6"/>
  <c r="CL325" i="6"/>
  <c r="CL333" i="6"/>
  <c r="CL315" i="6"/>
  <c r="CL330" i="6"/>
  <c r="CL338" i="6"/>
  <c r="CL346" i="6"/>
  <c r="CL318" i="6"/>
  <c r="CL327" i="6"/>
  <c r="CL335" i="6"/>
  <c r="CL343" i="6"/>
  <c r="CL332" i="6"/>
  <c r="CL336" i="6"/>
  <c r="CL352" i="6"/>
  <c r="CL360" i="6"/>
  <c r="CL284" i="6"/>
  <c r="CL298" i="6"/>
  <c r="CL309" i="6"/>
  <c r="CL339" i="6"/>
  <c r="CL357" i="6"/>
  <c r="CL317" i="6"/>
  <c r="CL326" i="6"/>
  <c r="CL342" i="6"/>
  <c r="CL354" i="6"/>
  <c r="CL362" i="6"/>
  <c r="CL370" i="6"/>
  <c r="CL378" i="6"/>
  <c r="CL320" i="6"/>
  <c r="CL331" i="6"/>
  <c r="CL345" i="6"/>
  <c r="CL349" i="6"/>
  <c r="CL351" i="6"/>
  <c r="CL359" i="6"/>
  <c r="CL367" i="6"/>
  <c r="CL375" i="6"/>
  <c r="CL383" i="6"/>
  <c r="CL321" i="6"/>
  <c r="CL348" i="6"/>
  <c r="CL369" i="6"/>
  <c r="CL373" i="6"/>
  <c r="CL385" i="6"/>
  <c r="CL393" i="6"/>
  <c r="CL401" i="6"/>
  <c r="CL329" i="6"/>
  <c r="CL337" i="6"/>
  <c r="CL353" i="6"/>
  <c r="CL372" i="6"/>
  <c r="CL376" i="6"/>
  <c r="CL390" i="6"/>
  <c r="CL340" i="6"/>
  <c r="CL358" i="6"/>
  <c r="CL365" i="6"/>
  <c r="CL379" i="6"/>
  <c r="CL387" i="6"/>
  <c r="CL395" i="6"/>
  <c r="CL316" i="6"/>
  <c r="CL363" i="6"/>
  <c r="CL364" i="6"/>
  <c r="CL368" i="6"/>
  <c r="CL384" i="6"/>
  <c r="CL392" i="6"/>
  <c r="CL400" i="6"/>
  <c r="CL306" i="6"/>
  <c r="CL356" i="6"/>
  <c r="CL405" i="6"/>
  <c r="CL409" i="6"/>
  <c r="CL324" i="6"/>
  <c r="CL386" i="6"/>
  <c r="CL406" i="6"/>
  <c r="CL414" i="6"/>
  <c r="CL311" i="6"/>
  <c r="CL313" i="6"/>
  <c r="CL344" i="6"/>
  <c r="CL381" i="6"/>
  <c r="CL391" i="6"/>
  <c r="CL411" i="6"/>
  <c r="CL419" i="6"/>
  <c r="CL427" i="6"/>
  <c r="CL355" i="6"/>
  <c r="CL396" i="6"/>
  <c r="CL399" i="6"/>
  <c r="CL407" i="6"/>
  <c r="CL408" i="6"/>
  <c r="CL416" i="6"/>
  <c r="CL424" i="6"/>
  <c r="CL432" i="6"/>
  <c r="CL402" i="6"/>
  <c r="CL426" i="6"/>
  <c r="CL430" i="6"/>
  <c r="CL436" i="6"/>
  <c r="CL444" i="6"/>
  <c r="CL452" i="6"/>
  <c r="CL374" i="6"/>
  <c r="CL394" i="6"/>
  <c r="CL410" i="6"/>
  <c r="CL429" i="6"/>
  <c r="CL433" i="6"/>
  <c r="CL441" i="6"/>
  <c r="CL449" i="6"/>
  <c r="CL457" i="6"/>
  <c r="CL418" i="6"/>
  <c r="CL422" i="6"/>
  <c r="CL438" i="6"/>
  <c r="CL446" i="6"/>
  <c r="CL454" i="6"/>
  <c r="CL462" i="6"/>
  <c r="CL470" i="6"/>
  <c r="CL478" i="6"/>
  <c r="CL347" i="6"/>
  <c r="CL380" i="6"/>
  <c r="CL397" i="6"/>
  <c r="CL421" i="6"/>
  <c r="CL425" i="6"/>
  <c r="CL435" i="6"/>
  <c r="CL443" i="6"/>
  <c r="CL451" i="6"/>
  <c r="CL459" i="6"/>
  <c r="CL467" i="6"/>
  <c r="CL475" i="6"/>
  <c r="CL371" i="6"/>
  <c r="CL389" i="6"/>
  <c r="CL415" i="6"/>
  <c r="CL428" i="6"/>
  <c r="CL448" i="6"/>
  <c r="CL463" i="6"/>
  <c r="CL477" i="6"/>
  <c r="CL483" i="6"/>
  <c r="CL491" i="6"/>
  <c r="CL499" i="6"/>
  <c r="CL507" i="6"/>
  <c r="CL515" i="6"/>
  <c r="CL487" i="6"/>
  <c r="CL503" i="6"/>
  <c r="CL341" i="6"/>
  <c r="CL361" i="6"/>
  <c r="CL398" i="6"/>
  <c r="CL403" i="6"/>
  <c r="CL417" i="6"/>
  <c r="CL431" i="6"/>
  <c r="CL437" i="6"/>
  <c r="CL453" i="6"/>
  <c r="CL466" i="6"/>
  <c r="CL480" i="6"/>
  <c r="CL488" i="6"/>
  <c r="CL496" i="6"/>
  <c r="CL504" i="6"/>
  <c r="CL512" i="6"/>
  <c r="CL495" i="6"/>
  <c r="CL350" i="6"/>
  <c r="CL420" i="6"/>
  <c r="CL442" i="6"/>
  <c r="CL458" i="6"/>
  <c r="CL469" i="6"/>
  <c r="CL473" i="6"/>
  <c r="CL485" i="6"/>
  <c r="CL493" i="6"/>
  <c r="CL501" i="6"/>
  <c r="CL509" i="6"/>
  <c r="CL264" i="6"/>
  <c r="CL461" i="6"/>
  <c r="CL382" i="6"/>
  <c r="CL423" i="6"/>
  <c r="CL447" i="6"/>
  <c r="CL472" i="6"/>
  <c r="CL476" i="6"/>
  <c r="CL482" i="6"/>
  <c r="CL490" i="6"/>
  <c r="CL498" i="6"/>
  <c r="CL506" i="6"/>
  <c r="CL514" i="6"/>
  <c r="CL413" i="6"/>
  <c r="CL440" i="6"/>
  <c r="CL456" i="6"/>
  <c r="CL465" i="6"/>
  <c r="CL479" i="6"/>
  <c r="CL511" i="6"/>
  <c r="CL460" i="6"/>
  <c r="CL468" i="6"/>
  <c r="CL502" i="6"/>
  <c r="CL505" i="6"/>
  <c r="CL508" i="6"/>
  <c r="CL474" i="6"/>
  <c r="CL510" i="6"/>
  <c r="CL513" i="6"/>
  <c r="CL388" i="6"/>
  <c r="CL494" i="6"/>
  <c r="CL497" i="6"/>
  <c r="CL500" i="6"/>
  <c r="CL492" i="6"/>
  <c r="CL412" i="6"/>
  <c r="CL334" i="6"/>
  <c r="CL445" i="6"/>
  <c r="CL450" i="6"/>
  <c r="CL455" i="6"/>
  <c r="CL486" i="6"/>
  <c r="CL489" i="6"/>
  <c r="CL366" i="6"/>
  <c r="CL464" i="6"/>
  <c r="CL471" i="6"/>
  <c r="CL516" i="6"/>
  <c r="CL404" i="6"/>
  <c r="CL434" i="6"/>
  <c r="CL439" i="6"/>
  <c r="CL481" i="6"/>
  <c r="CL484" i="6"/>
  <c r="CL377" i="6"/>
  <c r="K268" i="6"/>
  <c r="K265" i="6"/>
  <c r="K270" i="6"/>
  <c r="K269" i="6"/>
  <c r="K266" i="6"/>
  <c r="K274" i="6"/>
  <c r="K277" i="6"/>
  <c r="K273" i="6"/>
  <c r="K275" i="6"/>
  <c r="K286" i="6"/>
  <c r="K271" i="6"/>
  <c r="K283" i="6"/>
  <c r="K267" i="6"/>
  <c r="K281" i="6"/>
  <c r="K280" i="6"/>
  <c r="K284" i="6"/>
  <c r="K294" i="6"/>
  <c r="K302" i="6"/>
  <c r="K291" i="6"/>
  <c r="K299" i="6"/>
  <c r="K278" i="6"/>
  <c r="K296" i="6"/>
  <c r="K279" i="6"/>
  <c r="K289" i="6"/>
  <c r="K282" i="6"/>
  <c r="K288" i="6"/>
  <c r="K292" i="6"/>
  <c r="K308" i="6"/>
  <c r="K276" i="6"/>
  <c r="K285" i="6"/>
  <c r="K287" i="6"/>
  <c r="K295" i="6"/>
  <c r="K303" i="6"/>
  <c r="K305" i="6"/>
  <c r="K306" i="6"/>
  <c r="K309" i="6"/>
  <c r="K317" i="6"/>
  <c r="K297" i="6"/>
  <c r="K300" i="6"/>
  <c r="K304" i="6"/>
  <c r="K312" i="6"/>
  <c r="K314" i="6"/>
  <c r="K322" i="6"/>
  <c r="K318" i="6"/>
  <c r="K331" i="6"/>
  <c r="K272" i="6"/>
  <c r="K311" i="6"/>
  <c r="K321" i="6"/>
  <c r="K328" i="6"/>
  <c r="K336" i="6"/>
  <c r="K290" i="6"/>
  <c r="K301" i="6"/>
  <c r="K307" i="6"/>
  <c r="K324" i="6"/>
  <c r="K325" i="6"/>
  <c r="K333" i="6"/>
  <c r="K341" i="6"/>
  <c r="K349" i="6"/>
  <c r="K310" i="6"/>
  <c r="K313" i="6"/>
  <c r="K330" i="6"/>
  <c r="K338" i="6"/>
  <c r="K346" i="6"/>
  <c r="K298" i="6"/>
  <c r="K316" i="6"/>
  <c r="K327" i="6"/>
  <c r="K345" i="6"/>
  <c r="K355" i="6"/>
  <c r="K363" i="6"/>
  <c r="K319" i="6"/>
  <c r="K332" i="6"/>
  <c r="K348" i="6"/>
  <c r="K352" i="6"/>
  <c r="K360" i="6"/>
  <c r="K337" i="6"/>
  <c r="K357" i="6"/>
  <c r="K365" i="6"/>
  <c r="K373" i="6"/>
  <c r="K381" i="6"/>
  <c r="K326" i="6"/>
  <c r="K340" i="6"/>
  <c r="K344" i="6"/>
  <c r="K354" i="6"/>
  <c r="K362" i="6"/>
  <c r="K370" i="6"/>
  <c r="K378" i="6"/>
  <c r="K320" i="6"/>
  <c r="K335" i="6"/>
  <c r="K347" i="6"/>
  <c r="K359" i="6"/>
  <c r="K368" i="6"/>
  <c r="K382" i="6"/>
  <c r="K388" i="6"/>
  <c r="K396" i="6"/>
  <c r="K404" i="6"/>
  <c r="K350" i="6"/>
  <c r="K364" i="6"/>
  <c r="K367" i="6"/>
  <c r="K371" i="6"/>
  <c r="K385" i="6"/>
  <c r="K393" i="6"/>
  <c r="K339" i="6"/>
  <c r="K353" i="6"/>
  <c r="K374" i="6"/>
  <c r="K390" i="6"/>
  <c r="K315" i="6"/>
  <c r="K334" i="6"/>
  <c r="K342" i="6"/>
  <c r="K358" i="6"/>
  <c r="K377" i="6"/>
  <c r="K383" i="6"/>
  <c r="K387" i="6"/>
  <c r="K395" i="6"/>
  <c r="K403" i="6"/>
  <c r="K343" i="6"/>
  <c r="K351" i="6"/>
  <c r="K366" i="6"/>
  <c r="K380" i="6"/>
  <c r="K392" i="6"/>
  <c r="K399" i="6"/>
  <c r="K412" i="6"/>
  <c r="K323" i="6"/>
  <c r="K369" i="6"/>
  <c r="K397" i="6"/>
  <c r="K402" i="6"/>
  <c r="K409" i="6"/>
  <c r="K329" i="6"/>
  <c r="K361" i="6"/>
  <c r="K372" i="6"/>
  <c r="K386" i="6"/>
  <c r="K398" i="6"/>
  <c r="K414" i="6"/>
  <c r="K422" i="6"/>
  <c r="K430" i="6"/>
  <c r="K293" i="6"/>
  <c r="K375" i="6"/>
  <c r="K391" i="6"/>
  <c r="K401" i="6"/>
  <c r="K405" i="6"/>
  <c r="K411" i="6"/>
  <c r="K419" i="6"/>
  <c r="K427" i="6"/>
  <c r="K421" i="6"/>
  <c r="K425" i="6"/>
  <c r="K439" i="6"/>
  <c r="K447" i="6"/>
  <c r="K455" i="6"/>
  <c r="K356" i="6"/>
  <c r="K389" i="6"/>
  <c r="K424" i="6"/>
  <c r="K428" i="6"/>
  <c r="K436" i="6"/>
  <c r="K444" i="6"/>
  <c r="K452" i="6"/>
  <c r="K410" i="6"/>
  <c r="K417" i="6"/>
  <c r="K431" i="6"/>
  <c r="K441" i="6"/>
  <c r="K449" i="6"/>
  <c r="K457" i="6"/>
  <c r="K465" i="6"/>
  <c r="K473" i="6"/>
  <c r="K379" i="6"/>
  <c r="K415" i="6"/>
  <c r="K420" i="6"/>
  <c r="K434" i="6"/>
  <c r="K438" i="6"/>
  <c r="K446" i="6"/>
  <c r="K454" i="6"/>
  <c r="K462" i="6"/>
  <c r="K470" i="6"/>
  <c r="K478" i="6"/>
  <c r="K443" i="6"/>
  <c r="K459" i="6"/>
  <c r="K472" i="6"/>
  <c r="K476" i="6"/>
  <c r="K486" i="6"/>
  <c r="K494" i="6"/>
  <c r="K502" i="6"/>
  <c r="K510" i="6"/>
  <c r="K490" i="6"/>
  <c r="K498" i="6"/>
  <c r="K413" i="6"/>
  <c r="K448" i="6"/>
  <c r="K461" i="6"/>
  <c r="K475" i="6"/>
  <c r="K479" i="6"/>
  <c r="K483" i="6"/>
  <c r="K491" i="6"/>
  <c r="K499" i="6"/>
  <c r="K507" i="6"/>
  <c r="K515" i="6"/>
  <c r="K514" i="6"/>
  <c r="K384" i="6"/>
  <c r="K394" i="6"/>
  <c r="K407" i="6"/>
  <c r="K433" i="6"/>
  <c r="K437" i="6"/>
  <c r="K453" i="6"/>
  <c r="K464" i="6"/>
  <c r="K468" i="6"/>
  <c r="K488" i="6"/>
  <c r="K496" i="6"/>
  <c r="K504" i="6"/>
  <c r="K512" i="6"/>
  <c r="K416" i="6"/>
  <c r="K423" i="6"/>
  <c r="K460" i="6"/>
  <c r="K474" i="6"/>
  <c r="K506" i="6"/>
  <c r="K400" i="6"/>
  <c r="K442" i="6"/>
  <c r="K458" i="6"/>
  <c r="K467" i="6"/>
  <c r="K471" i="6"/>
  <c r="K485" i="6"/>
  <c r="K493" i="6"/>
  <c r="K501" i="6"/>
  <c r="K509" i="6"/>
  <c r="K264" i="6"/>
  <c r="K406" i="6"/>
  <c r="K435" i="6"/>
  <c r="K451" i="6"/>
  <c r="K482" i="6"/>
  <c r="K376" i="6"/>
  <c r="K429" i="6"/>
  <c r="K487" i="6"/>
  <c r="K463" i="6"/>
  <c r="K440" i="6"/>
  <c r="K450" i="6"/>
  <c r="K480" i="6"/>
  <c r="K503" i="6"/>
  <c r="K489" i="6"/>
  <c r="K466" i="6"/>
  <c r="K481" i="6"/>
  <c r="K513" i="6"/>
  <c r="K516" i="6"/>
  <c r="K497" i="6"/>
  <c r="K500" i="6"/>
  <c r="K426" i="6"/>
  <c r="K432" i="6"/>
  <c r="K469" i="6"/>
  <c r="K492" i="6"/>
  <c r="K484" i="6"/>
  <c r="K408" i="6"/>
  <c r="K456" i="6"/>
  <c r="K505" i="6"/>
  <c r="K508" i="6"/>
  <c r="K511" i="6"/>
  <c r="K445" i="6"/>
  <c r="K477" i="6"/>
  <c r="K495" i="6"/>
  <c r="K418" i="6"/>
  <c r="BS269" i="6"/>
  <c r="BS266" i="6"/>
  <c r="BS270" i="6"/>
  <c r="BS271" i="6"/>
  <c r="BS273" i="6"/>
  <c r="BS267" i="6"/>
  <c r="BS268" i="6"/>
  <c r="BS274" i="6"/>
  <c r="BS265" i="6"/>
  <c r="BS282" i="6"/>
  <c r="BS277" i="6"/>
  <c r="BS279" i="6"/>
  <c r="BS280" i="6"/>
  <c r="BS276" i="6"/>
  <c r="BS283" i="6"/>
  <c r="BS286" i="6"/>
  <c r="BS290" i="6"/>
  <c r="BS298" i="6"/>
  <c r="BS287" i="6"/>
  <c r="BS295" i="6"/>
  <c r="BS303" i="6"/>
  <c r="BS275" i="6"/>
  <c r="BS288" i="6"/>
  <c r="BS285" i="6"/>
  <c r="BS291" i="6"/>
  <c r="BS294" i="6"/>
  <c r="BS297" i="6"/>
  <c r="BS301" i="6"/>
  <c r="BS309" i="6"/>
  <c r="BS272" i="6"/>
  <c r="BS278" i="6"/>
  <c r="BS299" i="6"/>
  <c r="BS289" i="6"/>
  <c r="BS308" i="6"/>
  <c r="BS284" i="6"/>
  <c r="BS292" i="6"/>
  <c r="BS305" i="6"/>
  <c r="BS311" i="6"/>
  <c r="BS313" i="6"/>
  <c r="BS321" i="6"/>
  <c r="BS300" i="6"/>
  <c r="BS318" i="6"/>
  <c r="BS307" i="6"/>
  <c r="BS320" i="6"/>
  <c r="BS324" i="6"/>
  <c r="BS327" i="6"/>
  <c r="BS335" i="6"/>
  <c r="BS281" i="6"/>
  <c r="BS293" i="6"/>
  <c r="BS304" i="6"/>
  <c r="BS310" i="6"/>
  <c r="BS323" i="6"/>
  <c r="BS332" i="6"/>
  <c r="BS312" i="6"/>
  <c r="BS316" i="6"/>
  <c r="BS329" i="6"/>
  <c r="BS337" i="6"/>
  <c r="BS345" i="6"/>
  <c r="BS315" i="6"/>
  <c r="BS319" i="6"/>
  <c r="BS326" i="6"/>
  <c r="BS334" i="6"/>
  <c r="BS342" i="6"/>
  <c r="BS322" i="6"/>
  <c r="BS331" i="6"/>
  <c r="BS347" i="6"/>
  <c r="BS351" i="6"/>
  <c r="BS359" i="6"/>
  <c r="BS302" i="6"/>
  <c r="BS306" i="6"/>
  <c r="BS336" i="6"/>
  <c r="BS340" i="6"/>
  <c r="BS356" i="6"/>
  <c r="BS314" i="6"/>
  <c r="BS325" i="6"/>
  <c r="BS339" i="6"/>
  <c r="BS343" i="6"/>
  <c r="BS353" i="6"/>
  <c r="BS361" i="6"/>
  <c r="BS369" i="6"/>
  <c r="BS377" i="6"/>
  <c r="BS317" i="6"/>
  <c r="BS330" i="6"/>
  <c r="BS346" i="6"/>
  <c r="BS350" i="6"/>
  <c r="BS358" i="6"/>
  <c r="BS366" i="6"/>
  <c r="BS374" i="6"/>
  <c r="BS382" i="6"/>
  <c r="BS363" i="6"/>
  <c r="BS370" i="6"/>
  <c r="BS383" i="6"/>
  <c r="BS384" i="6"/>
  <c r="BS392" i="6"/>
  <c r="BS400" i="6"/>
  <c r="BS352" i="6"/>
  <c r="BS373" i="6"/>
  <c r="BS389" i="6"/>
  <c r="BS333" i="6"/>
  <c r="BS357" i="6"/>
  <c r="BS376" i="6"/>
  <c r="BS380" i="6"/>
  <c r="BS386" i="6"/>
  <c r="BS394" i="6"/>
  <c r="BS348" i="6"/>
  <c r="BS362" i="6"/>
  <c r="BS365" i="6"/>
  <c r="BS379" i="6"/>
  <c r="BS391" i="6"/>
  <c r="BS399" i="6"/>
  <c r="BS372" i="6"/>
  <c r="BS396" i="6"/>
  <c r="BS401" i="6"/>
  <c r="BS408" i="6"/>
  <c r="BS416" i="6"/>
  <c r="BS360" i="6"/>
  <c r="BS375" i="6"/>
  <c r="BS385" i="6"/>
  <c r="BS397" i="6"/>
  <c r="BS406" i="6"/>
  <c r="BS413" i="6"/>
  <c r="BS296" i="6"/>
  <c r="BS341" i="6"/>
  <c r="BS364" i="6"/>
  <c r="BS378" i="6"/>
  <c r="BS390" i="6"/>
  <c r="BS407" i="6"/>
  <c r="BS410" i="6"/>
  <c r="BS418" i="6"/>
  <c r="BS426" i="6"/>
  <c r="BS367" i="6"/>
  <c r="BS381" i="6"/>
  <c r="BS395" i="6"/>
  <c r="BS415" i="6"/>
  <c r="BS423" i="6"/>
  <c r="BS431" i="6"/>
  <c r="BS349" i="6"/>
  <c r="BS388" i="6"/>
  <c r="BS427" i="6"/>
  <c r="BS435" i="6"/>
  <c r="BS443" i="6"/>
  <c r="BS451" i="6"/>
  <c r="BS328" i="6"/>
  <c r="BS338" i="6"/>
  <c r="BS371" i="6"/>
  <c r="BS409" i="6"/>
  <c r="BS430" i="6"/>
  <c r="BS440" i="6"/>
  <c r="BS448" i="6"/>
  <c r="BS456" i="6"/>
  <c r="BS402" i="6"/>
  <c r="BS414" i="6"/>
  <c r="BS419" i="6"/>
  <c r="BS433" i="6"/>
  <c r="BS437" i="6"/>
  <c r="BS445" i="6"/>
  <c r="BS453" i="6"/>
  <c r="BS461" i="6"/>
  <c r="BS469" i="6"/>
  <c r="BS477" i="6"/>
  <c r="BS354" i="6"/>
  <c r="BS387" i="6"/>
  <c r="BS422" i="6"/>
  <c r="BS442" i="6"/>
  <c r="BS450" i="6"/>
  <c r="BS458" i="6"/>
  <c r="BS466" i="6"/>
  <c r="BS474" i="6"/>
  <c r="BS412" i="6"/>
  <c r="BS425" i="6"/>
  <c r="BS447" i="6"/>
  <c r="BS460" i="6"/>
  <c r="BS464" i="6"/>
  <c r="BS478" i="6"/>
  <c r="BS482" i="6"/>
  <c r="BS490" i="6"/>
  <c r="BS498" i="6"/>
  <c r="BS506" i="6"/>
  <c r="BS514" i="6"/>
  <c r="BS486" i="6"/>
  <c r="BS510" i="6"/>
  <c r="BS403" i="6"/>
  <c r="BS428" i="6"/>
  <c r="BS436" i="6"/>
  <c r="BS452" i="6"/>
  <c r="BS463" i="6"/>
  <c r="BS467" i="6"/>
  <c r="BS487" i="6"/>
  <c r="BS495" i="6"/>
  <c r="BS503" i="6"/>
  <c r="BS511" i="6"/>
  <c r="BS393" i="6"/>
  <c r="BS404" i="6"/>
  <c r="BS417" i="6"/>
  <c r="BS441" i="6"/>
  <c r="BS457" i="6"/>
  <c r="BS470" i="6"/>
  <c r="BS484" i="6"/>
  <c r="BS492" i="6"/>
  <c r="BS500" i="6"/>
  <c r="BS508" i="6"/>
  <c r="BS516" i="6"/>
  <c r="BS439" i="6"/>
  <c r="BS455" i="6"/>
  <c r="BS411" i="6"/>
  <c r="BS420" i="6"/>
  <c r="BS446" i="6"/>
  <c r="BS459" i="6"/>
  <c r="BS473" i="6"/>
  <c r="BS481" i="6"/>
  <c r="BS489" i="6"/>
  <c r="BS497" i="6"/>
  <c r="BS505" i="6"/>
  <c r="BS513" i="6"/>
  <c r="BS355" i="6"/>
  <c r="BS368" i="6"/>
  <c r="BS429" i="6"/>
  <c r="BS434" i="6"/>
  <c r="BS462" i="6"/>
  <c r="BS476" i="6"/>
  <c r="BS494" i="6"/>
  <c r="BS502" i="6"/>
  <c r="BS485" i="6"/>
  <c r="BS488" i="6"/>
  <c r="BS491" i="6"/>
  <c r="BS264" i="6"/>
  <c r="BS421" i="6"/>
  <c r="BS449" i="6"/>
  <c r="BS509" i="6"/>
  <c r="BS405" i="6"/>
  <c r="BS496" i="6"/>
  <c r="BS480" i="6"/>
  <c r="BS483" i="6"/>
  <c r="BS515" i="6"/>
  <c r="BS504" i="6"/>
  <c r="BS493" i="6"/>
  <c r="BS471" i="6"/>
  <c r="BS479" i="6"/>
  <c r="BS424" i="6"/>
  <c r="BS444" i="6"/>
  <c r="BS512" i="6"/>
  <c r="BS501" i="6"/>
  <c r="BS398" i="6"/>
  <c r="BS468" i="6"/>
  <c r="BS475" i="6"/>
  <c r="BS432" i="6"/>
  <c r="BS465" i="6"/>
  <c r="BS472" i="6"/>
  <c r="BS344" i="6"/>
  <c r="BS454" i="6"/>
  <c r="BS438" i="6"/>
  <c r="BS507" i="6"/>
  <c r="BS499" i="6"/>
  <c r="CB267" i="6"/>
  <c r="CB269" i="6"/>
  <c r="CB268" i="6"/>
  <c r="CB273" i="6"/>
  <c r="CB276" i="6"/>
  <c r="CB274" i="6"/>
  <c r="CB272" i="6"/>
  <c r="CB285" i="6"/>
  <c r="CB265" i="6"/>
  <c r="CB277" i="6"/>
  <c r="CB282" i="6"/>
  <c r="CB279" i="6"/>
  <c r="CB283" i="6"/>
  <c r="CB275" i="6"/>
  <c r="CB286" i="6"/>
  <c r="CB271" i="6"/>
  <c r="CB293" i="6"/>
  <c r="CB301" i="6"/>
  <c r="CB278" i="6"/>
  <c r="CB290" i="6"/>
  <c r="CB298" i="6"/>
  <c r="CB281" i="6"/>
  <c r="CB287" i="6"/>
  <c r="CB291" i="6"/>
  <c r="CB266" i="6"/>
  <c r="CB284" i="6"/>
  <c r="CB294" i="6"/>
  <c r="CB297" i="6"/>
  <c r="CB307" i="6"/>
  <c r="CB300" i="6"/>
  <c r="CB304" i="6"/>
  <c r="CB270" i="6"/>
  <c r="CB308" i="6"/>
  <c r="CB296" i="6"/>
  <c r="CB302" i="6"/>
  <c r="CB316" i="6"/>
  <c r="CB324" i="6"/>
  <c r="CB288" i="6"/>
  <c r="CB313" i="6"/>
  <c r="CB321" i="6"/>
  <c r="CB306" i="6"/>
  <c r="CB311" i="6"/>
  <c r="CB323" i="6"/>
  <c r="CB330" i="6"/>
  <c r="CB292" i="6"/>
  <c r="CB299" i="6"/>
  <c r="CB303" i="6"/>
  <c r="CB309" i="6"/>
  <c r="CB312" i="6"/>
  <c r="CB327" i="6"/>
  <c r="CB335" i="6"/>
  <c r="CB315" i="6"/>
  <c r="CB319" i="6"/>
  <c r="CB332" i="6"/>
  <c r="CB340" i="6"/>
  <c r="CB348" i="6"/>
  <c r="CB280" i="6"/>
  <c r="CB318" i="6"/>
  <c r="CB322" i="6"/>
  <c r="CB329" i="6"/>
  <c r="CB337" i="6"/>
  <c r="CB345" i="6"/>
  <c r="CB289" i="6"/>
  <c r="CB310" i="6"/>
  <c r="CB334" i="6"/>
  <c r="CB336" i="6"/>
  <c r="CB354" i="6"/>
  <c r="CB362" i="6"/>
  <c r="CB339" i="6"/>
  <c r="CB343" i="6"/>
  <c r="CB351" i="6"/>
  <c r="CB359" i="6"/>
  <c r="CB328" i="6"/>
  <c r="CB342" i="6"/>
  <c r="CB346" i="6"/>
  <c r="CB356" i="6"/>
  <c r="CB364" i="6"/>
  <c r="CB372" i="6"/>
  <c r="CB380" i="6"/>
  <c r="CB305" i="6"/>
  <c r="CB333" i="6"/>
  <c r="CB349" i="6"/>
  <c r="CB353" i="6"/>
  <c r="CB361" i="6"/>
  <c r="CB369" i="6"/>
  <c r="CB377" i="6"/>
  <c r="CB326" i="6"/>
  <c r="CB338" i="6"/>
  <c r="CB350" i="6"/>
  <c r="CB373" i="6"/>
  <c r="CB383" i="6"/>
  <c r="CB387" i="6"/>
  <c r="CB395" i="6"/>
  <c r="CB403" i="6"/>
  <c r="CB341" i="6"/>
  <c r="CB355" i="6"/>
  <c r="CB376" i="6"/>
  <c r="CB384" i="6"/>
  <c r="CB392" i="6"/>
  <c r="CB295" i="6"/>
  <c r="CB317" i="6"/>
  <c r="CB344" i="6"/>
  <c r="CB360" i="6"/>
  <c r="CB365" i="6"/>
  <c r="CB379" i="6"/>
  <c r="CB389" i="6"/>
  <c r="CB325" i="6"/>
  <c r="CB347" i="6"/>
  <c r="CB368" i="6"/>
  <c r="CB386" i="6"/>
  <c r="CB394" i="6"/>
  <c r="CB402" i="6"/>
  <c r="CB371" i="6"/>
  <c r="CB397" i="6"/>
  <c r="CB411" i="6"/>
  <c r="CB314" i="6"/>
  <c r="CB331" i="6"/>
  <c r="CB363" i="6"/>
  <c r="CB374" i="6"/>
  <c r="CB388" i="6"/>
  <c r="CB400" i="6"/>
  <c r="CB406" i="6"/>
  <c r="CB408" i="6"/>
  <c r="CB352" i="6"/>
  <c r="CB382" i="6"/>
  <c r="CB393" i="6"/>
  <c r="CB407" i="6"/>
  <c r="CB413" i="6"/>
  <c r="CB421" i="6"/>
  <c r="CB429" i="6"/>
  <c r="CB366" i="6"/>
  <c r="CB399" i="6"/>
  <c r="CB410" i="6"/>
  <c r="CB418" i="6"/>
  <c r="CB426" i="6"/>
  <c r="CB358" i="6"/>
  <c r="CB375" i="6"/>
  <c r="CB391" i="6"/>
  <c r="CB416" i="6"/>
  <c r="CB430" i="6"/>
  <c r="CB438" i="6"/>
  <c r="CB446" i="6"/>
  <c r="CB454" i="6"/>
  <c r="CB412" i="6"/>
  <c r="CB419" i="6"/>
  <c r="CB433" i="6"/>
  <c r="CB435" i="6"/>
  <c r="CB443" i="6"/>
  <c r="CB451" i="6"/>
  <c r="CB381" i="6"/>
  <c r="CB398" i="6"/>
  <c r="CB404" i="6"/>
  <c r="CB422" i="6"/>
  <c r="CB440" i="6"/>
  <c r="CB448" i="6"/>
  <c r="CB456" i="6"/>
  <c r="CB464" i="6"/>
  <c r="CB472" i="6"/>
  <c r="CB320" i="6"/>
  <c r="CB370" i="6"/>
  <c r="CB390" i="6"/>
  <c r="CB401" i="6"/>
  <c r="CB405" i="6"/>
  <c r="CB425" i="6"/>
  <c r="CB437" i="6"/>
  <c r="CB445" i="6"/>
  <c r="CB453" i="6"/>
  <c r="CB461" i="6"/>
  <c r="CB469" i="6"/>
  <c r="CB477" i="6"/>
  <c r="CB432" i="6"/>
  <c r="CB434" i="6"/>
  <c r="CB450" i="6"/>
  <c r="CB463" i="6"/>
  <c r="CB467" i="6"/>
  <c r="CB485" i="6"/>
  <c r="CB493" i="6"/>
  <c r="CB501" i="6"/>
  <c r="CB509" i="6"/>
  <c r="CB264" i="6"/>
  <c r="CB396" i="6"/>
  <c r="CB439" i="6"/>
  <c r="CB455" i="6"/>
  <c r="CB466" i="6"/>
  <c r="CB470" i="6"/>
  <c r="CB482" i="6"/>
  <c r="CB490" i="6"/>
  <c r="CB498" i="6"/>
  <c r="CB506" i="6"/>
  <c r="CB514" i="6"/>
  <c r="CB489" i="6"/>
  <c r="CB513" i="6"/>
  <c r="CB378" i="6"/>
  <c r="CB385" i="6"/>
  <c r="CB424" i="6"/>
  <c r="CB444" i="6"/>
  <c r="CB459" i="6"/>
  <c r="CB473" i="6"/>
  <c r="CB487" i="6"/>
  <c r="CB495" i="6"/>
  <c r="CB503" i="6"/>
  <c r="CB511" i="6"/>
  <c r="CB442" i="6"/>
  <c r="CB458" i="6"/>
  <c r="CB465" i="6"/>
  <c r="CB479" i="6"/>
  <c r="CB481" i="6"/>
  <c r="CB357" i="6"/>
  <c r="CB414" i="6"/>
  <c r="CB427" i="6"/>
  <c r="CB449" i="6"/>
  <c r="CB462" i="6"/>
  <c r="CB476" i="6"/>
  <c r="CB484" i="6"/>
  <c r="CB492" i="6"/>
  <c r="CB500" i="6"/>
  <c r="CB508" i="6"/>
  <c r="CB516" i="6"/>
  <c r="CB428" i="6"/>
  <c r="CB497" i="6"/>
  <c r="CB505" i="6"/>
  <c r="CB431" i="6"/>
  <c r="CB460" i="6"/>
  <c r="CB468" i="6"/>
  <c r="CB483" i="6"/>
  <c r="CB486" i="6"/>
  <c r="CB415" i="6"/>
  <c r="CB417" i="6"/>
  <c r="CB420" i="6"/>
  <c r="CB423" i="6"/>
  <c r="CB512" i="6"/>
  <c r="CB515" i="6"/>
  <c r="CB504" i="6"/>
  <c r="CB507" i="6"/>
  <c r="CB441" i="6"/>
  <c r="CB471" i="6"/>
  <c r="CB491" i="6"/>
  <c r="CB480" i="6"/>
  <c r="CB510" i="6"/>
  <c r="CB488" i="6"/>
  <c r="CB475" i="6"/>
  <c r="CB447" i="6"/>
  <c r="CB452" i="6"/>
  <c r="CB457" i="6"/>
  <c r="CB474" i="6"/>
  <c r="CB496" i="6"/>
  <c r="CB499" i="6"/>
  <c r="CB502" i="6"/>
  <c r="CB409" i="6"/>
  <c r="CB436" i="6"/>
  <c r="CB478" i="6"/>
  <c r="CB494" i="6"/>
  <c r="CB367" i="6"/>
  <c r="T271" i="6"/>
  <c r="T268" i="6"/>
  <c r="T265" i="6"/>
  <c r="T266" i="6"/>
  <c r="T267" i="6"/>
  <c r="T274" i="6"/>
  <c r="T277" i="6"/>
  <c r="T272" i="6"/>
  <c r="T270" i="6"/>
  <c r="T281" i="6"/>
  <c r="T273" i="6"/>
  <c r="T286" i="6"/>
  <c r="T287" i="6"/>
  <c r="T275" i="6"/>
  <c r="T280" i="6"/>
  <c r="T284" i="6"/>
  <c r="T278" i="6"/>
  <c r="T283" i="6"/>
  <c r="T289" i="6"/>
  <c r="T297" i="6"/>
  <c r="T305" i="6"/>
  <c r="T294" i="6"/>
  <c r="T302" i="6"/>
  <c r="T288" i="6"/>
  <c r="T292" i="6"/>
  <c r="T269" i="6"/>
  <c r="T291" i="6"/>
  <c r="T295" i="6"/>
  <c r="T311" i="6"/>
  <c r="T298" i="6"/>
  <c r="T308" i="6"/>
  <c r="T279" i="6"/>
  <c r="T299" i="6"/>
  <c r="T300" i="6"/>
  <c r="T304" i="6"/>
  <c r="T306" i="6"/>
  <c r="T290" i="6"/>
  <c r="T309" i="6"/>
  <c r="T285" i="6"/>
  <c r="T293" i="6"/>
  <c r="T312" i="6"/>
  <c r="T320" i="6"/>
  <c r="T296" i="6"/>
  <c r="T301" i="6"/>
  <c r="T317" i="6"/>
  <c r="T321" i="6"/>
  <c r="T326" i="6"/>
  <c r="T334" i="6"/>
  <c r="T303" i="6"/>
  <c r="T324" i="6"/>
  <c r="T331" i="6"/>
  <c r="T313" i="6"/>
  <c r="T328" i="6"/>
  <c r="T336" i="6"/>
  <c r="T344" i="6"/>
  <c r="T316" i="6"/>
  <c r="T325" i="6"/>
  <c r="T333" i="6"/>
  <c r="T341" i="6"/>
  <c r="T349" i="6"/>
  <c r="T323" i="6"/>
  <c r="T330" i="6"/>
  <c r="T348" i="6"/>
  <c r="T358" i="6"/>
  <c r="T307" i="6"/>
  <c r="T335" i="6"/>
  <c r="T337" i="6"/>
  <c r="T355" i="6"/>
  <c r="T363" i="6"/>
  <c r="T315" i="6"/>
  <c r="T340" i="6"/>
  <c r="T352" i="6"/>
  <c r="T360" i="6"/>
  <c r="T368" i="6"/>
  <c r="T376" i="6"/>
  <c r="T318" i="6"/>
  <c r="T329" i="6"/>
  <c r="T343" i="6"/>
  <c r="T347" i="6"/>
  <c r="T357" i="6"/>
  <c r="T365" i="6"/>
  <c r="T373" i="6"/>
  <c r="T381" i="6"/>
  <c r="T319" i="6"/>
  <c r="T346" i="6"/>
  <c r="T362" i="6"/>
  <c r="T367" i="6"/>
  <c r="T371" i="6"/>
  <c r="T391" i="6"/>
  <c r="T399" i="6"/>
  <c r="T407" i="6"/>
  <c r="T282" i="6"/>
  <c r="T327" i="6"/>
  <c r="T351" i="6"/>
  <c r="T370" i="6"/>
  <c r="T374" i="6"/>
  <c r="T388" i="6"/>
  <c r="T396" i="6"/>
  <c r="T310" i="6"/>
  <c r="T338" i="6"/>
  <c r="T356" i="6"/>
  <c r="T377" i="6"/>
  <c r="T385" i="6"/>
  <c r="T393" i="6"/>
  <c r="T314" i="6"/>
  <c r="T361" i="6"/>
  <c r="T366" i="6"/>
  <c r="T380" i="6"/>
  <c r="T383" i="6"/>
  <c r="T390" i="6"/>
  <c r="T398" i="6"/>
  <c r="T276" i="6"/>
  <c r="T354" i="6"/>
  <c r="T395" i="6"/>
  <c r="T402" i="6"/>
  <c r="T415" i="6"/>
  <c r="T322" i="6"/>
  <c r="T384" i="6"/>
  <c r="T404" i="6"/>
  <c r="T412" i="6"/>
  <c r="T342" i="6"/>
  <c r="T364" i="6"/>
  <c r="T379" i="6"/>
  <c r="T389" i="6"/>
  <c r="T401" i="6"/>
  <c r="T409" i="6"/>
  <c r="T417" i="6"/>
  <c r="T425" i="6"/>
  <c r="T433" i="6"/>
  <c r="T353" i="6"/>
  <c r="T382" i="6"/>
  <c r="T394" i="6"/>
  <c r="T405" i="6"/>
  <c r="T414" i="6"/>
  <c r="T422" i="6"/>
  <c r="T430" i="6"/>
  <c r="T400" i="6"/>
  <c r="T406" i="6"/>
  <c r="T424" i="6"/>
  <c r="T428" i="6"/>
  <c r="T442" i="6"/>
  <c r="T450" i="6"/>
  <c r="T458" i="6"/>
  <c r="T372" i="6"/>
  <c r="T392" i="6"/>
  <c r="T403" i="6"/>
  <c r="T427" i="6"/>
  <c r="T431" i="6"/>
  <c r="T439" i="6"/>
  <c r="T447" i="6"/>
  <c r="T455" i="6"/>
  <c r="T413" i="6"/>
  <c r="T416" i="6"/>
  <c r="T420" i="6"/>
  <c r="T434" i="6"/>
  <c r="T436" i="6"/>
  <c r="T444" i="6"/>
  <c r="T452" i="6"/>
  <c r="T460" i="6"/>
  <c r="T468" i="6"/>
  <c r="T476" i="6"/>
  <c r="T345" i="6"/>
  <c r="T378" i="6"/>
  <c r="T408" i="6"/>
  <c r="T419" i="6"/>
  <c r="T423" i="6"/>
  <c r="T441" i="6"/>
  <c r="T449" i="6"/>
  <c r="T457" i="6"/>
  <c r="T465" i="6"/>
  <c r="T473" i="6"/>
  <c r="T369" i="6"/>
  <c r="T387" i="6"/>
  <c r="T426" i="6"/>
  <c r="T446" i="6"/>
  <c r="T461" i="6"/>
  <c r="T475" i="6"/>
  <c r="T479" i="6"/>
  <c r="T481" i="6"/>
  <c r="T489" i="6"/>
  <c r="T497" i="6"/>
  <c r="T505" i="6"/>
  <c r="T513" i="6"/>
  <c r="T493" i="6"/>
  <c r="T501" i="6"/>
  <c r="T339" i="6"/>
  <c r="T359" i="6"/>
  <c r="T429" i="6"/>
  <c r="T435" i="6"/>
  <c r="T451" i="6"/>
  <c r="T464" i="6"/>
  <c r="T478" i="6"/>
  <c r="T486" i="6"/>
  <c r="T494" i="6"/>
  <c r="T502" i="6"/>
  <c r="T510" i="6"/>
  <c r="T418" i="6"/>
  <c r="T432" i="6"/>
  <c r="T440" i="6"/>
  <c r="T456" i="6"/>
  <c r="T467" i="6"/>
  <c r="T471" i="6"/>
  <c r="T483" i="6"/>
  <c r="T491" i="6"/>
  <c r="T499" i="6"/>
  <c r="T507" i="6"/>
  <c r="T515" i="6"/>
  <c r="T509" i="6"/>
  <c r="T421" i="6"/>
  <c r="T445" i="6"/>
  <c r="T470" i="6"/>
  <c r="T474" i="6"/>
  <c r="T488" i="6"/>
  <c r="T496" i="6"/>
  <c r="T504" i="6"/>
  <c r="T512" i="6"/>
  <c r="T350" i="6"/>
  <c r="T411" i="6"/>
  <c r="T438" i="6"/>
  <c r="T454" i="6"/>
  <c r="T463" i="6"/>
  <c r="T477" i="6"/>
  <c r="T485" i="6"/>
  <c r="T264" i="6"/>
  <c r="T332" i="6"/>
  <c r="T397" i="6"/>
  <c r="T466" i="6"/>
  <c r="T500" i="6"/>
  <c r="T503" i="6"/>
  <c r="T506" i="6"/>
  <c r="T516" i="6"/>
  <c r="T386" i="6"/>
  <c r="T459" i="6"/>
  <c r="T492" i="6"/>
  <c r="T495" i="6"/>
  <c r="T498" i="6"/>
  <c r="T508" i="6"/>
  <c r="T511" i="6"/>
  <c r="T443" i="6"/>
  <c r="T448" i="6"/>
  <c r="T453" i="6"/>
  <c r="T484" i="6"/>
  <c r="T487" i="6"/>
  <c r="T490" i="6"/>
  <c r="T480" i="6"/>
  <c r="T469" i="6"/>
  <c r="T437" i="6"/>
  <c r="T482" i="6"/>
  <c r="T375" i="6"/>
  <c r="T472" i="6"/>
  <c r="T410" i="6"/>
  <c r="T462" i="6"/>
  <c r="T514" i="6"/>
  <c r="AU269" i="6"/>
  <c r="AU266" i="6"/>
  <c r="AU270" i="6"/>
  <c r="AU273" i="6"/>
  <c r="AU271" i="6"/>
  <c r="AU265" i="6"/>
  <c r="AU282" i="6"/>
  <c r="AU268" i="6"/>
  <c r="AU272" i="6"/>
  <c r="AU276" i="6"/>
  <c r="AU279" i="6"/>
  <c r="AU277" i="6"/>
  <c r="AU286" i="6"/>
  <c r="AU290" i="6"/>
  <c r="AU298" i="6"/>
  <c r="AU278" i="6"/>
  <c r="AU281" i="6"/>
  <c r="AU285" i="6"/>
  <c r="AU287" i="6"/>
  <c r="AU295" i="6"/>
  <c r="AU303" i="6"/>
  <c r="AU294" i="6"/>
  <c r="AU297" i="6"/>
  <c r="AU274" i="6"/>
  <c r="AU275" i="6"/>
  <c r="AU280" i="6"/>
  <c r="AU300" i="6"/>
  <c r="AU304" i="6"/>
  <c r="AU312" i="6"/>
  <c r="AU283" i="6"/>
  <c r="AU289" i="6"/>
  <c r="AU293" i="6"/>
  <c r="AU309" i="6"/>
  <c r="AU292" i="6"/>
  <c r="AU307" i="6"/>
  <c r="AU313" i="6"/>
  <c r="AU321" i="6"/>
  <c r="AU306" i="6"/>
  <c r="AU310" i="6"/>
  <c r="AU318" i="6"/>
  <c r="AU284" i="6"/>
  <c r="AU296" i="6"/>
  <c r="AU299" i="6"/>
  <c r="AU316" i="6"/>
  <c r="AU327" i="6"/>
  <c r="AU335" i="6"/>
  <c r="AU315" i="6"/>
  <c r="AU319" i="6"/>
  <c r="AU332" i="6"/>
  <c r="AU322" i="6"/>
  <c r="AU329" i="6"/>
  <c r="AU337" i="6"/>
  <c r="AU345" i="6"/>
  <c r="AU267" i="6"/>
  <c r="AU291" i="6"/>
  <c r="AU308" i="6"/>
  <c r="AU326" i="6"/>
  <c r="AU334" i="6"/>
  <c r="AU342" i="6"/>
  <c r="AU301" i="6"/>
  <c r="AU314" i="6"/>
  <c r="AU339" i="6"/>
  <c r="AU343" i="6"/>
  <c r="AU351" i="6"/>
  <c r="AU359" i="6"/>
  <c r="AU311" i="6"/>
  <c r="AU317" i="6"/>
  <c r="AU328" i="6"/>
  <c r="AU346" i="6"/>
  <c r="AU356" i="6"/>
  <c r="AU320" i="6"/>
  <c r="AU333" i="6"/>
  <c r="AU349" i="6"/>
  <c r="AU353" i="6"/>
  <c r="AU361" i="6"/>
  <c r="AU369" i="6"/>
  <c r="AU377" i="6"/>
  <c r="AU323" i="6"/>
  <c r="AU338" i="6"/>
  <c r="AU350" i="6"/>
  <c r="AU358" i="6"/>
  <c r="AU366" i="6"/>
  <c r="AU374" i="6"/>
  <c r="AU382" i="6"/>
  <c r="AU305" i="6"/>
  <c r="AU355" i="6"/>
  <c r="AU376" i="6"/>
  <c r="AU380" i="6"/>
  <c r="AU384" i="6"/>
  <c r="AU392" i="6"/>
  <c r="AU400" i="6"/>
  <c r="AU336" i="6"/>
  <c r="AU348" i="6"/>
  <c r="AU360" i="6"/>
  <c r="AU365" i="6"/>
  <c r="AU379" i="6"/>
  <c r="AU389" i="6"/>
  <c r="AU397" i="6"/>
  <c r="AU288" i="6"/>
  <c r="AU325" i="6"/>
  <c r="AU368" i="6"/>
  <c r="AU372" i="6"/>
  <c r="AU386" i="6"/>
  <c r="AU394" i="6"/>
  <c r="AU340" i="6"/>
  <c r="AU354" i="6"/>
  <c r="AU371" i="6"/>
  <c r="AU375" i="6"/>
  <c r="AU383" i="6"/>
  <c r="AU391" i="6"/>
  <c r="AU399" i="6"/>
  <c r="AU363" i="6"/>
  <c r="AU364" i="6"/>
  <c r="AU378" i="6"/>
  <c r="AU388" i="6"/>
  <c r="AU408" i="6"/>
  <c r="AU416" i="6"/>
  <c r="AU344" i="6"/>
  <c r="AU352" i="6"/>
  <c r="AU367" i="6"/>
  <c r="AU381" i="6"/>
  <c r="AU393" i="6"/>
  <c r="AU404" i="6"/>
  <c r="AU413" i="6"/>
  <c r="AU370" i="6"/>
  <c r="AU403" i="6"/>
  <c r="AU405" i="6"/>
  <c r="AU410" i="6"/>
  <c r="AU418" i="6"/>
  <c r="AU426" i="6"/>
  <c r="AU302" i="6"/>
  <c r="AU330" i="6"/>
  <c r="AU362" i="6"/>
  <c r="AU373" i="6"/>
  <c r="AU387" i="6"/>
  <c r="AU415" i="6"/>
  <c r="AU423" i="6"/>
  <c r="AU431" i="6"/>
  <c r="AU331" i="6"/>
  <c r="AU341" i="6"/>
  <c r="AU402" i="6"/>
  <c r="AU412" i="6"/>
  <c r="AU419" i="6"/>
  <c r="AU433" i="6"/>
  <c r="AU435" i="6"/>
  <c r="AU443" i="6"/>
  <c r="AU451" i="6"/>
  <c r="AU422" i="6"/>
  <c r="AU440" i="6"/>
  <c r="AU448" i="6"/>
  <c r="AU456" i="6"/>
  <c r="AU324" i="6"/>
  <c r="AU357" i="6"/>
  <c r="AU390" i="6"/>
  <c r="AU425" i="6"/>
  <c r="AU429" i="6"/>
  <c r="AU437" i="6"/>
  <c r="AU445" i="6"/>
  <c r="AU453" i="6"/>
  <c r="AU461" i="6"/>
  <c r="AU469" i="6"/>
  <c r="AU477" i="6"/>
  <c r="AU411" i="6"/>
  <c r="AU428" i="6"/>
  <c r="AU432" i="6"/>
  <c r="AU442" i="6"/>
  <c r="AU450" i="6"/>
  <c r="AU458" i="6"/>
  <c r="AU466" i="6"/>
  <c r="AU474" i="6"/>
  <c r="AU417" i="6"/>
  <c r="AU439" i="6"/>
  <c r="AU455" i="6"/>
  <c r="AU470" i="6"/>
  <c r="AU482" i="6"/>
  <c r="AU490" i="6"/>
  <c r="AU498" i="6"/>
  <c r="AU506" i="6"/>
  <c r="AU514" i="6"/>
  <c r="AU502" i="6"/>
  <c r="AU398" i="6"/>
  <c r="AU407" i="6"/>
  <c r="AU420" i="6"/>
  <c r="AU444" i="6"/>
  <c r="AU459" i="6"/>
  <c r="AU473" i="6"/>
  <c r="AU487" i="6"/>
  <c r="AU495" i="6"/>
  <c r="AU503" i="6"/>
  <c r="AU511" i="6"/>
  <c r="AU510" i="6"/>
  <c r="AU385" i="6"/>
  <c r="AU409" i="6"/>
  <c r="AU347" i="6"/>
  <c r="AU414" i="6"/>
  <c r="AU449" i="6"/>
  <c r="AU462" i="6"/>
  <c r="AU476" i="6"/>
  <c r="AU484" i="6"/>
  <c r="AU492" i="6"/>
  <c r="AU500" i="6"/>
  <c r="AU508" i="6"/>
  <c r="AU516" i="6"/>
  <c r="AU396" i="6"/>
  <c r="AU406" i="6"/>
  <c r="AU447" i="6"/>
  <c r="AU472" i="6"/>
  <c r="AU486" i="6"/>
  <c r="AU494" i="6"/>
  <c r="AU395" i="6"/>
  <c r="AU434" i="6"/>
  <c r="AU438" i="6"/>
  <c r="AU454" i="6"/>
  <c r="AU465" i="6"/>
  <c r="AU479" i="6"/>
  <c r="AU481" i="6"/>
  <c r="AU489" i="6"/>
  <c r="AU497" i="6"/>
  <c r="AU505" i="6"/>
  <c r="AU513" i="6"/>
  <c r="AU421" i="6"/>
  <c r="AU468" i="6"/>
  <c r="AU424" i="6"/>
  <c r="AU427" i="6"/>
  <c r="AU430" i="6"/>
  <c r="AU480" i="6"/>
  <c r="AU483" i="6"/>
  <c r="AU441" i="6"/>
  <c r="AU501" i="6"/>
  <c r="AU507" i="6"/>
  <c r="AU485" i="6"/>
  <c r="AU488" i="6"/>
  <c r="AU491" i="6"/>
  <c r="AU464" i="6"/>
  <c r="AU509" i="6"/>
  <c r="AU515" i="6"/>
  <c r="AU496" i="6"/>
  <c r="AU401" i="6"/>
  <c r="AU463" i="6"/>
  <c r="AU471" i="6"/>
  <c r="AU478" i="6"/>
  <c r="AU436" i="6"/>
  <c r="AU446" i="6"/>
  <c r="AU499" i="6"/>
  <c r="AU460" i="6"/>
  <c r="AU467" i="6"/>
  <c r="AU475" i="6"/>
  <c r="AU264" i="6"/>
  <c r="AU452" i="6"/>
  <c r="AU457" i="6"/>
  <c r="AU512" i="6"/>
  <c r="AU504" i="6"/>
  <c r="AU493" i="6"/>
  <c r="BG268" i="6"/>
  <c r="BG265" i="6"/>
  <c r="BG270" i="6"/>
  <c r="BG266" i="6"/>
  <c r="BG272" i="6"/>
  <c r="BG267" i="6"/>
  <c r="BG277" i="6"/>
  <c r="BG269" i="6"/>
  <c r="BG271" i="6"/>
  <c r="BG278" i="6"/>
  <c r="BG286" i="6"/>
  <c r="BG276" i="6"/>
  <c r="BG283" i="6"/>
  <c r="BG273" i="6"/>
  <c r="BG279" i="6"/>
  <c r="BG282" i="6"/>
  <c r="BG294" i="6"/>
  <c r="BG302" i="6"/>
  <c r="BG285" i="6"/>
  <c r="BG291" i="6"/>
  <c r="BG299" i="6"/>
  <c r="BG298" i="6"/>
  <c r="BG281" i="6"/>
  <c r="BG284" i="6"/>
  <c r="BG290" i="6"/>
  <c r="BG304" i="6"/>
  <c r="BG308" i="6"/>
  <c r="BG287" i="6"/>
  <c r="BG293" i="6"/>
  <c r="BG297" i="6"/>
  <c r="BG274" i="6"/>
  <c r="BG296" i="6"/>
  <c r="BG280" i="6"/>
  <c r="BG288" i="6"/>
  <c r="BG301" i="6"/>
  <c r="BG303" i="6"/>
  <c r="BG307" i="6"/>
  <c r="BG311" i="6"/>
  <c r="BG317" i="6"/>
  <c r="BG310" i="6"/>
  <c r="BG314" i="6"/>
  <c r="BG322" i="6"/>
  <c r="BG305" i="6"/>
  <c r="BG316" i="6"/>
  <c r="BG320" i="6"/>
  <c r="BG331" i="6"/>
  <c r="BG289" i="6"/>
  <c r="BG306" i="6"/>
  <c r="BG319" i="6"/>
  <c r="BG323" i="6"/>
  <c r="BG328" i="6"/>
  <c r="BG336" i="6"/>
  <c r="BG275" i="6"/>
  <c r="BG309" i="6"/>
  <c r="BG312" i="6"/>
  <c r="BG325" i="6"/>
  <c r="BG333" i="6"/>
  <c r="BG341" i="6"/>
  <c r="BG349" i="6"/>
  <c r="BG295" i="6"/>
  <c r="BG315" i="6"/>
  <c r="BG330" i="6"/>
  <c r="BG338" i="6"/>
  <c r="BG346" i="6"/>
  <c r="BG318" i="6"/>
  <c r="BG327" i="6"/>
  <c r="BG343" i="6"/>
  <c r="BG347" i="6"/>
  <c r="BG355" i="6"/>
  <c r="BG363" i="6"/>
  <c r="BG321" i="6"/>
  <c r="BG332" i="6"/>
  <c r="BG352" i="6"/>
  <c r="BG360" i="6"/>
  <c r="BG292" i="6"/>
  <c r="BG324" i="6"/>
  <c r="BG339" i="6"/>
  <c r="BG357" i="6"/>
  <c r="BG365" i="6"/>
  <c r="BG373" i="6"/>
  <c r="BG381" i="6"/>
  <c r="BG313" i="6"/>
  <c r="BG326" i="6"/>
  <c r="BG342" i="6"/>
  <c r="BG354" i="6"/>
  <c r="BG362" i="6"/>
  <c r="BG370" i="6"/>
  <c r="BG378" i="6"/>
  <c r="BG359" i="6"/>
  <c r="BG366" i="6"/>
  <c r="BG380" i="6"/>
  <c r="BG388" i="6"/>
  <c r="BG396" i="6"/>
  <c r="BG404" i="6"/>
  <c r="BG300" i="6"/>
  <c r="BG369" i="6"/>
  <c r="BG385" i="6"/>
  <c r="BG393" i="6"/>
  <c r="BG329" i="6"/>
  <c r="BG353" i="6"/>
  <c r="BG372" i="6"/>
  <c r="BG376" i="6"/>
  <c r="BG390" i="6"/>
  <c r="BG344" i="6"/>
  <c r="BG358" i="6"/>
  <c r="BG375" i="6"/>
  <c r="BG379" i="6"/>
  <c r="BG387" i="6"/>
  <c r="BG395" i="6"/>
  <c r="BG403" i="6"/>
  <c r="BG368" i="6"/>
  <c r="BG382" i="6"/>
  <c r="BG392" i="6"/>
  <c r="BG407" i="6"/>
  <c r="BG412" i="6"/>
  <c r="BG348" i="6"/>
  <c r="BG356" i="6"/>
  <c r="BG371" i="6"/>
  <c r="BG383" i="6"/>
  <c r="BG397" i="6"/>
  <c r="BG400" i="6"/>
  <c r="BG409" i="6"/>
  <c r="BG337" i="6"/>
  <c r="BG374" i="6"/>
  <c r="BG386" i="6"/>
  <c r="BG414" i="6"/>
  <c r="BG422" i="6"/>
  <c r="BG430" i="6"/>
  <c r="BG334" i="6"/>
  <c r="BG377" i="6"/>
  <c r="BG391" i="6"/>
  <c r="BG411" i="6"/>
  <c r="BG419" i="6"/>
  <c r="BG427" i="6"/>
  <c r="BG335" i="6"/>
  <c r="BG384" i="6"/>
  <c r="BG423" i="6"/>
  <c r="BG439" i="6"/>
  <c r="BG447" i="6"/>
  <c r="BG455" i="6"/>
  <c r="BG367" i="6"/>
  <c r="BG405" i="6"/>
  <c r="BG415" i="6"/>
  <c r="BG426" i="6"/>
  <c r="BG434" i="6"/>
  <c r="BG436" i="6"/>
  <c r="BG444" i="6"/>
  <c r="BG452" i="6"/>
  <c r="BG361" i="6"/>
  <c r="BG394" i="6"/>
  <c r="BG398" i="6"/>
  <c r="BG406" i="6"/>
  <c r="BG410" i="6"/>
  <c r="BG416" i="6"/>
  <c r="BG429" i="6"/>
  <c r="BG433" i="6"/>
  <c r="BG441" i="6"/>
  <c r="BG449" i="6"/>
  <c r="BG457" i="6"/>
  <c r="BG465" i="6"/>
  <c r="BG473" i="6"/>
  <c r="BG340" i="6"/>
  <c r="BG350" i="6"/>
  <c r="BG401" i="6"/>
  <c r="BG418" i="6"/>
  <c r="BG432" i="6"/>
  <c r="BG438" i="6"/>
  <c r="BG446" i="6"/>
  <c r="BG454" i="6"/>
  <c r="BG462" i="6"/>
  <c r="BG470" i="6"/>
  <c r="BG478" i="6"/>
  <c r="BG345" i="6"/>
  <c r="BG364" i="6"/>
  <c r="BG408" i="6"/>
  <c r="BG421" i="6"/>
  <c r="BG443" i="6"/>
  <c r="BG460" i="6"/>
  <c r="BG474" i="6"/>
  <c r="BG486" i="6"/>
  <c r="BG494" i="6"/>
  <c r="BG502" i="6"/>
  <c r="BG510" i="6"/>
  <c r="BG402" i="6"/>
  <c r="BG424" i="6"/>
  <c r="BG448" i="6"/>
  <c r="BG459" i="6"/>
  <c r="BG463" i="6"/>
  <c r="BG477" i="6"/>
  <c r="BG483" i="6"/>
  <c r="BG491" i="6"/>
  <c r="BG499" i="6"/>
  <c r="BG507" i="6"/>
  <c r="BG515" i="6"/>
  <c r="BG506" i="6"/>
  <c r="BG514" i="6"/>
  <c r="BG389" i="6"/>
  <c r="BG437" i="6"/>
  <c r="BG453" i="6"/>
  <c r="BG466" i="6"/>
  <c r="BG480" i="6"/>
  <c r="BG488" i="6"/>
  <c r="BG496" i="6"/>
  <c r="BG504" i="6"/>
  <c r="BG512" i="6"/>
  <c r="BG351" i="6"/>
  <c r="BG399" i="6"/>
  <c r="BG435" i="6"/>
  <c r="BG451" i="6"/>
  <c r="BG476" i="6"/>
  <c r="BG413" i="6"/>
  <c r="BG442" i="6"/>
  <c r="BG458" i="6"/>
  <c r="BG469" i="6"/>
  <c r="BG485" i="6"/>
  <c r="BG493" i="6"/>
  <c r="BG501" i="6"/>
  <c r="BG509" i="6"/>
  <c r="BG264" i="6"/>
  <c r="BG425" i="6"/>
  <c r="BG472" i="6"/>
  <c r="BG482" i="6"/>
  <c r="BG490" i="6"/>
  <c r="BG498" i="6"/>
  <c r="BG461" i="6"/>
  <c r="BG468" i="6"/>
  <c r="BG481" i="6"/>
  <c r="BG484" i="6"/>
  <c r="BG487" i="6"/>
  <c r="BG513" i="6"/>
  <c r="BG440" i="6"/>
  <c r="BG450" i="6"/>
  <c r="BG431" i="6"/>
  <c r="BG500" i="6"/>
  <c r="BG420" i="6"/>
  <c r="BG464" i="6"/>
  <c r="BG511" i="6"/>
  <c r="BG428" i="6"/>
  <c r="BG467" i="6"/>
  <c r="BG503" i="6"/>
  <c r="BG445" i="6"/>
  <c r="BG508" i="6"/>
  <c r="BG475" i="6"/>
  <c r="BG417" i="6"/>
  <c r="BG479" i="6"/>
  <c r="BG489" i="6"/>
  <c r="BG492" i="6"/>
  <c r="BG495" i="6"/>
  <c r="BG456" i="6"/>
  <c r="BG516" i="6"/>
  <c r="BG505" i="6"/>
  <c r="BG497" i="6"/>
  <c r="BG471" i="6"/>
  <c r="CP269" i="6"/>
  <c r="CP266" i="6"/>
  <c r="CP271" i="6"/>
  <c r="CP267" i="6"/>
  <c r="CP273" i="6"/>
  <c r="CP268" i="6"/>
  <c r="CP275" i="6"/>
  <c r="CP279" i="6"/>
  <c r="CP274" i="6"/>
  <c r="CP284" i="6"/>
  <c r="CP280" i="6"/>
  <c r="CP265" i="6"/>
  <c r="CP283" i="6"/>
  <c r="CP287" i="6"/>
  <c r="CP295" i="6"/>
  <c r="CP303" i="6"/>
  <c r="CP292" i="6"/>
  <c r="CP300" i="6"/>
  <c r="CP272" i="6"/>
  <c r="CP282" i="6"/>
  <c r="CP288" i="6"/>
  <c r="CP276" i="6"/>
  <c r="CP285" i="6"/>
  <c r="CP291" i="6"/>
  <c r="CP309" i="6"/>
  <c r="CP294" i="6"/>
  <c r="CP298" i="6"/>
  <c r="CP306" i="6"/>
  <c r="CP297" i="6"/>
  <c r="CP286" i="6"/>
  <c r="CP305" i="6"/>
  <c r="CP281" i="6"/>
  <c r="CP289" i="6"/>
  <c r="CP302" i="6"/>
  <c r="CP304" i="6"/>
  <c r="CP308" i="6"/>
  <c r="CP318" i="6"/>
  <c r="CP270" i="6"/>
  <c r="CP311" i="6"/>
  <c r="CP315" i="6"/>
  <c r="CP323" i="6"/>
  <c r="CP317" i="6"/>
  <c r="CP321" i="6"/>
  <c r="CP332" i="6"/>
  <c r="CP277" i="6"/>
  <c r="CP278" i="6"/>
  <c r="CP290" i="6"/>
  <c r="CP301" i="6"/>
  <c r="CP307" i="6"/>
  <c r="CP320" i="6"/>
  <c r="CP324" i="6"/>
  <c r="CP329" i="6"/>
  <c r="CP313" i="6"/>
  <c r="CP326" i="6"/>
  <c r="CP334" i="6"/>
  <c r="CP342" i="6"/>
  <c r="CP296" i="6"/>
  <c r="CP310" i="6"/>
  <c r="CP312" i="6"/>
  <c r="CP316" i="6"/>
  <c r="CP331" i="6"/>
  <c r="CP339" i="6"/>
  <c r="CP347" i="6"/>
  <c r="CP319" i="6"/>
  <c r="CP328" i="6"/>
  <c r="CP344" i="6"/>
  <c r="CP348" i="6"/>
  <c r="CP356" i="6"/>
  <c r="CP322" i="6"/>
  <c r="CP333" i="6"/>
  <c r="CP337" i="6"/>
  <c r="CP353" i="6"/>
  <c r="CP361" i="6"/>
  <c r="CP336" i="6"/>
  <c r="CP340" i="6"/>
  <c r="CP350" i="6"/>
  <c r="CP358" i="6"/>
  <c r="CP366" i="6"/>
  <c r="CP374" i="6"/>
  <c r="CP314" i="6"/>
  <c r="CP327" i="6"/>
  <c r="CP343" i="6"/>
  <c r="CP355" i="6"/>
  <c r="CP363" i="6"/>
  <c r="CP371" i="6"/>
  <c r="CP379" i="6"/>
  <c r="CP360" i="6"/>
  <c r="CP367" i="6"/>
  <c r="CP381" i="6"/>
  <c r="CP389" i="6"/>
  <c r="CP397" i="6"/>
  <c r="CP405" i="6"/>
  <c r="CP370" i="6"/>
  <c r="CP386" i="6"/>
  <c r="CP394" i="6"/>
  <c r="CP293" i="6"/>
  <c r="CP330" i="6"/>
  <c r="CP354" i="6"/>
  <c r="CP373" i="6"/>
  <c r="CP377" i="6"/>
  <c r="CP391" i="6"/>
  <c r="CP345" i="6"/>
  <c r="CP359" i="6"/>
  <c r="CP376" i="6"/>
  <c r="CP380" i="6"/>
  <c r="CP382" i="6"/>
  <c r="CP388" i="6"/>
  <c r="CP396" i="6"/>
  <c r="CP369" i="6"/>
  <c r="CP383" i="6"/>
  <c r="CP393" i="6"/>
  <c r="CP398" i="6"/>
  <c r="CP413" i="6"/>
  <c r="CP299" i="6"/>
  <c r="CP349" i="6"/>
  <c r="CP357" i="6"/>
  <c r="CP372" i="6"/>
  <c r="CP401" i="6"/>
  <c r="CP403" i="6"/>
  <c r="CP410" i="6"/>
  <c r="CP338" i="6"/>
  <c r="CP375" i="6"/>
  <c r="CP387" i="6"/>
  <c r="CP404" i="6"/>
  <c r="CP415" i="6"/>
  <c r="CP423" i="6"/>
  <c r="CP431" i="6"/>
  <c r="CP335" i="6"/>
  <c r="CP364" i="6"/>
  <c r="CP378" i="6"/>
  <c r="CP392" i="6"/>
  <c r="CP412" i="6"/>
  <c r="CP420" i="6"/>
  <c r="CP428" i="6"/>
  <c r="CP346" i="6"/>
  <c r="CP385" i="6"/>
  <c r="CP424" i="6"/>
  <c r="CP440" i="6"/>
  <c r="CP448" i="6"/>
  <c r="CP456" i="6"/>
  <c r="CP325" i="6"/>
  <c r="CP368" i="6"/>
  <c r="CP406" i="6"/>
  <c r="CP427" i="6"/>
  <c r="CP437" i="6"/>
  <c r="CP445" i="6"/>
  <c r="CP453" i="6"/>
  <c r="CP362" i="6"/>
  <c r="CP395" i="6"/>
  <c r="CP399" i="6"/>
  <c r="CP407" i="6"/>
  <c r="CP411" i="6"/>
  <c r="CP416" i="6"/>
  <c r="CP430" i="6"/>
  <c r="CP434" i="6"/>
  <c r="CP442" i="6"/>
  <c r="CP450" i="6"/>
  <c r="CP458" i="6"/>
  <c r="CP466" i="6"/>
  <c r="CP474" i="6"/>
  <c r="CP351" i="6"/>
  <c r="CP384" i="6"/>
  <c r="CP402" i="6"/>
  <c r="CP419" i="6"/>
  <c r="CP433" i="6"/>
  <c r="CP439" i="6"/>
  <c r="CP447" i="6"/>
  <c r="CP455" i="6"/>
  <c r="CP463" i="6"/>
  <c r="CP471" i="6"/>
  <c r="CP479" i="6"/>
  <c r="CP409" i="6"/>
  <c r="CP422" i="6"/>
  <c r="CP444" i="6"/>
  <c r="CP461" i="6"/>
  <c r="CP475" i="6"/>
  <c r="CP487" i="6"/>
  <c r="CP495" i="6"/>
  <c r="CP503" i="6"/>
  <c r="CP511" i="6"/>
  <c r="CP507" i="6"/>
  <c r="CP425" i="6"/>
  <c r="CP449" i="6"/>
  <c r="CP460" i="6"/>
  <c r="CP464" i="6"/>
  <c r="CP478" i="6"/>
  <c r="CP484" i="6"/>
  <c r="CP492" i="6"/>
  <c r="CP500" i="6"/>
  <c r="CP508" i="6"/>
  <c r="CP516" i="6"/>
  <c r="CP438" i="6"/>
  <c r="CP454" i="6"/>
  <c r="CP467" i="6"/>
  <c r="CP481" i="6"/>
  <c r="CP489" i="6"/>
  <c r="CP497" i="6"/>
  <c r="CP505" i="6"/>
  <c r="CP513" i="6"/>
  <c r="CP365" i="6"/>
  <c r="CP436" i="6"/>
  <c r="CP452" i="6"/>
  <c r="CP477" i="6"/>
  <c r="CP515" i="6"/>
  <c r="CP341" i="6"/>
  <c r="CP408" i="6"/>
  <c r="CP417" i="6"/>
  <c r="CP443" i="6"/>
  <c r="CP470" i="6"/>
  <c r="CP486" i="6"/>
  <c r="CP494" i="6"/>
  <c r="CP502" i="6"/>
  <c r="CP510" i="6"/>
  <c r="CP352" i="6"/>
  <c r="CP400" i="6"/>
  <c r="CP426" i="6"/>
  <c r="CP459" i="6"/>
  <c r="CP473" i="6"/>
  <c r="CP483" i="6"/>
  <c r="CP491" i="6"/>
  <c r="CP499" i="6"/>
  <c r="CP390" i="6"/>
  <c r="CP414" i="6"/>
  <c r="CP429" i="6"/>
  <c r="CP432" i="6"/>
  <c r="CP482" i="6"/>
  <c r="CP485" i="6"/>
  <c r="CP488" i="6"/>
  <c r="CP514" i="6"/>
  <c r="CP446" i="6"/>
  <c r="CP512" i="6"/>
  <c r="CP418" i="6"/>
  <c r="CP421" i="6"/>
  <c r="CP480" i="6"/>
  <c r="CP457" i="6"/>
  <c r="CP496" i="6"/>
  <c r="CP468" i="6"/>
  <c r="CP476" i="6"/>
  <c r="CP441" i="6"/>
  <c r="CP506" i="6"/>
  <c r="CP509" i="6"/>
  <c r="CP435" i="6"/>
  <c r="CP498" i="6"/>
  <c r="CP504" i="6"/>
  <c r="CP493" i="6"/>
  <c r="CP465" i="6"/>
  <c r="CP472" i="6"/>
  <c r="CP462" i="6"/>
  <c r="CP469" i="6"/>
  <c r="CP264" i="6"/>
  <c r="CP451" i="6"/>
  <c r="CP501" i="6"/>
  <c r="CP490" i="6"/>
  <c r="AI268" i="6"/>
  <c r="AI265" i="6"/>
  <c r="AI270" i="6"/>
  <c r="AI272" i="6"/>
  <c r="AI266" i="6"/>
  <c r="AI267" i="6"/>
  <c r="AI269" i="6"/>
  <c r="AI271" i="6"/>
  <c r="AI273" i="6"/>
  <c r="AI277" i="6"/>
  <c r="AI286" i="6"/>
  <c r="AI283" i="6"/>
  <c r="AI274" i="6"/>
  <c r="AI275" i="6"/>
  <c r="AI282" i="6"/>
  <c r="AI285" i="6"/>
  <c r="AI294" i="6"/>
  <c r="AI302" i="6"/>
  <c r="AI278" i="6"/>
  <c r="AI281" i="6"/>
  <c r="AI291" i="6"/>
  <c r="AI299" i="6"/>
  <c r="AI284" i="6"/>
  <c r="AI290" i="6"/>
  <c r="AI276" i="6"/>
  <c r="AI293" i="6"/>
  <c r="AI297" i="6"/>
  <c r="AI296" i="6"/>
  <c r="AI300" i="6"/>
  <c r="AI308" i="6"/>
  <c r="AI279" i="6"/>
  <c r="AI289" i="6"/>
  <c r="AI303" i="6"/>
  <c r="AI288" i="6"/>
  <c r="AI307" i="6"/>
  <c r="AI304" i="6"/>
  <c r="AI310" i="6"/>
  <c r="AI317" i="6"/>
  <c r="AI287" i="6"/>
  <c r="AI306" i="6"/>
  <c r="AI314" i="6"/>
  <c r="AI322" i="6"/>
  <c r="AI292" i="6"/>
  <c r="AI301" i="6"/>
  <c r="AI309" i="6"/>
  <c r="AI331" i="6"/>
  <c r="AI315" i="6"/>
  <c r="AI328" i="6"/>
  <c r="AI336" i="6"/>
  <c r="AI298" i="6"/>
  <c r="AI305" i="6"/>
  <c r="AI312" i="6"/>
  <c r="AI318" i="6"/>
  <c r="AI325" i="6"/>
  <c r="AI333" i="6"/>
  <c r="AI341" i="6"/>
  <c r="AI349" i="6"/>
  <c r="AI321" i="6"/>
  <c r="AI330" i="6"/>
  <c r="AI338" i="6"/>
  <c r="AI346" i="6"/>
  <c r="AI324" i="6"/>
  <c r="AI335" i="6"/>
  <c r="AI339" i="6"/>
  <c r="AI355" i="6"/>
  <c r="AI363" i="6"/>
  <c r="AI295" i="6"/>
  <c r="AI313" i="6"/>
  <c r="AI342" i="6"/>
  <c r="AI352" i="6"/>
  <c r="AI360" i="6"/>
  <c r="AI316" i="6"/>
  <c r="AI329" i="6"/>
  <c r="AI345" i="6"/>
  <c r="AI357" i="6"/>
  <c r="AI365" i="6"/>
  <c r="AI373" i="6"/>
  <c r="AI381" i="6"/>
  <c r="AI319" i="6"/>
  <c r="AI334" i="6"/>
  <c r="AI348" i="6"/>
  <c r="AI354" i="6"/>
  <c r="AI362" i="6"/>
  <c r="AI370" i="6"/>
  <c r="AI378" i="6"/>
  <c r="AI351" i="6"/>
  <c r="AI372" i="6"/>
  <c r="AI376" i="6"/>
  <c r="AI383" i="6"/>
  <c r="AI388" i="6"/>
  <c r="AI396" i="6"/>
  <c r="AI404" i="6"/>
  <c r="AI332" i="6"/>
  <c r="AI344" i="6"/>
  <c r="AI356" i="6"/>
  <c r="AI375" i="6"/>
  <c r="AI379" i="6"/>
  <c r="AI385" i="6"/>
  <c r="AI393" i="6"/>
  <c r="AI347" i="6"/>
  <c r="AI361" i="6"/>
  <c r="AI368" i="6"/>
  <c r="AI382" i="6"/>
  <c r="AI390" i="6"/>
  <c r="AI323" i="6"/>
  <c r="AI350" i="6"/>
  <c r="AI367" i="6"/>
  <c r="AI371" i="6"/>
  <c r="AI387" i="6"/>
  <c r="AI395" i="6"/>
  <c r="AI403" i="6"/>
  <c r="AI359" i="6"/>
  <c r="AI374" i="6"/>
  <c r="AI384" i="6"/>
  <c r="AI405" i="6"/>
  <c r="AI412" i="6"/>
  <c r="AI340" i="6"/>
  <c r="AI377" i="6"/>
  <c r="AI389" i="6"/>
  <c r="AI406" i="6"/>
  <c r="AI409" i="6"/>
  <c r="AI320" i="6"/>
  <c r="AI366" i="6"/>
  <c r="AI380" i="6"/>
  <c r="AI394" i="6"/>
  <c r="AI399" i="6"/>
  <c r="AI414" i="6"/>
  <c r="AI422" i="6"/>
  <c r="AI430" i="6"/>
  <c r="AI326" i="6"/>
  <c r="AI358" i="6"/>
  <c r="AI369" i="6"/>
  <c r="AI402" i="6"/>
  <c r="AI407" i="6"/>
  <c r="AI411" i="6"/>
  <c r="AI419" i="6"/>
  <c r="AI427" i="6"/>
  <c r="AI280" i="6"/>
  <c r="AI327" i="6"/>
  <c r="AI398" i="6"/>
  <c r="AI408" i="6"/>
  <c r="AI429" i="6"/>
  <c r="AI433" i="6"/>
  <c r="AI439" i="6"/>
  <c r="AI447" i="6"/>
  <c r="AI455" i="6"/>
  <c r="AI364" i="6"/>
  <c r="AI397" i="6"/>
  <c r="AI401" i="6"/>
  <c r="AI413" i="6"/>
  <c r="AI418" i="6"/>
  <c r="AI432" i="6"/>
  <c r="AI436" i="6"/>
  <c r="AI444" i="6"/>
  <c r="AI452" i="6"/>
  <c r="AI343" i="6"/>
  <c r="AI353" i="6"/>
  <c r="AI386" i="6"/>
  <c r="AI415" i="6"/>
  <c r="AI421" i="6"/>
  <c r="AI425" i="6"/>
  <c r="AI441" i="6"/>
  <c r="AI449" i="6"/>
  <c r="AI457" i="6"/>
  <c r="AI465" i="6"/>
  <c r="AI473" i="6"/>
  <c r="AI311" i="6"/>
  <c r="AI416" i="6"/>
  <c r="AI424" i="6"/>
  <c r="AI428" i="6"/>
  <c r="AI438" i="6"/>
  <c r="AI446" i="6"/>
  <c r="AI454" i="6"/>
  <c r="AI462" i="6"/>
  <c r="AI470" i="6"/>
  <c r="AI478" i="6"/>
  <c r="AI435" i="6"/>
  <c r="AI451" i="6"/>
  <c r="AI466" i="6"/>
  <c r="AI486" i="6"/>
  <c r="AI494" i="6"/>
  <c r="AI502" i="6"/>
  <c r="AI510" i="6"/>
  <c r="AI506" i="6"/>
  <c r="AI440" i="6"/>
  <c r="AI456" i="6"/>
  <c r="AI469" i="6"/>
  <c r="AI483" i="6"/>
  <c r="AI491" i="6"/>
  <c r="AI499" i="6"/>
  <c r="AI507" i="6"/>
  <c r="AI515" i="6"/>
  <c r="AI498" i="6"/>
  <c r="AI514" i="6"/>
  <c r="AI410" i="6"/>
  <c r="AI445" i="6"/>
  <c r="AI472" i="6"/>
  <c r="AI476" i="6"/>
  <c r="AI480" i="6"/>
  <c r="AI488" i="6"/>
  <c r="AI496" i="6"/>
  <c r="AI504" i="6"/>
  <c r="AI512" i="6"/>
  <c r="AI337" i="6"/>
  <c r="AI392" i="6"/>
  <c r="AI431" i="6"/>
  <c r="AI468" i="6"/>
  <c r="AI482" i="6"/>
  <c r="AI490" i="6"/>
  <c r="AI391" i="6"/>
  <c r="AI400" i="6"/>
  <c r="AI450" i="6"/>
  <c r="AI461" i="6"/>
  <c r="AI475" i="6"/>
  <c r="AI479" i="6"/>
  <c r="AI485" i="6"/>
  <c r="AI493" i="6"/>
  <c r="AI501" i="6"/>
  <c r="AI509" i="6"/>
  <c r="AI264" i="6"/>
  <c r="AI417" i="6"/>
  <c r="AI443" i="6"/>
  <c r="AI464" i="6"/>
  <c r="AI460" i="6"/>
  <c r="AI505" i="6"/>
  <c r="AI508" i="6"/>
  <c r="AI511" i="6"/>
  <c r="AI442" i="6"/>
  <c r="AI477" i="6"/>
  <c r="AI497" i="6"/>
  <c r="AI459" i="6"/>
  <c r="AI489" i="6"/>
  <c r="AI463" i="6"/>
  <c r="AI471" i="6"/>
  <c r="AI481" i="6"/>
  <c r="AI434" i="6"/>
  <c r="AI448" i="6"/>
  <c r="AI420" i="6"/>
  <c r="AI423" i="6"/>
  <c r="AI426" i="6"/>
  <c r="AI437" i="6"/>
  <c r="AI500" i="6"/>
  <c r="AI467" i="6"/>
  <c r="AI474" i="6"/>
  <c r="AI492" i="6"/>
  <c r="AI495" i="6"/>
  <c r="AI484" i="6"/>
  <c r="AI513" i="6"/>
  <c r="AI516" i="6"/>
  <c r="AI453" i="6"/>
  <c r="AI458" i="6"/>
  <c r="AI503" i="6"/>
  <c r="AI487" i="6"/>
  <c r="BW268" i="6"/>
  <c r="BW265" i="6"/>
  <c r="BW270" i="6"/>
  <c r="BW269" i="6"/>
  <c r="BW272" i="6"/>
  <c r="BW266" i="6"/>
  <c r="BW271" i="6"/>
  <c r="BW277" i="6"/>
  <c r="BW273" i="6"/>
  <c r="BW275" i="6"/>
  <c r="BW278" i="6"/>
  <c r="BW286" i="6"/>
  <c r="BW283" i="6"/>
  <c r="BW281" i="6"/>
  <c r="BW280" i="6"/>
  <c r="BW284" i="6"/>
  <c r="BW294" i="6"/>
  <c r="BW302" i="6"/>
  <c r="BW267" i="6"/>
  <c r="BW276" i="6"/>
  <c r="BW291" i="6"/>
  <c r="BW299" i="6"/>
  <c r="BW274" i="6"/>
  <c r="BW296" i="6"/>
  <c r="BW279" i="6"/>
  <c r="BW289" i="6"/>
  <c r="BW282" i="6"/>
  <c r="BW288" i="6"/>
  <c r="BW292" i="6"/>
  <c r="BW308" i="6"/>
  <c r="BW285" i="6"/>
  <c r="BW295" i="6"/>
  <c r="BW306" i="6"/>
  <c r="BW301" i="6"/>
  <c r="BW309" i="6"/>
  <c r="BW317" i="6"/>
  <c r="BW297" i="6"/>
  <c r="BW314" i="6"/>
  <c r="BW322" i="6"/>
  <c r="BW303" i="6"/>
  <c r="BW318" i="6"/>
  <c r="BW331" i="6"/>
  <c r="BW287" i="6"/>
  <c r="BW298" i="6"/>
  <c r="BW321" i="6"/>
  <c r="BW328" i="6"/>
  <c r="BW307" i="6"/>
  <c r="BW324" i="6"/>
  <c r="BW325" i="6"/>
  <c r="BW333" i="6"/>
  <c r="BW341" i="6"/>
  <c r="BW349" i="6"/>
  <c r="BW293" i="6"/>
  <c r="BW300" i="6"/>
  <c r="BW304" i="6"/>
  <c r="BW310" i="6"/>
  <c r="BW313" i="6"/>
  <c r="BW330" i="6"/>
  <c r="BW338" i="6"/>
  <c r="BW346" i="6"/>
  <c r="BW305" i="6"/>
  <c r="BW316" i="6"/>
  <c r="BW327" i="6"/>
  <c r="BW345" i="6"/>
  <c r="BW355" i="6"/>
  <c r="BW363" i="6"/>
  <c r="BW311" i="6"/>
  <c r="BW319" i="6"/>
  <c r="BW332" i="6"/>
  <c r="BW348" i="6"/>
  <c r="BW352" i="6"/>
  <c r="BW360" i="6"/>
  <c r="BW290" i="6"/>
  <c r="BW337" i="6"/>
  <c r="BW357" i="6"/>
  <c r="BW365" i="6"/>
  <c r="BW373" i="6"/>
  <c r="BW381" i="6"/>
  <c r="BW326" i="6"/>
  <c r="BW340" i="6"/>
  <c r="BW344" i="6"/>
  <c r="BW354" i="6"/>
  <c r="BW362" i="6"/>
  <c r="BW370" i="6"/>
  <c r="BW378" i="6"/>
  <c r="BW335" i="6"/>
  <c r="BW347" i="6"/>
  <c r="BW359" i="6"/>
  <c r="BW364" i="6"/>
  <c r="BW368" i="6"/>
  <c r="BW388" i="6"/>
  <c r="BW396" i="6"/>
  <c r="BW404" i="6"/>
  <c r="BW323" i="6"/>
  <c r="BW336" i="6"/>
  <c r="BW367" i="6"/>
  <c r="BW371" i="6"/>
  <c r="BW385" i="6"/>
  <c r="BW393" i="6"/>
  <c r="BW312" i="6"/>
  <c r="BW339" i="6"/>
  <c r="BW353" i="6"/>
  <c r="BW374" i="6"/>
  <c r="BW382" i="6"/>
  <c r="BW390" i="6"/>
  <c r="BW334" i="6"/>
  <c r="BW342" i="6"/>
  <c r="BW358" i="6"/>
  <c r="BW377" i="6"/>
  <c r="BW383" i="6"/>
  <c r="BW387" i="6"/>
  <c r="BW395" i="6"/>
  <c r="BW351" i="6"/>
  <c r="BW366" i="6"/>
  <c r="BW380" i="6"/>
  <c r="BW392" i="6"/>
  <c r="BW399" i="6"/>
  <c r="BW403" i="6"/>
  <c r="BW412" i="6"/>
  <c r="BW369" i="6"/>
  <c r="BW402" i="6"/>
  <c r="BW409" i="6"/>
  <c r="BW329" i="6"/>
  <c r="BW361" i="6"/>
  <c r="BW372" i="6"/>
  <c r="BW386" i="6"/>
  <c r="BW398" i="6"/>
  <c r="BW414" i="6"/>
  <c r="BW422" i="6"/>
  <c r="BW430" i="6"/>
  <c r="BW315" i="6"/>
  <c r="BW350" i="6"/>
  <c r="BW375" i="6"/>
  <c r="BW391" i="6"/>
  <c r="BW401" i="6"/>
  <c r="BW405" i="6"/>
  <c r="BW411" i="6"/>
  <c r="BW419" i="6"/>
  <c r="BW427" i="6"/>
  <c r="BW320" i="6"/>
  <c r="BW406" i="6"/>
  <c r="BW421" i="6"/>
  <c r="BW425" i="6"/>
  <c r="BW439" i="6"/>
  <c r="BW447" i="6"/>
  <c r="BW455" i="6"/>
  <c r="BW356" i="6"/>
  <c r="BW389" i="6"/>
  <c r="BW424" i="6"/>
  <c r="BW428" i="6"/>
  <c r="BW436" i="6"/>
  <c r="BW444" i="6"/>
  <c r="BW452" i="6"/>
  <c r="BW376" i="6"/>
  <c r="BW407" i="6"/>
  <c r="BW410" i="6"/>
  <c r="BW417" i="6"/>
  <c r="BW431" i="6"/>
  <c r="BW441" i="6"/>
  <c r="BW449" i="6"/>
  <c r="BW457" i="6"/>
  <c r="BW465" i="6"/>
  <c r="BW473" i="6"/>
  <c r="BW415" i="6"/>
  <c r="BW420" i="6"/>
  <c r="BW438" i="6"/>
  <c r="BW446" i="6"/>
  <c r="BW454" i="6"/>
  <c r="BW462" i="6"/>
  <c r="BW470" i="6"/>
  <c r="BW478" i="6"/>
  <c r="BW343" i="6"/>
  <c r="BW416" i="6"/>
  <c r="BW443" i="6"/>
  <c r="BW472" i="6"/>
  <c r="BW476" i="6"/>
  <c r="BW486" i="6"/>
  <c r="BW494" i="6"/>
  <c r="BW502" i="6"/>
  <c r="BW510" i="6"/>
  <c r="BW490" i="6"/>
  <c r="BW498" i="6"/>
  <c r="BW514" i="6"/>
  <c r="BW400" i="6"/>
  <c r="BW413" i="6"/>
  <c r="BW448" i="6"/>
  <c r="BW461" i="6"/>
  <c r="BW475" i="6"/>
  <c r="BW479" i="6"/>
  <c r="BW483" i="6"/>
  <c r="BW491" i="6"/>
  <c r="BW499" i="6"/>
  <c r="BW507" i="6"/>
  <c r="BW515" i="6"/>
  <c r="BW394" i="6"/>
  <c r="BW433" i="6"/>
  <c r="BW437" i="6"/>
  <c r="BW453" i="6"/>
  <c r="BW464" i="6"/>
  <c r="BW468" i="6"/>
  <c r="BW480" i="6"/>
  <c r="BW488" i="6"/>
  <c r="BW496" i="6"/>
  <c r="BW504" i="6"/>
  <c r="BW512" i="6"/>
  <c r="BW397" i="6"/>
  <c r="BW408" i="6"/>
  <c r="BW460" i="6"/>
  <c r="BW474" i="6"/>
  <c r="BW506" i="6"/>
  <c r="BW442" i="6"/>
  <c r="BW458" i="6"/>
  <c r="BW467" i="6"/>
  <c r="BW471" i="6"/>
  <c r="BW485" i="6"/>
  <c r="BW493" i="6"/>
  <c r="BW501" i="6"/>
  <c r="BW509" i="6"/>
  <c r="BW264" i="6"/>
  <c r="BW384" i="6"/>
  <c r="BW423" i="6"/>
  <c r="BW435" i="6"/>
  <c r="BW451" i="6"/>
  <c r="BW482" i="6"/>
  <c r="BW440" i="6"/>
  <c r="BW445" i="6"/>
  <c r="BW450" i="6"/>
  <c r="BW459" i="6"/>
  <c r="BW466" i="6"/>
  <c r="BW503" i="6"/>
  <c r="BW429" i="6"/>
  <c r="BW484" i="6"/>
  <c r="BW487" i="6"/>
  <c r="BW379" i="6"/>
  <c r="BW434" i="6"/>
  <c r="BW463" i="6"/>
  <c r="BW513" i="6"/>
  <c r="BW516" i="6"/>
  <c r="BW500" i="6"/>
  <c r="BW495" i="6"/>
  <c r="BW456" i="6"/>
  <c r="BW497" i="6"/>
  <c r="BW489" i="6"/>
  <c r="BW492" i="6"/>
  <c r="BW432" i="6"/>
  <c r="BW481" i="6"/>
  <c r="BW469" i="6"/>
  <c r="BW477" i="6"/>
  <c r="BW505" i="6"/>
  <c r="BW508" i="6"/>
  <c r="BW511" i="6"/>
  <c r="BW426" i="6"/>
  <c r="BW418" i="6"/>
  <c r="AH265" i="6"/>
  <c r="AH270" i="6"/>
  <c r="AH267" i="6"/>
  <c r="AH266" i="6"/>
  <c r="AH274" i="6"/>
  <c r="AH271" i="6"/>
  <c r="AH283" i="6"/>
  <c r="AH269" i="6"/>
  <c r="AH275" i="6"/>
  <c r="AH280" i="6"/>
  <c r="AH285" i="6"/>
  <c r="AH273" i="6"/>
  <c r="AH277" i="6"/>
  <c r="AH272" i="6"/>
  <c r="AH278" i="6"/>
  <c r="AH281" i="6"/>
  <c r="AH291" i="6"/>
  <c r="AH299" i="6"/>
  <c r="AH268" i="6"/>
  <c r="AH284" i="6"/>
  <c r="AH288" i="6"/>
  <c r="AH296" i="6"/>
  <c r="AH304" i="6"/>
  <c r="AH276" i="6"/>
  <c r="AH293" i="6"/>
  <c r="AH297" i="6"/>
  <c r="AH279" i="6"/>
  <c r="AH289" i="6"/>
  <c r="AH303" i="6"/>
  <c r="AH282" i="6"/>
  <c r="AH292" i="6"/>
  <c r="AH310" i="6"/>
  <c r="AH300" i="6"/>
  <c r="AH302" i="6"/>
  <c r="AH287" i="6"/>
  <c r="AH306" i="6"/>
  <c r="AH314" i="6"/>
  <c r="AH322" i="6"/>
  <c r="AH294" i="6"/>
  <c r="AH301" i="6"/>
  <c r="AH309" i="6"/>
  <c r="AH319" i="6"/>
  <c r="AH315" i="6"/>
  <c r="AH328" i="6"/>
  <c r="AH336" i="6"/>
  <c r="AH298" i="6"/>
  <c r="AH305" i="6"/>
  <c r="AH312" i="6"/>
  <c r="AH318" i="6"/>
  <c r="AH325" i="6"/>
  <c r="AH333" i="6"/>
  <c r="AH321" i="6"/>
  <c r="AH330" i="6"/>
  <c r="AH338" i="6"/>
  <c r="AH346" i="6"/>
  <c r="AH286" i="6"/>
  <c r="AH307" i="6"/>
  <c r="AH324" i="6"/>
  <c r="AH327" i="6"/>
  <c r="AH335" i="6"/>
  <c r="AH343" i="6"/>
  <c r="AH295" i="6"/>
  <c r="AH313" i="6"/>
  <c r="AH342" i="6"/>
  <c r="AH352" i="6"/>
  <c r="AH360" i="6"/>
  <c r="AH316" i="6"/>
  <c r="AH329" i="6"/>
  <c r="AH345" i="6"/>
  <c r="AH349" i="6"/>
  <c r="AH357" i="6"/>
  <c r="AH334" i="6"/>
  <c r="AH348" i="6"/>
  <c r="AH354" i="6"/>
  <c r="AH362" i="6"/>
  <c r="AH370" i="6"/>
  <c r="AH378" i="6"/>
  <c r="AH337" i="6"/>
  <c r="AH341" i="6"/>
  <c r="AH351" i="6"/>
  <c r="AH359" i="6"/>
  <c r="AH367" i="6"/>
  <c r="AH375" i="6"/>
  <c r="AH383" i="6"/>
  <c r="AH317" i="6"/>
  <c r="AH332" i="6"/>
  <c r="AH344" i="6"/>
  <c r="AH356" i="6"/>
  <c r="AH365" i="6"/>
  <c r="AH379" i="6"/>
  <c r="AH385" i="6"/>
  <c r="AH393" i="6"/>
  <c r="AH401" i="6"/>
  <c r="AH347" i="6"/>
  <c r="AH361" i="6"/>
  <c r="AH368" i="6"/>
  <c r="AH382" i="6"/>
  <c r="AH390" i="6"/>
  <c r="AH308" i="6"/>
  <c r="AH323" i="6"/>
  <c r="AH350" i="6"/>
  <c r="AH371" i="6"/>
  <c r="AH387" i="6"/>
  <c r="AH395" i="6"/>
  <c r="AH290" i="6"/>
  <c r="AH331" i="6"/>
  <c r="AH339" i="6"/>
  <c r="AH355" i="6"/>
  <c r="AH374" i="6"/>
  <c r="AH384" i="6"/>
  <c r="AH392" i="6"/>
  <c r="AH400" i="6"/>
  <c r="AH340" i="6"/>
  <c r="AH377" i="6"/>
  <c r="AH389" i="6"/>
  <c r="AH403" i="6"/>
  <c r="AH406" i="6"/>
  <c r="AH409" i="6"/>
  <c r="AH320" i="6"/>
  <c r="AH366" i="6"/>
  <c r="AH380" i="6"/>
  <c r="AH394" i="6"/>
  <c r="AH399" i="6"/>
  <c r="AH414" i="6"/>
  <c r="AH326" i="6"/>
  <c r="AH358" i="6"/>
  <c r="AH369" i="6"/>
  <c r="AH402" i="6"/>
  <c r="AH407" i="6"/>
  <c r="AH411" i="6"/>
  <c r="AH419" i="6"/>
  <c r="AH427" i="6"/>
  <c r="AH372" i="6"/>
  <c r="AH388" i="6"/>
  <c r="AH398" i="6"/>
  <c r="AH408" i="6"/>
  <c r="AH416" i="6"/>
  <c r="AH424" i="6"/>
  <c r="AH432" i="6"/>
  <c r="AH364" i="6"/>
  <c r="AH381" i="6"/>
  <c r="AH397" i="6"/>
  <c r="AH413" i="6"/>
  <c r="AH418" i="6"/>
  <c r="AH422" i="6"/>
  <c r="AH436" i="6"/>
  <c r="AH444" i="6"/>
  <c r="AH452" i="6"/>
  <c r="AH353" i="6"/>
  <c r="AH386" i="6"/>
  <c r="AH415" i="6"/>
  <c r="AH421" i="6"/>
  <c r="AH425" i="6"/>
  <c r="AH441" i="6"/>
  <c r="AH449" i="6"/>
  <c r="AH457" i="6"/>
  <c r="AH311" i="6"/>
  <c r="AH428" i="6"/>
  <c r="AH438" i="6"/>
  <c r="AH446" i="6"/>
  <c r="AH454" i="6"/>
  <c r="AH462" i="6"/>
  <c r="AH470" i="6"/>
  <c r="AH478" i="6"/>
  <c r="AH376" i="6"/>
  <c r="AH396" i="6"/>
  <c r="AH412" i="6"/>
  <c r="AH417" i="6"/>
  <c r="AH431" i="6"/>
  <c r="AH435" i="6"/>
  <c r="AH443" i="6"/>
  <c r="AH451" i="6"/>
  <c r="AH459" i="6"/>
  <c r="AH467" i="6"/>
  <c r="AH475" i="6"/>
  <c r="AH440" i="6"/>
  <c r="AH456" i="6"/>
  <c r="AH469" i="6"/>
  <c r="AH473" i="6"/>
  <c r="AH483" i="6"/>
  <c r="AH491" i="6"/>
  <c r="AH499" i="6"/>
  <c r="AH507" i="6"/>
  <c r="AH515" i="6"/>
  <c r="AH495" i="6"/>
  <c r="AH410" i="6"/>
  <c r="AH445" i="6"/>
  <c r="AH472" i="6"/>
  <c r="AH476" i="6"/>
  <c r="AH480" i="6"/>
  <c r="AH488" i="6"/>
  <c r="AH496" i="6"/>
  <c r="AH504" i="6"/>
  <c r="AH512" i="6"/>
  <c r="AH391" i="6"/>
  <c r="AH404" i="6"/>
  <c r="AH430" i="6"/>
  <c r="AH450" i="6"/>
  <c r="AH461" i="6"/>
  <c r="AH465" i="6"/>
  <c r="AH479" i="6"/>
  <c r="AH485" i="6"/>
  <c r="AH493" i="6"/>
  <c r="AH501" i="6"/>
  <c r="AH509" i="6"/>
  <c r="AH264" i="6"/>
  <c r="AH420" i="6"/>
  <c r="AH471" i="6"/>
  <c r="AH487" i="6"/>
  <c r="AH503" i="6"/>
  <c r="AH511" i="6"/>
  <c r="AH363" i="6"/>
  <c r="AH433" i="6"/>
  <c r="AH439" i="6"/>
  <c r="AH455" i="6"/>
  <c r="AH464" i="6"/>
  <c r="AH468" i="6"/>
  <c r="AH482" i="6"/>
  <c r="AH490" i="6"/>
  <c r="AH498" i="6"/>
  <c r="AH506" i="6"/>
  <c r="AH514" i="6"/>
  <c r="AH434" i="6"/>
  <c r="AH448" i="6"/>
  <c r="AH500" i="6"/>
  <c r="AH474" i="6"/>
  <c r="AH492" i="6"/>
  <c r="AH423" i="6"/>
  <c r="AH426" i="6"/>
  <c r="AH429" i="6"/>
  <c r="AH513" i="6"/>
  <c r="AH516" i="6"/>
  <c r="AH437" i="6"/>
  <c r="AH447" i="6"/>
  <c r="AH486" i="6"/>
  <c r="AH484" i="6"/>
  <c r="AH373" i="6"/>
  <c r="AH510" i="6"/>
  <c r="AH494" i="6"/>
  <c r="AH405" i="6"/>
  <c r="AH463" i="6"/>
  <c r="AH460" i="6"/>
  <c r="AH453" i="6"/>
  <c r="AH458" i="6"/>
  <c r="AH502" i="6"/>
  <c r="AH505" i="6"/>
  <c r="AH508" i="6"/>
  <c r="AH442" i="6"/>
  <c r="AH477" i="6"/>
  <c r="AH497" i="6"/>
  <c r="AH466" i="6"/>
  <c r="AH489" i="6"/>
  <c r="AH481" i="6"/>
  <c r="L271" i="6"/>
  <c r="L268" i="6"/>
  <c r="L265" i="6"/>
  <c r="L269" i="6"/>
  <c r="L270" i="6"/>
  <c r="L266" i="6"/>
  <c r="L277" i="6"/>
  <c r="L281" i="6"/>
  <c r="L275" i="6"/>
  <c r="L286" i="6"/>
  <c r="L273" i="6"/>
  <c r="L276" i="6"/>
  <c r="L285" i="6"/>
  <c r="L287" i="6"/>
  <c r="L267" i="6"/>
  <c r="L274" i="6"/>
  <c r="L289" i="6"/>
  <c r="L297" i="6"/>
  <c r="L305" i="6"/>
  <c r="L280" i="6"/>
  <c r="L284" i="6"/>
  <c r="L294" i="6"/>
  <c r="L302" i="6"/>
  <c r="L293" i="6"/>
  <c r="L278" i="6"/>
  <c r="L296" i="6"/>
  <c r="L279" i="6"/>
  <c r="L299" i="6"/>
  <c r="L303" i="6"/>
  <c r="L311" i="6"/>
  <c r="L282" i="6"/>
  <c r="L288" i="6"/>
  <c r="L292" i="6"/>
  <c r="L308" i="6"/>
  <c r="L291" i="6"/>
  <c r="L310" i="6"/>
  <c r="L306" i="6"/>
  <c r="L320" i="6"/>
  <c r="L309" i="6"/>
  <c r="L317" i="6"/>
  <c r="L295" i="6"/>
  <c r="L300" i="6"/>
  <c r="L304" i="6"/>
  <c r="L315" i="6"/>
  <c r="L326" i="6"/>
  <c r="L334" i="6"/>
  <c r="L314" i="6"/>
  <c r="L318" i="6"/>
  <c r="L331" i="6"/>
  <c r="L272" i="6"/>
  <c r="L321" i="6"/>
  <c r="L328" i="6"/>
  <c r="L336" i="6"/>
  <c r="L344" i="6"/>
  <c r="L290" i="6"/>
  <c r="L301" i="6"/>
  <c r="L307" i="6"/>
  <c r="L324" i="6"/>
  <c r="L325" i="6"/>
  <c r="L333" i="6"/>
  <c r="L341" i="6"/>
  <c r="L349" i="6"/>
  <c r="L283" i="6"/>
  <c r="L313" i="6"/>
  <c r="L338" i="6"/>
  <c r="L342" i="6"/>
  <c r="L358" i="6"/>
  <c r="L298" i="6"/>
  <c r="L312" i="6"/>
  <c r="L316" i="6"/>
  <c r="L327" i="6"/>
  <c r="L345" i="6"/>
  <c r="L355" i="6"/>
  <c r="L363" i="6"/>
  <c r="L319" i="6"/>
  <c r="L332" i="6"/>
  <c r="L348" i="6"/>
  <c r="L352" i="6"/>
  <c r="L360" i="6"/>
  <c r="L368" i="6"/>
  <c r="L376" i="6"/>
  <c r="L322" i="6"/>
  <c r="L337" i="6"/>
  <c r="L357" i="6"/>
  <c r="L365" i="6"/>
  <c r="L373" i="6"/>
  <c r="L381" i="6"/>
  <c r="L354" i="6"/>
  <c r="L375" i="6"/>
  <c r="L379" i="6"/>
  <c r="L391" i="6"/>
  <c r="L399" i="6"/>
  <c r="L407" i="6"/>
  <c r="L335" i="6"/>
  <c r="L347" i="6"/>
  <c r="L359" i="6"/>
  <c r="L378" i="6"/>
  <c r="L382" i="6"/>
  <c r="L388" i="6"/>
  <c r="L396" i="6"/>
  <c r="L350" i="6"/>
  <c r="L364" i="6"/>
  <c r="L367" i="6"/>
  <c r="L371" i="6"/>
  <c r="L385" i="6"/>
  <c r="L393" i="6"/>
  <c r="L339" i="6"/>
  <c r="L353" i="6"/>
  <c r="L370" i="6"/>
  <c r="L374" i="6"/>
  <c r="L390" i="6"/>
  <c r="L398" i="6"/>
  <c r="L362" i="6"/>
  <c r="L377" i="6"/>
  <c r="L387" i="6"/>
  <c r="L408" i="6"/>
  <c r="L415" i="6"/>
  <c r="L343" i="6"/>
  <c r="L351" i="6"/>
  <c r="L366" i="6"/>
  <c r="L380" i="6"/>
  <c r="L392" i="6"/>
  <c r="L412" i="6"/>
  <c r="L323" i="6"/>
  <c r="L369" i="6"/>
  <c r="L397" i="6"/>
  <c r="L402" i="6"/>
  <c r="L404" i="6"/>
  <c r="L409" i="6"/>
  <c r="L417" i="6"/>
  <c r="L425" i="6"/>
  <c r="L433" i="6"/>
  <c r="L329" i="6"/>
  <c r="L361" i="6"/>
  <c r="L372" i="6"/>
  <c r="L386" i="6"/>
  <c r="L414" i="6"/>
  <c r="L422" i="6"/>
  <c r="L430" i="6"/>
  <c r="L330" i="6"/>
  <c r="L383" i="6"/>
  <c r="L401" i="6"/>
  <c r="L411" i="6"/>
  <c r="L418" i="6"/>
  <c r="L432" i="6"/>
  <c r="L442" i="6"/>
  <c r="L450" i="6"/>
  <c r="L458" i="6"/>
  <c r="L421" i="6"/>
  <c r="L439" i="6"/>
  <c r="L447" i="6"/>
  <c r="L455" i="6"/>
  <c r="L346" i="6"/>
  <c r="L356" i="6"/>
  <c r="L389" i="6"/>
  <c r="L424" i="6"/>
  <c r="L428" i="6"/>
  <c r="L436" i="6"/>
  <c r="L444" i="6"/>
  <c r="L452" i="6"/>
  <c r="L460" i="6"/>
  <c r="L468" i="6"/>
  <c r="L476" i="6"/>
  <c r="L410" i="6"/>
  <c r="L427" i="6"/>
  <c r="L431" i="6"/>
  <c r="L441" i="6"/>
  <c r="L449" i="6"/>
  <c r="L457" i="6"/>
  <c r="L465" i="6"/>
  <c r="L473" i="6"/>
  <c r="L340" i="6"/>
  <c r="L405" i="6"/>
  <c r="L438" i="6"/>
  <c r="L454" i="6"/>
  <c r="L469" i="6"/>
  <c r="L481" i="6"/>
  <c r="L489" i="6"/>
  <c r="L497" i="6"/>
  <c r="L505" i="6"/>
  <c r="L513" i="6"/>
  <c r="L406" i="6"/>
  <c r="L419" i="6"/>
  <c r="L443" i="6"/>
  <c r="L459" i="6"/>
  <c r="L472" i="6"/>
  <c r="L486" i="6"/>
  <c r="L494" i="6"/>
  <c r="L502" i="6"/>
  <c r="L510" i="6"/>
  <c r="L501" i="6"/>
  <c r="L509" i="6"/>
  <c r="L413" i="6"/>
  <c r="L448" i="6"/>
  <c r="L461" i="6"/>
  <c r="L475" i="6"/>
  <c r="L479" i="6"/>
  <c r="L483" i="6"/>
  <c r="L491" i="6"/>
  <c r="L499" i="6"/>
  <c r="L507" i="6"/>
  <c r="L515" i="6"/>
  <c r="L395" i="6"/>
  <c r="L434" i="6"/>
  <c r="L471" i="6"/>
  <c r="L485" i="6"/>
  <c r="L264" i="6"/>
  <c r="L394" i="6"/>
  <c r="L403" i="6"/>
  <c r="L437" i="6"/>
  <c r="L453" i="6"/>
  <c r="L464" i="6"/>
  <c r="L478" i="6"/>
  <c r="L488" i="6"/>
  <c r="L496" i="6"/>
  <c r="L504" i="6"/>
  <c r="L512" i="6"/>
  <c r="L420" i="6"/>
  <c r="L446" i="6"/>
  <c r="L467" i="6"/>
  <c r="L493" i="6"/>
  <c r="L463" i="6"/>
  <c r="L482" i="6"/>
  <c r="L435" i="6"/>
  <c r="L445" i="6"/>
  <c r="L423" i="6"/>
  <c r="L484" i="6"/>
  <c r="L490" i="6"/>
  <c r="L451" i="6"/>
  <c r="L456" i="6"/>
  <c r="L514" i="6"/>
  <c r="L500" i="6"/>
  <c r="L506" i="6"/>
  <c r="L462" i="6"/>
  <c r="L477" i="6"/>
  <c r="L495" i="6"/>
  <c r="L487" i="6"/>
  <c r="L384" i="6"/>
  <c r="L508" i="6"/>
  <c r="L440" i="6"/>
  <c r="L503" i="6"/>
  <c r="L426" i="6"/>
  <c r="L498" i="6"/>
  <c r="L466" i="6"/>
  <c r="L474" i="6"/>
  <c r="L516" i="6"/>
  <c r="L400" i="6"/>
  <c r="L416" i="6"/>
  <c r="L511" i="6"/>
  <c r="L480" i="6"/>
  <c r="L429" i="6"/>
  <c r="L470" i="6"/>
  <c r="L492" i="6"/>
  <c r="AF267" i="6"/>
  <c r="AF269" i="6"/>
  <c r="AF270" i="6"/>
  <c r="AF271" i="6"/>
  <c r="AF273" i="6"/>
  <c r="AF276" i="6"/>
  <c r="AF266" i="6"/>
  <c r="AF268" i="6"/>
  <c r="AF274" i="6"/>
  <c r="AF278" i="6"/>
  <c r="AF285" i="6"/>
  <c r="AF282" i="6"/>
  <c r="AF281" i="6"/>
  <c r="AF265" i="6"/>
  <c r="AF272" i="6"/>
  <c r="AF284" i="6"/>
  <c r="AF293" i="6"/>
  <c r="AF301" i="6"/>
  <c r="AF280" i="6"/>
  <c r="AF290" i="6"/>
  <c r="AF298" i="6"/>
  <c r="AF279" i="6"/>
  <c r="AF289" i="6"/>
  <c r="AF292" i="6"/>
  <c r="AF296" i="6"/>
  <c r="AF295" i="6"/>
  <c r="AF299" i="6"/>
  <c r="AF307" i="6"/>
  <c r="AF277" i="6"/>
  <c r="AF288" i="6"/>
  <c r="AF302" i="6"/>
  <c r="AF312" i="6"/>
  <c r="AF283" i="6"/>
  <c r="AF287" i="6"/>
  <c r="AF291" i="6"/>
  <c r="AF304" i="6"/>
  <c r="AF306" i="6"/>
  <c r="AF310" i="6"/>
  <c r="AF294" i="6"/>
  <c r="AF309" i="6"/>
  <c r="AF297" i="6"/>
  <c r="AF316" i="6"/>
  <c r="AF324" i="6"/>
  <c r="AF275" i="6"/>
  <c r="AF303" i="6"/>
  <c r="AF305" i="6"/>
  <c r="AF313" i="6"/>
  <c r="AF321" i="6"/>
  <c r="AF330" i="6"/>
  <c r="AF286" i="6"/>
  <c r="AF314" i="6"/>
  <c r="AF327" i="6"/>
  <c r="AF335" i="6"/>
  <c r="AF317" i="6"/>
  <c r="AF332" i="6"/>
  <c r="AF340" i="6"/>
  <c r="AF348" i="6"/>
  <c r="AF320" i="6"/>
  <c r="AF329" i="6"/>
  <c r="AF337" i="6"/>
  <c r="AF345" i="6"/>
  <c r="AF334" i="6"/>
  <c r="AF338" i="6"/>
  <c r="AF354" i="6"/>
  <c r="AF362" i="6"/>
  <c r="AF341" i="6"/>
  <c r="AF351" i="6"/>
  <c r="AF359" i="6"/>
  <c r="AF300" i="6"/>
  <c r="AF319" i="6"/>
  <c r="AF328" i="6"/>
  <c r="AF344" i="6"/>
  <c r="AF356" i="6"/>
  <c r="AF364" i="6"/>
  <c r="AF372" i="6"/>
  <c r="AF380" i="6"/>
  <c r="AF322" i="6"/>
  <c r="AF333" i="6"/>
  <c r="AF347" i="6"/>
  <c r="AF353" i="6"/>
  <c r="AF361" i="6"/>
  <c r="AF369" i="6"/>
  <c r="AF377" i="6"/>
  <c r="AF308" i="6"/>
  <c r="AF323" i="6"/>
  <c r="AF350" i="6"/>
  <c r="AF371" i="6"/>
  <c r="AF375" i="6"/>
  <c r="AF387" i="6"/>
  <c r="AF395" i="6"/>
  <c r="AF403" i="6"/>
  <c r="AF331" i="6"/>
  <c r="AF339" i="6"/>
  <c r="AF355" i="6"/>
  <c r="AF374" i="6"/>
  <c r="AF378" i="6"/>
  <c r="AF384" i="6"/>
  <c r="AF392" i="6"/>
  <c r="AF342" i="6"/>
  <c r="AF360" i="6"/>
  <c r="AF367" i="6"/>
  <c r="AF381" i="6"/>
  <c r="AF389" i="6"/>
  <c r="AF397" i="6"/>
  <c r="AF318" i="6"/>
  <c r="AF366" i="6"/>
  <c r="AF370" i="6"/>
  <c r="AF386" i="6"/>
  <c r="AF394" i="6"/>
  <c r="AF402" i="6"/>
  <c r="AF326" i="6"/>
  <c r="AF358" i="6"/>
  <c r="AF407" i="6"/>
  <c r="AF411" i="6"/>
  <c r="AF388" i="6"/>
  <c r="AF408" i="6"/>
  <c r="AF346" i="6"/>
  <c r="AF393" i="6"/>
  <c r="AF398" i="6"/>
  <c r="AF413" i="6"/>
  <c r="AF421" i="6"/>
  <c r="AF429" i="6"/>
  <c r="AF357" i="6"/>
  <c r="AF401" i="6"/>
  <c r="AF410" i="6"/>
  <c r="AF418" i="6"/>
  <c r="AF426" i="6"/>
  <c r="AF434" i="6"/>
  <c r="AF311" i="6"/>
  <c r="AF428" i="6"/>
  <c r="AF432" i="6"/>
  <c r="AF438" i="6"/>
  <c r="AF446" i="6"/>
  <c r="AF454" i="6"/>
  <c r="AF343" i="6"/>
  <c r="AF376" i="6"/>
  <c r="AF396" i="6"/>
  <c r="AF412" i="6"/>
  <c r="AF417" i="6"/>
  <c r="AF431" i="6"/>
  <c r="AF435" i="6"/>
  <c r="AF443" i="6"/>
  <c r="AF451" i="6"/>
  <c r="AF315" i="6"/>
  <c r="AF365" i="6"/>
  <c r="AF385" i="6"/>
  <c r="AF416" i="6"/>
  <c r="AF420" i="6"/>
  <c r="AF424" i="6"/>
  <c r="AF440" i="6"/>
  <c r="AF448" i="6"/>
  <c r="AF456" i="6"/>
  <c r="AF464" i="6"/>
  <c r="AF472" i="6"/>
  <c r="AF382" i="6"/>
  <c r="AF399" i="6"/>
  <c r="AF423" i="6"/>
  <c r="AF427" i="6"/>
  <c r="AF437" i="6"/>
  <c r="AF445" i="6"/>
  <c r="AF453" i="6"/>
  <c r="AF461" i="6"/>
  <c r="AF469" i="6"/>
  <c r="AF477" i="6"/>
  <c r="AF391" i="6"/>
  <c r="AF404" i="6"/>
  <c r="AF430" i="6"/>
  <c r="AF450" i="6"/>
  <c r="AF465" i="6"/>
  <c r="AF479" i="6"/>
  <c r="AF485" i="6"/>
  <c r="AF493" i="6"/>
  <c r="AF501" i="6"/>
  <c r="AF509" i="6"/>
  <c r="AF264" i="6"/>
  <c r="AF505" i="6"/>
  <c r="AF405" i="6"/>
  <c r="AF363" i="6"/>
  <c r="AF400" i="6"/>
  <c r="AF419" i="6"/>
  <c r="AF433" i="6"/>
  <c r="AF439" i="6"/>
  <c r="AF455" i="6"/>
  <c r="AF468" i="6"/>
  <c r="AF482" i="6"/>
  <c r="AF490" i="6"/>
  <c r="AF498" i="6"/>
  <c r="AF506" i="6"/>
  <c r="AF514" i="6"/>
  <c r="AF481" i="6"/>
  <c r="AF497" i="6"/>
  <c r="AF336" i="6"/>
  <c r="AF352" i="6"/>
  <c r="AF379" i="6"/>
  <c r="AF409" i="6"/>
  <c r="AF422" i="6"/>
  <c r="AF444" i="6"/>
  <c r="AF471" i="6"/>
  <c r="AF475" i="6"/>
  <c r="AF487" i="6"/>
  <c r="AF495" i="6"/>
  <c r="AF503" i="6"/>
  <c r="AF511" i="6"/>
  <c r="AF373" i="6"/>
  <c r="AF463" i="6"/>
  <c r="AF489" i="6"/>
  <c r="AF325" i="6"/>
  <c r="AF349" i="6"/>
  <c r="AF368" i="6"/>
  <c r="AF406" i="6"/>
  <c r="AF425" i="6"/>
  <c r="AF449" i="6"/>
  <c r="AF460" i="6"/>
  <c r="AF474" i="6"/>
  <c r="AF478" i="6"/>
  <c r="AF484" i="6"/>
  <c r="AF492" i="6"/>
  <c r="AF500" i="6"/>
  <c r="AF508" i="6"/>
  <c r="AF516" i="6"/>
  <c r="AF442" i="6"/>
  <c r="AF458" i="6"/>
  <c r="AF467" i="6"/>
  <c r="AF513" i="6"/>
  <c r="AF383" i="6"/>
  <c r="AF504" i="6"/>
  <c r="AF507" i="6"/>
  <c r="AF510" i="6"/>
  <c r="AF390" i="6"/>
  <c r="AF415" i="6"/>
  <c r="AF512" i="6"/>
  <c r="AF496" i="6"/>
  <c r="AF499" i="6"/>
  <c r="AF502" i="6"/>
  <c r="AF470" i="6"/>
  <c r="AF447" i="6"/>
  <c r="AF452" i="6"/>
  <c r="AF457" i="6"/>
  <c r="AF476" i="6"/>
  <c r="AF488" i="6"/>
  <c r="AF491" i="6"/>
  <c r="AF494" i="6"/>
  <c r="AF459" i="6"/>
  <c r="AF414" i="6"/>
  <c r="AF515" i="6"/>
  <c r="AF436" i="6"/>
  <c r="AF441" i="6"/>
  <c r="AF466" i="6"/>
  <c r="AF473" i="6"/>
  <c r="AF480" i="6"/>
  <c r="AF483" i="6"/>
  <c r="AF486" i="6"/>
  <c r="AF462" i="6"/>
  <c r="CT265" i="6"/>
  <c r="CT270" i="6"/>
  <c r="CT267" i="6"/>
  <c r="CT266" i="6"/>
  <c r="CT274" i="6"/>
  <c r="CT269" i="6"/>
  <c r="CT271" i="6"/>
  <c r="CT268" i="6"/>
  <c r="CT283" i="6"/>
  <c r="CT275" i="6"/>
  <c r="CT277" i="6"/>
  <c r="CT280" i="6"/>
  <c r="CT276" i="6"/>
  <c r="CT285" i="6"/>
  <c r="CT278" i="6"/>
  <c r="CT286" i="6"/>
  <c r="CT281" i="6"/>
  <c r="CT291" i="6"/>
  <c r="CT299" i="6"/>
  <c r="CT284" i="6"/>
  <c r="CT288" i="6"/>
  <c r="CT296" i="6"/>
  <c r="CT304" i="6"/>
  <c r="CT293" i="6"/>
  <c r="CT297" i="6"/>
  <c r="CT272" i="6"/>
  <c r="CT279" i="6"/>
  <c r="CT289" i="6"/>
  <c r="CT303" i="6"/>
  <c r="CT305" i="6"/>
  <c r="CT273" i="6"/>
  <c r="CT282" i="6"/>
  <c r="CT292" i="6"/>
  <c r="CT310" i="6"/>
  <c r="CT298" i="6"/>
  <c r="CT306" i="6"/>
  <c r="CT314" i="6"/>
  <c r="CT322" i="6"/>
  <c r="CT294" i="6"/>
  <c r="CT309" i="6"/>
  <c r="CT319" i="6"/>
  <c r="CT295" i="6"/>
  <c r="CT300" i="6"/>
  <c r="CT315" i="6"/>
  <c r="CT328" i="6"/>
  <c r="CT318" i="6"/>
  <c r="CT325" i="6"/>
  <c r="CT333" i="6"/>
  <c r="CT311" i="6"/>
  <c r="CT321" i="6"/>
  <c r="CT330" i="6"/>
  <c r="CT338" i="6"/>
  <c r="CT346" i="6"/>
  <c r="CT290" i="6"/>
  <c r="CT301" i="6"/>
  <c r="CT307" i="6"/>
  <c r="CT327" i="6"/>
  <c r="CT335" i="6"/>
  <c r="CT343" i="6"/>
  <c r="CT313" i="6"/>
  <c r="CT324" i="6"/>
  <c r="CT342" i="6"/>
  <c r="CT352" i="6"/>
  <c r="CT360" i="6"/>
  <c r="CT316" i="6"/>
  <c r="CT329" i="6"/>
  <c r="CT345" i="6"/>
  <c r="CT349" i="6"/>
  <c r="CT357" i="6"/>
  <c r="CT287" i="6"/>
  <c r="CT308" i="6"/>
  <c r="CT334" i="6"/>
  <c r="CT348" i="6"/>
  <c r="CT354" i="6"/>
  <c r="CT362" i="6"/>
  <c r="CT370" i="6"/>
  <c r="CT378" i="6"/>
  <c r="CT337" i="6"/>
  <c r="CT341" i="6"/>
  <c r="CT351" i="6"/>
  <c r="CT359" i="6"/>
  <c r="CT367" i="6"/>
  <c r="CT375" i="6"/>
  <c r="CT383" i="6"/>
  <c r="CT302" i="6"/>
  <c r="CT332" i="6"/>
  <c r="CT344" i="6"/>
  <c r="CT356" i="6"/>
  <c r="CT365" i="6"/>
  <c r="CT379" i="6"/>
  <c r="CT385" i="6"/>
  <c r="CT393" i="6"/>
  <c r="CT401" i="6"/>
  <c r="CT320" i="6"/>
  <c r="CT347" i="6"/>
  <c r="CT361" i="6"/>
  <c r="CT364" i="6"/>
  <c r="CT368" i="6"/>
  <c r="CT390" i="6"/>
  <c r="CT336" i="6"/>
  <c r="CT350" i="6"/>
  <c r="CT371" i="6"/>
  <c r="CT387" i="6"/>
  <c r="CT395" i="6"/>
  <c r="CT331" i="6"/>
  <c r="CT339" i="6"/>
  <c r="CT355" i="6"/>
  <c r="CT374" i="6"/>
  <c r="CT384" i="6"/>
  <c r="CT392" i="6"/>
  <c r="CT400" i="6"/>
  <c r="CT377" i="6"/>
  <c r="CT389" i="6"/>
  <c r="CT406" i="6"/>
  <c r="CT409" i="6"/>
  <c r="CT366" i="6"/>
  <c r="CT380" i="6"/>
  <c r="CT394" i="6"/>
  <c r="CT399" i="6"/>
  <c r="CT414" i="6"/>
  <c r="CT323" i="6"/>
  <c r="CT326" i="6"/>
  <c r="CT358" i="6"/>
  <c r="CT369" i="6"/>
  <c r="CT382" i="6"/>
  <c r="CT402" i="6"/>
  <c r="CT407" i="6"/>
  <c r="CT411" i="6"/>
  <c r="CT419" i="6"/>
  <c r="CT427" i="6"/>
  <c r="CT312" i="6"/>
  <c r="CT372" i="6"/>
  <c r="CT388" i="6"/>
  <c r="CT398" i="6"/>
  <c r="CT408" i="6"/>
  <c r="CT416" i="6"/>
  <c r="CT424" i="6"/>
  <c r="CT432" i="6"/>
  <c r="CT403" i="6"/>
  <c r="CT413" i="6"/>
  <c r="CT418" i="6"/>
  <c r="CT422" i="6"/>
  <c r="CT436" i="6"/>
  <c r="CT444" i="6"/>
  <c r="CT452" i="6"/>
  <c r="CT353" i="6"/>
  <c r="CT386" i="6"/>
  <c r="CT415" i="6"/>
  <c r="CT421" i="6"/>
  <c r="CT425" i="6"/>
  <c r="CT441" i="6"/>
  <c r="CT449" i="6"/>
  <c r="CT457" i="6"/>
  <c r="CT373" i="6"/>
  <c r="CT404" i="6"/>
  <c r="CT428" i="6"/>
  <c r="CT438" i="6"/>
  <c r="CT446" i="6"/>
  <c r="CT454" i="6"/>
  <c r="CT462" i="6"/>
  <c r="CT470" i="6"/>
  <c r="CT478" i="6"/>
  <c r="CT396" i="6"/>
  <c r="CT405" i="6"/>
  <c r="CT412" i="6"/>
  <c r="CT417" i="6"/>
  <c r="CT431" i="6"/>
  <c r="CT435" i="6"/>
  <c r="CT443" i="6"/>
  <c r="CT451" i="6"/>
  <c r="CT459" i="6"/>
  <c r="CT467" i="6"/>
  <c r="CT475" i="6"/>
  <c r="CT317" i="6"/>
  <c r="CT381" i="6"/>
  <c r="CT440" i="6"/>
  <c r="CT456" i="6"/>
  <c r="CT469" i="6"/>
  <c r="CT473" i="6"/>
  <c r="CT483" i="6"/>
  <c r="CT491" i="6"/>
  <c r="CT499" i="6"/>
  <c r="CT507" i="6"/>
  <c r="CT515" i="6"/>
  <c r="CT495" i="6"/>
  <c r="CT397" i="6"/>
  <c r="CT410" i="6"/>
  <c r="CT445" i="6"/>
  <c r="CT472" i="6"/>
  <c r="CT476" i="6"/>
  <c r="CT480" i="6"/>
  <c r="CT488" i="6"/>
  <c r="CT496" i="6"/>
  <c r="CT504" i="6"/>
  <c r="CT512" i="6"/>
  <c r="CT487" i="6"/>
  <c r="CT391" i="6"/>
  <c r="CT430" i="6"/>
  <c r="CT434" i="6"/>
  <c r="CT450" i="6"/>
  <c r="CT461" i="6"/>
  <c r="CT465" i="6"/>
  <c r="CT479" i="6"/>
  <c r="CT485" i="6"/>
  <c r="CT493" i="6"/>
  <c r="CT501" i="6"/>
  <c r="CT509" i="6"/>
  <c r="CT264" i="6"/>
  <c r="CT340" i="6"/>
  <c r="CT471" i="6"/>
  <c r="CT511" i="6"/>
  <c r="CT433" i="6"/>
  <c r="CT439" i="6"/>
  <c r="CT455" i="6"/>
  <c r="CT464" i="6"/>
  <c r="CT468" i="6"/>
  <c r="CT482" i="6"/>
  <c r="CT490" i="6"/>
  <c r="CT498" i="6"/>
  <c r="CT506" i="6"/>
  <c r="CT514" i="6"/>
  <c r="CT420" i="6"/>
  <c r="CT448" i="6"/>
  <c r="CT503" i="6"/>
  <c r="CT437" i="6"/>
  <c r="CT442" i="6"/>
  <c r="CT447" i="6"/>
  <c r="CT463" i="6"/>
  <c r="CT489" i="6"/>
  <c r="CT453" i="6"/>
  <c r="CT458" i="6"/>
  <c r="CT474" i="6"/>
  <c r="CT460" i="6"/>
  <c r="CT510" i="6"/>
  <c r="CT481" i="6"/>
  <c r="CT423" i="6"/>
  <c r="CT426" i="6"/>
  <c r="CT429" i="6"/>
  <c r="CT513" i="6"/>
  <c r="CT516" i="6"/>
  <c r="CT494" i="6"/>
  <c r="CT500" i="6"/>
  <c r="CT486" i="6"/>
  <c r="CT477" i="6"/>
  <c r="CT484" i="6"/>
  <c r="CT363" i="6"/>
  <c r="CT376" i="6"/>
  <c r="CT502" i="6"/>
  <c r="CT505" i="6"/>
  <c r="CT508" i="6"/>
  <c r="CT497" i="6"/>
  <c r="CT492" i="6"/>
  <c r="CT466" i="6"/>
  <c r="X267" i="6"/>
  <c r="X269" i="6"/>
  <c r="X265" i="6"/>
  <c r="X272" i="6"/>
  <c r="X266" i="6"/>
  <c r="X273" i="6"/>
  <c r="X276" i="6"/>
  <c r="X285" i="6"/>
  <c r="X270" i="6"/>
  <c r="X275" i="6"/>
  <c r="X278" i="6"/>
  <c r="X282" i="6"/>
  <c r="X268" i="6"/>
  <c r="X271" i="6"/>
  <c r="X281" i="6"/>
  <c r="X293" i="6"/>
  <c r="X301" i="6"/>
  <c r="X277" i="6"/>
  <c r="X284" i="6"/>
  <c r="X290" i="6"/>
  <c r="X298" i="6"/>
  <c r="X287" i="6"/>
  <c r="X297" i="6"/>
  <c r="X280" i="6"/>
  <c r="X283" i="6"/>
  <c r="X289" i="6"/>
  <c r="X303" i="6"/>
  <c r="X307" i="6"/>
  <c r="X286" i="6"/>
  <c r="X292" i="6"/>
  <c r="X296" i="6"/>
  <c r="X312" i="6"/>
  <c r="X295" i="6"/>
  <c r="X299" i="6"/>
  <c r="X279" i="6"/>
  <c r="X300" i="6"/>
  <c r="X302" i="6"/>
  <c r="X306" i="6"/>
  <c r="X310" i="6"/>
  <c r="X316" i="6"/>
  <c r="X324" i="6"/>
  <c r="X309" i="6"/>
  <c r="X313" i="6"/>
  <c r="X321" i="6"/>
  <c r="X311" i="6"/>
  <c r="X315" i="6"/>
  <c r="X319" i="6"/>
  <c r="X330" i="6"/>
  <c r="X288" i="6"/>
  <c r="X318" i="6"/>
  <c r="X322" i="6"/>
  <c r="X327" i="6"/>
  <c r="X335" i="6"/>
  <c r="X274" i="6"/>
  <c r="X308" i="6"/>
  <c r="X332" i="6"/>
  <c r="X340" i="6"/>
  <c r="X348" i="6"/>
  <c r="X294" i="6"/>
  <c r="X314" i="6"/>
  <c r="X329" i="6"/>
  <c r="X337" i="6"/>
  <c r="X345" i="6"/>
  <c r="X317" i="6"/>
  <c r="X326" i="6"/>
  <c r="X342" i="6"/>
  <c r="X346" i="6"/>
  <c r="X354" i="6"/>
  <c r="X362" i="6"/>
  <c r="X320" i="6"/>
  <c r="X331" i="6"/>
  <c r="X349" i="6"/>
  <c r="X351" i="6"/>
  <c r="X359" i="6"/>
  <c r="X323" i="6"/>
  <c r="X336" i="6"/>
  <c r="X338" i="6"/>
  <c r="X356" i="6"/>
  <c r="X364" i="6"/>
  <c r="X372" i="6"/>
  <c r="X380" i="6"/>
  <c r="X305" i="6"/>
  <c r="X325" i="6"/>
  <c r="X341" i="6"/>
  <c r="X353" i="6"/>
  <c r="X361" i="6"/>
  <c r="X369" i="6"/>
  <c r="X377" i="6"/>
  <c r="X304" i="6"/>
  <c r="X358" i="6"/>
  <c r="X365" i="6"/>
  <c r="X379" i="6"/>
  <c r="X387" i="6"/>
  <c r="X395" i="6"/>
  <c r="X403" i="6"/>
  <c r="X363" i="6"/>
  <c r="X368" i="6"/>
  <c r="X382" i="6"/>
  <c r="X384" i="6"/>
  <c r="X392" i="6"/>
  <c r="X328" i="6"/>
  <c r="X352" i="6"/>
  <c r="X371" i="6"/>
  <c r="X375" i="6"/>
  <c r="X389" i="6"/>
  <c r="X397" i="6"/>
  <c r="X343" i="6"/>
  <c r="X357" i="6"/>
  <c r="X374" i="6"/>
  <c r="X378" i="6"/>
  <c r="X386" i="6"/>
  <c r="X394" i="6"/>
  <c r="X402" i="6"/>
  <c r="X367" i="6"/>
  <c r="X381" i="6"/>
  <c r="X391" i="6"/>
  <c r="X406" i="6"/>
  <c r="X411" i="6"/>
  <c r="X347" i="6"/>
  <c r="X355" i="6"/>
  <c r="X370" i="6"/>
  <c r="X396" i="6"/>
  <c r="X399" i="6"/>
  <c r="X407" i="6"/>
  <c r="X373" i="6"/>
  <c r="X385" i="6"/>
  <c r="X408" i="6"/>
  <c r="X413" i="6"/>
  <c r="X421" i="6"/>
  <c r="X429" i="6"/>
  <c r="X333" i="6"/>
  <c r="X376" i="6"/>
  <c r="X383" i="6"/>
  <c r="X390" i="6"/>
  <c r="X410" i="6"/>
  <c r="X418" i="6"/>
  <c r="X426" i="6"/>
  <c r="X434" i="6"/>
  <c r="X334" i="6"/>
  <c r="X344" i="6"/>
  <c r="X422" i="6"/>
  <c r="X438" i="6"/>
  <c r="X446" i="6"/>
  <c r="X454" i="6"/>
  <c r="X366" i="6"/>
  <c r="X404" i="6"/>
  <c r="X425" i="6"/>
  <c r="X435" i="6"/>
  <c r="X443" i="6"/>
  <c r="X451" i="6"/>
  <c r="X291" i="6"/>
  <c r="X360" i="6"/>
  <c r="X393" i="6"/>
  <c r="X405" i="6"/>
  <c r="X409" i="6"/>
  <c r="X415" i="6"/>
  <c r="X428" i="6"/>
  <c r="X432" i="6"/>
  <c r="X440" i="6"/>
  <c r="X448" i="6"/>
  <c r="X456" i="6"/>
  <c r="X464" i="6"/>
  <c r="X472" i="6"/>
  <c r="X480" i="6"/>
  <c r="X400" i="6"/>
  <c r="X414" i="6"/>
  <c r="X417" i="6"/>
  <c r="X431" i="6"/>
  <c r="X437" i="6"/>
  <c r="X445" i="6"/>
  <c r="X453" i="6"/>
  <c r="X461" i="6"/>
  <c r="X469" i="6"/>
  <c r="X477" i="6"/>
  <c r="X420" i="6"/>
  <c r="X442" i="6"/>
  <c r="X458" i="6"/>
  <c r="X459" i="6"/>
  <c r="X473" i="6"/>
  <c r="X485" i="6"/>
  <c r="X493" i="6"/>
  <c r="X501" i="6"/>
  <c r="X509" i="6"/>
  <c r="X264" i="6"/>
  <c r="X481" i="6"/>
  <c r="X412" i="6"/>
  <c r="X401" i="6"/>
  <c r="X416" i="6"/>
  <c r="X423" i="6"/>
  <c r="X447" i="6"/>
  <c r="X462" i="6"/>
  <c r="X476" i="6"/>
  <c r="X482" i="6"/>
  <c r="X490" i="6"/>
  <c r="X498" i="6"/>
  <c r="X506" i="6"/>
  <c r="X514" i="6"/>
  <c r="X505" i="6"/>
  <c r="X513" i="6"/>
  <c r="X388" i="6"/>
  <c r="X436" i="6"/>
  <c r="X452" i="6"/>
  <c r="X465" i="6"/>
  <c r="X479" i="6"/>
  <c r="X487" i="6"/>
  <c r="X495" i="6"/>
  <c r="X503" i="6"/>
  <c r="X511" i="6"/>
  <c r="X450" i="6"/>
  <c r="X475" i="6"/>
  <c r="X497" i="6"/>
  <c r="X441" i="6"/>
  <c r="X457" i="6"/>
  <c r="X468" i="6"/>
  <c r="X484" i="6"/>
  <c r="X492" i="6"/>
  <c r="X500" i="6"/>
  <c r="X508" i="6"/>
  <c r="X516" i="6"/>
  <c r="X398" i="6"/>
  <c r="X424" i="6"/>
  <c r="X471" i="6"/>
  <c r="X489" i="6"/>
  <c r="X483" i="6"/>
  <c r="X486" i="6"/>
  <c r="X419" i="6"/>
  <c r="X444" i="6"/>
  <c r="X504" i="6"/>
  <c r="X502" i="6"/>
  <c r="X494" i="6"/>
  <c r="X427" i="6"/>
  <c r="X433" i="6"/>
  <c r="X455" i="6"/>
  <c r="X460" i="6"/>
  <c r="X467" i="6"/>
  <c r="X507" i="6"/>
  <c r="X499" i="6"/>
  <c r="X488" i="6"/>
  <c r="X350" i="6"/>
  <c r="X466" i="6"/>
  <c r="X474" i="6"/>
  <c r="X512" i="6"/>
  <c r="X439" i="6"/>
  <c r="X449" i="6"/>
  <c r="X496" i="6"/>
  <c r="X491" i="6"/>
  <c r="X463" i="6"/>
  <c r="X470" i="6"/>
  <c r="X478" i="6"/>
  <c r="X430" i="6"/>
  <c r="X515" i="6"/>
  <c r="X510" i="6"/>
  <c r="X339" i="6"/>
  <c r="AA268" i="6"/>
  <c r="AA265" i="6"/>
  <c r="AA270" i="6"/>
  <c r="AA269" i="6"/>
  <c r="AA272" i="6"/>
  <c r="AA274" i="6"/>
  <c r="AA277" i="6"/>
  <c r="AA271" i="6"/>
  <c r="AA267" i="6"/>
  <c r="AA286" i="6"/>
  <c r="AA276" i="6"/>
  <c r="AA283" i="6"/>
  <c r="AA279" i="6"/>
  <c r="AA282" i="6"/>
  <c r="AA294" i="6"/>
  <c r="AA302" i="6"/>
  <c r="AA285" i="6"/>
  <c r="AA291" i="6"/>
  <c r="AA299" i="6"/>
  <c r="AA298" i="6"/>
  <c r="AA280" i="6"/>
  <c r="AA290" i="6"/>
  <c r="AA304" i="6"/>
  <c r="AA308" i="6"/>
  <c r="AA287" i="6"/>
  <c r="AA293" i="6"/>
  <c r="AA297" i="6"/>
  <c r="AA275" i="6"/>
  <c r="AA301" i="6"/>
  <c r="AA303" i="6"/>
  <c r="AA289" i="6"/>
  <c r="AA278" i="6"/>
  <c r="AA284" i="6"/>
  <c r="AA292" i="6"/>
  <c r="AA305" i="6"/>
  <c r="AA307" i="6"/>
  <c r="AA311" i="6"/>
  <c r="AA317" i="6"/>
  <c r="AA266" i="6"/>
  <c r="AA295" i="6"/>
  <c r="AA300" i="6"/>
  <c r="AA310" i="6"/>
  <c r="AA314" i="6"/>
  <c r="AA322" i="6"/>
  <c r="AA316" i="6"/>
  <c r="AA320" i="6"/>
  <c r="AA331" i="6"/>
  <c r="AA319" i="6"/>
  <c r="AA323" i="6"/>
  <c r="AA328" i="6"/>
  <c r="AA336" i="6"/>
  <c r="AA288" i="6"/>
  <c r="AA325" i="6"/>
  <c r="AA333" i="6"/>
  <c r="AA341" i="6"/>
  <c r="AA349" i="6"/>
  <c r="AA315" i="6"/>
  <c r="AA330" i="6"/>
  <c r="AA338" i="6"/>
  <c r="AA346" i="6"/>
  <c r="AA296" i="6"/>
  <c r="AA327" i="6"/>
  <c r="AA343" i="6"/>
  <c r="AA347" i="6"/>
  <c r="AA355" i="6"/>
  <c r="AA363" i="6"/>
  <c r="AA281" i="6"/>
  <c r="AA306" i="6"/>
  <c r="AA332" i="6"/>
  <c r="AA350" i="6"/>
  <c r="AA352" i="6"/>
  <c r="AA360" i="6"/>
  <c r="AA339" i="6"/>
  <c r="AA357" i="6"/>
  <c r="AA365" i="6"/>
  <c r="AA373" i="6"/>
  <c r="AA381" i="6"/>
  <c r="AA326" i="6"/>
  <c r="AA342" i="6"/>
  <c r="AA354" i="6"/>
  <c r="AA362" i="6"/>
  <c r="AA370" i="6"/>
  <c r="AA378" i="6"/>
  <c r="AA318" i="6"/>
  <c r="AA345" i="6"/>
  <c r="AA359" i="6"/>
  <c r="AA366" i="6"/>
  <c r="AA380" i="6"/>
  <c r="AA388" i="6"/>
  <c r="AA396" i="6"/>
  <c r="AA404" i="6"/>
  <c r="AA273" i="6"/>
  <c r="AA348" i="6"/>
  <c r="AA364" i="6"/>
  <c r="AA369" i="6"/>
  <c r="AA383" i="6"/>
  <c r="AA385" i="6"/>
  <c r="AA393" i="6"/>
  <c r="AA309" i="6"/>
  <c r="AA312" i="6"/>
  <c r="AA324" i="6"/>
  <c r="AA329" i="6"/>
  <c r="AA337" i="6"/>
  <c r="AA353" i="6"/>
  <c r="AA372" i="6"/>
  <c r="AA376" i="6"/>
  <c r="AA390" i="6"/>
  <c r="AA313" i="6"/>
  <c r="AA340" i="6"/>
  <c r="AA358" i="6"/>
  <c r="AA375" i="6"/>
  <c r="AA379" i="6"/>
  <c r="AA387" i="6"/>
  <c r="AA395" i="6"/>
  <c r="AA403" i="6"/>
  <c r="AA335" i="6"/>
  <c r="AA392" i="6"/>
  <c r="AA412" i="6"/>
  <c r="AA321" i="6"/>
  <c r="AA356" i="6"/>
  <c r="AA367" i="6"/>
  <c r="AA397" i="6"/>
  <c r="AA400" i="6"/>
  <c r="AA405" i="6"/>
  <c r="AA409" i="6"/>
  <c r="AA386" i="6"/>
  <c r="AA406" i="6"/>
  <c r="AA414" i="6"/>
  <c r="AA422" i="6"/>
  <c r="AA430" i="6"/>
  <c r="AA391" i="6"/>
  <c r="AA411" i="6"/>
  <c r="AA419" i="6"/>
  <c r="AA427" i="6"/>
  <c r="AA351" i="6"/>
  <c r="AA382" i="6"/>
  <c r="AA384" i="6"/>
  <c r="AA399" i="6"/>
  <c r="AA423" i="6"/>
  <c r="AA439" i="6"/>
  <c r="AA447" i="6"/>
  <c r="AA455" i="6"/>
  <c r="AA371" i="6"/>
  <c r="AA402" i="6"/>
  <c r="AA426" i="6"/>
  <c r="AA436" i="6"/>
  <c r="AA444" i="6"/>
  <c r="AA452" i="6"/>
  <c r="AA394" i="6"/>
  <c r="AA410" i="6"/>
  <c r="AA429" i="6"/>
  <c r="AA433" i="6"/>
  <c r="AA441" i="6"/>
  <c r="AA449" i="6"/>
  <c r="AA457" i="6"/>
  <c r="AA465" i="6"/>
  <c r="AA473" i="6"/>
  <c r="AA334" i="6"/>
  <c r="AA344" i="6"/>
  <c r="AA377" i="6"/>
  <c r="AA418" i="6"/>
  <c r="AA432" i="6"/>
  <c r="AA438" i="6"/>
  <c r="AA446" i="6"/>
  <c r="AA454" i="6"/>
  <c r="AA462" i="6"/>
  <c r="AA470" i="6"/>
  <c r="AA478" i="6"/>
  <c r="AA368" i="6"/>
  <c r="AA425" i="6"/>
  <c r="AA443" i="6"/>
  <c r="AA460" i="6"/>
  <c r="AA474" i="6"/>
  <c r="AA486" i="6"/>
  <c r="AA494" i="6"/>
  <c r="AA502" i="6"/>
  <c r="AA510" i="6"/>
  <c r="AA514" i="6"/>
  <c r="AA389" i="6"/>
  <c r="AA408" i="6"/>
  <c r="AA428" i="6"/>
  <c r="AA448" i="6"/>
  <c r="AA459" i="6"/>
  <c r="AA463" i="6"/>
  <c r="AA477" i="6"/>
  <c r="AA483" i="6"/>
  <c r="AA491" i="6"/>
  <c r="AA499" i="6"/>
  <c r="AA507" i="6"/>
  <c r="AA515" i="6"/>
  <c r="AA506" i="6"/>
  <c r="AA413" i="6"/>
  <c r="AA415" i="6"/>
  <c r="AA416" i="6"/>
  <c r="AA417" i="6"/>
  <c r="AA431" i="6"/>
  <c r="AA437" i="6"/>
  <c r="AA453" i="6"/>
  <c r="AA466" i="6"/>
  <c r="AA480" i="6"/>
  <c r="AA488" i="6"/>
  <c r="AA496" i="6"/>
  <c r="AA504" i="6"/>
  <c r="AA512" i="6"/>
  <c r="AA407" i="6"/>
  <c r="AA421" i="6"/>
  <c r="AA435" i="6"/>
  <c r="AA451" i="6"/>
  <c r="AA472" i="6"/>
  <c r="AA498" i="6"/>
  <c r="AA401" i="6"/>
  <c r="AA420" i="6"/>
  <c r="AA434" i="6"/>
  <c r="AA442" i="6"/>
  <c r="AA458" i="6"/>
  <c r="AA469" i="6"/>
  <c r="AA485" i="6"/>
  <c r="AA493" i="6"/>
  <c r="AA501" i="6"/>
  <c r="AA509" i="6"/>
  <c r="AA264" i="6"/>
  <c r="AA476" i="6"/>
  <c r="AA482" i="6"/>
  <c r="AA490" i="6"/>
  <c r="AA513" i="6"/>
  <c r="AA516" i="6"/>
  <c r="AA424" i="6"/>
  <c r="AA468" i="6"/>
  <c r="AA505" i="6"/>
  <c r="AA508" i="6"/>
  <c r="AA511" i="6"/>
  <c r="AA500" i="6"/>
  <c r="AA503" i="6"/>
  <c r="AA487" i="6"/>
  <c r="AA440" i="6"/>
  <c r="AA450" i="6"/>
  <c r="AA461" i="6"/>
  <c r="AA361" i="6"/>
  <c r="AA497" i="6"/>
  <c r="AA481" i="6"/>
  <c r="AA484" i="6"/>
  <c r="AA467" i="6"/>
  <c r="AA456" i="6"/>
  <c r="AA464" i="6"/>
  <c r="AA471" i="6"/>
  <c r="AA479" i="6"/>
  <c r="AA445" i="6"/>
  <c r="AA489" i="6"/>
  <c r="AA492" i="6"/>
  <c r="AA495" i="6"/>
  <c r="AA374" i="6"/>
  <c r="AA398" i="6"/>
  <c r="AA475" i="6"/>
  <c r="BB269" i="6"/>
  <c r="BB266" i="6"/>
  <c r="BB271" i="6"/>
  <c r="BB268" i="6"/>
  <c r="BB273" i="6"/>
  <c r="BB265" i="6"/>
  <c r="BB278" i="6"/>
  <c r="BB272" i="6"/>
  <c r="BB275" i="6"/>
  <c r="BB279" i="6"/>
  <c r="BB267" i="6"/>
  <c r="BB270" i="6"/>
  <c r="BB284" i="6"/>
  <c r="BB276" i="6"/>
  <c r="BB281" i="6"/>
  <c r="BB285" i="6"/>
  <c r="BB274" i="6"/>
  <c r="BB287" i="6"/>
  <c r="BB295" i="6"/>
  <c r="BB303" i="6"/>
  <c r="BB277" i="6"/>
  <c r="BB280" i="6"/>
  <c r="BB292" i="6"/>
  <c r="BB300" i="6"/>
  <c r="BB289" i="6"/>
  <c r="BB293" i="6"/>
  <c r="BB296" i="6"/>
  <c r="BB299" i="6"/>
  <c r="BB309" i="6"/>
  <c r="BB282" i="6"/>
  <c r="BB288" i="6"/>
  <c r="BB302" i="6"/>
  <c r="BB306" i="6"/>
  <c r="BB291" i="6"/>
  <c r="BB310" i="6"/>
  <c r="BB286" i="6"/>
  <c r="BB294" i="6"/>
  <c r="BB297" i="6"/>
  <c r="BB318" i="6"/>
  <c r="BB315" i="6"/>
  <c r="BB323" i="6"/>
  <c r="BB283" i="6"/>
  <c r="BB311" i="6"/>
  <c r="BB332" i="6"/>
  <c r="BB314" i="6"/>
  <c r="BB329" i="6"/>
  <c r="BB317" i="6"/>
  <c r="BB321" i="6"/>
  <c r="BB326" i="6"/>
  <c r="BB334" i="6"/>
  <c r="BB342" i="6"/>
  <c r="BB290" i="6"/>
  <c r="BB307" i="6"/>
  <c r="BB320" i="6"/>
  <c r="BB324" i="6"/>
  <c r="BB331" i="6"/>
  <c r="BB339" i="6"/>
  <c r="BB347" i="6"/>
  <c r="BB304" i="6"/>
  <c r="BB308" i="6"/>
  <c r="BB313" i="6"/>
  <c r="BB336" i="6"/>
  <c r="BB338" i="6"/>
  <c r="BB356" i="6"/>
  <c r="BB316" i="6"/>
  <c r="BB325" i="6"/>
  <c r="BB341" i="6"/>
  <c r="BB345" i="6"/>
  <c r="BB353" i="6"/>
  <c r="BB361" i="6"/>
  <c r="BB319" i="6"/>
  <c r="BB330" i="6"/>
  <c r="BB344" i="6"/>
  <c r="BB348" i="6"/>
  <c r="BB350" i="6"/>
  <c r="BB358" i="6"/>
  <c r="BB366" i="6"/>
  <c r="BB374" i="6"/>
  <c r="BB382" i="6"/>
  <c r="BB301" i="6"/>
  <c r="BB322" i="6"/>
  <c r="BB335" i="6"/>
  <c r="BB337" i="6"/>
  <c r="BB355" i="6"/>
  <c r="BB363" i="6"/>
  <c r="BB371" i="6"/>
  <c r="BB379" i="6"/>
  <c r="BB328" i="6"/>
  <c r="BB352" i="6"/>
  <c r="BB375" i="6"/>
  <c r="BB389" i="6"/>
  <c r="BB397" i="6"/>
  <c r="BB405" i="6"/>
  <c r="BB357" i="6"/>
  <c r="BB364" i="6"/>
  <c r="BB378" i="6"/>
  <c r="BB383" i="6"/>
  <c r="BB386" i="6"/>
  <c r="BB394" i="6"/>
  <c r="BB362" i="6"/>
  <c r="BB367" i="6"/>
  <c r="BB381" i="6"/>
  <c r="BB391" i="6"/>
  <c r="BB305" i="6"/>
  <c r="BB327" i="6"/>
  <c r="BB351" i="6"/>
  <c r="BB370" i="6"/>
  <c r="BB388" i="6"/>
  <c r="BB396" i="6"/>
  <c r="BB377" i="6"/>
  <c r="BB385" i="6"/>
  <c r="BB399" i="6"/>
  <c r="BB413" i="6"/>
  <c r="BB343" i="6"/>
  <c r="BB380" i="6"/>
  <c r="BB390" i="6"/>
  <c r="BB402" i="6"/>
  <c r="BB410" i="6"/>
  <c r="BB354" i="6"/>
  <c r="BB369" i="6"/>
  <c r="BB395" i="6"/>
  <c r="BB398" i="6"/>
  <c r="BB406" i="6"/>
  <c r="BB415" i="6"/>
  <c r="BB423" i="6"/>
  <c r="BB431" i="6"/>
  <c r="BB349" i="6"/>
  <c r="BB372" i="6"/>
  <c r="BB384" i="6"/>
  <c r="BB401" i="6"/>
  <c r="BB407" i="6"/>
  <c r="BB412" i="6"/>
  <c r="BB420" i="6"/>
  <c r="BB428" i="6"/>
  <c r="BB340" i="6"/>
  <c r="BB373" i="6"/>
  <c r="BB393" i="6"/>
  <c r="BB409" i="6"/>
  <c r="BB416" i="6"/>
  <c r="BB418" i="6"/>
  <c r="BB432" i="6"/>
  <c r="BB440" i="6"/>
  <c r="BB448" i="6"/>
  <c r="BB456" i="6"/>
  <c r="BB298" i="6"/>
  <c r="BB414" i="6"/>
  <c r="BB417" i="6"/>
  <c r="BB421" i="6"/>
  <c r="BB437" i="6"/>
  <c r="BB445" i="6"/>
  <c r="BB453" i="6"/>
  <c r="BB424" i="6"/>
  <c r="BB442" i="6"/>
  <c r="BB450" i="6"/>
  <c r="BB458" i="6"/>
  <c r="BB466" i="6"/>
  <c r="BB474" i="6"/>
  <c r="BB359" i="6"/>
  <c r="BB368" i="6"/>
  <c r="BB392" i="6"/>
  <c r="BB408" i="6"/>
  <c r="BB427" i="6"/>
  <c r="BB439" i="6"/>
  <c r="BB447" i="6"/>
  <c r="BB455" i="6"/>
  <c r="BB463" i="6"/>
  <c r="BB471" i="6"/>
  <c r="BB479" i="6"/>
  <c r="BB360" i="6"/>
  <c r="BB430" i="6"/>
  <c r="BB436" i="6"/>
  <c r="BB452" i="6"/>
  <c r="BB465" i="6"/>
  <c r="BB469" i="6"/>
  <c r="BB487" i="6"/>
  <c r="BB495" i="6"/>
  <c r="BB503" i="6"/>
  <c r="BB511" i="6"/>
  <c r="BB333" i="6"/>
  <c r="BB376" i="6"/>
  <c r="BB419" i="6"/>
  <c r="BB433" i="6"/>
  <c r="BB441" i="6"/>
  <c r="BB457" i="6"/>
  <c r="BB468" i="6"/>
  <c r="BB472" i="6"/>
  <c r="BB484" i="6"/>
  <c r="BB492" i="6"/>
  <c r="BB500" i="6"/>
  <c r="BB508" i="6"/>
  <c r="BB516" i="6"/>
  <c r="BB491" i="6"/>
  <c r="BB515" i="6"/>
  <c r="BB365" i="6"/>
  <c r="BB422" i="6"/>
  <c r="BB446" i="6"/>
  <c r="BB461" i="6"/>
  <c r="BB475" i="6"/>
  <c r="BB481" i="6"/>
  <c r="BB489" i="6"/>
  <c r="BB497" i="6"/>
  <c r="BB505" i="6"/>
  <c r="BB513" i="6"/>
  <c r="BB444" i="6"/>
  <c r="BB483" i="6"/>
  <c r="BB499" i="6"/>
  <c r="BB507" i="6"/>
  <c r="BB403" i="6"/>
  <c r="BB425" i="6"/>
  <c r="BB435" i="6"/>
  <c r="BB451" i="6"/>
  <c r="BB460" i="6"/>
  <c r="BB464" i="6"/>
  <c r="BB478" i="6"/>
  <c r="BB486" i="6"/>
  <c r="BB494" i="6"/>
  <c r="BB502" i="6"/>
  <c r="BB510" i="6"/>
  <c r="BB467" i="6"/>
  <c r="BB476" i="6"/>
  <c r="BB490" i="6"/>
  <c r="BB493" i="6"/>
  <c r="BB496" i="6"/>
  <c r="BB264" i="6"/>
  <c r="BB501" i="6"/>
  <c r="BB404" i="6"/>
  <c r="BB449" i="6"/>
  <c r="BB454" i="6"/>
  <c r="BB473" i="6"/>
  <c r="BB482" i="6"/>
  <c r="BB485" i="6"/>
  <c r="BB488" i="6"/>
  <c r="BB429" i="6"/>
  <c r="BB434" i="6"/>
  <c r="BB346" i="6"/>
  <c r="BB400" i="6"/>
  <c r="BB506" i="6"/>
  <c r="BB509" i="6"/>
  <c r="BB438" i="6"/>
  <c r="BB443" i="6"/>
  <c r="BB462" i="6"/>
  <c r="BB470" i="6"/>
  <c r="BB477" i="6"/>
  <c r="BB480" i="6"/>
  <c r="BB411" i="6"/>
  <c r="BB504" i="6"/>
  <c r="BB459" i="6"/>
  <c r="BB312" i="6"/>
  <c r="BB387" i="6"/>
  <c r="BB426" i="6"/>
  <c r="BB514" i="6"/>
  <c r="BB512" i="6"/>
  <c r="BB498" i="6"/>
  <c r="CA269" i="6"/>
  <c r="CA266" i="6"/>
  <c r="CA268" i="6"/>
  <c r="CA273" i="6"/>
  <c r="CA265" i="6"/>
  <c r="CA274" i="6"/>
  <c r="CA267" i="6"/>
  <c r="CA271" i="6"/>
  <c r="CA272" i="6"/>
  <c r="CA277" i="6"/>
  <c r="CA282" i="6"/>
  <c r="CA270" i="6"/>
  <c r="CA276" i="6"/>
  <c r="CA279" i="6"/>
  <c r="CA275" i="6"/>
  <c r="CA286" i="6"/>
  <c r="CA278" i="6"/>
  <c r="CA290" i="6"/>
  <c r="CA298" i="6"/>
  <c r="CA281" i="6"/>
  <c r="CA285" i="6"/>
  <c r="CA287" i="6"/>
  <c r="CA295" i="6"/>
  <c r="CA303" i="6"/>
  <c r="CA284" i="6"/>
  <c r="CA294" i="6"/>
  <c r="CA297" i="6"/>
  <c r="CA300" i="6"/>
  <c r="CA304" i="6"/>
  <c r="CA289" i="6"/>
  <c r="CA293" i="6"/>
  <c r="CA309" i="6"/>
  <c r="CA296" i="6"/>
  <c r="CA302" i="6"/>
  <c r="CA288" i="6"/>
  <c r="CA307" i="6"/>
  <c r="CA313" i="6"/>
  <c r="CA321" i="6"/>
  <c r="CA283" i="6"/>
  <c r="CA291" i="6"/>
  <c r="CA306" i="6"/>
  <c r="CA310" i="6"/>
  <c r="CA318" i="6"/>
  <c r="CA292" i="6"/>
  <c r="CA299" i="6"/>
  <c r="CA312" i="6"/>
  <c r="CA316" i="6"/>
  <c r="CA327" i="6"/>
  <c r="CA335" i="6"/>
  <c r="CA315" i="6"/>
  <c r="CA319" i="6"/>
  <c r="CA332" i="6"/>
  <c r="CA280" i="6"/>
  <c r="CA322" i="6"/>
  <c r="CA329" i="6"/>
  <c r="CA337" i="6"/>
  <c r="CA345" i="6"/>
  <c r="CA326" i="6"/>
  <c r="CA334" i="6"/>
  <c r="CA342" i="6"/>
  <c r="CA339" i="6"/>
  <c r="CA343" i="6"/>
  <c r="CA351" i="6"/>
  <c r="CA359" i="6"/>
  <c r="CA328" i="6"/>
  <c r="CA346" i="6"/>
  <c r="CA356" i="6"/>
  <c r="CA305" i="6"/>
  <c r="CA324" i="6"/>
  <c r="CA333" i="6"/>
  <c r="CA349" i="6"/>
  <c r="CA353" i="6"/>
  <c r="CA361" i="6"/>
  <c r="CA369" i="6"/>
  <c r="CA377" i="6"/>
  <c r="CA311" i="6"/>
  <c r="CA338" i="6"/>
  <c r="CA350" i="6"/>
  <c r="CA358" i="6"/>
  <c r="CA366" i="6"/>
  <c r="CA374" i="6"/>
  <c r="CA382" i="6"/>
  <c r="CA341" i="6"/>
  <c r="CA355" i="6"/>
  <c r="CA376" i="6"/>
  <c r="CA380" i="6"/>
  <c r="CA384" i="6"/>
  <c r="CA392" i="6"/>
  <c r="CA400" i="6"/>
  <c r="CA317" i="6"/>
  <c r="CA344" i="6"/>
  <c r="CA360" i="6"/>
  <c r="CA365" i="6"/>
  <c r="CA379" i="6"/>
  <c r="CA389" i="6"/>
  <c r="CA301" i="6"/>
  <c r="CA325" i="6"/>
  <c r="CA347" i="6"/>
  <c r="CA368" i="6"/>
  <c r="CA372" i="6"/>
  <c r="CA386" i="6"/>
  <c r="CA394" i="6"/>
  <c r="CA323" i="6"/>
  <c r="CA336" i="6"/>
  <c r="CA354" i="6"/>
  <c r="CA371" i="6"/>
  <c r="CA375" i="6"/>
  <c r="CA391" i="6"/>
  <c r="CA399" i="6"/>
  <c r="CA314" i="6"/>
  <c r="CA331" i="6"/>
  <c r="CA363" i="6"/>
  <c r="CA388" i="6"/>
  <c r="CA406" i="6"/>
  <c r="CA408" i="6"/>
  <c r="CA416" i="6"/>
  <c r="CA352" i="6"/>
  <c r="CA393" i="6"/>
  <c r="CA407" i="6"/>
  <c r="CA413" i="6"/>
  <c r="CA410" i="6"/>
  <c r="CA418" i="6"/>
  <c r="CA426" i="6"/>
  <c r="CA308" i="6"/>
  <c r="CA340" i="6"/>
  <c r="CA362" i="6"/>
  <c r="CA383" i="6"/>
  <c r="CA387" i="6"/>
  <c r="CA415" i="6"/>
  <c r="CA423" i="6"/>
  <c r="CA431" i="6"/>
  <c r="CA364" i="6"/>
  <c r="CA403" i="6"/>
  <c r="CA412" i="6"/>
  <c r="CA419" i="6"/>
  <c r="CA433" i="6"/>
  <c r="CA435" i="6"/>
  <c r="CA443" i="6"/>
  <c r="CA451" i="6"/>
  <c r="CA348" i="6"/>
  <c r="CA381" i="6"/>
  <c r="CA398" i="6"/>
  <c r="CA404" i="6"/>
  <c r="CA422" i="6"/>
  <c r="CA440" i="6"/>
  <c r="CA448" i="6"/>
  <c r="CA456" i="6"/>
  <c r="CA320" i="6"/>
  <c r="CA370" i="6"/>
  <c r="CA390" i="6"/>
  <c r="CA401" i="6"/>
  <c r="CA405" i="6"/>
  <c r="CA425" i="6"/>
  <c r="CA429" i="6"/>
  <c r="CA437" i="6"/>
  <c r="CA445" i="6"/>
  <c r="CA453" i="6"/>
  <c r="CA461" i="6"/>
  <c r="CA469" i="6"/>
  <c r="CA477" i="6"/>
  <c r="CA411" i="6"/>
  <c r="CA428" i="6"/>
  <c r="CA432" i="6"/>
  <c r="CA434" i="6"/>
  <c r="CA442" i="6"/>
  <c r="CA450" i="6"/>
  <c r="CA458" i="6"/>
  <c r="CA466" i="6"/>
  <c r="CA474" i="6"/>
  <c r="CA396" i="6"/>
  <c r="CA421" i="6"/>
  <c r="CA439" i="6"/>
  <c r="CA455" i="6"/>
  <c r="CA470" i="6"/>
  <c r="CA482" i="6"/>
  <c r="CA490" i="6"/>
  <c r="CA498" i="6"/>
  <c r="CA506" i="6"/>
  <c r="CA514" i="6"/>
  <c r="CA502" i="6"/>
  <c r="CA385" i="6"/>
  <c r="CA424" i="6"/>
  <c r="CA444" i="6"/>
  <c r="CA459" i="6"/>
  <c r="CA473" i="6"/>
  <c r="CA487" i="6"/>
  <c r="CA495" i="6"/>
  <c r="CA503" i="6"/>
  <c r="CA511" i="6"/>
  <c r="CA402" i="6"/>
  <c r="CA510" i="6"/>
  <c r="CA367" i="6"/>
  <c r="CA357" i="6"/>
  <c r="CA414" i="6"/>
  <c r="CA427" i="6"/>
  <c r="CA449" i="6"/>
  <c r="CA462" i="6"/>
  <c r="CA476" i="6"/>
  <c r="CA484" i="6"/>
  <c r="CA492" i="6"/>
  <c r="CA500" i="6"/>
  <c r="CA508" i="6"/>
  <c r="CA516" i="6"/>
  <c r="CA378" i="6"/>
  <c r="CA447" i="6"/>
  <c r="CA468" i="6"/>
  <c r="CA486" i="6"/>
  <c r="CA494" i="6"/>
  <c r="CA330" i="6"/>
  <c r="CA373" i="6"/>
  <c r="CA430" i="6"/>
  <c r="CA438" i="6"/>
  <c r="CA454" i="6"/>
  <c r="CA465" i="6"/>
  <c r="CA479" i="6"/>
  <c r="CA481" i="6"/>
  <c r="CA489" i="6"/>
  <c r="CA497" i="6"/>
  <c r="CA505" i="6"/>
  <c r="CA513" i="6"/>
  <c r="CA417" i="6"/>
  <c r="CA472" i="6"/>
  <c r="CA409" i="6"/>
  <c r="CA420" i="6"/>
  <c r="CA509" i="6"/>
  <c r="CA512" i="6"/>
  <c r="CA515" i="6"/>
  <c r="CA395" i="6"/>
  <c r="CA464" i="6"/>
  <c r="CA501" i="6"/>
  <c r="CA504" i="6"/>
  <c r="CA507" i="6"/>
  <c r="CA499" i="6"/>
  <c r="CA460" i="6"/>
  <c r="CA467" i="6"/>
  <c r="CA452" i="6"/>
  <c r="CA457" i="6"/>
  <c r="CA493" i="6"/>
  <c r="CA496" i="6"/>
  <c r="CA264" i="6"/>
  <c r="CA397" i="6"/>
  <c r="CA436" i="6"/>
  <c r="CA441" i="6"/>
  <c r="CA446" i="6"/>
  <c r="CA463" i="6"/>
  <c r="CA471" i="6"/>
  <c r="CA478" i="6"/>
  <c r="CA485" i="6"/>
  <c r="CA488" i="6"/>
  <c r="CA491" i="6"/>
  <c r="CA475" i="6"/>
  <c r="CA480" i="6"/>
  <c r="CA483" i="6"/>
  <c r="AP265" i="6"/>
  <c r="AP270" i="6"/>
  <c r="AP267" i="6"/>
  <c r="AP271" i="6"/>
  <c r="AP274" i="6"/>
  <c r="AP268" i="6"/>
  <c r="AP269" i="6"/>
  <c r="AP272" i="6"/>
  <c r="AP283" i="6"/>
  <c r="AP266" i="6"/>
  <c r="AP278" i="6"/>
  <c r="AP280" i="6"/>
  <c r="AP276" i="6"/>
  <c r="AP281" i="6"/>
  <c r="AP284" i="6"/>
  <c r="AP273" i="6"/>
  <c r="AP291" i="6"/>
  <c r="AP299" i="6"/>
  <c r="AP288" i="6"/>
  <c r="AP296" i="6"/>
  <c r="AP304" i="6"/>
  <c r="AP289" i="6"/>
  <c r="AP275" i="6"/>
  <c r="AP286" i="6"/>
  <c r="AP292" i="6"/>
  <c r="AP287" i="6"/>
  <c r="AP295" i="6"/>
  <c r="AP298" i="6"/>
  <c r="AP302" i="6"/>
  <c r="AP310" i="6"/>
  <c r="AP306" i="6"/>
  <c r="AP282" i="6"/>
  <c r="AP290" i="6"/>
  <c r="AP303" i="6"/>
  <c r="AP305" i="6"/>
  <c r="AP309" i="6"/>
  <c r="AP293" i="6"/>
  <c r="AP312" i="6"/>
  <c r="AP314" i="6"/>
  <c r="AP322" i="6"/>
  <c r="AP319" i="6"/>
  <c r="AP300" i="6"/>
  <c r="AP308" i="6"/>
  <c r="AP321" i="6"/>
  <c r="AP328" i="6"/>
  <c r="AP336" i="6"/>
  <c r="AP324" i="6"/>
  <c r="AP325" i="6"/>
  <c r="AP333" i="6"/>
  <c r="AP285" i="6"/>
  <c r="AP297" i="6"/>
  <c r="AP311" i="6"/>
  <c r="AP313" i="6"/>
  <c r="AP317" i="6"/>
  <c r="AP330" i="6"/>
  <c r="AP338" i="6"/>
  <c r="AP346" i="6"/>
  <c r="AP301" i="6"/>
  <c r="AP316" i="6"/>
  <c r="AP320" i="6"/>
  <c r="AP327" i="6"/>
  <c r="AP335" i="6"/>
  <c r="AP343" i="6"/>
  <c r="AP279" i="6"/>
  <c r="AP323" i="6"/>
  <c r="AP332" i="6"/>
  <c r="AP348" i="6"/>
  <c r="AP352" i="6"/>
  <c r="AP360" i="6"/>
  <c r="AP277" i="6"/>
  <c r="AP294" i="6"/>
  <c r="AP337" i="6"/>
  <c r="AP341" i="6"/>
  <c r="AP357" i="6"/>
  <c r="AP315" i="6"/>
  <c r="AP326" i="6"/>
  <c r="AP340" i="6"/>
  <c r="AP344" i="6"/>
  <c r="AP354" i="6"/>
  <c r="AP362" i="6"/>
  <c r="AP370" i="6"/>
  <c r="AP378" i="6"/>
  <c r="AP318" i="6"/>
  <c r="AP331" i="6"/>
  <c r="AP347" i="6"/>
  <c r="AP351" i="6"/>
  <c r="AP359" i="6"/>
  <c r="AP367" i="6"/>
  <c r="AP375" i="6"/>
  <c r="AP383" i="6"/>
  <c r="AP364" i="6"/>
  <c r="AP371" i="6"/>
  <c r="AP385" i="6"/>
  <c r="AP393" i="6"/>
  <c r="AP401" i="6"/>
  <c r="AP307" i="6"/>
  <c r="AP353" i="6"/>
  <c r="AP374" i="6"/>
  <c r="AP390" i="6"/>
  <c r="AP334" i="6"/>
  <c r="AP358" i="6"/>
  <c r="AP377" i="6"/>
  <c r="AP381" i="6"/>
  <c r="AP387" i="6"/>
  <c r="AP395" i="6"/>
  <c r="AP349" i="6"/>
  <c r="AP363" i="6"/>
  <c r="AP366" i="6"/>
  <c r="AP380" i="6"/>
  <c r="AP384" i="6"/>
  <c r="AP392" i="6"/>
  <c r="AP400" i="6"/>
  <c r="AP373" i="6"/>
  <c r="AP397" i="6"/>
  <c r="AP402" i="6"/>
  <c r="AP409" i="6"/>
  <c r="AP339" i="6"/>
  <c r="AP361" i="6"/>
  <c r="AP376" i="6"/>
  <c r="AP386" i="6"/>
  <c r="AP398" i="6"/>
  <c r="AP407" i="6"/>
  <c r="AP414" i="6"/>
  <c r="AP350" i="6"/>
  <c r="AP365" i="6"/>
  <c r="AP379" i="6"/>
  <c r="AP391" i="6"/>
  <c r="AP411" i="6"/>
  <c r="AP419" i="6"/>
  <c r="AP427" i="6"/>
  <c r="AP345" i="6"/>
  <c r="AP368" i="6"/>
  <c r="AP382" i="6"/>
  <c r="AP396" i="6"/>
  <c r="AP408" i="6"/>
  <c r="AP416" i="6"/>
  <c r="AP424" i="6"/>
  <c r="AP432" i="6"/>
  <c r="AP369" i="6"/>
  <c r="AP389" i="6"/>
  <c r="AP428" i="6"/>
  <c r="AP436" i="6"/>
  <c r="AP444" i="6"/>
  <c r="AP452" i="6"/>
  <c r="AP404" i="6"/>
  <c r="AP410" i="6"/>
  <c r="AP417" i="6"/>
  <c r="AP431" i="6"/>
  <c r="AP441" i="6"/>
  <c r="AP449" i="6"/>
  <c r="AP457" i="6"/>
  <c r="AP342" i="6"/>
  <c r="AP403" i="6"/>
  <c r="AP405" i="6"/>
  <c r="AP420" i="6"/>
  <c r="AP434" i="6"/>
  <c r="AP438" i="6"/>
  <c r="AP446" i="6"/>
  <c r="AP454" i="6"/>
  <c r="AP462" i="6"/>
  <c r="AP470" i="6"/>
  <c r="AP478" i="6"/>
  <c r="AP355" i="6"/>
  <c r="AP388" i="6"/>
  <c r="AP406" i="6"/>
  <c r="AP423" i="6"/>
  <c r="AP435" i="6"/>
  <c r="AP443" i="6"/>
  <c r="AP451" i="6"/>
  <c r="AP459" i="6"/>
  <c r="AP467" i="6"/>
  <c r="AP475" i="6"/>
  <c r="AP356" i="6"/>
  <c r="AP413" i="6"/>
  <c r="AP426" i="6"/>
  <c r="AP448" i="6"/>
  <c r="AP461" i="6"/>
  <c r="AP465" i="6"/>
  <c r="AP479" i="6"/>
  <c r="AP483" i="6"/>
  <c r="AP491" i="6"/>
  <c r="AP499" i="6"/>
  <c r="AP507" i="6"/>
  <c r="AP515" i="6"/>
  <c r="AP329" i="6"/>
  <c r="AP372" i="6"/>
  <c r="AP394" i="6"/>
  <c r="AP429" i="6"/>
  <c r="AP437" i="6"/>
  <c r="AP453" i="6"/>
  <c r="AP464" i="6"/>
  <c r="AP468" i="6"/>
  <c r="AP480" i="6"/>
  <c r="AP488" i="6"/>
  <c r="AP496" i="6"/>
  <c r="AP504" i="6"/>
  <c r="AP512" i="6"/>
  <c r="AP511" i="6"/>
  <c r="AP415" i="6"/>
  <c r="AP418" i="6"/>
  <c r="AP442" i="6"/>
  <c r="AP458" i="6"/>
  <c r="AP471" i="6"/>
  <c r="AP485" i="6"/>
  <c r="AP493" i="6"/>
  <c r="AP501" i="6"/>
  <c r="AP509" i="6"/>
  <c r="AP264" i="6"/>
  <c r="AP430" i="6"/>
  <c r="AP440" i="6"/>
  <c r="AP456" i="6"/>
  <c r="AP495" i="6"/>
  <c r="AP399" i="6"/>
  <c r="AP412" i="6"/>
  <c r="AP421" i="6"/>
  <c r="AP447" i="6"/>
  <c r="AP460" i="6"/>
  <c r="AP474" i="6"/>
  <c r="AP482" i="6"/>
  <c r="AP490" i="6"/>
  <c r="AP498" i="6"/>
  <c r="AP506" i="6"/>
  <c r="AP514" i="6"/>
  <c r="AP463" i="6"/>
  <c r="AP477" i="6"/>
  <c r="AP487" i="6"/>
  <c r="AP503" i="6"/>
  <c r="AP486" i="6"/>
  <c r="AP489" i="6"/>
  <c r="AP492" i="6"/>
  <c r="AP469" i="6"/>
  <c r="AP497" i="6"/>
  <c r="AP445" i="6"/>
  <c r="AP450" i="6"/>
  <c r="AP455" i="6"/>
  <c r="AP481" i="6"/>
  <c r="AP484" i="6"/>
  <c r="AP472" i="6"/>
  <c r="AP510" i="6"/>
  <c r="AP422" i="6"/>
  <c r="AP425" i="6"/>
  <c r="AP439" i="6"/>
  <c r="AP433" i="6"/>
  <c r="AP476" i="6"/>
  <c r="AP513" i="6"/>
  <c r="AP466" i="6"/>
  <c r="AP473" i="6"/>
  <c r="AP502" i="6"/>
  <c r="AP508" i="6"/>
  <c r="AP500" i="6"/>
  <c r="AP516" i="6"/>
  <c r="AP505" i="6"/>
  <c r="AP494" i="6"/>
  <c r="AZ271" i="6"/>
  <c r="AZ268" i="6"/>
  <c r="AZ265" i="6"/>
  <c r="AZ272" i="6"/>
  <c r="AZ269" i="6"/>
  <c r="AZ274" i="6"/>
  <c r="AZ266" i="6"/>
  <c r="AZ270" i="6"/>
  <c r="AZ277" i="6"/>
  <c r="AZ267" i="6"/>
  <c r="AZ281" i="6"/>
  <c r="AZ286" i="6"/>
  <c r="AZ287" i="6"/>
  <c r="AZ280" i="6"/>
  <c r="AZ284" i="6"/>
  <c r="AZ283" i="6"/>
  <c r="AZ289" i="6"/>
  <c r="AZ297" i="6"/>
  <c r="AZ305" i="6"/>
  <c r="AZ275" i="6"/>
  <c r="AZ294" i="6"/>
  <c r="AZ302" i="6"/>
  <c r="AZ279" i="6"/>
  <c r="AZ282" i="6"/>
  <c r="AZ288" i="6"/>
  <c r="AZ292" i="6"/>
  <c r="AZ285" i="6"/>
  <c r="AZ291" i="6"/>
  <c r="AZ295" i="6"/>
  <c r="AZ311" i="6"/>
  <c r="AZ273" i="6"/>
  <c r="AZ298" i="6"/>
  <c r="AZ308" i="6"/>
  <c r="AZ306" i="6"/>
  <c r="AZ309" i="6"/>
  <c r="AZ276" i="6"/>
  <c r="AZ300" i="6"/>
  <c r="AZ304" i="6"/>
  <c r="AZ320" i="6"/>
  <c r="AZ312" i="6"/>
  <c r="AZ317" i="6"/>
  <c r="AZ321" i="6"/>
  <c r="AZ326" i="6"/>
  <c r="AZ334" i="6"/>
  <c r="AZ290" i="6"/>
  <c r="AZ307" i="6"/>
  <c r="AZ324" i="6"/>
  <c r="AZ331" i="6"/>
  <c r="AZ310" i="6"/>
  <c r="AZ313" i="6"/>
  <c r="AZ328" i="6"/>
  <c r="AZ336" i="6"/>
  <c r="AZ344" i="6"/>
  <c r="AZ296" i="6"/>
  <c r="AZ299" i="6"/>
  <c r="AZ303" i="6"/>
  <c r="AZ316" i="6"/>
  <c r="AZ325" i="6"/>
  <c r="AZ333" i="6"/>
  <c r="AZ341" i="6"/>
  <c r="AZ349" i="6"/>
  <c r="AZ319" i="6"/>
  <c r="AZ330" i="6"/>
  <c r="AZ348" i="6"/>
  <c r="AZ350" i="6"/>
  <c r="AZ358" i="6"/>
  <c r="AZ301" i="6"/>
  <c r="AZ322" i="6"/>
  <c r="AZ335" i="6"/>
  <c r="AZ337" i="6"/>
  <c r="AZ355" i="6"/>
  <c r="AZ363" i="6"/>
  <c r="AZ293" i="6"/>
  <c r="AZ340" i="6"/>
  <c r="AZ352" i="6"/>
  <c r="AZ360" i="6"/>
  <c r="AZ368" i="6"/>
  <c r="AZ376" i="6"/>
  <c r="AZ314" i="6"/>
  <c r="AZ329" i="6"/>
  <c r="AZ343" i="6"/>
  <c r="AZ347" i="6"/>
  <c r="AZ357" i="6"/>
  <c r="AZ365" i="6"/>
  <c r="AZ373" i="6"/>
  <c r="AZ381" i="6"/>
  <c r="AZ362" i="6"/>
  <c r="AZ367" i="6"/>
  <c r="AZ371" i="6"/>
  <c r="AZ391" i="6"/>
  <c r="AZ399" i="6"/>
  <c r="AZ407" i="6"/>
  <c r="AZ327" i="6"/>
  <c r="AZ339" i="6"/>
  <c r="AZ351" i="6"/>
  <c r="AZ370" i="6"/>
  <c r="AZ374" i="6"/>
  <c r="AZ388" i="6"/>
  <c r="AZ396" i="6"/>
  <c r="AZ278" i="6"/>
  <c r="AZ315" i="6"/>
  <c r="AZ342" i="6"/>
  <c r="AZ356" i="6"/>
  <c r="AZ377" i="6"/>
  <c r="AZ385" i="6"/>
  <c r="AZ393" i="6"/>
  <c r="AZ345" i="6"/>
  <c r="AZ361" i="6"/>
  <c r="AZ366" i="6"/>
  <c r="AZ380" i="6"/>
  <c r="AZ390" i="6"/>
  <c r="AZ398" i="6"/>
  <c r="AZ354" i="6"/>
  <c r="AZ369" i="6"/>
  <c r="AZ395" i="6"/>
  <c r="AZ402" i="6"/>
  <c r="AZ406" i="6"/>
  <c r="AZ415" i="6"/>
  <c r="AZ372" i="6"/>
  <c r="AZ384" i="6"/>
  <c r="AZ412" i="6"/>
  <c r="AZ332" i="6"/>
  <c r="AZ338" i="6"/>
  <c r="AZ375" i="6"/>
  <c r="AZ389" i="6"/>
  <c r="AZ401" i="6"/>
  <c r="AZ409" i="6"/>
  <c r="AZ417" i="6"/>
  <c r="AZ425" i="6"/>
  <c r="AZ433" i="6"/>
  <c r="AZ318" i="6"/>
  <c r="AZ353" i="6"/>
  <c r="AZ364" i="6"/>
  <c r="AZ378" i="6"/>
  <c r="AZ394" i="6"/>
  <c r="AZ414" i="6"/>
  <c r="AZ422" i="6"/>
  <c r="AZ430" i="6"/>
  <c r="AZ424" i="6"/>
  <c r="AZ428" i="6"/>
  <c r="AZ442" i="6"/>
  <c r="AZ450" i="6"/>
  <c r="AZ458" i="6"/>
  <c r="AZ359" i="6"/>
  <c r="AZ392" i="6"/>
  <c r="AZ408" i="6"/>
  <c r="AZ427" i="6"/>
  <c r="AZ431" i="6"/>
  <c r="AZ439" i="6"/>
  <c r="AZ447" i="6"/>
  <c r="AZ455" i="6"/>
  <c r="AZ379" i="6"/>
  <c r="AZ413" i="6"/>
  <c r="AZ420" i="6"/>
  <c r="AZ436" i="6"/>
  <c r="AZ444" i="6"/>
  <c r="AZ452" i="6"/>
  <c r="AZ460" i="6"/>
  <c r="AZ468" i="6"/>
  <c r="AZ476" i="6"/>
  <c r="AZ383" i="6"/>
  <c r="AZ419" i="6"/>
  <c r="AZ423" i="6"/>
  <c r="AZ434" i="6"/>
  <c r="AZ441" i="6"/>
  <c r="AZ449" i="6"/>
  <c r="AZ457" i="6"/>
  <c r="AZ465" i="6"/>
  <c r="AZ473" i="6"/>
  <c r="AZ446" i="6"/>
  <c r="AZ461" i="6"/>
  <c r="AZ475" i="6"/>
  <c r="AZ479" i="6"/>
  <c r="AZ481" i="6"/>
  <c r="AZ489" i="6"/>
  <c r="AZ497" i="6"/>
  <c r="AZ505" i="6"/>
  <c r="AZ513" i="6"/>
  <c r="AZ493" i="6"/>
  <c r="AZ403" i="6"/>
  <c r="AZ435" i="6"/>
  <c r="AZ451" i="6"/>
  <c r="AZ464" i="6"/>
  <c r="AZ478" i="6"/>
  <c r="AZ486" i="6"/>
  <c r="AZ494" i="6"/>
  <c r="AZ502" i="6"/>
  <c r="AZ510" i="6"/>
  <c r="AZ501" i="6"/>
  <c r="AZ397" i="6"/>
  <c r="AZ416" i="6"/>
  <c r="AZ440" i="6"/>
  <c r="AZ456" i="6"/>
  <c r="AZ467" i="6"/>
  <c r="AZ471" i="6"/>
  <c r="AZ483" i="6"/>
  <c r="AZ491" i="6"/>
  <c r="AZ499" i="6"/>
  <c r="AZ507" i="6"/>
  <c r="AZ515" i="6"/>
  <c r="AZ400" i="6"/>
  <c r="AZ411" i="6"/>
  <c r="AZ463" i="6"/>
  <c r="AZ477" i="6"/>
  <c r="AZ509" i="6"/>
  <c r="AZ386" i="6"/>
  <c r="AZ405" i="6"/>
  <c r="AZ445" i="6"/>
  <c r="AZ470" i="6"/>
  <c r="AZ474" i="6"/>
  <c r="AZ480" i="6"/>
  <c r="AZ488" i="6"/>
  <c r="AZ496" i="6"/>
  <c r="AZ504" i="6"/>
  <c r="AZ512" i="6"/>
  <c r="AZ323" i="6"/>
  <c r="AZ346" i="6"/>
  <c r="AZ387" i="6"/>
  <c r="AZ426" i="6"/>
  <c r="AZ438" i="6"/>
  <c r="AZ454" i="6"/>
  <c r="AZ459" i="6"/>
  <c r="AZ485" i="6"/>
  <c r="AZ264" i="6"/>
  <c r="AZ404" i="6"/>
  <c r="AZ443" i="6"/>
  <c r="AZ448" i="6"/>
  <c r="AZ453" i="6"/>
  <c r="AZ462" i="6"/>
  <c r="AZ469" i="6"/>
  <c r="AZ495" i="6"/>
  <c r="AZ472" i="6"/>
  <c r="AZ410" i="6"/>
  <c r="AZ437" i="6"/>
  <c r="AZ466" i="6"/>
  <c r="AZ492" i="6"/>
  <c r="AZ487" i="6"/>
  <c r="AZ429" i="6"/>
  <c r="AZ432" i="6"/>
  <c r="AZ516" i="6"/>
  <c r="AZ506" i="6"/>
  <c r="AZ498" i="6"/>
  <c r="AZ490" i="6"/>
  <c r="AZ382" i="6"/>
  <c r="AZ482" i="6"/>
  <c r="AZ418" i="6"/>
  <c r="AZ421" i="6"/>
  <c r="AZ508" i="6"/>
  <c r="AZ511" i="6"/>
  <c r="AZ514" i="6"/>
  <c r="AZ500" i="6"/>
  <c r="AZ503" i="6"/>
  <c r="AZ484" i="6"/>
  <c r="CS270" i="6"/>
  <c r="CS267" i="6"/>
  <c r="CS271" i="6"/>
  <c r="CS274" i="6"/>
  <c r="CS276" i="6"/>
  <c r="CS265" i="6"/>
  <c r="CS268" i="6"/>
  <c r="CS275" i="6"/>
  <c r="CS277" i="6"/>
  <c r="CS280" i="6"/>
  <c r="CS266" i="6"/>
  <c r="CS272" i="6"/>
  <c r="CS285" i="6"/>
  <c r="CS278" i="6"/>
  <c r="CS286" i="6"/>
  <c r="CS269" i="6"/>
  <c r="CS281" i="6"/>
  <c r="CS284" i="6"/>
  <c r="CS288" i="6"/>
  <c r="CS296" i="6"/>
  <c r="CS304" i="6"/>
  <c r="CS293" i="6"/>
  <c r="CS301" i="6"/>
  <c r="CS279" i="6"/>
  <c r="CS289" i="6"/>
  <c r="CS273" i="6"/>
  <c r="CS282" i="6"/>
  <c r="CS292" i="6"/>
  <c r="CS310" i="6"/>
  <c r="CS295" i="6"/>
  <c r="CS299" i="6"/>
  <c r="CS307" i="6"/>
  <c r="CS303" i="6"/>
  <c r="CS291" i="6"/>
  <c r="CS306" i="6"/>
  <c r="CS294" i="6"/>
  <c r="CS309" i="6"/>
  <c r="CS319" i="6"/>
  <c r="CS297" i="6"/>
  <c r="CS300" i="6"/>
  <c r="CS302" i="6"/>
  <c r="CS316" i="6"/>
  <c r="CS318" i="6"/>
  <c r="CS322" i="6"/>
  <c r="CS325" i="6"/>
  <c r="CS333" i="6"/>
  <c r="CS311" i="6"/>
  <c r="CS321" i="6"/>
  <c r="CS330" i="6"/>
  <c r="CS290" i="6"/>
  <c r="CS314" i="6"/>
  <c r="CS327" i="6"/>
  <c r="CS335" i="6"/>
  <c r="CS343" i="6"/>
  <c r="CS313" i="6"/>
  <c r="CS317" i="6"/>
  <c r="CS324" i="6"/>
  <c r="CS332" i="6"/>
  <c r="CS340" i="6"/>
  <c r="CS348" i="6"/>
  <c r="CS329" i="6"/>
  <c r="CS345" i="6"/>
  <c r="CS349" i="6"/>
  <c r="CS357" i="6"/>
  <c r="CS287" i="6"/>
  <c r="CS308" i="6"/>
  <c r="CS334" i="6"/>
  <c r="CS338" i="6"/>
  <c r="CS354" i="6"/>
  <c r="CS362" i="6"/>
  <c r="CS337" i="6"/>
  <c r="CS341" i="6"/>
  <c r="CS351" i="6"/>
  <c r="CS359" i="6"/>
  <c r="CS367" i="6"/>
  <c r="CS375" i="6"/>
  <c r="CS298" i="6"/>
  <c r="CS328" i="6"/>
  <c r="CS344" i="6"/>
  <c r="CS356" i="6"/>
  <c r="CS364" i="6"/>
  <c r="CS372" i="6"/>
  <c r="CS380" i="6"/>
  <c r="CS320" i="6"/>
  <c r="CS347" i="6"/>
  <c r="CS361" i="6"/>
  <c r="CS368" i="6"/>
  <c r="CS390" i="6"/>
  <c r="CS398" i="6"/>
  <c r="CS406" i="6"/>
  <c r="CS336" i="6"/>
  <c r="CS350" i="6"/>
  <c r="CS371" i="6"/>
  <c r="CS387" i="6"/>
  <c r="CS395" i="6"/>
  <c r="CS331" i="6"/>
  <c r="CS339" i="6"/>
  <c r="CS355" i="6"/>
  <c r="CS374" i="6"/>
  <c r="CS378" i="6"/>
  <c r="CS384" i="6"/>
  <c r="CS392" i="6"/>
  <c r="CS315" i="6"/>
  <c r="CS342" i="6"/>
  <c r="CS360" i="6"/>
  <c r="CS377" i="6"/>
  <c r="CS381" i="6"/>
  <c r="CS389" i="6"/>
  <c r="CS397" i="6"/>
  <c r="CS366" i="6"/>
  <c r="CS394" i="6"/>
  <c r="CS399" i="6"/>
  <c r="CS414" i="6"/>
  <c r="CS283" i="6"/>
  <c r="CS323" i="6"/>
  <c r="CS326" i="6"/>
  <c r="CS358" i="6"/>
  <c r="CS369" i="6"/>
  <c r="CS382" i="6"/>
  <c r="CS402" i="6"/>
  <c r="CS407" i="6"/>
  <c r="CS411" i="6"/>
  <c r="CS312" i="6"/>
  <c r="CS388" i="6"/>
  <c r="CS408" i="6"/>
  <c r="CS416" i="6"/>
  <c r="CS424" i="6"/>
  <c r="CS432" i="6"/>
  <c r="CS383" i="6"/>
  <c r="CS393" i="6"/>
  <c r="CS403" i="6"/>
  <c r="CS413" i="6"/>
  <c r="CS421" i="6"/>
  <c r="CS429" i="6"/>
  <c r="CS353" i="6"/>
  <c r="CS386" i="6"/>
  <c r="CS401" i="6"/>
  <c r="CS415" i="6"/>
  <c r="CS425" i="6"/>
  <c r="CS441" i="6"/>
  <c r="CS449" i="6"/>
  <c r="CS457" i="6"/>
  <c r="CS373" i="6"/>
  <c r="CS404" i="6"/>
  <c r="CS428" i="6"/>
  <c r="CS438" i="6"/>
  <c r="CS446" i="6"/>
  <c r="CS454" i="6"/>
  <c r="CS396" i="6"/>
  <c r="CS405" i="6"/>
  <c r="CS412" i="6"/>
  <c r="CS417" i="6"/>
  <c r="CS431" i="6"/>
  <c r="CS435" i="6"/>
  <c r="CS443" i="6"/>
  <c r="CS451" i="6"/>
  <c r="CS459" i="6"/>
  <c r="CS467" i="6"/>
  <c r="CS475" i="6"/>
  <c r="CS346" i="6"/>
  <c r="CS379" i="6"/>
  <c r="CS385" i="6"/>
  <c r="CS420" i="6"/>
  <c r="CS440" i="6"/>
  <c r="CS448" i="6"/>
  <c r="CS456" i="6"/>
  <c r="CS464" i="6"/>
  <c r="CS472" i="6"/>
  <c r="CS370" i="6"/>
  <c r="CS410" i="6"/>
  <c r="CS427" i="6"/>
  <c r="CS445" i="6"/>
  <c r="CS462" i="6"/>
  <c r="CS476" i="6"/>
  <c r="CS480" i="6"/>
  <c r="CS488" i="6"/>
  <c r="CS496" i="6"/>
  <c r="CS504" i="6"/>
  <c r="CS512" i="6"/>
  <c r="CS508" i="6"/>
  <c r="CS391" i="6"/>
  <c r="CS430" i="6"/>
  <c r="CS434" i="6"/>
  <c r="CS450" i="6"/>
  <c r="CS461" i="6"/>
  <c r="CS465" i="6"/>
  <c r="CS479" i="6"/>
  <c r="CS485" i="6"/>
  <c r="CS493" i="6"/>
  <c r="CS501" i="6"/>
  <c r="CS509" i="6"/>
  <c r="CS264" i="6"/>
  <c r="CS516" i="6"/>
  <c r="CS419" i="6"/>
  <c r="CS433" i="6"/>
  <c r="CS439" i="6"/>
  <c r="CS455" i="6"/>
  <c r="CS468" i="6"/>
  <c r="CS482" i="6"/>
  <c r="CS490" i="6"/>
  <c r="CS498" i="6"/>
  <c r="CS506" i="6"/>
  <c r="CS514" i="6"/>
  <c r="CS305" i="6"/>
  <c r="CS423" i="6"/>
  <c r="CS437" i="6"/>
  <c r="CS453" i="6"/>
  <c r="CS460" i="6"/>
  <c r="CS474" i="6"/>
  <c r="CS492" i="6"/>
  <c r="CS500" i="6"/>
  <c r="CS409" i="6"/>
  <c r="CS422" i="6"/>
  <c r="CS444" i="6"/>
  <c r="CS471" i="6"/>
  <c r="CS487" i="6"/>
  <c r="CS495" i="6"/>
  <c r="CS503" i="6"/>
  <c r="CS511" i="6"/>
  <c r="CS478" i="6"/>
  <c r="CS484" i="6"/>
  <c r="CS400" i="6"/>
  <c r="CS436" i="6"/>
  <c r="CS515" i="6"/>
  <c r="CS442" i="6"/>
  <c r="CS426" i="6"/>
  <c r="CS507" i="6"/>
  <c r="CS510" i="6"/>
  <c r="CS513" i="6"/>
  <c r="CS502" i="6"/>
  <c r="CS505" i="6"/>
  <c r="CS483" i="6"/>
  <c r="CS469" i="6"/>
  <c r="CS477" i="6"/>
  <c r="CS481" i="6"/>
  <c r="CS363" i="6"/>
  <c r="CS463" i="6"/>
  <c r="CS376" i="6"/>
  <c r="CS418" i="6"/>
  <c r="CS499" i="6"/>
  <c r="CS458" i="6"/>
  <c r="CS352" i="6"/>
  <c r="CS447" i="6"/>
  <c r="CS452" i="6"/>
  <c r="CS470" i="6"/>
  <c r="CS365" i="6"/>
  <c r="CS491" i="6"/>
  <c r="CS494" i="6"/>
  <c r="CS497" i="6"/>
  <c r="CS486" i="6"/>
  <c r="CS489" i="6"/>
  <c r="CS466" i="6"/>
  <c r="CS473" i="6"/>
  <c r="AL269" i="6"/>
  <c r="AL266" i="6"/>
  <c r="AL271" i="6"/>
  <c r="AL265" i="6"/>
  <c r="AL273" i="6"/>
  <c r="AL267" i="6"/>
  <c r="AL278" i="6"/>
  <c r="AL275" i="6"/>
  <c r="AL268" i="6"/>
  <c r="AL279" i="6"/>
  <c r="AL284" i="6"/>
  <c r="AL283" i="6"/>
  <c r="AL286" i="6"/>
  <c r="AL287" i="6"/>
  <c r="AL295" i="6"/>
  <c r="AL303" i="6"/>
  <c r="AL272" i="6"/>
  <c r="AL274" i="6"/>
  <c r="AL277" i="6"/>
  <c r="AL282" i="6"/>
  <c r="AL292" i="6"/>
  <c r="AL300" i="6"/>
  <c r="AL281" i="6"/>
  <c r="AL291" i="6"/>
  <c r="AL294" i="6"/>
  <c r="AL298" i="6"/>
  <c r="AL270" i="6"/>
  <c r="AL276" i="6"/>
  <c r="AL297" i="6"/>
  <c r="AL301" i="6"/>
  <c r="AL309" i="6"/>
  <c r="AL290" i="6"/>
  <c r="AL304" i="6"/>
  <c r="AL306" i="6"/>
  <c r="AL293" i="6"/>
  <c r="AL299" i="6"/>
  <c r="AL308" i="6"/>
  <c r="AL296" i="6"/>
  <c r="AL302" i="6"/>
  <c r="AL318" i="6"/>
  <c r="AL288" i="6"/>
  <c r="AL307" i="6"/>
  <c r="AL315" i="6"/>
  <c r="AL323" i="6"/>
  <c r="AL285" i="6"/>
  <c r="AL311" i="6"/>
  <c r="AL313" i="6"/>
  <c r="AL332" i="6"/>
  <c r="AL316" i="6"/>
  <c r="AL329" i="6"/>
  <c r="AL319" i="6"/>
  <c r="AL326" i="6"/>
  <c r="AL334" i="6"/>
  <c r="AL342" i="6"/>
  <c r="AL305" i="6"/>
  <c r="AL322" i="6"/>
  <c r="AL331" i="6"/>
  <c r="AL339" i="6"/>
  <c r="AL347" i="6"/>
  <c r="AL310" i="6"/>
  <c r="AL336" i="6"/>
  <c r="AL340" i="6"/>
  <c r="AL356" i="6"/>
  <c r="AL364" i="6"/>
  <c r="AL312" i="6"/>
  <c r="AL325" i="6"/>
  <c r="AL343" i="6"/>
  <c r="AL353" i="6"/>
  <c r="AL361" i="6"/>
  <c r="AL321" i="6"/>
  <c r="AL330" i="6"/>
  <c r="AL346" i="6"/>
  <c r="AL350" i="6"/>
  <c r="AL358" i="6"/>
  <c r="AL366" i="6"/>
  <c r="AL374" i="6"/>
  <c r="AL382" i="6"/>
  <c r="AL324" i="6"/>
  <c r="AL335" i="6"/>
  <c r="AL349" i="6"/>
  <c r="AL355" i="6"/>
  <c r="AL363" i="6"/>
  <c r="AL371" i="6"/>
  <c r="AL379" i="6"/>
  <c r="AL338" i="6"/>
  <c r="AL352" i="6"/>
  <c r="AL373" i="6"/>
  <c r="AL377" i="6"/>
  <c r="AL389" i="6"/>
  <c r="AL397" i="6"/>
  <c r="AL405" i="6"/>
  <c r="AL333" i="6"/>
  <c r="AL341" i="6"/>
  <c r="AL357" i="6"/>
  <c r="AL376" i="6"/>
  <c r="AL380" i="6"/>
  <c r="AL386" i="6"/>
  <c r="AL394" i="6"/>
  <c r="AL317" i="6"/>
  <c r="AL344" i="6"/>
  <c r="AL362" i="6"/>
  <c r="AL365" i="6"/>
  <c r="AL369" i="6"/>
  <c r="AL391" i="6"/>
  <c r="AL351" i="6"/>
  <c r="AL368" i="6"/>
  <c r="AL372" i="6"/>
  <c r="AL383" i="6"/>
  <c r="AL388" i="6"/>
  <c r="AL396" i="6"/>
  <c r="AL289" i="6"/>
  <c r="AL328" i="6"/>
  <c r="AL360" i="6"/>
  <c r="AL385" i="6"/>
  <c r="AL413" i="6"/>
  <c r="AL345" i="6"/>
  <c r="AL390" i="6"/>
  <c r="AL404" i="6"/>
  <c r="AL410" i="6"/>
  <c r="AL395" i="6"/>
  <c r="AL400" i="6"/>
  <c r="AL415" i="6"/>
  <c r="AL423" i="6"/>
  <c r="AL431" i="6"/>
  <c r="AL320" i="6"/>
  <c r="AL359" i="6"/>
  <c r="AL384" i="6"/>
  <c r="AL403" i="6"/>
  <c r="AL412" i="6"/>
  <c r="AL420" i="6"/>
  <c r="AL428" i="6"/>
  <c r="AL375" i="6"/>
  <c r="AL406" i="6"/>
  <c r="AL409" i="6"/>
  <c r="AL430" i="6"/>
  <c r="AL434" i="6"/>
  <c r="AL440" i="6"/>
  <c r="AL448" i="6"/>
  <c r="AL456" i="6"/>
  <c r="AL407" i="6"/>
  <c r="AL414" i="6"/>
  <c r="AL419" i="6"/>
  <c r="AL433" i="6"/>
  <c r="AL437" i="6"/>
  <c r="AL445" i="6"/>
  <c r="AL453" i="6"/>
  <c r="AL381" i="6"/>
  <c r="AL387" i="6"/>
  <c r="AL398" i="6"/>
  <c r="AL422" i="6"/>
  <c r="AL426" i="6"/>
  <c r="AL442" i="6"/>
  <c r="AL450" i="6"/>
  <c r="AL458" i="6"/>
  <c r="AL466" i="6"/>
  <c r="AL474" i="6"/>
  <c r="AL280" i="6"/>
  <c r="AL327" i="6"/>
  <c r="AL370" i="6"/>
  <c r="AL401" i="6"/>
  <c r="AL408" i="6"/>
  <c r="AL425" i="6"/>
  <c r="AL429" i="6"/>
  <c r="AL439" i="6"/>
  <c r="AL447" i="6"/>
  <c r="AL455" i="6"/>
  <c r="AL463" i="6"/>
  <c r="AL471" i="6"/>
  <c r="AL479" i="6"/>
  <c r="AL393" i="6"/>
  <c r="AL399" i="6"/>
  <c r="AL418" i="6"/>
  <c r="AL432" i="6"/>
  <c r="AL436" i="6"/>
  <c r="AL452" i="6"/>
  <c r="AL467" i="6"/>
  <c r="AL487" i="6"/>
  <c r="AL495" i="6"/>
  <c r="AL503" i="6"/>
  <c r="AL511" i="6"/>
  <c r="AL314" i="6"/>
  <c r="AL378" i="6"/>
  <c r="AL421" i="6"/>
  <c r="AL441" i="6"/>
  <c r="AL457" i="6"/>
  <c r="AL470" i="6"/>
  <c r="AL484" i="6"/>
  <c r="AL492" i="6"/>
  <c r="AL500" i="6"/>
  <c r="AL508" i="6"/>
  <c r="AL516" i="6"/>
  <c r="AL499" i="6"/>
  <c r="AL507" i="6"/>
  <c r="AL515" i="6"/>
  <c r="AL367" i="6"/>
  <c r="AL411" i="6"/>
  <c r="AL424" i="6"/>
  <c r="AL446" i="6"/>
  <c r="AL459" i="6"/>
  <c r="AL473" i="6"/>
  <c r="AL477" i="6"/>
  <c r="AL481" i="6"/>
  <c r="AL489" i="6"/>
  <c r="AL497" i="6"/>
  <c r="AL505" i="6"/>
  <c r="AL513" i="6"/>
  <c r="AL465" i="6"/>
  <c r="AL483" i="6"/>
  <c r="AL427" i="6"/>
  <c r="AL435" i="6"/>
  <c r="AL451" i="6"/>
  <c r="AL462" i="6"/>
  <c r="AL476" i="6"/>
  <c r="AL486" i="6"/>
  <c r="AL494" i="6"/>
  <c r="AL502" i="6"/>
  <c r="AL510" i="6"/>
  <c r="AL444" i="6"/>
  <c r="AL469" i="6"/>
  <c r="AL491" i="6"/>
  <c r="AL402" i="6"/>
  <c r="AL348" i="6"/>
  <c r="AL354" i="6"/>
  <c r="AL416" i="6"/>
  <c r="AL478" i="6"/>
  <c r="AL506" i="6"/>
  <c r="AL509" i="6"/>
  <c r="AL512" i="6"/>
  <c r="AL438" i="6"/>
  <c r="AL460" i="6"/>
  <c r="AL468" i="6"/>
  <c r="AL475" i="6"/>
  <c r="AL498" i="6"/>
  <c r="AL501" i="6"/>
  <c r="AL504" i="6"/>
  <c r="AL337" i="6"/>
  <c r="AL449" i="6"/>
  <c r="AL464" i="6"/>
  <c r="AL472" i="6"/>
  <c r="AL490" i="6"/>
  <c r="AL493" i="6"/>
  <c r="AL496" i="6"/>
  <c r="AL443" i="6"/>
  <c r="AL514" i="6"/>
  <c r="AL392" i="6"/>
  <c r="AL417" i="6"/>
  <c r="AL461" i="6"/>
  <c r="AL482" i="6"/>
  <c r="AL485" i="6"/>
  <c r="AL488" i="6"/>
  <c r="AL480" i="6"/>
  <c r="AL454" i="6"/>
  <c r="AL264" i="6"/>
  <c r="BO268" i="6"/>
  <c r="BO265" i="6"/>
  <c r="BO270" i="6"/>
  <c r="BO271" i="6"/>
  <c r="BO272" i="6"/>
  <c r="BO277" i="6"/>
  <c r="BO278" i="6"/>
  <c r="BO286" i="6"/>
  <c r="BO266" i="6"/>
  <c r="BO269" i="6"/>
  <c r="BO283" i="6"/>
  <c r="BO282" i="6"/>
  <c r="BO267" i="6"/>
  <c r="BO274" i="6"/>
  <c r="BO285" i="6"/>
  <c r="BO275" i="6"/>
  <c r="BO294" i="6"/>
  <c r="BO302" i="6"/>
  <c r="BO281" i="6"/>
  <c r="BO291" i="6"/>
  <c r="BO299" i="6"/>
  <c r="BO280" i="6"/>
  <c r="BO290" i="6"/>
  <c r="BO293" i="6"/>
  <c r="BO297" i="6"/>
  <c r="BO296" i="6"/>
  <c r="BO300" i="6"/>
  <c r="BO308" i="6"/>
  <c r="BO276" i="6"/>
  <c r="BO289" i="6"/>
  <c r="BO303" i="6"/>
  <c r="BO273" i="6"/>
  <c r="BO284" i="6"/>
  <c r="BO292" i="6"/>
  <c r="BO305" i="6"/>
  <c r="BO307" i="6"/>
  <c r="BO295" i="6"/>
  <c r="BO310" i="6"/>
  <c r="BO298" i="6"/>
  <c r="BO317" i="6"/>
  <c r="BO279" i="6"/>
  <c r="BO287" i="6"/>
  <c r="BO304" i="6"/>
  <c r="BO306" i="6"/>
  <c r="BO314" i="6"/>
  <c r="BO322" i="6"/>
  <c r="BO288" i="6"/>
  <c r="BO312" i="6"/>
  <c r="BO331" i="6"/>
  <c r="BO311" i="6"/>
  <c r="BO315" i="6"/>
  <c r="BO328" i="6"/>
  <c r="BO336" i="6"/>
  <c r="BO301" i="6"/>
  <c r="BO318" i="6"/>
  <c r="BO325" i="6"/>
  <c r="BO333" i="6"/>
  <c r="BO341" i="6"/>
  <c r="BO349" i="6"/>
  <c r="BO321" i="6"/>
  <c r="BO330" i="6"/>
  <c r="BO338" i="6"/>
  <c r="BO346" i="6"/>
  <c r="BO335" i="6"/>
  <c r="BO339" i="6"/>
  <c r="BO355" i="6"/>
  <c r="BO363" i="6"/>
  <c r="BO342" i="6"/>
  <c r="BO352" i="6"/>
  <c r="BO360" i="6"/>
  <c r="BO320" i="6"/>
  <c r="BO329" i="6"/>
  <c r="BO345" i="6"/>
  <c r="BO357" i="6"/>
  <c r="BO365" i="6"/>
  <c r="BO373" i="6"/>
  <c r="BO381" i="6"/>
  <c r="BO323" i="6"/>
  <c r="BO334" i="6"/>
  <c r="BO348" i="6"/>
  <c r="BO354" i="6"/>
  <c r="BO362" i="6"/>
  <c r="BO370" i="6"/>
  <c r="BO378" i="6"/>
  <c r="BO324" i="6"/>
  <c r="BO337" i="6"/>
  <c r="BO351" i="6"/>
  <c r="BO372" i="6"/>
  <c r="BO376" i="6"/>
  <c r="BO388" i="6"/>
  <c r="BO396" i="6"/>
  <c r="BO404" i="6"/>
  <c r="BO313" i="6"/>
  <c r="BO332" i="6"/>
  <c r="BO340" i="6"/>
  <c r="BO356" i="6"/>
  <c r="BO375" i="6"/>
  <c r="BO379" i="6"/>
  <c r="BO385" i="6"/>
  <c r="BO393" i="6"/>
  <c r="BO343" i="6"/>
  <c r="BO361" i="6"/>
  <c r="BO364" i="6"/>
  <c r="BO368" i="6"/>
  <c r="BO390" i="6"/>
  <c r="BO319" i="6"/>
  <c r="BO350" i="6"/>
  <c r="BO367" i="6"/>
  <c r="BO371" i="6"/>
  <c r="BO382" i="6"/>
  <c r="BO387" i="6"/>
  <c r="BO395" i="6"/>
  <c r="BO327" i="6"/>
  <c r="BO359" i="6"/>
  <c r="BO384" i="6"/>
  <c r="BO412" i="6"/>
  <c r="BO389" i="6"/>
  <c r="BO403" i="6"/>
  <c r="BO409" i="6"/>
  <c r="BO316" i="6"/>
  <c r="BO347" i="6"/>
  <c r="BO394" i="6"/>
  <c r="BO399" i="6"/>
  <c r="BO414" i="6"/>
  <c r="BO422" i="6"/>
  <c r="BO430" i="6"/>
  <c r="BO358" i="6"/>
  <c r="BO402" i="6"/>
  <c r="BO411" i="6"/>
  <c r="BO419" i="6"/>
  <c r="BO427" i="6"/>
  <c r="BO408" i="6"/>
  <c r="BO429" i="6"/>
  <c r="BO433" i="6"/>
  <c r="BO434" i="6"/>
  <c r="BO439" i="6"/>
  <c r="BO447" i="6"/>
  <c r="BO455" i="6"/>
  <c r="BO377" i="6"/>
  <c r="BO413" i="6"/>
  <c r="BO418" i="6"/>
  <c r="BO432" i="6"/>
  <c r="BO436" i="6"/>
  <c r="BO444" i="6"/>
  <c r="BO452" i="6"/>
  <c r="BO366" i="6"/>
  <c r="BO386" i="6"/>
  <c r="BO397" i="6"/>
  <c r="BO421" i="6"/>
  <c r="BO425" i="6"/>
  <c r="BO441" i="6"/>
  <c r="BO449" i="6"/>
  <c r="BO457" i="6"/>
  <c r="BO465" i="6"/>
  <c r="BO473" i="6"/>
  <c r="BO400" i="6"/>
  <c r="BO424" i="6"/>
  <c r="BO428" i="6"/>
  <c r="BO438" i="6"/>
  <c r="BO446" i="6"/>
  <c r="BO454" i="6"/>
  <c r="BO462" i="6"/>
  <c r="BO470" i="6"/>
  <c r="BO478" i="6"/>
  <c r="BO309" i="6"/>
  <c r="BO374" i="6"/>
  <c r="BO383" i="6"/>
  <c r="BO392" i="6"/>
  <c r="BO417" i="6"/>
  <c r="BO431" i="6"/>
  <c r="BO435" i="6"/>
  <c r="BO451" i="6"/>
  <c r="BO466" i="6"/>
  <c r="BO486" i="6"/>
  <c r="BO494" i="6"/>
  <c r="BO502" i="6"/>
  <c r="BO510" i="6"/>
  <c r="BO506" i="6"/>
  <c r="BO401" i="6"/>
  <c r="BO406" i="6"/>
  <c r="BO420" i="6"/>
  <c r="BO440" i="6"/>
  <c r="BO456" i="6"/>
  <c r="BO469" i="6"/>
  <c r="BO483" i="6"/>
  <c r="BO491" i="6"/>
  <c r="BO499" i="6"/>
  <c r="BO507" i="6"/>
  <c r="BO515" i="6"/>
  <c r="BO498" i="6"/>
  <c r="BO344" i="6"/>
  <c r="BO353" i="6"/>
  <c r="BO410" i="6"/>
  <c r="BO415" i="6"/>
  <c r="BO423" i="6"/>
  <c r="BO445" i="6"/>
  <c r="BO472" i="6"/>
  <c r="BO476" i="6"/>
  <c r="BO480" i="6"/>
  <c r="BO488" i="6"/>
  <c r="BO496" i="6"/>
  <c r="BO504" i="6"/>
  <c r="BO512" i="6"/>
  <c r="BO398" i="6"/>
  <c r="BO405" i="6"/>
  <c r="BO464" i="6"/>
  <c r="BO482" i="6"/>
  <c r="BO490" i="6"/>
  <c r="BO514" i="6"/>
  <c r="BO426" i="6"/>
  <c r="BO450" i="6"/>
  <c r="BO461" i="6"/>
  <c r="BO475" i="6"/>
  <c r="BO479" i="6"/>
  <c r="BO485" i="6"/>
  <c r="BO493" i="6"/>
  <c r="BO501" i="6"/>
  <c r="BO509" i="6"/>
  <c r="BO264" i="6"/>
  <c r="BO443" i="6"/>
  <c r="BO468" i="6"/>
  <c r="BO463" i="6"/>
  <c r="BO471" i="6"/>
  <c r="BO505" i="6"/>
  <c r="BO508" i="6"/>
  <c r="BO511" i="6"/>
  <c r="BO326" i="6"/>
  <c r="BO477" i="6"/>
  <c r="BO391" i="6"/>
  <c r="BO407" i="6"/>
  <c r="BO460" i="6"/>
  <c r="BO497" i="6"/>
  <c r="BO500" i="6"/>
  <c r="BO503" i="6"/>
  <c r="BO467" i="6"/>
  <c r="BO516" i="6"/>
  <c r="BO380" i="6"/>
  <c r="BO448" i="6"/>
  <c r="BO453" i="6"/>
  <c r="BO458" i="6"/>
  <c r="BO489" i="6"/>
  <c r="BO492" i="6"/>
  <c r="BO495" i="6"/>
  <c r="BO474" i="6"/>
  <c r="BO513" i="6"/>
  <c r="BO369" i="6"/>
  <c r="BO437" i="6"/>
  <c r="BO442" i="6"/>
  <c r="BO481" i="6"/>
  <c r="BO484" i="6"/>
  <c r="BO487" i="6"/>
  <c r="BO416" i="6"/>
  <c r="BO459" i="6"/>
  <c r="CD265" i="6"/>
  <c r="CD270" i="6"/>
  <c r="CD267" i="6"/>
  <c r="CD271" i="6"/>
  <c r="CD274" i="6"/>
  <c r="CD269" i="6"/>
  <c r="CD283" i="6"/>
  <c r="CD280" i="6"/>
  <c r="CD272" i="6"/>
  <c r="CD268" i="6"/>
  <c r="CD273" i="6"/>
  <c r="CD279" i="6"/>
  <c r="CD291" i="6"/>
  <c r="CD299" i="6"/>
  <c r="CD275" i="6"/>
  <c r="CD282" i="6"/>
  <c r="CD286" i="6"/>
  <c r="CD288" i="6"/>
  <c r="CD296" i="6"/>
  <c r="CD304" i="6"/>
  <c r="CD295" i="6"/>
  <c r="CD277" i="6"/>
  <c r="CD278" i="6"/>
  <c r="CD298" i="6"/>
  <c r="CD281" i="6"/>
  <c r="CD287" i="6"/>
  <c r="CD301" i="6"/>
  <c r="CD305" i="6"/>
  <c r="CD266" i="6"/>
  <c r="CD284" i="6"/>
  <c r="CD290" i="6"/>
  <c r="CD294" i="6"/>
  <c r="CD310" i="6"/>
  <c r="CD293" i="6"/>
  <c r="CD300" i="6"/>
  <c r="CD308" i="6"/>
  <c r="CD314" i="6"/>
  <c r="CD322" i="6"/>
  <c r="CD307" i="6"/>
  <c r="CD311" i="6"/>
  <c r="CD319" i="6"/>
  <c r="CD297" i="6"/>
  <c r="CD302" i="6"/>
  <c r="CD313" i="6"/>
  <c r="CD317" i="6"/>
  <c r="CD328" i="6"/>
  <c r="CD316" i="6"/>
  <c r="CD320" i="6"/>
  <c r="CD325" i="6"/>
  <c r="CD333" i="6"/>
  <c r="CD276" i="6"/>
  <c r="CD306" i="6"/>
  <c r="CD323" i="6"/>
  <c r="CD330" i="6"/>
  <c r="CD338" i="6"/>
  <c r="CD346" i="6"/>
  <c r="CD292" i="6"/>
  <c r="CD303" i="6"/>
  <c r="CD309" i="6"/>
  <c r="CD312" i="6"/>
  <c r="CD327" i="6"/>
  <c r="CD335" i="6"/>
  <c r="CD343" i="6"/>
  <c r="CD315" i="6"/>
  <c r="CD340" i="6"/>
  <c r="CD344" i="6"/>
  <c r="CD352" i="6"/>
  <c r="CD360" i="6"/>
  <c r="CD318" i="6"/>
  <c r="CD329" i="6"/>
  <c r="CD347" i="6"/>
  <c r="CD357" i="6"/>
  <c r="CD289" i="6"/>
  <c r="CD321" i="6"/>
  <c r="CD334" i="6"/>
  <c r="CD336" i="6"/>
  <c r="CD354" i="6"/>
  <c r="CD362" i="6"/>
  <c r="CD370" i="6"/>
  <c r="CD378" i="6"/>
  <c r="CD324" i="6"/>
  <c r="CD339" i="6"/>
  <c r="CD351" i="6"/>
  <c r="CD359" i="6"/>
  <c r="CD367" i="6"/>
  <c r="CD375" i="6"/>
  <c r="CD383" i="6"/>
  <c r="CD285" i="6"/>
  <c r="CD356" i="6"/>
  <c r="CD377" i="6"/>
  <c r="CD381" i="6"/>
  <c r="CD382" i="6"/>
  <c r="CD385" i="6"/>
  <c r="CD393" i="6"/>
  <c r="CD401" i="6"/>
  <c r="CD349" i="6"/>
  <c r="CD361" i="6"/>
  <c r="CD366" i="6"/>
  <c r="CD380" i="6"/>
  <c r="CD390" i="6"/>
  <c r="CD326" i="6"/>
  <c r="CD350" i="6"/>
  <c r="CD369" i="6"/>
  <c r="CD373" i="6"/>
  <c r="CD387" i="6"/>
  <c r="CD395" i="6"/>
  <c r="CD341" i="6"/>
  <c r="CD355" i="6"/>
  <c r="CD372" i="6"/>
  <c r="CD376" i="6"/>
  <c r="CD384" i="6"/>
  <c r="CD392" i="6"/>
  <c r="CD400" i="6"/>
  <c r="CD365" i="6"/>
  <c r="CD379" i="6"/>
  <c r="CD389" i="6"/>
  <c r="CD404" i="6"/>
  <c r="CD409" i="6"/>
  <c r="CD345" i="6"/>
  <c r="CD353" i="6"/>
  <c r="CD368" i="6"/>
  <c r="CD394" i="6"/>
  <c r="CD397" i="6"/>
  <c r="CD405" i="6"/>
  <c r="CD414" i="6"/>
  <c r="CD371" i="6"/>
  <c r="CD406" i="6"/>
  <c r="CD411" i="6"/>
  <c r="CD419" i="6"/>
  <c r="CD427" i="6"/>
  <c r="CD331" i="6"/>
  <c r="CD363" i="6"/>
  <c r="CD374" i="6"/>
  <c r="CD388" i="6"/>
  <c r="CD408" i="6"/>
  <c r="CD416" i="6"/>
  <c r="CD424" i="6"/>
  <c r="CD432" i="6"/>
  <c r="CD332" i="6"/>
  <c r="CD413" i="6"/>
  <c r="CD420" i="6"/>
  <c r="CD436" i="6"/>
  <c r="CD444" i="6"/>
  <c r="CD452" i="6"/>
  <c r="CD364" i="6"/>
  <c r="CD423" i="6"/>
  <c r="CD441" i="6"/>
  <c r="CD449" i="6"/>
  <c r="CD457" i="6"/>
  <c r="CD348" i="6"/>
  <c r="CD358" i="6"/>
  <c r="CD391" i="6"/>
  <c r="CD403" i="6"/>
  <c r="CD426" i="6"/>
  <c r="CD430" i="6"/>
  <c r="CD438" i="6"/>
  <c r="CD446" i="6"/>
  <c r="CD454" i="6"/>
  <c r="CD462" i="6"/>
  <c r="CD470" i="6"/>
  <c r="CD478" i="6"/>
  <c r="CD337" i="6"/>
  <c r="CD398" i="6"/>
  <c r="CD412" i="6"/>
  <c r="CD429" i="6"/>
  <c r="CD433" i="6"/>
  <c r="CD435" i="6"/>
  <c r="CD443" i="6"/>
  <c r="CD451" i="6"/>
  <c r="CD459" i="6"/>
  <c r="CD467" i="6"/>
  <c r="CD475" i="6"/>
  <c r="CD407" i="6"/>
  <c r="CD418" i="6"/>
  <c r="CD440" i="6"/>
  <c r="CD456" i="6"/>
  <c r="CD471" i="6"/>
  <c r="CD483" i="6"/>
  <c r="CD491" i="6"/>
  <c r="CD499" i="6"/>
  <c r="CD507" i="6"/>
  <c r="CD515" i="6"/>
  <c r="CD511" i="6"/>
  <c r="CD399" i="6"/>
  <c r="CD421" i="6"/>
  <c r="CD445" i="6"/>
  <c r="CD460" i="6"/>
  <c r="CD474" i="6"/>
  <c r="CD480" i="6"/>
  <c r="CD488" i="6"/>
  <c r="CD496" i="6"/>
  <c r="CD504" i="6"/>
  <c r="CD512" i="6"/>
  <c r="CD469" i="6"/>
  <c r="CD503" i="6"/>
  <c r="CD386" i="6"/>
  <c r="CD410" i="6"/>
  <c r="CD434" i="6"/>
  <c r="CD450" i="6"/>
  <c r="CD463" i="6"/>
  <c r="CD477" i="6"/>
  <c r="CD485" i="6"/>
  <c r="CD493" i="6"/>
  <c r="CD501" i="6"/>
  <c r="CD509" i="6"/>
  <c r="CD264" i="6"/>
  <c r="CD448" i="6"/>
  <c r="CD473" i="6"/>
  <c r="CD396" i="6"/>
  <c r="CD439" i="6"/>
  <c r="CD455" i="6"/>
  <c r="CD466" i="6"/>
  <c r="CD482" i="6"/>
  <c r="CD490" i="6"/>
  <c r="CD498" i="6"/>
  <c r="CD506" i="6"/>
  <c r="CD514" i="6"/>
  <c r="CD342" i="6"/>
  <c r="CD422" i="6"/>
  <c r="CD487" i="6"/>
  <c r="CD495" i="6"/>
  <c r="CD402" i="6"/>
  <c r="CD465" i="6"/>
  <c r="CD481" i="6"/>
  <c r="CD484" i="6"/>
  <c r="CD502" i="6"/>
  <c r="CD505" i="6"/>
  <c r="CD508" i="6"/>
  <c r="CD494" i="6"/>
  <c r="CD497" i="6"/>
  <c r="CD461" i="6"/>
  <c r="CD476" i="6"/>
  <c r="CD486" i="6"/>
  <c r="CD458" i="6"/>
  <c r="CD516" i="6"/>
  <c r="CD437" i="6"/>
  <c r="CD472" i="6"/>
  <c r="CD479" i="6"/>
  <c r="CD468" i="6"/>
  <c r="CD492" i="6"/>
  <c r="CD425" i="6"/>
  <c r="CD428" i="6"/>
  <c r="CD431" i="6"/>
  <c r="CD453" i="6"/>
  <c r="CD510" i="6"/>
  <c r="CD442" i="6"/>
  <c r="CD447" i="6"/>
  <c r="CD464" i="6"/>
  <c r="CD500" i="6"/>
  <c r="CD415" i="6"/>
  <c r="CD417" i="6"/>
  <c r="CD513" i="6"/>
  <c r="CD489" i="6"/>
  <c r="AO270" i="6"/>
  <c r="AO267" i="6"/>
  <c r="AO274" i="6"/>
  <c r="AO268" i="6"/>
  <c r="AO269" i="6"/>
  <c r="AO265" i="6"/>
  <c r="AO276" i="6"/>
  <c r="AO272" i="6"/>
  <c r="AO266" i="6"/>
  <c r="AO278" i="6"/>
  <c r="AO280" i="6"/>
  <c r="AO271" i="6"/>
  <c r="AO273" i="6"/>
  <c r="AO285" i="6"/>
  <c r="AO284" i="6"/>
  <c r="AO288" i="6"/>
  <c r="AO296" i="6"/>
  <c r="AO304" i="6"/>
  <c r="AO279" i="6"/>
  <c r="AO283" i="6"/>
  <c r="AO293" i="6"/>
  <c r="AO301" i="6"/>
  <c r="AO275" i="6"/>
  <c r="AO286" i="6"/>
  <c r="AO292" i="6"/>
  <c r="AO287" i="6"/>
  <c r="AO295" i="6"/>
  <c r="AO299" i="6"/>
  <c r="AO298" i="6"/>
  <c r="AO302" i="6"/>
  <c r="AO310" i="6"/>
  <c r="AO281" i="6"/>
  <c r="AO291" i="6"/>
  <c r="AO305" i="6"/>
  <c r="AO307" i="6"/>
  <c r="AO282" i="6"/>
  <c r="AO290" i="6"/>
  <c r="AO303" i="6"/>
  <c r="AO309" i="6"/>
  <c r="AO319" i="6"/>
  <c r="AO300" i="6"/>
  <c r="AO308" i="6"/>
  <c r="AO316" i="6"/>
  <c r="AO324" i="6"/>
  <c r="AO314" i="6"/>
  <c r="AO325" i="6"/>
  <c r="AO333" i="6"/>
  <c r="AO297" i="6"/>
  <c r="AO311" i="6"/>
  <c r="AO313" i="6"/>
  <c r="AO317" i="6"/>
  <c r="AO330" i="6"/>
  <c r="AO320" i="6"/>
  <c r="AO327" i="6"/>
  <c r="AO335" i="6"/>
  <c r="AO343" i="6"/>
  <c r="AO306" i="6"/>
  <c r="AO323" i="6"/>
  <c r="AO332" i="6"/>
  <c r="AO340" i="6"/>
  <c r="AO348" i="6"/>
  <c r="AO277" i="6"/>
  <c r="AO294" i="6"/>
  <c r="AO337" i="6"/>
  <c r="AO341" i="6"/>
  <c r="AO357" i="6"/>
  <c r="AO315" i="6"/>
  <c r="AO326" i="6"/>
  <c r="AO344" i="6"/>
  <c r="AO354" i="6"/>
  <c r="AO362" i="6"/>
  <c r="AO312" i="6"/>
  <c r="AO318" i="6"/>
  <c r="AO331" i="6"/>
  <c r="AO347" i="6"/>
  <c r="AO351" i="6"/>
  <c r="AO359" i="6"/>
  <c r="AO367" i="6"/>
  <c r="AO375" i="6"/>
  <c r="AO321" i="6"/>
  <c r="AO336" i="6"/>
  <c r="AO356" i="6"/>
  <c r="AO364" i="6"/>
  <c r="AO372" i="6"/>
  <c r="AO380" i="6"/>
  <c r="AO353" i="6"/>
  <c r="AO374" i="6"/>
  <c r="AO378" i="6"/>
  <c r="AO390" i="6"/>
  <c r="AO398" i="6"/>
  <c r="AO406" i="6"/>
  <c r="AO334" i="6"/>
  <c r="AO346" i="6"/>
  <c r="AO358" i="6"/>
  <c r="AO377" i="6"/>
  <c r="AO381" i="6"/>
  <c r="AO387" i="6"/>
  <c r="AO395" i="6"/>
  <c r="AO322" i="6"/>
  <c r="AO349" i="6"/>
  <c r="AO363" i="6"/>
  <c r="AO366" i="6"/>
  <c r="AO370" i="6"/>
  <c r="AO384" i="6"/>
  <c r="AO392" i="6"/>
  <c r="AO338" i="6"/>
  <c r="AO352" i="6"/>
  <c r="AO369" i="6"/>
  <c r="AO373" i="6"/>
  <c r="AO389" i="6"/>
  <c r="AO397" i="6"/>
  <c r="AO339" i="6"/>
  <c r="AO361" i="6"/>
  <c r="AO376" i="6"/>
  <c r="AO386" i="6"/>
  <c r="AO407" i="6"/>
  <c r="AO414" i="6"/>
  <c r="AO350" i="6"/>
  <c r="AO365" i="6"/>
  <c r="AO379" i="6"/>
  <c r="AO391" i="6"/>
  <c r="AO411" i="6"/>
  <c r="AO345" i="6"/>
  <c r="AO368" i="6"/>
  <c r="AO382" i="6"/>
  <c r="AO383" i="6"/>
  <c r="AO396" i="6"/>
  <c r="AO401" i="6"/>
  <c r="AO408" i="6"/>
  <c r="AO416" i="6"/>
  <c r="AO424" i="6"/>
  <c r="AO432" i="6"/>
  <c r="AO289" i="6"/>
  <c r="AO328" i="6"/>
  <c r="AO360" i="6"/>
  <c r="AO371" i="6"/>
  <c r="AO385" i="6"/>
  <c r="AO413" i="6"/>
  <c r="AO421" i="6"/>
  <c r="AO429" i="6"/>
  <c r="AO400" i="6"/>
  <c r="AO404" i="6"/>
  <c r="AO410" i="6"/>
  <c r="AO417" i="6"/>
  <c r="AO431" i="6"/>
  <c r="AO441" i="6"/>
  <c r="AO449" i="6"/>
  <c r="AO457" i="6"/>
  <c r="AO342" i="6"/>
  <c r="AO403" i="6"/>
  <c r="AO405" i="6"/>
  <c r="AO420" i="6"/>
  <c r="AO434" i="6"/>
  <c r="AO438" i="6"/>
  <c r="AO446" i="6"/>
  <c r="AO454" i="6"/>
  <c r="AO355" i="6"/>
  <c r="AO388" i="6"/>
  <c r="AO423" i="6"/>
  <c r="AO427" i="6"/>
  <c r="AO435" i="6"/>
  <c r="AO443" i="6"/>
  <c r="AO451" i="6"/>
  <c r="AO459" i="6"/>
  <c r="AO467" i="6"/>
  <c r="AO475" i="6"/>
  <c r="AO409" i="6"/>
  <c r="AO426" i="6"/>
  <c r="AO430" i="6"/>
  <c r="AO440" i="6"/>
  <c r="AO448" i="6"/>
  <c r="AO456" i="6"/>
  <c r="AO464" i="6"/>
  <c r="AO472" i="6"/>
  <c r="AO437" i="6"/>
  <c r="AO453" i="6"/>
  <c r="AO468" i="6"/>
  <c r="AO480" i="6"/>
  <c r="AO488" i="6"/>
  <c r="AO496" i="6"/>
  <c r="AO504" i="6"/>
  <c r="AO512" i="6"/>
  <c r="AO415" i="6"/>
  <c r="AO418" i="6"/>
  <c r="AO442" i="6"/>
  <c r="AO458" i="6"/>
  <c r="AO471" i="6"/>
  <c r="AO485" i="6"/>
  <c r="AO493" i="6"/>
  <c r="AO501" i="6"/>
  <c r="AO509" i="6"/>
  <c r="AO264" i="6"/>
  <c r="AO500" i="6"/>
  <c r="AO508" i="6"/>
  <c r="AO516" i="6"/>
  <c r="AO399" i="6"/>
  <c r="AO412" i="6"/>
  <c r="AO447" i="6"/>
  <c r="AO460" i="6"/>
  <c r="AO474" i="6"/>
  <c r="AO478" i="6"/>
  <c r="AO482" i="6"/>
  <c r="AO490" i="6"/>
  <c r="AO498" i="6"/>
  <c r="AO506" i="6"/>
  <c r="AO514" i="6"/>
  <c r="AO419" i="6"/>
  <c r="AO470" i="6"/>
  <c r="AO484" i="6"/>
  <c r="AO492" i="6"/>
  <c r="AO393" i="6"/>
  <c r="AO436" i="6"/>
  <c r="AO452" i="6"/>
  <c r="AO463" i="6"/>
  <c r="AO477" i="6"/>
  <c r="AO487" i="6"/>
  <c r="AO495" i="6"/>
  <c r="AO503" i="6"/>
  <c r="AO511" i="6"/>
  <c r="AO329" i="6"/>
  <c r="AO394" i="6"/>
  <c r="AO433" i="6"/>
  <c r="AO445" i="6"/>
  <c r="AO466" i="6"/>
  <c r="AO450" i="6"/>
  <c r="AO455" i="6"/>
  <c r="AO481" i="6"/>
  <c r="AO425" i="6"/>
  <c r="AO473" i="6"/>
  <c r="AO486" i="6"/>
  <c r="AO439" i="6"/>
  <c r="AO444" i="6"/>
  <c r="AO461" i="6"/>
  <c r="AO507" i="6"/>
  <c r="AO510" i="6"/>
  <c r="AO428" i="6"/>
  <c r="AO502" i="6"/>
  <c r="AO497" i="6"/>
  <c r="AO489" i="6"/>
  <c r="AO476" i="6"/>
  <c r="AO513" i="6"/>
  <c r="AO422" i="6"/>
  <c r="AO465" i="6"/>
  <c r="AO499" i="6"/>
  <c r="AO505" i="6"/>
  <c r="AO491" i="6"/>
  <c r="AO494" i="6"/>
  <c r="AO479" i="6"/>
  <c r="AO515" i="6"/>
  <c r="AO469" i="6"/>
  <c r="AO462" i="6"/>
  <c r="AO402" i="6"/>
  <c r="AO483" i="6"/>
  <c r="AY268" i="6"/>
  <c r="AY265" i="6"/>
  <c r="AY270" i="6"/>
  <c r="AY272" i="6"/>
  <c r="AY269" i="6"/>
  <c r="AY266" i="6"/>
  <c r="AY277" i="6"/>
  <c r="AY267" i="6"/>
  <c r="AY286" i="6"/>
  <c r="AY278" i="6"/>
  <c r="AY283" i="6"/>
  <c r="AY280" i="6"/>
  <c r="AY284" i="6"/>
  <c r="AY274" i="6"/>
  <c r="AY275" i="6"/>
  <c r="AY294" i="6"/>
  <c r="AY302" i="6"/>
  <c r="AY279" i="6"/>
  <c r="AY291" i="6"/>
  <c r="AY299" i="6"/>
  <c r="AY282" i="6"/>
  <c r="AY288" i="6"/>
  <c r="AY292" i="6"/>
  <c r="AY285" i="6"/>
  <c r="AY295" i="6"/>
  <c r="AY273" i="6"/>
  <c r="AY298" i="6"/>
  <c r="AY308" i="6"/>
  <c r="AY271" i="6"/>
  <c r="AY301" i="6"/>
  <c r="AY305" i="6"/>
  <c r="AY309" i="6"/>
  <c r="AY276" i="6"/>
  <c r="AY297" i="6"/>
  <c r="AY300" i="6"/>
  <c r="AY304" i="6"/>
  <c r="AY312" i="6"/>
  <c r="AY317" i="6"/>
  <c r="AY281" i="6"/>
  <c r="AY289" i="6"/>
  <c r="AY314" i="6"/>
  <c r="AY322" i="6"/>
  <c r="AY290" i="6"/>
  <c r="AY307" i="6"/>
  <c r="AY324" i="6"/>
  <c r="AY331" i="6"/>
  <c r="AY310" i="6"/>
  <c r="AY313" i="6"/>
  <c r="AY328" i="6"/>
  <c r="AY336" i="6"/>
  <c r="AY296" i="6"/>
  <c r="AY303" i="6"/>
  <c r="AY316" i="6"/>
  <c r="AY320" i="6"/>
  <c r="AY325" i="6"/>
  <c r="AY333" i="6"/>
  <c r="AY341" i="6"/>
  <c r="AY349" i="6"/>
  <c r="AY319" i="6"/>
  <c r="AY323" i="6"/>
  <c r="AY330" i="6"/>
  <c r="AY338" i="6"/>
  <c r="AY346" i="6"/>
  <c r="AY335" i="6"/>
  <c r="AY337" i="6"/>
  <c r="AY355" i="6"/>
  <c r="AY363" i="6"/>
  <c r="AY293" i="6"/>
  <c r="AY340" i="6"/>
  <c r="AY344" i="6"/>
  <c r="AY352" i="6"/>
  <c r="AY360" i="6"/>
  <c r="AY329" i="6"/>
  <c r="AY343" i="6"/>
  <c r="AY347" i="6"/>
  <c r="AY357" i="6"/>
  <c r="AY365" i="6"/>
  <c r="AY373" i="6"/>
  <c r="AY381" i="6"/>
  <c r="AY311" i="6"/>
  <c r="AY334" i="6"/>
  <c r="AY354" i="6"/>
  <c r="AY362" i="6"/>
  <c r="AY370" i="6"/>
  <c r="AY378" i="6"/>
  <c r="AY327" i="6"/>
  <c r="AY339" i="6"/>
  <c r="AY351" i="6"/>
  <c r="AY374" i="6"/>
  <c r="AY388" i="6"/>
  <c r="AY396" i="6"/>
  <c r="AY404" i="6"/>
  <c r="AY315" i="6"/>
  <c r="AY342" i="6"/>
  <c r="AY356" i="6"/>
  <c r="AY377" i="6"/>
  <c r="AY385" i="6"/>
  <c r="AY393" i="6"/>
  <c r="AY345" i="6"/>
  <c r="AY361" i="6"/>
  <c r="AY366" i="6"/>
  <c r="AY380" i="6"/>
  <c r="AY390" i="6"/>
  <c r="AY306" i="6"/>
  <c r="AY321" i="6"/>
  <c r="AY326" i="6"/>
  <c r="AY348" i="6"/>
  <c r="AY350" i="6"/>
  <c r="AY369" i="6"/>
  <c r="AY387" i="6"/>
  <c r="AY395" i="6"/>
  <c r="AY403" i="6"/>
  <c r="AY372" i="6"/>
  <c r="AY384" i="6"/>
  <c r="AY398" i="6"/>
  <c r="AY412" i="6"/>
  <c r="AY332" i="6"/>
  <c r="AY375" i="6"/>
  <c r="AY389" i="6"/>
  <c r="AY401" i="6"/>
  <c r="AY407" i="6"/>
  <c r="AY409" i="6"/>
  <c r="AY318" i="6"/>
  <c r="AY353" i="6"/>
  <c r="AY364" i="6"/>
  <c r="AY394" i="6"/>
  <c r="AY414" i="6"/>
  <c r="AY422" i="6"/>
  <c r="AY430" i="6"/>
  <c r="AY367" i="6"/>
  <c r="AY400" i="6"/>
  <c r="AY411" i="6"/>
  <c r="AY419" i="6"/>
  <c r="AY427" i="6"/>
  <c r="AY359" i="6"/>
  <c r="AY392" i="6"/>
  <c r="AY408" i="6"/>
  <c r="AY417" i="6"/>
  <c r="AY431" i="6"/>
  <c r="AY439" i="6"/>
  <c r="AY447" i="6"/>
  <c r="AY455" i="6"/>
  <c r="AY379" i="6"/>
  <c r="AY413" i="6"/>
  <c r="AY420" i="6"/>
  <c r="AY436" i="6"/>
  <c r="AY444" i="6"/>
  <c r="AY452" i="6"/>
  <c r="AY368" i="6"/>
  <c r="AY383" i="6"/>
  <c r="AY399" i="6"/>
  <c r="AY423" i="6"/>
  <c r="AY434" i="6"/>
  <c r="AY441" i="6"/>
  <c r="AY449" i="6"/>
  <c r="AY457" i="6"/>
  <c r="AY465" i="6"/>
  <c r="AY473" i="6"/>
  <c r="AY391" i="6"/>
  <c r="AY402" i="6"/>
  <c r="AY426" i="6"/>
  <c r="AY438" i="6"/>
  <c r="AY446" i="6"/>
  <c r="AY454" i="6"/>
  <c r="AY462" i="6"/>
  <c r="AY470" i="6"/>
  <c r="AY478" i="6"/>
  <c r="AY376" i="6"/>
  <c r="AY433" i="6"/>
  <c r="AY435" i="6"/>
  <c r="AY451" i="6"/>
  <c r="AY464" i="6"/>
  <c r="AY468" i="6"/>
  <c r="AY486" i="6"/>
  <c r="AY494" i="6"/>
  <c r="AY502" i="6"/>
  <c r="AY510" i="6"/>
  <c r="AY514" i="6"/>
  <c r="AY397" i="6"/>
  <c r="AY416" i="6"/>
  <c r="AY440" i="6"/>
  <c r="AY456" i="6"/>
  <c r="AY467" i="6"/>
  <c r="AY471" i="6"/>
  <c r="AY483" i="6"/>
  <c r="AY491" i="6"/>
  <c r="AY499" i="6"/>
  <c r="AY507" i="6"/>
  <c r="AY515" i="6"/>
  <c r="AY490" i="6"/>
  <c r="AY386" i="6"/>
  <c r="AY405" i="6"/>
  <c r="AY425" i="6"/>
  <c r="AY445" i="6"/>
  <c r="AY460" i="6"/>
  <c r="AY474" i="6"/>
  <c r="AY480" i="6"/>
  <c r="AY488" i="6"/>
  <c r="AY496" i="6"/>
  <c r="AY504" i="6"/>
  <c r="AY512" i="6"/>
  <c r="AY415" i="6"/>
  <c r="AY429" i="6"/>
  <c r="AY443" i="6"/>
  <c r="AY466" i="6"/>
  <c r="AY482" i="6"/>
  <c r="AY498" i="6"/>
  <c r="AY287" i="6"/>
  <c r="AY428" i="6"/>
  <c r="AY450" i="6"/>
  <c r="AY459" i="6"/>
  <c r="AY463" i="6"/>
  <c r="AY477" i="6"/>
  <c r="AY485" i="6"/>
  <c r="AY493" i="6"/>
  <c r="AY501" i="6"/>
  <c r="AY509" i="6"/>
  <c r="AY264" i="6"/>
  <c r="AY506" i="6"/>
  <c r="AY410" i="6"/>
  <c r="AY437" i="6"/>
  <c r="AY442" i="6"/>
  <c r="AY495" i="6"/>
  <c r="AY475" i="6"/>
  <c r="AY481" i="6"/>
  <c r="AY484" i="6"/>
  <c r="AY479" i="6"/>
  <c r="AY358" i="6"/>
  <c r="AY469" i="6"/>
  <c r="AY432" i="6"/>
  <c r="AY513" i="6"/>
  <c r="AY516" i="6"/>
  <c r="AY505" i="6"/>
  <c r="AY492" i="6"/>
  <c r="AY448" i="6"/>
  <c r="AY458" i="6"/>
  <c r="AY418" i="6"/>
  <c r="AY421" i="6"/>
  <c r="AY424" i="6"/>
  <c r="AY508" i="6"/>
  <c r="AY511" i="6"/>
  <c r="AY489" i="6"/>
  <c r="AY472" i="6"/>
  <c r="AY371" i="6"/>
  <c r="AY461" i="6"/>
  <c r="AY476" i="6"/>
  <c r="AY406" i="6"/>
  <c r="AY497" i="6"/>
  <c r="AY500" i="6"/>
  <c r="AY503" i="6"/>
  <c r="AY487" i="6"/>
  <c r="AY382" i="6"/>
  <c r="AY453" i="6"/>
  <c r="CX269" i="6"/>
  <c r="CX266" i="6"/>
  <c r="CX271" i="6"/>
  <c r="CX265" i="6"/>
  <c r="CX273" i="6"/>
  <c r="CX267" i="6"/>
  <c r="CX275" i="6"/>
  <c r="CX270" i="6"/>
  <c r="CX279" i="6"/>
  <c r="CX268" i="6"/>
  <c r="CX284" i="6"/>
  <c r="CX283" i="6"/>
  <c r="CX274" i="6"/>
  <c r="CX276" i="6"/>
  <c r="CX277" i="6"/>
  <c r="CX287" i="6"/>
  <c r="CX295" i="6"/>
  <c r="CX303" i="6"/>
  <c r="CX278" i="6"/>
  <c r="CX282" i="6"/>
  <c r="CX292" i="6"/>
  <c r="CX300" i="6"/>
  <c r="CX281" i="6"/>
  <c r="CX291" i="6"/>
  <c r="CX286" i="6"/>
  <c r="CX294" i="6"/>
  <c r="CX298" i="6"/>
  <c r="CX297" i="6"/>
  <c r="CX301" i="6"/>
  <c r="CX309" i="6"/>
  <c r="CX272" i="6"/>
  <c r="CX290" i="6"/>
  <c r="CX304" i="6"/>
  <c r="CX306" i="6"/>
  <c r="CX285" i="6"/>
  <c r="CX293" i="6"/>
  <c r="CX308" i="6"/>
  <c r="CX296" i="6"/>
  <c r="CX299" i="6"/>
  <c r="CX318" i="6"/>
  <c r="CX280" i="6"/>
  <c r="CX288" i="6"/>
  <c r="CX307" i="6"/>
  <c r="CX315" i="6"/>
  <c r="CX323" i="6"/>
  <c r="CX289" i="6"/>
  <c r="CX313" i="6"/>
  <c r="CX324" i="6"/>
  <c r="CX332" i="6"/>
  <c r="CX312" i="6"/>
  <c r="CX316" i="6"/>
  <c r="CX329" i="6"/>
  <c r="CX319" i="6"/>
  <c r="CX326" i="6"/>
  <c r="CX334" i="6"/>
  <c r="CX342" i="6"/>
  <c r="CX322" i="6"/>
  <c r="CX331" i="6"/>
  <c r="CX339" i="6"/>
  <c r="CX347" i="6"/>
  <c r="CX311" i="6"/>
  <c r="CX336" i="6"/>
  <c r="CX340" i="6"/>
  <c r="CX356" i="6"/>
  <c r="CX325" i="6"/>
  <c r="CX343" i="6"/>
  <c r="CX353" i="6"/>
  <c r="CX361" i="6"/>
  <c r="CX321" i="6"/>
  <c r="CX330" i="6"/>
  <c r="CX346" i="6"/>
  <c r="CX350" i="6"/>
  <c r="CX358" i="6"/>
  <c r="CX366" i="6"/>
  <c r="CX374" i="6"/>
  <c r="CX335" i="6"/>
  <c r="CX349" i="6"/>
  <c r="CX355" i="6"/>
  <c r="CX363" i="6"/>
  <c r="CX371" i="6"/>
  <c r="CX379" i="6"/>
  <c r="CX338" i="6"/>
  <c r="CX352" i="6"/>
  <c r="CX373" i="6"/>
  <c r="CX377" i="6"/>
  <c r="CX389" i="6"/>
  <c r="CX397" i="6"/>
  <c r="CX405" i="6"/>
  <c r="CX314" i="6"/>
  <c r="CX333" i="6"/>
  <c r="CX341" i="6"/>
  <c r="CX357" i="6"/>
  <c r="CX376" i="6"/>
  <c r="CX380" i="6"/>
  <c r="CX386" i="6"/>
  <c r="CX394" i="6"/>
  <c r="CX302" i="6"/>
  <c r="CX344" i="6"/>
  <c r="CX362" i="6"/>
  <c r="CX365" i="6"/>
  <c r="CX369" i="6"/>
  <c r="CX382" i="6"/>
  <c r="CX391" i="6"/>
  <c r="CX310" i="6"/>
  <c r="CX320" i="6"/>
  <c r="CX351" i="6"/>
  <c r="CX368" i="6"/>
  <c r="CX372" i="6"/>
  <c r="CX383" i="6"/>
  <c r="CX388" i="6"/>
  <c r="CX396" i="6"/>
  <c r="CX328" i="6"/>
  <c r="CX360" i="6"/>
  <c r="CX385" i="6"/>
  <c r="CX403" i="6"/>
  <c r="CX413" i="6"/>
  <c r="CX390" i="6"/>
  <c r="CX404" i="6"/>
  <c r="CX410" i="6"/>
  <c r="CX348" i="6"/>
  <c r="CX395" i="6"/>
  <c r="CX400" i="6"/>
  <c r="CX415" i="6"/>
  <c r="CX423" i="6"/>
  <c r="CX431" i="6"/>
  <c r="CX337" i="6"/>
  <c r="CX359" i="6"/>
  <c r="CX384" i="6"/>
  <c r="CX412" i="6"/>
  <c r="CX420" i="6"/>
  <c r="CX428" i="6"/>
  <c r="CX409" i="6"/>
  <c r="CX416" i="6"/>
  <c r="CX430" i="6"/>
  <c r="CX440" i="6"/>
  <c r="CX448" i="6"/>
  <c r="CX456" i="6"/>
  <c r="CX345" i="6"/>
  <c r="CX378" i="6"/>
  <c r="CX414" i="6"/>
  <c r="CX419" i="6"/>
  <c r="CX433" i="6"/>
  <c r="CX437" i="6"/>
  <c r="CX445" i="6"/>
  <c r="CX453" i="6"/>
  <c r="CX367" i="6"/>
  <c r="CX387" i="6"/>
  <c r="CX398" i="6"/>
  <c r="CX422" i="6"/>
  <c r="CX426" i="6"/>
  <c r="CX434" i="6"/>
  <c r="CX442" i="6"/>
  <c r="CX450" i="6"/>
  <c r="CX458" i="6"/>
  <c r="CX466" i="6"/>
  <c r="CX474" i="6"/>
  <c r="CX401" i="6"/>
  <c r="CX408" i="6"/>
  <c r="CX425" i="6"/>
  <c r="CX429" i="6"/>
  <c r="CX439" i="6"/>
  <c r="CX447" i="6"/>
  <c r="CX455" i="6"/>
  <c r="CX463" i="6"/>
  <c r="CX471" i="6"/>
  <c r="CX479" i="6"/>
  <c r="CX393" i="6"/>
  <c r="CX406" i="6"/>
  <c r="CX418" i="6"/>
  <c r="CX432" i="6"/>
  <c r="CX436" i="6"/>
  <c r="CX452" i="6"/>
  <c r="CX467" i="6"/>
  <c r="CX487" i="6"/>
  <c r="CX495" i="6"/>
  <c r="CX503" i="6"/>
  <c r="CX511" i="6"/>
  <c r="CX364" i="6"/>
  <c r="CX402" i="6"/>
  <c r="CX421" i="6"/>
  <c r="CX441" i="6"/>
  <c r="CX457" i="6"/>
  <c r="CX470" i="6"/>
  <c r="CX484" i="6"/>
  <c r="CX492" i="6"/>
  <c r="CX500" i="6"/>
  <c r="CX508" i="6"/>
  <c r="CX516" i="6"/>
  <c r="CX499" i="6"/>
  <c r="CX507" i="6"/>
  <c r="CX515" i="6"/>
  <c r="CX407" i="6"/>
  <c r="CX317" i="6"/>
  <c r="CX354" i="6"/>
  <c r="CX381" i="6"/>
  <c r="CX411" i="6"/>
  <c r="CX424" i="6"/>
  <c r="CX446" i="6"/>
  <c r="CX459" i="6"/>
  <c r="CX473" i="6"/>
  <c r="CX477" i="6"/>
  <c r="CX481" i="6"/>
  <c r="CX489" i="6"/>
  <c r="CX497" i="6"/>
  <c r="CX505" i="6"/>
  <c r="CX513" i="6"/>
  <c r="CX465" i="6"/>
  <c r="CX483" i="6"/>
  <c r="CX491" i="6"/>
  <c r="CX327" i="6"/>
  <c r="CX370" i="6"/>
  <c r="CX427" i="6"/>
  <c r="CX435" i="6"/>
  <c r="CX451" i="6"/>
  <c r="CX462" i="6"/>
  <c r="CX476" i="6"/>
  <c r="CX486" i="6"/>
  <c r="CX494" i="6"/>
  <c r="CX502" i="6"/>
  <c r="CX510" i="6"/>
  <c r="CX375" i="6"/>
  <c r="CX399" i="6"/>
  <c r="CX444" i="6"/>
  <c r="CX469" i="6"/>
  <c r="CX506" i="6"/>
  <c r="CX509" i="6"/>
  <c r="CX512" i="6"/>
  <c r="CX461" i="6"/>
  <c r="CX264" i="6"/>
  <c r="CX498" i="6"/>
  <c r="CX501" i="6"/>
  <c r="CX504" i="6"/>
  <c r="CX496" i="6"/>
  <c r="CX417" i="6"/>
  <c r="CX464" i="6"/>
  <c r="CX472" i="6"/>
  <c r="CX480" i="6"/>
  <c r="CX449" i="6"/>
  <c r="CX454" i="6"/>
  <c r="CX478" i="6"/>
  <c r="CX490" i="6"/>
  <c r="CX493" i="6"/>
  <c r="CX392" i="6"/>
  <c r="CX305" i="6"/>
  <c r="CX438" i="6"/>
  <c r="CX443" i="6"/>
  <c r="CX460" i="6"/>
  <c r="CX468" i="6"/>
  <c r="CX475" i="6"/>
  <c r="CX482" i="6"/>
  <c r="CX485" i="6"/>
  <c r="CX488" i="6"/>
  <c r="CX514" i="6"/>
  <c r="AD269" i="6"/>
  <c r="AD266" i="6"/>
  <c r="AD271" i="6"/>
  <c r="AD267" i="6"/>
  <c r="AD273" i="6"/>
  <c r="AD268" i="6"/>
  <c r="AD278" i="6"/>
  <c r="AD275" i="6"/>
  <c r="AD279" i="6"/>
  <c r="AD265" i="6"/>
  <c r="AD274" i="6"/>
  <c r="AD277" i="6"/>
  <c r="AD284" i="6"/>
  <c r="AD272" i="6"/>
  <c r="AD280" i="6"/>
  <c r="AD276" i="6"/>
  <c r="AD283" i="6"/>
  <c r="AD287" i="6"/>
  <c r="AD295" i="6"/>
  <c r="AD303" i="6"/>
  <c r="AD286" i="6"/>
  <c r="AD292" i="6"/>
  <c r="AD300" i="6"/>
  <c r="AD270" i="6"/>
  <c r="AD282" i="6"/>
  <c r="AD288" i="6"/>
  <c r="AD285" i="6"/>
  <c r="AD291" i="6"/>
  <c r="AD305" i="6"/>
  <c r="AD309" i="6"/>
  <c r="AD294" i="6"/>
  <c r="AD298" i="6"/>
  <c r="AD306" i="6"/>
  <c r="AD297" i="6"/>
  <c r="AD301" i="6"/>
  <c r="AD289" i="6"/>
  <c r="AD308" i="6"/>
  <c r="AD312" i="6"/>
  <c r="AD318" i="6"/>
  <c r="AD311" i="6"/>
  <c r="AD315" i="6"/>
  <c r="AD323" i="6"/>
  <c r="AD317" i="6"/>
  <c r="AD321" i="6"/>
  <c r="AD332" i="6"/>
  <c r="AD307" i="6"/>
  <c r="AD320" i="6"/>
  <c r="AD324" i="6"/>
  <c r="AD329" i="6"/>
  <c r="AD293" i="6"/>
  <c r="AD302" i="6"/>
  <c r="AD310" i="6"/>
  <c r="AD313" i="6"/>
  <c r="AD326" i="6"/>
  <c r="AD334" i="6"/>
  <c r="AD342" i="6"/>
  <c r="AD350" i="6"/>
  <c r="AD316" i="6"/>
  <c r="AD331" i="6"/>
  <c r="AD339" i="6"/>
  <c r="AD347" i="6"/>
  <c r="AD319" i="6"/>
  <c r="AD328" i="6"/>
  <c r="AD344" i="6"/>
  <c r="AD348" i="6"/>
  <c r="AD356" i="6"/>
  <c r="AD364" i="6"/>
  <c r="AD322" i="6"/>
  <c r="AD333" i="6"/>
  <c r="AD337" i="6"/>
  <c r="AD353" i="6"/>
  <c r="AD361" i="6"/>
  <c r="AD281" i="6"/>
  <c r="AD340" i="6"/>
  <c r="AD358" i="6"/>
  <c r="AD366" i="6"/>
  <c r="AD374" i="6"/>
  <c r="AD382" i="6"/>
  <c r="AD296" i="6"/>
  <c r="AD314" i="6"/>
  <c r="AD327" i="6"/>
  <c r="AD343" i="6"/>
  <c r="AD355" i="6"/>
  <c r="AD363" i="6"/>
  <c r="AD371" i="6"/>
  <c r="AD379" i="6"/>
  <c r="AD360" i="6"/>
  <c r="AD367" i="6"/>
  <c r="AD381" i="6"/>
  <c r="AD389" i="6"/>
  <c r="AD397" i="6"/>
  <c r="AD405" i="6"/>
  <c r="AD290" i="6"/>
  <c r="AD299" i="6"/>
  <c r="AD370" i="6"/>
  <c r="AD386" i="6"/>
  <c r="AD394" i="6"/>
  <c r="AD304" i="6"/>
  <c r="AD330" i="6"/>
  <c r="AD354" i="6"/>
  <c r="AD373" i="6"/>
  <c r="AD377" i="6"/>
  <c r="AD391" i="6"/>
  <c r="AD345" i="6"/>
  <c r="AD359" i="6"/>
  <c r="AD376" i="6"/>
  <c r="AD380" i="6"/>
  <c r="AD388" i="6"/>
  <c r="AD396" i="6"/>
  <c r="AD346" i="6"/>
  <c r="AD369" i="6"/>
  <c r="AD393" i="6"/>
  <c r="AD398" i="6"/>
  <c r="AD408" i="6"/>
  <c r="AD413" i="6"/>
  <c r="AD357" i="6"/>
  <c r="AD372" i="6"/>
  <c r="AD401" i="6"/>
  <c r="AD410" i="6"/>
  <c r="AD375" i="6"/>
  <c r="AD387" i="6"/>
  <c r="AD404" i="6"/>
  <c r="AD415" i="6"/>
  <c r="AD423" i="6"/>
  <c r="AD431" i="6"/>
  <c r="AD335" i="6"/>
  <c r="AD341" i="6"/>
  <c r="AD378" i="6"/>
  <c r="AD392" i="6"/>
  <c r="AD412" i="6"/>
  <c r="AD420" i="6"/>
  <c r="AD428" i="6"/>
  <c r="AD365" i="6"/>
  <c r="AD385" i="6"/>
  <c r="AD424" i="6"/>
  <c r="AD440" i="6"/>
  <c r="AD448" i="6"/>
  <c r="AD456" i="6"/>
  <c r="AD416" i="6"/>
  <c r="AD427" i="6"/>
  <c r="AD437" i="6"/>
  <c r="AD445" i="6"/>
  <c r="AD453" i="6"/>
  <c r="AD362" i="6"/>
  <c r="AD395" i="6"/>
  <c r="AD399" i="6"/>
  <c r="AD411" i="6"/>
  <c r="AD430" i="6"/>
  <c r="AD434" i="6"/>
  <c r="AD442" i="6"/>
  <c r="AD450" i="6"/>
  <c r="AD458" i="6"/>
  <c r="AD466" i="6"/>
  <c r="AD474" i="6"/>
  <c r="AD351" i="6"/>
  <c r="AD384" i="6"/>
  <c r="AD402" i="6"/>
  <c r="AD419" i="6"/>
  <c r="AD433" i="6"/>
  <c r="AD439" i="6"/>
  <c r="AD447" i="6"/>
  <c r="AD455" i="6"/>
  <c r="AD463" i="6"/>
  <c r="AD471" i="6"/>
  <c r="AD479" i="6"/>
  <c r="AD336" i="6"/>
  <c r="AD352" i="6"/>
  <c r="AD400" i="6"/>
  <c r="AD409" i="6"/>
  <c r="AD422" i="6"/>
  <c r="AD444" i="6"/>
  <c r="AD461" i="6"/>
  <c r="AD475" i="6"/>
  <c r="AD487" i="6"/>
  <c r="AD495" i="6"/>
  <c r="AD503" i="6"/>
  <c r="AD511" i="6"/>
  <c r="AD507" i="6"/>
  <c r="AD325" i="6"/>
  <c r="AD349" i="6"/>
  <c r="AD368" i="6"/>
  <c r="AD406" i="6"/>
  <c r="AD425" i="6"/>
  <c r="AD449" i="6"/>
  <c r="AD460" i="6"/>
  <c r="AD464" i="6"/>
  <c r="AD478" i="6"/>
  <c r="AD484" i="6"/>
  <c r="AD492" i="6"/>
  <c r="AD500" i="6"/>
  <c r="AD508" i="6"/>
  <c r="AD516" i="6"/>
  <c r="AD403" i="6"/>
  <c r="AD338" i="6"/>
  <c r="AD438" i="6"/>
  <c r="AD454" i="6"/>
  <c r="AD467" i="6"/>
  <c r="AD481" i="6"/>
  <c r="AD489" i="6"/>
  <c r="AD497" i="6"/>
  <c r="AD505" i="6"/>
  <c r="AD513" i="6"/>
  <c r="AD426" i="6"/>
  <c r="AD436" i="6"/>
  <c r="AD452" i="6"/>
  <c r="AD477" i="6"/>
  <c r="AD491" i="6"/>
  <c r="AD515" i="6"/>
  <c r="AD390" i="6"/>
  <c r="AD417" i="6"/>
  <c r="AD443" i="6"/>
  <c r="AD470" i="6"/>
  <c r="AD486" i="6"/>
  <c r="AD494" i="6"/>
  <c r="AD502" i="6"/>
  <c r="AD510" i="6"/>
  <c r="AD383" i="6"/>
  <c r="AD459" i="6"/>
  <c r="AD473" i="6"/>
  <c r="AD483" i="6"/>
  <c r="AD499" i="6"/>
  <c r="AD414" i="6"/>
  <c r="AD418" i="6"/>
  <c r="AD421" i="6"/>
  <c r="AD457" i="6"/>
  <c r="AD468" i="6"/>
  <c r="AD476" i="6"/>
  <c r="AD482" i="6"/>
  <c r="AD485" i="6"/>
  <c r="AD488" i="6"/>
  <c r="AD264" i="6"/>
  <c r="AD512" i="6"/>
  <c r="AD501" i="6"/>
  <c r="AD429" i="6"/>
  <c r="AD441" i="6"/>
  <c r="AD446" i="6"/>
  <c r="AD451" i="6"/>
  <c r="AD465" i="6"/>
  <c r="AD472" i="6"/>
  <c r="AD480" i="6"/>
  <c r="AD509" i="6"/>
  <c r="AD407" i="6"/>
  <c r="AD498" i="6"/>
  <c r="AD435" i="6"/>
  <c r="AD462" i="6"/>
  <c r="AD469" i="6"/>
  <c r="AD514" i="6"/>
  <c r="AD506" i="6"/>
  <c r="AD432" i="6"/>
  <c r="AD490" i="6"/>
  <c r="AD493" i="6"/>
  <c r="AD504" i="6"/>
  <c r="AD496" i="6"/>
  <c r="BX271" i="6"/>
  <c r="BX268" i="6"/>
  <c r="BX265" i="6"/>
  <c r="BX269" i="6"/>
  <c r="BX272" i="6"/>
  <c r="BX270" i="6"/>
  <c r="BX267" i="6"/>
  <c r="BX281" i="6"/>
  <c r="BX275" i="6"/>
  <c r="BX278" i="6"/>
  <c r="BX286" i="6"/>
  <c r="BX285" i="6"/>
  <c r="BX277" i="6"/>
  <c r="BX289" i="6"/>
  <c r="BX297" i="6"/>
  <c r="BX305" i="6"/>
  <c r="BX280" i="6"/>
  <c r="BX284" i="6"/>
  <c r="BX294" i="6"/>
  <c r="BX302" i="6"/>
  <c r="BX266" i="6"/>
  <c r="BX293" i="6"/>
  <c r="BX274" i="6"/>
  <c r="BX296" i="6"/>
  <c r="BX279" i="6"/>
  <c r="BX299" i="6"/>
  <c r="BX303" i="6"/>
  <c r="BX311" i="6"/>
  <c r="BX282" i="6"/>
  <c r="BX288" i="6"/>
  <c r="BX292" i="6"/>
  <c r="BX308" i="6"/>
  <c r="BX283" i="6"/>
  <c r="BX291" i="6"/>
  <c r="BX300" i="6"/>
  <c r="BX304" i="6"/>
  <c r="BX310" i="6"/>
  <c r="BX273" i="6"/>
  <c r="BX306" i="6"/>
  <c r="BX312" i="6"/>
  <c r="BX320" i="6"/>
  <c r="BX301" i="6"/>
  <c r="BX309" i="6"/>
  <c r="BX317" i="6"/>
  <c r="BX276" i="6"/>
  <c r="BX315" i="6"/>
  <c r="BX326" i="6"/>
  <c r="BX334" i="6"/>
  <c r="BX314" i="6"/>
  <c r="BX318" i="6"/>
  <c r="BX331" i="6"/>
  <c r="BX287" i="6"/>
  <c r="BX298" i="6"/>
  <c r="BX321" i="6"/>
  <c r="BX328" i="6"/>
  <c r="BX336" i="6"/>
  <c r="BX344" i="6"/>
  <c r="BX307" i="6"/>
  <c r="BX324" i="6"/>
  <c r="BX325" i="6"/>
  <c r="BX333" i="6"/>
  <c r="BX341" i="6"/>
  <c r="BX349" i="6"/>
  <c r="BX313" i="6"/>
  <c r="BX338" i="6"/>
  <c r="BX342" i="6"/>
  <c r="BX350" i="6"/>
  <c r="BX358" i="6"/>
  <c r="BX316" i="6"/>
  <c r="BX327" i="6"/>
  <c r="BX345" i="6"/>
  <c r="BX355" i="6"/>
  <c r="BX363" i="6"/>
  <c r="BX319" i="6"/>
  <c r="BX332" i="6"/>
  <c r="BX348" i="6"/>
  <c r="BX352" i="6"/>
  <c r="BX360" i="6"/>
  <c r="BX368" i="6"/>
  <c r="BX376" i="6"/>
  <c r="BX290" i="6"/>
  <c r="BX322" i="6"/>
  <c r="BX337" i="6"/>
  <c r="BX357" i="6"/>
  <c r="BX365" i="6"/>
  <c r="BX373" i="6"/>
  <c r="BX381" i="6"/>
  <c r="BX295" i="6"/>
  <c r="BX354" i="6"/>
  <c r="BX375" i="6"/>
  <c r="BX379" i="6"/>
  <c r="BX391" i="6"/>
  <c r="BX399" i="6"/>
  <c r="BX407" i="6"/>
  <c r="BX335" i="6"/>
  <c r="BX347" i="6"/>
  <c r="BX359" i="6"/>
  <c r="BX364" i="6"/>
  <c r="BX378" i="6"/>
  <c r="BX388" i="6"/>
  <c r="BX396" i="6"/>
  <c r="BX323" i="6"/>
  <c r="BX367" i="6"/>
  <c r="BX371" i="6"/>
  <c r="BX385" i="6"/>
  <c r="BX393" i="6"/>
  <c r="BX339" i="6"/>
  <c r="BX353" i="6"/>
  <c r="BX370" i="6"/>
  <c r="BX374" i="6"/>
  <c r="BX382" i="6"/>
  <c r="BX390" i="6"/>
  <c r="BX398" i="6"/>
  <c r="BX340" i="6"/>
  <c r="BX362" i="6"/>
  <c r="BX377" i="6"/>
  <c r="BX383" i="6"/>
  <c r="BX387" i="6"/>
  <c r="BX415" i="6"/>
  <c r="BX351" i="6"/>
  <c r="BX366" i="6"/>
  <c r="BX380" i="6"/>
  <c r="BX392" i="6"/>
  <c r="BX403" i="6"/>
  <c r="BX412" i="6"/>
  <c r="BX346" i="6"/>
  <c r="BX369" i="6"/>
  <c r="BX402" i="6"/>
  <c r="BX404" i="6"/>
  <c r="BX409" i="6"/>
  <c r="BX417" i="6"/>
  <c r="BX425" i="6"/>
  <c r="BX433" i="6"/>
  <c r="BX329" i="6"/>
  <c r="BX361" i="6"/>
  <c r="BX372" i="6"/>
  <c r="BX386" i="6"/>
  <c r="BX414" i="6"/>
  <c r="BX422" i="6"/>
  <c r="BX430" i="6"/>
  <c r="BX401" i="6"/>
  <c r="BX405" i="6"/>
  <c r="BX411" i="6"/>
  <c r="BX418" i="6"/>
  <c r="BX432" i="6"/>
  <c r="BX434" i="6"/>
  <c r="BX442" i="6"/>
  <c r="BX450" i="6"/>
  <c r="BX458" i="6"/>
  <c r="BX406" i="6"/>
  <c r="BX421" i="6"/>
  <c r="BX439" i="6"/>
  <c r="BX447" i="6"/>
  <c r="BX455" i="6"/>
  <c r="BX356" i="6"/>
  <c r="BX389" i="6"/>
  <c r="BX424" i="6"/>
  <c r="BX428" i="6"/>
  <c r="BX436" i="6"/>
  <c r="BX444" i="6"/>
  <c r="BX452" i="6"/>
  <c r="BX460" i="6"/>
  <c r="BX468" i="6"/>
  <c r="BX476" i="6"/>
  <c r="BX410" i="6"/>
  <c r="BX427" i="6"/>
  <c r="BX431" i="6"/>
  <c r="BX441" i="6"/>
  <c r="BX449" i="6"/>
  <c r="BX457" i="6"/>
  <c r="BX465" i="6"/>
  <c r="BX473" i="6"/>
  <c r="BX330" i="6"/>
  <c r="BX438" i="6"/>
  <c r="BX454" i="6"/>
  <c r="BX469" i="6"/>
  <c r="BX481" i="6"/>
  <c r="BX489" i="6"/>
  <c r="BX497" i="6"/>
  <c r="BX505" i="6"/>
  <c r="BX513" i="6"/>
  <c r="BX501" i="6"/>
  <c r="BX384" i="6"/>
  <c r="BX343" i="6"/>
  <c r="BX416" i="6"/>
  <c r="BX419" i="6"/>
  <c r="BX443" i="6"/>
  <c r="BX472" i="6"/>
  <c r="BX486" i="6"/>
  <c r="BX494" i="6"/>
  <c r="BX502" i="6"/>
  <c r="BX510" i="6"/>
  <c r="BX509" i="6"/>
  <c r="BX397" i="6"/>
  <c r="BX400" i="6"/>
  <c r="BX413" i="6"/>
  <c r="BX448" i="6"/>
  <c r="BX461" i="6"/>
  <c r="BX475" i="6"/>
  <c r="BX479" i="6"/>
  <c r="BX483" i="6"/>
  <c r="BX491" i="6"/>
  <c r="BX499" i="6"/>
  <c r="BX507" i="6"/>
  <c r="BX515" i="6"/>
  <c r="BX420" i="6"/>
  <c r="BX446" i="6"/>
  <c r="BX471" i="6"/>
  <c r="BX485" i="6"/>
  <c r="BX493" i="6"/>
  <c r="BX264" i="6"/>
  <c r="BX408" i="6"/>
  <c r="BX394" i="6"/>
  <c r="BX437" i="6"/>
  <c r="BX453" i="6"/>
  <c r="BX464" i="6"/>
  <c r="BX478" i="6"/>
  <c r="BX480" i="6"/>
  <c r="BX488" i="6"/>
  <c r="BX496" i="6"/>
  <c r="BX504" i="6"/>
  <c r="BX512" i="6"/>
  <c r="BX395" i="6"/>
  <c r="BX467" i="6"/>
  <c r="BX451" i="6"/>
  <c r="BX456" i="6"/>
  <c r="BX462" i="6"/>
  <c r="BX470" i="6"/>
  <c r="BX477" i="6"/>
  <c r="BX482" i="6"/>
  <c r="BX508" i="6"/>
  <c r="BX503" i="6"/>
  <c r="BX498" i="6"/>
  <c r="BX487" i="6"/>
  <c r="BX490" i="6"/>
  <c r="BX435" i="6"/>
  <c r="BX440" i="6"/>
  <c r="BX445" i="6"/>
  <c r="BX459" i="6"/>
  <c r="BX466" i="6"/>
  <c r="BX474" i="6"/>
  <c r="BX492" i="6"/>
  <c r="BX429" i="6"/>
  <c r="BX463" i="6"/>
  <c r="BX511" i="6"/>
  <c r="BX514" i="6"/>
  <c r="BX500" i="6"/>
  <c r="BX423" i="6"/>
  <c r="BX426" i="6"/>
  <c r="BX516" i="6"/>
  <c r="BX506" i="6"/>
  <c r="BX495" i="6"/>
  <c r="BX484" i="6"/>
  <c r="AK266" i="6"/>
  <c r="AK271" i="6"/>
  <c r="AK268" i="6"/>
  <c r="AK269" i="6"/>
  <c r="AK270" i="6"/>
  <c r="AK272" i="6"/>
  <c r="AK275" i="6"/>
  <c r="AK273" i="6"/>
  <c r="AK284" i="6"/>
  <c r="AK276" i="6"/>
  <c r="AK281" i="6"/>
  <c r="AK286" i="6"/>
  <c r="AK279" i="6"/>
  <c r="AK287" i="6"/>
  <c r="AK274" i="6"/>
  <c r="AK277" i="6"/>
  <c r="AK282" i="6"/>
  <c r="AK292" i="6"/>
  <c r="AK300" i="6"/>
  <c r="AK265" i="6"/>
  <c r="AK285" i="6"/>
  <c r="AK289" i="6"/>
  <c r="AK297" i="6"/>
  <c r="AK305" i="6"/>
  <c r="AK294" i="6"/>
  <c r="AK298" i="6"/>
  <c r="AK278" i="6"/>
  <c r="AK290" i="6"/>
  <c r="AK304" i="6"/>
  <c r="AK306" i="6"/>
  <c r="AK293" i="6"/>
  <c r="AK311" i="6"/>
  <c r="AK296" i="6"/>
  <c r="AK302" i="6"/>
  <c r="AK288" i="6"/>
  <c r="AK307" i="6"/>
  <c r="AK315" i="6"/>
  <c r="AK323" i="6"/>
  <c r="AK283" i="6"/>
  <c r="AK291" i="6"/>
  <c r="AK310" i="6"/>
  <c r="AK320" i="6"/>
  <c r="AK316" i="6"/>
  <c r="AK329" i="6"/>
  <c r="AK267" i="6"/>
  <c r="AK319" i="6"/>
  <c r="AK326" i="6"/>
  <c r="AK334" i="6"/>
  <c r="AK301" i="6"/>
  <c r="AK309" i="6"/>
  <c r="AK322" i="6"/>
  <c r="AK331" i="6"/>
  <c r="AK339" i="6"/>
  <c r="AK347" i="6"/>
  <c r="AK328" i="6"/>
  <c r="AK336" i="6"/>
  <c r="AK344" i="6"/>
  <c r="AK312" i="6"/>
  <c r="AK318" i="6"/>
  <c r="AK325" i="6"/>
  <c r="AK343" i="6"/>
  <c r="AK353" i="6"/>
  <c r="AK361" i="6"/>
  <c r="AK321" i="6"/>
  <c r="AK330" i="6"/>
  <c r="AK346" i="6"/>
  <c r="AK350" i="6"/>
  <c r="AK358" i="6"/>
  <c r="AK303" i="6"/>
  <c r="AK324" i="6"/>
  <c r="AK335" i="6"/>
  <c r="AK349" i="6"/>
  <c r="AK355" i="6"/>
  <c r="AK363" i="6"/>
  <c r="AK371" i="6"/>
  <c r="AK379" i="6"/>
  <c r="AK295" i="6"/>
  <c r="AK313" i="6"/>
  <c r="AK338" i="6"/>
  <c r="AK342" i="6"/>
  <c r="AK352" i="6"/>
  <c r="AK360" i="6"/>
  <c r="AK368" i="6"/>
  <c r="AK376" i="6"/>
  <c r="AK333" i="6"/>
  <c r="AK341" i="6"/>
  <c r="AK357" i="6"/>
  <c r="AK366" i="6"/>
  <c r="AK380" i="6"/>
  <c r="AK386" i="6"/>
  <c r="AK394" i="6"/>
  <c r="AK402" i="6"/>
  <c r="AK317" i="6"/>
  <c r="AK362" i="6"/>
  <c r="AK365" i="6"/>
  <c r="AK369" i="6"/>
  <c r="AK391" i="6"/>
  <c r="AK351" i="6"/>
  <c r="AK372" i="6"/>
  <c r="AK383" i="6"/>
  <c r="AK388" i="6"/>
  <c r="AK396" i="6"/>
  <c r="AK299" i="6"/>
  <c r="AK308" i="6"/>
  <c r="AK332" i="6"/>
  <c r="AK356" i="6"/>
  <c r="AK375" i="6"/>
  <c r="AK385" i="6"/>
  <c r="AK393" i="6"/>
  <c r="AK401" i="6"/>
  <c r="AK345" i="6"/>
  <c r="AK382" i="6"/>
  <c r="AK390" i="6"/>
  <c r="AK404" i="6"/>
  <c r="AK410" i="6"/>
  <c r="AK395" i="6"/>
  <c r="AK400" i="6"/>
  <c r="AK359" i="6"/>
  <c r="AK374" i="6"/>
  <c r="AK384" i="6"/>
  <c r="AK403" i="6"/>
  <c r="AK405" i="6"/>
  <c r="AK412" i="6"/>
  <c r="AK420" i="6"/>
  <c r="AK428" i="6"/>
  <c r="AK340" i="6"/>
  <c r="AK377" i="6"/>
  <c r="AK389" i="6"/>
  <c r="AK399" i="6"/>
  <c r="AK406" i="6"/>
  <c r="AK409" i="6"/>
  <c r="AK417" i="6"/>
  <c r="AK425" i="6"/>
  <c r="AK433" i="6"/>
  <c r="AK407" i="6"/>
  <c r="AK414" i="6"/>
  <c r="AK419" i="6"/>
  <c r="AK423" i="6"/>
  <c r="AK437" i="6"/>
  <c r="AK445" i="6"/>
  <c r="AK453" i="6"/>
  <c r="AK381" i="6"/>
  <c r="AK387" i="6"/>
  <c r="AK398" i="6"/>
  <c r="AK422" i="6"/>
  <c r="AK426" i="6"/>
  <c r="AK442" i="6"/>
  <c r="AK450" i="6"/>
  <c r="AK458" i="6"/>
  <c r="AK280" i="6"/>
  <c r="AK327" i="6"/>
  <c r="AK370" i="6"/>
  <c r="AK408" i="6"/>
  <c r="AK429" i="6"/>
  <c r="AK439" i="6"/>
  <c r="AK447" i="6"/>
  <c r="AK455" i="6"/>
  <c r="AK463" i="6"/>
  <c r="AK471" i="6"/>
  <c r="AK479" i="6"/>
  <c r="AK364" i="6"/>
  <c r="AK397" i="6"/>
  <c r="AK413" i="6"/>
  <c r="AK415" i="6"/>
  <c r="AK418" i="6"/>
  <c r="AK432" i="6"/>
  <c r="AK436" i="6"/>
  <c r="AK444" i="6"/>
  <c r="AK452" i="6"/>
  <c r="AK460" i="6"/>
  <c r="AK468" i="6"/>
  <c r="AK476" i="6"/>
  <c r="AK314" i="6"/>
  <c r="AK378" i="6"/>
  <c r="AK421" i="6"/>
  <c r="AK441" i="6"/>
  <c r="AK457" i="6"/>
  <c r="AK470" i="6"/>
  <c r="AK474" i="6"/>
  <c r="AK484" i="6"/>
  <c r="AK492" i="6"/>
  <c r="AK500" i="6"/>
  <c r="AK508" i="6"/>
  <c r="AK516" i="6"/>
  <c r="AK496" i="6"/>
  <c r="AK367" i="6"/>
  <c r="AK411" i="6"/>
  <c r="AK424" i="6"/>
  <c r="AK446" i="6"/>
  <c r="AK459" i="6"/>
  <c r="AK473" i="6"/>
  <c r="AK477" i="6"/>
  <c r="AK481" i="6"/>
  <c r="AK489" i="6"/>
  <c r="AK497" i="6"/>
  <c r="AK505" i="6"/>
  <c r="AK513" i="6"/>
  <c r="AK488" i="6"/>
  <c r="AK348" i="6"/>
  <c r="AK354" i="6"/>
  <c r="AK427" i="6"/>
  <c r="AK435" i="6"/>
  <c r="AK451" i="6"/>
  <c r="AK462" i="6"/>
  <c r="AK466" i="6"/>
  <c r="AK486" i="6"/>
  <c r="AK494" i="6"/>
  <c r="AK502" i="6"/>
  <c r="AK510" i="6"/>
  <c r="AK512" i="6"/>
  <c r="AK430" i="6"/>
  <c r="AK440" i="6"/>
  <c r="AK456" i="6"/>
  <c r="AK465" i="6"/>
  <c r="AK469" i="6"/>
  <c r="AK483" i="6"/>
  <c r="AK491" i="6"/>
  <c r="AK499" i="6"/>
  <c r="AK507" i="6"/>
  <c r="AK515" i="6"/>
  <c r="AK449" i="6"/>
  <c r="AK472" i="6"/>
  <c r="AK480" i="6"/>
  <c r="AK504" i="6"/>
  <c r="AK467" i="6"/>
  <c r="AK475" i="6"/>
  <c r="AK495" i="6"/>
  <c r="AK498" i="6"/>
  <c r="AK501" i="6"/>
  <c r="AK448" i="6"/>
  <c r="AK503" i="6"/>
  <c r="AK506" i="6"/>
  <c r="AK464" i="6"/>
  <c r="AK487" i="6"/>
  <c r="AK490" i="6"/>
  <c r="AK493" i="6"/>
  <c r="AK454" i="6"/>
  <c r="AK438" i="6"/>
  <c r="AK514" i="6"/>
  <c r="AK392" i="6"/>
  <c r="AK461" i="6"/>
  <c r="AK482" i="6"/>
  <c r="AK485" i="6"/>
  <c r="AK337" i="6"/>
  <c r="AK264" i="6"/>
  <c r="AK478" i="6"/>
  <c r="AK373" i="6"/>
  <c r="AK431" i="6"/>
  <c r="AK434" i="6"/>
  <c r="AK443" i="6"/>
  <c r="AK511" i="6"/>
  <c r="AK416" i="6"/>
  <c r="AK509" i="6"/>
  <c r="BY266" i="6"/>
  <c r="BY271" i="6"/>
  <c r="BY268" i="6"/>
  <c r="BY265" i="6"/>
  <c r="BY269" i="6"/>
  <c r="BY272" i="6"/>
  <c r="BY275" i="6"/>
  <c r="BY267" i="6"/>
  <c r="BY270" i="6"/>
  <c r="BY284" i="6"/>
  <c r="BY281" i="6"/>
  <c r="BY278" i="6"/>
  <c r="BY282" i="6"/>
  <c r="BY285" i="6"/>
  <c r="BY277" i="6"/>
  <c r="BY292" i="6"/>
  <c r="BY300" i="6"/>
  <c r="BY289" i="6"/>
  <c r="BY297" i="6"/>
  <c r="BY305" i="6"/>
  <c r="BY290" i="6"/>
  <c r="BY293" i="6"/>
  <c r="BY274" i="6"/>
  <c r="BY296" i="6"/>
  <c r="BY306" i="6"/>
  <c r="BY279" i="6"/>
  <c r="BY299" i="6"/>
  <c r="BY303" i="6"/>
  <c r="BY311" i="6"/>
  <c r="BY288" i="6"/>
  <c r="BY307" i="6"/>
  <c r="BY283" i="6"/>
  <c r="BY291" i="6"/>
  <c r="BY304" i="6"/>
  <c r="BY310" i="6"/>
  <c r="BY294" i="6"/>
  <c r="BY315" i="6"/>
  <c r="BY323" i="6"/>
  <c r="BY273" i="6"/>
  <c r="BY312" i="6"/>
  <c r="BY320" i="6"/>
  <c r="BY280" i="6"/>
  <c r="BY309" i="6"/>
  <c r="BY322" i="6"/>
  <c r="BY329" i="6"/>
  <c r="BY276" i="6"/>
  <c r="BY326" i="6"/>
  <c r="BY334" i="6"/>
  <c r="BY314" i="6"/>
  <c r="BY318" i="6"/>
  <c r="BY331" i="6"/>
  <c r="BY339" i="6"/>
  <c r="BY347" i="6"/>
  <c r="BY287" i="6"/>
  <c r="BY298" i="6"/>
  <c r="BY317" i="6"/>
  <c r="BY321" i="6"/>
  <c r="BY328" i="6"/>
  <c r="BY336" i="6"/>
  <c r="BY344" i="6"/>
  <c r="BY324" i="6"/>
  <c r="BY333" i="6"/>
  <c r="BY349" i="6"/>
  <c r="BY353" i="6"/>
  <c r="BY361" i="6"/>
  <c r="BY313" i="6"/>
  <c r="BY338" i="6"/>
  <c r="BY342" i="6"/>
  <c r="BY350" i="6"/>
  <c r="BY358" i="6"/>
  <c r="BY286" i="6"/>
  <c r="BY316" i="6"/>
  <c r="BY327" i="6"/>
  <c r="BY341" i="6"/>
  <c r="BY345" i="6"/>
  <c r="BY355" i="6"/>
  <c r="BY363" i="6"/>
  <c r="BY371" i="6"/>
  <c r="BY379" i="6"/>
  <c r="BY302" i="6"/>
  <c r="BY319" i="6"/>
  <c r="BY332" i="6"/>
  <c r="BY348" i="6"/>
  <c r="BY352" i="6"/>
  <c r="BY360" i="6"/>
  <c r="BY368" i="6"/>
  <c r="BY376" i="6"/>
  <c r="BY301" i="6"/>
  <c r="BY325" i="6"/>
  <c r="BY372" i="6"/>
  <c r="BY386" i="6"/>
  <c r="BY394" i="6"/>
  <c r="BY402" i="6"/>
  <c r="BY295" i="6"/>
  <c r="BY354" i="6"/>
  <c r="BY375" i="6"/>
  <c r="BY391" i="6"/>
  <c r="BY335" i="6"/>
  <c r="BY359" i="6"/>
  <c r="BY364" i="6"/>
  <c r="BY378" i="6"/>
  <c r="BY388" i="6"/>
  <c r="BY396" i="6"/>
  <c r="BY367" i="6"/>
  <c r="BY381" i="6"/>
  <c r="BY385" i="6"/>
  <c r="BY393" i="6"/>
  <c r="BY401" i="6"/>
  <c r="BY374" i="6"/>
  <c r="BY382" i="6"/>
  <c r="BY410" i="6"/>
  <c r="BY308" i="6"/>
  <c r="BY340" i="6"/>
  <c r="BY362" i="6"/>
  <c r="BY377" i="6"/>
  <c r="BY383" i="6"/>
  <c r="BY387" i="6"/>
  <c r="BY399" i="6"/>
  <c r="BY351" i="6"/>
  <c r="BY366" i="6"/>
  <c r="BY380" i="6"/>
  <c r="BY392" i="6"/>
  <c r="BY403" i="6"/>
  <c r="BY412" i="6"/>
  <c r="BY420" i="6"/>
  <c r="BY428" i="6"/>
  <c r="BY346" i="6"/>
  <c r="BY369" i="6"/>
  <c r="BY398" i="6"/>
  <c r="BY404" i="6"/>
  <c r="BY409" i="6"/>
  <c r="BY417" i="6"/>
  <c r="BY425" i="6"/>
  <c r="BY433" i="6"/>
  <c r="BY337" i="6"/>
  <c r="BY370" i="6"/>
  <c r="BY390" i="6"/>
  <c r="BY429" i="6"/>
  <c r="BY437" i="6"/>
  <c r="BY445" i="6"/>
  <c r="BY453" i="6"/>
  <c r="BY405" i="6"/>
  <c r="BY411" i="6"/>
  <c r="BY418" i="6"/>
  <c r="BY432" i="6"/>
  <c r="BY434" i="6"/>
  <c r="BY442" i="6"/>
  <c r="BY450" i="6"/>
  <c r="BY458" i="6"/>
  <c r="BY406" i="6"/>
  <c r="BY421" i="6"/>
  <c r="BY439" i="6"/>
  <c r="BY447" i="6"/>
  <c r="BY455" i="6"/>
  <c r="BY463" i="6"/>
  <c r="BY471" i="6"/>
  <c r="BY479" i="6"/>
  <c r="BY356" i="6"/>
  <c r="BY365" i="6"/>
  <c r="BY389" i="6"/>
  <c r="BY407" i="6"/>
  <c r="BY424" i="6"/>
  <c r="BY436" i="6"/>
  <c r="BY444" i="6"/>
  <c r="BY452" i="6"/>
  <c r="BY460" i="6"/>
  <c r="BY468" i="6"/>
  <c r="BY476" i="6"/>
  <c r="BY357" i="6"/>
  <c r="BY414" i="6"/>
  <c r="BY427" i="6"/>
  <c r="BY449" i="6"/>
  <c r="BY462" i="6"/>
  <c r="BY466" i="6"/>
  <c r="BY484" i="6"/>
  <c r="BY492" i="6"/>
  <c r="BY500" i="6"/>
  <c r="BY508" i="6"/>
  <c r="BY516" i="6"/>
  <c r="BY512" i="6"/>
  <c r="BY330" i="6"/>
  <c r="BY373" i="6"/>
  <c r="BY430" i="6"/>
  <c r="BY438" i="6"/>
  <c r="BY454" i="6"/>
  <c r="BY465" i="6"/>
  <c r="BY469" i="6"/>
  <c r="BY481" i="6"/>
  <c r="BY489" i="6"/>
  <c r="BY497" i="6"/>
  <c r="BY505" i="6"/>
  <c r="BY513" i="6"/>
  <c r="BY343" i="6"/>
  <c r="BY416" i="6"/>
  <c r="BY419" i="6"/>
  <c r="BY443" i="6"/>
  <c r="BY472" i="6"/>
  <c r="BY486" i="6"/>
  <c r="BY494" i="6"/>
  <c r="BY502" i="6"/>
  <c r="BY510" i="6"/>
  <c r="BY431" i="6"/>
  <c r="BY441" i="6"/>
  <c r="BY457" i="6"/>
  <c r="BY480" i="6"/>
  <c r="BY488" i="6"/>
  <c r="BY496" i="6"/>
  <c r="BY400" i="6"/>
  <c r="BY413" i="6"/>
  <c r="BY422" i="6"/>
  <c r="BY448" i="6"/>
  <c r="BY461" i="6"/>
  <c r="BY475" i="6"/>
  <c r="BY483" i="6"/>
  <c r="BY491" i="6"/>
  <c r="BY499" i="6"/>
  <c r="BY507" i="6"/>
  <c r="BY515" i="6"/>
  <c r="BY415" i="6"/>
  <c r="BY464" i="6"/>
  <c r="BY478" i="6"/>
  <c r="BY504" i="6"/>
  <c r="BY395" i="6"/>
  <c r="BY423" i="6"/>
  <c r="BY426" i="6"/>
  <c r="BY473" i="6"/>
  <c r="BY487" i="6"/>
  <c r="BY490" i="6"/>
  <c r="BY493" i="6"/>
  <c r="BY503" i="6"/>
  <c r="BY446" i="6"/>
  <c r="BY451" i="6"/>
  <c r="BY456" i="6"/>
  <c r="BY470" i="6"/>
  <c r="BY477" i="6"/>
  <c r="BY482" i="6"/>
  <c r="BY485" i="6"/>
  <c r="BY514" i="6"/>
  <c r="BY264" i="6"/>
  <c r="BY495" i="6"/>
  <c r="BY498" i="6"/>
  <c r="BY397" i="6"/>
  <c r="BY435" i="6"/>
  <c r="BY440" i="6"/>
  <c r="BY459" i="6"/>
  <c r="BY467" i="6"/>
  <c r="BY474" i="6"/>
  <c r="BY506" i="6"/>
  <c r="BY509" i="6"/>
  <c r="BY501" i="6"/>
  <c r="BY384" i="6"/>
  <c r="BY511" i="6"/>
  <c r="BY408" i="6"/>
  <c r="Y270" i="6"/>
  <c r="Y267" i="6"/>
  <c r="Y272" i="6"/>
  <c r="Y269" i="6"/>
  <c r="Y274" i="6"/>
  <c r="Y265" i="6"/>
  <c r="Y266" i="6"/>
  <c r="Y268" i="6"/>
  <c r="Y273" i="6"/>
  <c r="Y276" i="6"/>
  <c r="Y280" i="6"/>
  <c r="Y285" i="6"/>
  <c r="Y282" i="6"/>
  <c r="Y286" i="6"/>
  <c r="Y271" i="6"/>
  <c r="Y275" i="6"/>
  <c r="Y288" i="6"/>
  <c r="Y296" i="6"/>
  <c r="Y304" i="6"/>
  <c r="Y281" i="6"/>
  <c r="Y293" i="6"/>
  <c r="Y301" i="6"/>
  <c r="Y277" i="6"/>
  <c r="Y290" i="6"/>
  <c r="Y294" i="6"/>
  <c r="Y287" i="6"/>
  <c r="Y297" i="6"/>
  <c r="Y300" i="6"/>
  <c r="Y310" i="6"/>
  <c r="Y283" i="6"/>
  <c r="Y289" i="6"/>
  <c r="Y303" i="6"/>
  <c r="Y307" i="6"/>
  <c r="Y278" i="6"/>
  <c r="Y284" i="6"/>
  <c r="Y292" i="6"/>
  <c r="Y305" i="6"/>
  <c r="Y295" i="6"/>
  <c r="Y298" i="6"/>
  <c r="Y299" i="6"/>
  <c r="Y319" i="6"/>
  <c r="Y279" i="6"/>
  <c r="Y302" i="6"/>
  <c r="Y306" i="6"/>
  <c r="Y316" i="6"/>
  <c r="Y324" i="6"/>
  <c r="Y325" i="6"/>
  <c r="Y333" i="6"/>
  <c r="Y311" i="6"/>
  <c r="Y315" i="6"/>
  <c r="Y330" i="6"/>
  <c r="Y318" i="6"/>
  <c r="Y322" i="6"/>
  <c r="Y327" i="6"/>
  <c r="Y335" i="6"/>
  <c r="Y343" i="6"/>
  <c r="Y308" i="6"/>
  <c r="Y321" i="6"/>
  <c r="Y332" i="6"/>
  <c r="Y340" i="6"/>
  <c r="Y348" i="6"/>
  <c r="Y314" i="6"/>
  <c r="Y339" i="6"/>
  <c r="Y357" i="6"/>
  <c r="Y317" i="6"/>
  <c r="Y326" i="6"/>
  <c r="Y342" i="6"/>
  <c r="Y346" i="6"/>
  <c r="Y354" i="6"/>
  <c r="Y362" i="6"/>
  <c r="Y320" i="6"/>
  <c r="Y331" i="6"/>
  <c r="Y345" i="6"/>
  <c r="Y349" i="6"/>
  <c r="Y351" i="6"/>
  <c r="Y359" i="6"/>
  <c r="Y367" i="6"/>
  <c r="Y375" i="6"/>
  <c r="Y323" i="6"/>
  <c r="Y336" i="6"/>
  <c r="Y338" i="6"/>
  <c r="Y356" i="6"/>
  <c r="Y364" i="6"/>
  <c r="Y372" i="6"/>
  <c r="Y380" i="6"/>
  <c r="Y309" i="6"/>
  <c r="Y312" i="6"/>
  <c r="Y329" i="6"/>
  <c r="Y337" i="6"/>
  <c r="Y353" i="6"/>
  <c r="Y376" i="6"/>
  <c r="Y383" i="6"/>
  <c r="Y390" i="6"/>
  <c r="Y398" i="6"/>
  <c r="Y406" i="6"/>
  <c r="Y313" i="6"/>
  <c r="Y358" i="6"/>
  <c r="Y365" i="6"/>
  <c r="Y379" i="6"/>
  <c r="Y387" i="6"/>
  <c r="Y395" i="6"/>
  <c r="Y363" i="6"/>
  <c r="Y368" i="6"/>
  <c r="Y382" i="6"/>
  <c r="Y384" i="6"/>
  <c r="Y392" i="6"/>
  <c r="Y328" i="6"/>
  <c r="Y352" i="6"/>
  <c r="Y371" i="6"/>
  <c r="Y389" i="6"/>
  <c r="Y397" i="6"/>
  <c r="Y341" i="6"/>
  <c r="Y378" i="6"/>
  <c r="Y386" i="6"/>
  <c r="Y400" i="6"/>
  <c r="Y414" i="6"/>
  <c r="Y381" i="6"/>
  <c r="Y391" i="6"/>
  <c r="Y403" i="6"/>
  <c r="Y411" i="6"/>
  <c r="Y347" i="6"/>
  <c r="Y355" i="6"/>
  <c r="Y370" i="6"/>
  <c r="Y396" i="6"/>
  <c r="Y399" i="6"/>
  <c r="Y407" i="6"/>
  <c r="Y416" i="6"/>
  <c r="Y424" i="6"/>
  <c r="Y432" i="6"/>
  <c r="Y373" i="6"/>
  <c r="Y385" i="6"/>
  <c r="Y402" i="6"/>
  <c r="Y408" i="6"/>
  <c r="Y413" i="6"/>
  <c r="Y421" i="6"/>
  <c r="Y429" i="6"/>
  <c r="Y394" i="6"/>
  <c r="Y410" i="6"/>
  <c r="Y419" i="6"/>
  <c r="Y433" i="6"/>
  <c r="Y441" i="6"/>
  <c r="Y449" i="6"/>
  <c r="Y457" i="6"/>
  <c r="Y334" i="6"/>
  <c r="Y344" i="6"/>
  <c r="Y377" i="6"/>
  <c r="Y418" i="6"/>
  <c r="Y422" i="6"/>
  <c r="Y438" i="6"/>
  <c r="Y446" i="6"/>
  <c r="Y454" i="6"/>
  <c r="Y366" i="6"/>
  <c r="Y404" i="6"/>
  <c r="Y425" i="6"/>
  <c r="Y435" i="6"/>
  <c r="Y443" i="6"/>
  <c r="Y451" i="6"/>
  <c r="Y459" i="6"/>
  <c r="Y467" i="6"/>
  <c r="Y475" i="6"/>
  <c r="Y291" i="6"/>
  <c r="Y360" i="6"/>
  <c r="Y393" i="6"/>
  <c r="Y405" i="6"/>
  <c r="Y409" i="6"/>
  <c r="Y415" i="6"/>
  <c r="Y428" i="6"/>
  <c r="Y440" i="6"/>
  <c r="Y448" i="6"/>
  <c r="Y456" i="6"/>
  <c r="Y464" i="6"/>
  <c r="Y472" i="6"/>
  <c r="Y480" i="6"/>
  <c r="Y417" i="6"/>
  <c r="Y431" i="6"/>
  <c r="Y437" i="6"/>
  <c r="Y453" i="6"/>
  <c r="Y466" i="6"/>
  <c r="Y470" i="6"/>
  <c r="Y488" i="6"/>
  <c r="Y496" i="6"/>
  <c r="Y504" i="6"/>
  <c r="Y512" i="6"/>
  <c r="Y492" i="6"/>
  <c r="Y516" i="6"/>
  <c r="Y420" i="6"/>
  <c r="Y434" i="6"/>
  <c r="Y442" i="6"/>
  <c r="Y458" i="6"/>
  <c r="Y469" i="6"/>
  <c r="Y473" i="6"/>
  <c r="Y485" i="6"/>
  <c r="Y493" i="6"/>
  <c r="Y501" i="6"/>
  <c r="Y509" i="6"/>
  <c r="Y264" i="6"/>
  <c r="Y401" i="6"/>
  <c r="Y423" i="6"/>
  <c r="Y447" i="6"/>
  <c r="Y462" i="6"/>
  <c r="Y476" i="6"/>
  <c r="Y482" i="6"/>
  <c r="Y490" i="6"/>
  <c r="Y498" i="6"/>
  <c r="Y506" i="6"/>
  <c r="Y514" i="6"/>
  <c r="Y361" i="6"/>
  <c r="Y445" i="6"/>
  <c r="Y484" i="6"/>
  <c r="Y500" i="6"/>
  <c r="Y508" i="6"/>
  <c r="Y369" i="6"/>
  <c r="Y426" i="6"/>
  <c r="Y436" i="6"/>
  <c r="Y452" i="6"/>
  <c r="Y461" i="6"/>
  <c r="Y465" i="6"/>
  <c r="Y479" i="6"/>
  <c r="Y487" i="6"/>
  <c r="Y495" i="6"/>
  <c r="Y503" i="6"/>
  <c r="Y511" i="6"/>
  <c r="Y374" i="6"/>
  <c r="Y468" i="6"/>
  <c r="Y491" i="6"/>
  <c r="Y494" i="6"/>
  <c r="Y497" i="6"/>
  <c r="Y430" i="6"/>
  <c r="Y455" i="6"/>
  <c r="Y460" i="6"/>
  <c r="Y515" i="6"/>
  <c r="Y439" i="6"/>
  <c r="Y507" i="6"/>
  <c r="Y513" i="6"/>
  <c r="Y499" i="6"/>
  <c r="Y483" i="6"/>
  <c r="Y486" i="6"/>
  <c r="Y489" i="6"/>
  <c r="Y463" i="6"/>
  <c r="Y471" i="6"/>
  <c r="Y502" i="6"/>
  <c r="Y412" i="6"/>
  <c r="Y477" i="6"/>
  <c r="Y481" i="6"/>
  <c r="Y427" i="6"/>
  <c r="Y450" i="6"/>
  <c r="Y444" i="6"/>
  <c r="Y350" i="6"/>
  <c r="Y474" i="6"/>
  <c r="Y478" i="6"/>
  <c r="Y388" i="6"/>
  <c r="Y510" i="6"/>
  <c r="Y505" i="6"/>
  <c r="N269" i="6"/>
  <c r="N266" i="6"/>
  <c r="N271" i="6"/>
  <c r="N273" i="6"/>
  <c r="N265" i="6"/>
  <c r="N272" i="6"/>
  <c r="N278" i="6"/>
  <c r="N275" i="6"/>
  <c r="N268" i="6"/>
  <c r="N276" i="6"/>
  <c r="N279" i="6"/>
  <c r="N274" i="6"/>
  <c r="N284" i="6"/>
  <c r="N282" i="6"/>
  <c r="N281" i="6"/>
  <c r="N285" i="6"/>
  <c r="N287" i="6"/>
  <c r="N295" i="6"/>
  <c r="N303" i="6"/>
  <c r="N267" i="6"/>
  <c r="N270" i="6"/>
  <c r="N292" i="6"/>
  <c r="N300" i="6"/>
  <c r="N297" i="6"/>
  <c r="N290" i="6"/>
  <c r="N289" i="6"/>
  <c r="N293" i="6"/>
  <c r="N309" i="6"/>
  <c r="N296" i="6"/>
  <c r="N306" i="6"/>
  <c r="N277" i="6"/>
  <c r="N280" i="6"/>
  <c r="N288" i="6"/>
  <c r="N301" i="6"/>
  <c r="N305" i="6"/>
  <c r="N307" i="6"/>
  <c r="N291" i="6"/>
  <c r="N310" i="6"/>
  <c r="N318" i="6"/>
  <c r="N286" i="6"/>
  <c r="N294" i="6"/>
  <c r="N315" i="6"/>
  <c r="N323" i="6"/>
  <c r="N299" i="6"/>
  <c r="N319" i="6"/>
  <c r="N332" i="6"/>
  <c r="N322" i="6"/>
  <c r="N329" i="6"/>
  <c r="N304" i="6"/>
  <c r="N311" i="6"/>
  <c r="N326" i="6"/>
  <c r="N334" i="6"/>
  <c r="N342" i="6"/>
  <c r="N350" i="6"/>
  <c r="N314" i="6"/>
  <c r="N331" i="6"/>
  <c r="N339" i="6"/>
  <c r="N347" i="6"/>
  <c r="N302" i="6"/>
  <c r="N321" i="6"/>
  <c r="N328" i="6"/>
  <c r="N346" i="6"/>
  <c r="N356" i="6"/>
  <c r="N364" i="6"/>
  <c r="N324" i="6"/>
  <c r="N333" i="6"/>
  <c r="N349" i="6"/>
  <c r="N353" i="6"/>
  <c r="N361" i="6"/>
  <c r="N283" i="6"/>
  <c r="N308" i="6"/>
  <c r="N313" i="6"/>
  <c r="N338" i="6"/>
  <c r="N358" i="6"/>
  <c r="N366" i="6"/>
  <c r="N374" i="6"/>
  <c r="N382" i="6"/>
  <c r="N298" i="6"/>
  <c r="N312" i="6"/>
  <c r="N316" i="6"/>
  <c r="N327" i="6"/>
  <c r="N341" i="6"/>
  <c r="N345" i="6"/>
  <c r="N355" i="6"/>
  <c r="N363" i="6"/>
  <c r="N371" i="6"/>
  <c r="N379" i="6"/>
  <c r="N336" i="6"/>
  <c r="N344" i="6"/>
  <c r="N360" i="6"/>
  <c r="N365" i="6"/>
  <c r="N369" i="6"/>
  <c r="N389" i="6"/>
  <c r="N397" i="6"/>
  <c r="N405" i="6"/>
  <c r="N320" i="6"/>
  <c r="N325" i="6"/>
  <c r="N368" i="6"/>
  <c r="N372" i="6"/>
  <c r="N386" i="6"/>
  <c r="N394" i="6"/>
  <c r="N354" i="6"/>
  <c r="N375" i="6"/>
  <c r="N391" i="6"/>
  <c r="N335" i="6"/>
  <c r="N359" i="6"/>
  <c r="N378" i="6"/>
  <c r="N388" i="6"/>
  <c r="N396" i="6"/>
  <c r="N348" i="6"/>
  <c r="N352" i="6"/>
  <c r="N393" i="6"/>
  <c r="N400" i="6"/>
  <c r="N407" i="6"/>
  <c r="N413" i="6"/>
  <c r="N337" i="6"/>
  <c r="N403" i="6"/>
  <c r="N410" i="6"/>
  <c r="N362" i="6"/>
  <c r="N377" i="6"/>
  <c r="N387" i="6"/>
  <c r="N399" i="6"/>
  <c r="N408" i="6"/>
  <c r="N415" i="6"/>
  <c r="N423" i="6"/>
  <c r="N431" i="6"/>
  <c r="N343" i="6"/>
  <c r="N351" i="6"/>
  <c r="N380" i="6"/>
  <c r="N392" i="6"/>
  <c r="N402" i="6"/>
  <c r="N412" i="6"/>
  <c r="N420" i="6"/>
  <c r="N428" i="6"/>
  <c r="N317" i="6"/>
  <c r="N367" i="6"/>
  <c r="N398" i="6"/>
  <c r="N422" i="6"/>
  <c r="N426" i="6"/>
  <c r="N440" i="6"/>
  <c r="N448" i="6"/>
  <c r="N456" i="6"/>
  <c r="N390" i="6"/>
  <c r="N401" i="6"/>
  <c r="N425" i="6"/>
  <c r="N429" i="6"/>
  <c r="N437" i="6"/>
  <c r="N445" i="6"/>
  <c r="N453" i="6"/>
  <c r="N330" i="6"/>
  <c r="N373" i="6"/>
  <c r="N383" i="6"/>
  <c r="N411" i="6"/>
  <c r="N418" i="6"/>
  <c r="N432" i="6"/>
  <c r="N442" i="6"/>
  <c r="N450" i="6"/>
  <c r="N458" i="6"/>
  <c r="N466" i="6"/>
  <c r="N474" i="6"/>
  <c r="N417" i="6"/>
  <c r="N421" i="6"/>
  <c r="N439" i="6"/>
  <c r="N447" i="6"/>
  <c r="N455" i="6"/>
  <c r="N463" i="6"/>
  <c r="N471" i="6"/>
  <c r="N479" i="6"/>
  <c r="N381" i="6"/>
  <c r="N385" i="6"/>
  <c r="N424" i="6"/>
  <c r="N444" i="6"/>
  <c r="N473" i="6"/>
  <c r="N477" i="6"/>
  <c r="N487" i="6"/>
  <c r="N495" i="6"/>
  <c r="N503" i="6"/>
  <c r="N511" i="6"/>
  <c r="N491" i="6"/>
  <c r="N370" i="6"/>
  <c r="N414" i="6"/>
  <c r="N427" i="6"/>
  <c r="N449" i="6"/>
  <c r="N462" i="6"/>
  <c r="N476" i="6"/>
  <c r="N480" i="6"/>
  <c r="N484" i="6"/>
  <c r="N492" i="6"/>
  <c r="N500" i="6"/>
  <c r="N508" i="6"/>
  <c r="N516" i="6"/>
  <c r="N499" i="6"/>
  <c r="N515" i="6"/>
  <c r="N357" i="6"/>
  <c r="N340" i="6"/>
  <c r="N430" i="6"/>
  <c r="N438" i="6"/>
  <c r="N454" i="6"/>
  <c r="N465" i="6"/>
  <c r="N469" i="6"/>
  <c r="N481" i="6"/>
  <c r="N489" i="6"/>
  <c r="N497" i="6"/>
  <c r="N505" i="6"/>
  <c r="N513" i="6"/>
  <c r="N404" i="6"/>
  <c r="N419" i="6"/>
  <c r="N433" i="6"/>
  <c r="N443" i="6"/>
  <c r="N459" i="6"/>
  <c r="N468" i="6"/>
  <c r="N472" i="6"/>
  <c r="N486" i="6"/>
  <c r="N494" i="6"/>
  <c r="N502" i="6"/>
  <c r="N510" i="6"/>
  <c r="N409" i="6"/>
  <c r="N436" i="6"/>
  <c r="N452" i="6"/>
  <c r="N461" i="6"/>
  <c r="N475" i="6"/>
  <c r="N483" i="6"/>
  <c r="N507" i="6"/>
  <c r="N470" i="6"/>
  <c r="N478" i="6"/>
  <c r="N498" i="6"/>
  <c r="N501" i="6"/>
  <c r="N504" i="6"/>
  <c r="N416" i="6"/>
  <c r="N451" i="6"/>
  <c r="N514" i="6"/>
  <c r="N435" i="6"/>
  <c r="N376" i="6"/>
  <c r="N406" i="6"/>
  <c r="N460" i="6"/>
  <c r="N467" i="6"/>
  <c r="N490" i="6"/>
  <c r="N493" i="6"/>
  <c r="N496" i="6"/>
  <c r="N457" i="6"/>
  <c r="N509" i="6"/>
  <c r="N395" i="6"/>
  <c r="N464" i="6"/>
  <c r="N482" i="6"/>
  <c r="N485" i="6"/>
  <c r="N488" i="6"/>
  <c r="N446" i="6"/>
  <c r="N506" i="6"/>
  <c r="N512" i="6"/>
  <c r="N384" i="6"/>
  <c r="N441" i="6"/>
  <c r="N264" i="6"/>
  <c r="N434" i="6"/>
  <c r="R265" i="6"/>
  <c r="R270" i="6"/>
  <c r="R267" i="6"/>
  <c r="R271" i="6"/>
  <c r="R274" i="6"/>
  <c r="R269" i="6"/>
  <c r="R268" i="6"/>
  <c r="R283" i="6"/>
  <c r="R277" i="6"/>
  <c r="R280" i="6"/>
  <c r="R278" i="6"/>
  <c r="R276" i="6"/>
  <c r="R279" i="6"/>
  <c r="R291" i="6"/>
  <c r="R299" i="6"/>
  <c r="R273" i="6"/>
  <c r="R282" i="6"/>
  <c r="R286" i="6"/>
  <c r="R288" i="6"/>
  <c r="R296" i="6"/>
  <c r="R304" i="6"/>
  <c r="R295" i="6"/>
  <c r="R298" i="6"/>
  <c r="R281" i="6"/>
  <c r="R301" i="6"/>
  <c r="R305" i="6"/>
  <c r="R275" i="6"/>
  <c r="R284" i="6"/>
  <c r="R290" i="6"/>
  <c r="R294" i="6"/>
  <c r="R310" i="6"/>
  <c r="R266" i="6"/>
  <c r="R285" i="6"/>
  <c r="R293" i="6"/>
  <c r="R302" i="6"/>
  <c r="R308" i="6"/>
  <c r="R314" i="6"/>
  <c r="R322" i="6"/>
  <c r="R303" i="6"/>
  <c r="R307" i="6"/>
  <c r="R311" i="6"/>
  <c r="R319" i="6"/>
  <c r="R313" i="6"/>
  <c r="R317" i="6"/>
  <c r="R328" i="6"/>
  <c r="R336" i="6"/>
  <c r="R312" i="6"/>
  <c r="R316" i="6"/>
  <c r="R320" i="6"/>
  <c r="R325" i="6"/>
  <c r="R333" i="6"/>
  <c r="R287" i="6"/>
  <c r="R289" i="6"/>
  <c r="R300" i="6"/>
  <c r="R306" i="6"/>
  <c r="R323" i="6"/>
  <c r="R330" i="6"/>
  <c r="R338" i="6"/>
  <c r="R346" i="6"/>
  <c r="R272" i="6"/>
  <c r="R309" i="6"/>
  <c r="R327" i="6"/>
  <c r="R335" i="6"/>
  <c r="R343" i="6"/>
  <c r="R297" i="6"/>
  <c r="R315" i="6"/>
  <c r="R340" i="6"/>
  <c r="R344" i="6"/>
  <c r="R352" i="6"/>
  <c r="R360" i="6"/>
  <c r="R318" i="6"/>
  <c r="R329" i="6"/>
  <c r="R347" i="6"/>
  <c r="R357" i="6"/>
  <c r="R321" i="6"/>
  <c r="R334" i="6"/>
  <c r="R350" i="6"/>
  <c r="R354" i="6"/>
  <c r="R362" i="6"/>
  <c r="R370" i="6"/>
  <c r="R378" i="6"/>
  <c r="R324" i="6"/>
  <c r="R339" i="6"/>
  <c r="R351" i="6"/>
  <c r="R359" i="6"/>
  <c r="R367" i="6"/>
  <c r="R375" i="6"/>
  <c r="R383" i="6"/>
  <c r="R356" i="6"/>
  <c r="R377" i="6"/>
  <c r="R381" i="6"/>
  <c r="R385" i="6"/>
  <c r="R393" i="6"/>
  <c r="R401" i="6"/>
  <c r="R349" i="6"/>
  <c r="R361" i="6"/>
  <c r="R366" i="6"/>
  <c r="R380" i="6"/>
  <c r="R390" i="6"/>
  <c r="R326" i="6"/>
  <c r="R369" i="6"/>
  <c r="R373" i="6"/>
  <c r="R387" i="6"/>
  <c r="R395" i="6"/>
  <c r="R292" i="6"/>
  <c r="R341" i="6"/>
  <c r="R355" i="6"/>
  <c r="R372" i="6"/>
  <c r="R376" i="6"/>
  <c r="R384" i="6"/>
  <c r="R392" i="6"/>
  <c r="R400" i="6"/>
  <c r="R342" i="6"/>
  <c r="R364" i="6"/>
  <c r="R365" i="6"/>
  <c r="R379" i="6"/>
  <c r="R389" i="6"/>
  <c r="R404" i="6"/>
  <c r="R409" i="6"/>
  <c r="R353" i="6"/>
  <c r="R368" i="6"/>
  <c r="R382" i="6"/>
  <c r="R394" i="6"/>
  <c r="R405" i="6"/>
  <c r="R414" i="6"/>
  <c r="R348" i="6"/>
  <c r="R371" i="6"/>
  <c r="R406" i="6"/>
  <c r="R411" i="6"/>
  <c r="R419" i="6"/>
  <c r="R427" i="6"/>
  <c r="R331" i="6"/>
  <c r="R337" i="6"/>
  <c r="R363" i="6"/>
  <c r="R374" i="6"/>
  <c r="R388" i="6"/>
  <c r="R416" i="6"/>
  <c r="R424" i="6"/>
  <c r="R432" i="6"/>
  <c r="R403" i="6"/>
  <c r="R407" i="6"/>
  <c r="R413" i="6"/>
  <c r="R420" i="6"/>
  <c r="R434" i="6"/>
  <c r="R436" i="6"/>
  <c r="R444" i="6"/>
  <c r="R452" i="6"/>
  <c r="R345" i="6"/>
  <c r="R408" i="6"/>
  <c r="R423" i="6"/>
  <c r="R441" i="6"/>
  <c r="R449" i="6"/>
  <c r="R457" i="6"/>
  <c r="R358" i="6"/>
  <c r="R391" i="6"/>
  <c r="R426" i="6"/>
  <c r="R430" i="6"/>
  <c r="R438" i="6"/>
  <c r="R446" i="6"/>
  <c r="R454" i="6"/>
  <c r="R462" i="6"/>
  <c r="R470" i="6"/>
  <c r="R478" i="6"/>
  <c r="R398" i="6"/>
  <c r="R412" i="6"/>
  <c r="R429" i="6"/>
  <c r="R433" i="6"/>
  <c r="R435" i="6"/>
  <c r="R443" i="6"/>
  <c r="R451" i="6"/>
  <c r="R459" i="6"/>
  <c r="R467" i="6"/>
  <c r="R475" i="6"/>
  <c r="R418" i="6"/>
  <c r="R440" i="6"/>
  <c r="R456" i="6"/>
  <c r="R471" i="6"/>
  <c r="R483" i="6"/>
  <c r="R491" i="6"/>
  <c r="R499" i="6"/>
  <c r="R507" i="6"/>
  <c r="R515" i="6"/>
  <c r="R386" i="6"/>
  <c r="R399" i="6"/>
  <c r="R421" i="6"/>
  <c r="R445" i="6"/>
  <c r="R460" i="6"/>
  <c r="R474" i="6"/>
  <c r="R488" i="6"/>
  <c r="R496" i="6"/>
  <c r="R504" i="6"/>
  <c r="R512" i="6"/>
  <c r="R487" i="6"/>
  <c r="R503" i="6"/>
  <c r="R511" i="6"/>
  <c r="R402" i="6"/>
  <c r="R450" i="6"/>
  <c r="R463" i="6"/>
  <c r="R477" i="6"/>
  <c r="R485" i="6"/>
  <c r="R493" i="6"/>
  <c r="R501" i="6"/>
  <c r="R509" i="6"/>
  <c r="R264" i="6"/>
  <c r="R332" i="6"/>
  <c r="R422" i="6"/>
  <c r="R448" i="6"/>
  <c r="R473" i="6"/>
  <c r="R410" i="6"/>
  <c r="R396" i="6"/>
  <c r="R415" i="6"/>
  <c r="R439" i="6"/>
  <c r="R455" i="6"/>
  <c r="R466" i="6"/>
  <c r="R480" i="6"/>
  <c r="R482" i="6"/>
  <c r="R490" i="6"/>
  <c r="R498" i="6"/>
  <c r="R506" i="6"/>
  <c r="R514" i="6"/>
  <c r="R397" i="6"/>
  <c r="R469" i="6"/>
  <c r="R495" i="6"/>
  <c r="R453" i="6"/>
  <c r="R458" i="6"/>
  <c r="R481" i="6"/>
  <c r="R484" i="6"/>
  <c r="R476" i="6"/>
  <c r="R505" i="6"/>
  <c r="R489" i="6"/>
  <c r="R425" i="6"/>
  <c r="R428" i="6"/>
  <c r="R431" i="6"/>
  <c r="R437" i="6"/>
  <c r="R442" i="6"/>
  <c r="R447" i="6"/>
  <c r="R479" i="6"/>
  <c r="R468" i="6"/>
  <c r="R508" i="6"/>
  <c r="R465" i="6"/>
  <c r="R494" i="6"/>
  <c r="R417" i="6"/>
  <c r="R513" i="6"/>
  <c r="R516" i="6"/>
  <c r="R461" i="6"/>
  <c r="R497" i="6"/>
  <c r="R500" i="6"/>
  <c r="R464" i="6"/>
  <c r="R472" i="6"/>
  <c r="R510" i="6"/>
  <c r="R502" i="6"/>
  <c r="R486" i="6"/>
  <c r="R492" i="6"/>
  <c r="BE270" i="6"/>
  <c r="BE267" i="6"/>
  <c r="BE271" i="6"/>
  <c r="BE276" i="6"/>
  <c r="BE269" i="6"/>
  <c r="BE280" i="6"/>
  <c r="BE273" i="6"/>
  <c r="BE274" i="6"/>
  <c r="BE285" i="6"/>
  <c r="BE272" i="6"/>
  <c r="BE282" i="6"/>
  <c r="BE286" i="6"/>
  <c r="BE278" i="6"/>
  <c r="BE288" i="6"/>
  <c r="BE296" i="6"/>
  <c r="BE304" i="6"/>
  <c r="BE266" i="6"/>
  <c r="BE281" i="6"/>
  <c r="BE293" i="6"/>
  <c r="BE301" i="6"/>
  <c r="BE284" i="6"/>
  <c r="BE290" i="6"/>
  <c r="BE294" i="6"/>
  <c r="BE265" i="6"/>
  <c r="BE287" i="6"/>
  <c r="BE297" i="6"/>
  <c r="BE277" i="6"/>
  <c r="BE300" i="6"/>
  <c r="BE310" i="6"/>
  <c r="BE279" i="6"/>
  <c r="BE289" i="6"/>
  <c r="BE303" i="6"/>
  <c r="BE307" i="6"/>
  <c r="BE268" i="6"/>
  <c r="BE299" i="6"/>
  <c r="BE305" i="6"/>
  <c r="BE319" i="6"/>
  <c r="BE291" i="6"/>
  <c r="BE306" i="6"/>
  <c r="BE316" i="6"/>
  <c r="BE324" i="6"/>
  <c r="BE275" i="6"/>
  <c r="BE309" i="6"/>
  <c r="BE312" i="6"/>
  <c r="BE325" i="6"/>
  <c r="BE333" i="6"/>
  <c r="BE295" i="6"/>
  <c r="BE302" i="6"/>
  <c r="BE315" i="6"/>
  <c r="BE330" i="6"/>
  <c r="BE318" i="6"/>
  <c r="BE322" i="6"/>
  <c r="BE327" i="6"/>
  <c r="BE335" i="6"/>
  <c r="BE343" i="6"/>
  <c r="BE283" i="6"/>
  <c r="BE311" i="6"/>
  <c r="BE321" i="6"/>
  <c r="BE332" i="6"/>
  <c r="BE340" i="6"/>
  <c r="BE348" i="6"/>
  <c r="BE292" i="6"/>
  <c r="BE339" i="6"/>
  <c r="BE357" i="6"/>
  <c r="BE313" i="6"/>
  <c r="BE326" i="6"/>
  <c r="BE342" i="6"/>
  <c r="BE346" i="6"/>
  <c r="BE354" i="6"/>
  <c r="BE362" i="6"/>
  <c r="BE331" i="6"/>
  <c r="BE345" i="6"/>
  <c r="BE349" i="6"/>
  <c r="BE351" i="6"/>
  <c r="BE359" i="6"/>
  <c r="BE367" i="6"/>
  <c r="BE375" i="6"/>
  <c r="BE308" i="6"/>
  <c r="BE336" i="6"/>
  <c r="BE338" i="6"/>
  <c r="BE356" i="6"/>
  <c r="BE364" i="6"/>
  <c r="BE372" i="6"/>
  <c r="BE380" i="6"/>
  <c r="BE314" i="6"/>
  <c r="BE329" i="6"/>
  <c r="BE341" i="6"/>
  <c r="BE353" i="6"/>
  <c r="BE376" i="6"/>
  <c r="BE390" i="6"/>
  <c r="BE398" i="6"/>
  <c r="BE406" i="6"/>
  <c r="BE344" i="6"/>
  <c r="BE358" i="6"/>
  <c r="BE365" i="6"/>
  <c r="BE379" i="6"/>
  <c r="BE387" i="6"/>
  <c r="BE395" i="6"/>
  <c r="BE320" i="6"/>
  <c r="BE347" i="6"/>
  <c r="BE363" i="6"/>
  <c r="BE368" i="6"/>
  <c r="BE382" i="6"/>
  <c r="BE384" i="6"/>
  <c r="BE392" i="6"/>
  <c r="BE328" i="6"/>
  <c r="BE352" i="6"/>
  <c r="BE371" i="6"/>
  <c r="BE389" i="6"/>
  <c r="BE397" i="6"/>
  <c r="BE337" i="6"/>
  <c r="BE374" i="6"/>
  <c r="BE383" i="6"/>
  <c r="BE386" i="6"/>
  <c r="BE400" i="6"/>
  <c r="BE414" i="6"/>
  <c r="BE317" i="6"/>
  <c r="BE334" i="6"/>
  <c r="BE377" i="6"/>
  <c r="BE391" i="6"/>
  <c r="BE403" i="6"/>
  <c r="BE411" i="6"/>
  <c r="BE355" i="6"/>
  <c r="BE366" i="6"/>
  <c r="BE396" i="6"/>
  <c r="BE399" i="6"/>
  <c r="BE404" i="6"/>
  <c r="BE408" i="6"/>
  <c r="BE416" i="6"/>
  <c r="BE424" i="6"/>
  <c r="BE432" i="6"/>
  <c r="BE369" i="6"/>
  <c r="BE385" i="6"/>
  <c r="BE402" i="6"/>
  <c r="BE405" i="6"/>
  <c r="BE413" i="6"/>
  <c r="BE421" i="6"/>
  <c r="BE429" i="6"/>
  <c r="BE361" i="6"/>
  <c r="BE378" i="6"/>
  <c r="BE394" i="6"/>
  <c r="BE410" i="6"/>
  <c r="BE419" i="6"/>
  <c r="BE433" i="6"/>
  <c r="BE441" i="6"/>
  <c r="BE449" i="6"/>
  <c r="BE457" i="6"/>
  <c r="BE350" i="6"/>
  <c r="BE418" i="6"/>
  <c r="BE422" i="6"/>
  <c r="BE438" i="6"/>
  <c r="BE446" i="6"/>
  <c r="BE454" i="6"/>
  <c r="BE298" i="6"/>
  <c r="BE401" i="6"/>
  <c r="BE407" i="6"/>
  <c r="BE425" i="6"/>
  <c r="BE435" i="6"/>
  <c r="BE443" i="6"/>
  <c r="BE451" i="6"/>
  <c r="BE459" i="6"/>
  <c r="BE467" i="6"/>
  <c r="BE475" i="6"/>
  <c r="BE373" i="6"/>
  <c r="BE393" i="6"/>
  <c r="BE409" i="6"/>
  <c r="BE428" i="6"/>
  <c r="BE440" i="6"/>
  <c r="BE448" i="6"/>
  <c r="BE456" i="6"/>
  <c r="BE464" i="6"/>
  <c r="BE472" i="6"/>
  <c r="BE437" i="6"/>
  <c r="BE453" i="6"/>
  <c r="BE466" i="6"/>
  <c r="BE470" i="6"/>
  <c r="BE480" i="6"/>
  <c r="BE488" i="6"/>
  <c r="BE496" i="6"/>
  <c r="BE504" i="6"/>
  <c r="BE512" i="6"/>
  <c r="BE516" i="6"/>
  <c r="BE442" i="6"/>
  <c r="BE458" i="6"/>
  <c r="BE469" i="6"/>
  <c r="BE473" i="6"/>
  <c r="BE485" i="6"/>
  <c r="BE493" i="6"/>
  <c r="BE501" i="6"/>
  <c r="BE509" i="6"/>
  <c r="BE264" i="6"/>
  <c r="BE492" i="6"/>
  <c r="BE388" i="6"/>
  <c r="BE427" i="6"/>
  <c r="BE447" i="6"/>
  <c r="BE462" i="6"/>
  <c r="BE476" i="6"/>
  <c r="BE482" i="6"/>
  <c r="BE490" i="6"/>
  <c r="BE498" i="6"/>
  <c r="BE506" i="6"/>
  <c r="BE514" i="6"/>
  <c r="BE417" i="6"/>
  <c r="BE445" i="6"/>
  <c r="BE468" i="6"/>
  <c r="BE484" i="6"/>
  <c r="BE500" i="6"/>
  <c r="BE508" i="6"/>
  <c r="BE360" i="6"/>
  <c r="BE430" i="6"/>
  <c r="BE436" i="6"/>
  <c r="BE452" i="6"/>
  <c r="BE461" i="6"/>
  <c r="BE465" i="6"/>
  <c r="BE479" i="6"/>
  <c r="BE487" i="6"/>
  <c r="BE495" i="6"/>
  <c r="BE503" i="6"/>
  <c r="BE511" i="6"/>
  <c r="BE431" i="6"/>
  <c r="BE381" i="6"/>
  <c r="BE415" i="6"/>
  <c r="BE420" i="6"/>
  <c r="BE426" i="6"/>
  <c r="BE489" i="6"/>
  <c r="BE460" i="6"/>
  <c r="BE481" i="6"/>
  <c r="BE515" i="6"/>
  <c r="BE507" i="6"/>
  <c r="BE510" i="6"/>
  <c r="BE444" i="6"/>
  <c r="BE494" i="6"/>
  <c r="BE497" i="6"/>
  <c r="BE513" i="6"/>
  <c r="BE491" i="6"/>
  <c r="BE423" i="6"/>
  <c r="BE463" i="6"/>
  <c r="BE471" i="6"/>
  <c r="BE483" i="6"/>
  <c r="BE434" i="6"/>
  <c r="BE323" i="6"/>
  <c r="BE450" i="6"/>
  <c r="BE455" i="6"/>
  <c r="BE477" i="6"/>
  <c r="BE499" i="6"/>
  <c r="BE502" i="6"/>
  <c r="BE505" i="6"/>
  <c r="BE370" i="6"/>
  <c r="BE412" i="6"/>
  <c r="BE439" i="6"/>
  <c r="BE474" i="6"/>
  <c r="BE478" i="6"/>
  <c r="BE486" i="6"/>
  <c r="CF271" i="6"/>
  <c r="CF268" i="6"/>
  <c r="CF265" i="6"/>
  <c r="CF266" i="6"/>
  <c r="CF267" i="6"/>
  <c r="CF272" i="6"/>
  <c r="CF269" i="6"/>
  <c r="CF281" i="6"/>
  <c r="CF278" i="6"/>
  <c r="CF286" i="6"/>
  <c r="CF274" i="6"/>
  <c r="CF276" i="6"/>
  <c r="CF280" i="6"/>
  <c r="CF284" i="6"/>
  <c r="CF283" i="6"/>
  <c r="CF289" i="6"/>
  <c r="CF297" i="6"/>
  <c r="CF273" i="6"/>
  <c r="CF294" i="6"/>
  <c r="CF302" i="6"/>
  <c r="CF288" i="6"/>
  <c r="CF292" i="6"/>
  <c r="CF277" i="6"/>
  <c r="CF291" i="6"/>
  <c r="CF295" i="6"/>
  <c r="CF311" i="6"/>
  <c r="CF298" i="6"/>
  <c r="CF308" i="6"/>
  <c r="CF287" i="6"/>
  <c r="CF306" i="6"/>
  <c r="CF270" i="6"/>
  <c r="CF275" i="6"/>
  <c r="CF282" i="6"/>
  <c r="CF290" i="6"/>
  <c r="CF303" i="6"/>
  <c r="CF305" i="6"/>
  <c r="CF309" i="6"/>
  <c r="CF293" i="6"/>
  <c r="CF312" i="6"/>
  <c r="CF320" i="6"/>
  <c r="CF296" i="6"/>
  <c r="CF317" i="6"/>
  <c r="CF279" i="6"/>
  <c r="CF321" i="6"/>
  <c r="CF326" i="6"/>
  <c r="CF334" i="6"/>
  <c r="CF324" i="6"/>
  <c r="CF331" i="6"/>
  <c r="CF313" i="6"/>
  <c r="CF328" i="6"/>
  <c r="CF336" i="6"/>
  <c r="CF344" i="6"/>
  <c r="CF299" i="6"/>
  <c r="CF316" i="6"/>
  <c r="CF325" i="6"/>
  <c r="CF333" i="6"/>
  <c r="CF341" i="6"/>
  <c r="CF349" i="6"/>
  <c r="CF300" i="6"/>
  <c r="CF323" i="6"/>
  <c r="CF330" i="6"/>
  <c r="CF348" i="6"/>
  <c r="CF350" i="6"/>
  <c r="CF358" i="6"/>
  <c r="CF335" i="6"/>
  <c r="CF337" i="6"/>
  <c r="CF355" i="6"/>
  <c r="CF363" i="6"/>
  <c r="CF310" i="6"/>
  <c r="CF315" i="6"/>
  <c r="CF340" i="6"/>
  <c r="CF352" i="6"/>
  <c r="CF360" i="6"/>
  <c r="CF368" i="6"/>
  <c r="CF376" i="6"/>
  <c r="CF318" i="6"/>
  <c r="CF329" i="6"/>
  <c r="CF343" i="6"/>
  <c r="CF347" i="6"/>
  <c r="CF357" i="6"/>
  <c r="CF365" i="6"/>
  <c r="CF373" i="6"/>
  <c r="CF381" i="6"/>
  <c r="CF346" i="6"/>
  <c r="CF362" i="6"/>
  <c r="CF367" i="6"/>
  <c r="CF371" i="6"/>
  <c r="CF391" i="6"/>
  <c r="CF399" i="6"/>
  <c r="CF407" i="6"/>
  <c r="CF322" i="6"/>
  <c r="CF327" i="6"/>
  <c r="CF351" i="6"/>
  <c r="CF370" i="6"/>
  <c r="CF374" i="6"/>
  <c r="CF388" i="6"/>
  <c r="CF396" i="6"/>
  <c r="CF285" i="6"/>
  <c r="CF338" i="6"/>
  <c r="CF356" i="6"/>
  <c r="CF377" i="6"/>
  <c r="CF382" i="6"/>
  <c r="CF385" i="6"/>
  <c r="CF393" i="6"/>
  <c r="CF301" i="6"/>
  <c r="CF361" i="6"/>
  <c r="CF366" i="6"/>
  <c r="CF380" i="6"/>
  <c r="CF383" i="6"/>
  <c r="CF390" i="6"/>
  <c r="CF398" i="6"/>
  <c r="CF304" i="6"/>
  <c r="CF354" i="6"/>
  <c r="CF395" i="6"/>
  <c r="CF402" i="6"/>
  <c r="CF403" i="6"/>
  <c r="CF415" i="6"/>
  <c r="CF339" i="6"/>
  <c r="CF384" i="6"/>
  <c r="CF404" i="6"/>
  <c r="CF412" i="6"/>
  <c r="CF379" i="6"/>
  <c r="CF389" i="6"/>
  <c r="CF401" i="6"/>
  <c r="CF409" i="6"/>
  <c r="CF417" i="6"/>
  <c r="CF425" i="6"/>
  <c r="CF433" i="6"/>
  <c r="CF314" i="6"/>
  <c r="CF345" i="6"/>
  <c r="CF353" i="6"/>
  <c r="CF394" i="6"/>
  <c r="CF397" i="6"/>
  <c r="CF405" i="6"/>
  <c r="CF414" i="6"/>
  <c r="CF422" i="6"/>
  <c r="CF430" i="6"/>
  <c r="CF369" i="6"/>
  <c r="CF400" i="6"/>
  <c r="CF424" i="6"/>
  <c r="CF428" i="6"/>
  <c r="CF434" i="6"/>
  <c r="CF442" i="6"/>
  <c r="CF450" i="6"/>
  <c r="CF458" i="6"/>
  <c r="CF307" i="6"/>
  <c r="CF392" i="6"/>
  <c r="CF408" i="6"/>
  <c r="CF427" i="6"/>
  <c r="CF431" i="6"/>
  <c r="CF439" i="6"/>
  <c r="CF447" i="6"/>
  <c r="CF455" i="6"/>
  <c r="CF332" i="6"/>
  <c r="CF375" i="6"/>
  <c r="CF413" i="6"/>
  <c r="CF416" i="6"/>
  <c r="CF420" i="6"/>
  <c r="CF436" i="6"/>
  <c r="CF444" i="6"/>
  <c r="CF452" i="6"/>
  <c r="CF460" i="6"/>
  <c r="CF468" i="6"/>
  <c r="CF476" i="6"/>
  <c r="CF364" i="6"/>
  <c r="CF419" i="6"/>
  <c r="CF423" i="6"/>
  <c r="CF441" i="6"/>
  <c r="CF449" i="6"/>
  <c r="CF457" i="6"/>
  <c r="CF465" i="6"/>
  <c r="CF473" i="6"/>
  <c r="CF387" i="6"/>
  <c r="CF426" i="6"/>
  <c r="CF446" i="6"/>
  <c r="CF461" i="6"/>
  <c r="CF475" i="6"/>
  <c r="CF479" i="6"/>
  <c r="CF481" i="6"/>
  <c r="CF489" i="6"/>
  <c r="CF497" i="6"/>
  <c r="CF505" i="6"/>
  <c r="CF513" i="6"/>
  <c r="CF372" i="6"/>
  <c r="CF429" i="6"/>
  <c r="CF435" i="6"/>
  <c r="CF451" i="6"/>
  <c r="CF464" i="6"/>
  <c r="CF478" i="6"/>
  <c r="CF486" i="6"/>
  <c r="CF494" i="6"/>
  <c r="CF502" i="6"/>
  <c r="CF510" i="6"/>
  <c r="CF493" i="6"/>
  <c r="CF501" i="6"/>
  <c r="CF359" i="6"/>
  <c r="CF418" i="6"/>
  <c r="CF432" i="6"/>
  <c r="CF440" i="6"/>
  <c r="CF456" i="6"/>
  <c r="CF467" i="6"/>
  <c r="CF471" i="6"/>
  <c r="CF483" i="6"/>
  <c r="CF491" i="6"/>
  <c r="CF499" i="6"/>
  <c r="CF507" i="6"/>
  <c r="CF515" i="6"/>
  <c r="CF319" i="6"/>
  <c r="CF459" i="6"/>
  <c r="CF421" i="6"/>
  <c r="CF445" i="6"/>
  <c r="CF470" i="6"/>
  <c r="CF474" i="6"/>
  <c r="CF480" i="6"/>
  <c r="CF488" i="6"/>
  <c r="CF496" i="6"/>
  <c r="CF504" i="6"/>
  <c r="CF512" i="6"/>
  <c r="CF406" i="6"/>
  <c r="CF411" i="6"/>
  <c r="CF438" i="6"/>
  <c r="CF454" i="6"/>
  <c r="CF463" i="6"/>
  <c r="CF477" i="6"/>
  <c r="CF485" i="6"/>
  <c r="CF509" i="6"/>
  <c r="CF264" i="6"/>
  <c r="CF472" i="6"/>
  <c r="CF500" i="6"/>
  <c r="CF503" i="6"/>
  <c r="CF506" i="6"/>
  <c r="CF443" i="6"/>
  <c r="CF514" i="6"/>
  <c r="CF462" i="6"/>
  <c r="CF469" i="6"/>
  <c r="CF492" i="6"/>
  <c r="CF495" i="6"/>
  <c r="CF498" i="6"/>
  <c r="CF453" i="6"/>
  <c r="CF516" i="6"/>
  <c r="CF378" i="6"/>
  <c r="CF342" i="6"/>
  <c r="CF466" i="6"/>
  <c r="CF484" i="6"/>
  <c r="CF487" i="6"/>
  <c r="CF490" i="6"/>
  <c r="CF448" i="6"/>
  <c r="CF437" i="6"/>
  <c r="CF508" i="6"/>
  <c r="CF386" i="6"/>
  <c r="CF410" i="6"/>
  <c r="CF482" i="6"/>
  <c r="CF511" i="6"/>
  <c r="CI269" i="6"/>
  <c r="CI266" i="6"/>
  <c r="CI273" i="6"/>
  <c r="CI270" i="6"/>
  <c r="CI275" i="6"/>
  <c r="CI282" i="6"/>
  <c r="CI267" i="6"/>
  <c r="CI279" i="6"/>
  <c r="CI278" i="6"/>
  <c r="CI265" i="6"/>
  <c r="CI277" i="6"/>
  <c r="CI281" i="6"/>
  <c r="CI285" i="6"/>
  <c r="CI272" i="6"/>
  <c r="CI284" i="6"/>
  <c r="CI290" i="6"/>
  <c r="CI298" i="6"/>
  <c r="CI268" i="6"/>
  <c r="CI271" i="6"/>
  <c r="CI274" i="6"/>
  <c r="CI276" i="6"/>
  <c r="CI287" i="6"/>
  <c r="CI295" i="6"/>
  <c r="CI303" i="6"/>
  <c r="CI280" i="6"/>
  <c r="CI283" i="6"/>
  <c r="CI289" i="6"/>
  <c r="CI293" i="6"/>
  <c r="CI286" i="6"/>
  <c r="CI292" i="6"/>
  <c r="CI296" i="6"/>
  <c r="CI299" i="6"/>
  <c r="CI309" i="6"/>
  <c r="CI307" i="6"/>
  <c r="CI306" i="6"/>
  <c r="CI310" i="6"/>
  <c r="CI301" i="6"/>
  <c r="CI313" i="6"/>
  <c r="CI321" i="6"/>
  <c r="CI318" i="6"/>
  <c r="CI305" i="6"/>
  <c r="CI322" i="6"/>
  <c r="CI327" i="6"/>
  <c r="CI335" i="6"/>
  <c r="CI291" i="6"/>
  <c r="CI302" i="6"/>
  <c r="CI308" i="6"/>
  <c r="CI332" i="6"/>
  <c r="CI314" i="6"/>
  <c r="CI329" i="6"/>
  <c r="CI337" i="6"/>
  <c r="CI345" i="6"/>
  <c r="CI297" i="6"/>
  <c r="CI311" i="6"/>
  <c r="CI317" i="6"/>
  <c r="CI326" i="6"/>
  <c r="CI334" i="6"/>
  <c r="CI342" i="6"/>
  <c r="CI288" i="6"/>
  <c r="CI320" i="6"/>
  <c r="CI331" i="6"/>
  <c r="CI349" i="6"/>
  <c r="CI351" i="6"/>
  <c r="CI359" i="6"/>
  <c r="CI300" i="6"/>
  <c r="CI323" i="6"/>
  <c r="CI338" i="6"/>
  <c r="CI356" i="6"/>
  <c r="CI312" i="6"/>
  <c r="CI325" i="6"/>
  <c r="CI341" i="6"/>
  <c r="CI353" i="6"/>
  <c r="CI361" i="6"/>
  <c r="CI369" i="6"/>
  <c r="CI377" i="6"/>
  <c r="CI315" i="6"/>
  <c r="CI330" i="6"/>
  <c r="CI344" i="6"/>
  <c r="CI348" i="6"/>
  <c r="CI350" i="6"/>
  <c r="CI358" i="6"/>
  <c r="CI366" i="6"/>
  <c r="CI374" i="6"/>
  <c r="CI382" i="6"/>
  <c r="CI363" i="6"/>
  <c r="CI368" i="6"/>
  <c r="CI372" i="6"/>
  <c r="CI384" i="6"/>
  <c r="CI392" i="6"/>
  <c r="CI400" i="6"/>
  <c r="CI328" i="6"/>
  <c r="CI340" i="6"/>
  <c r="CI352" i="6"/>
  <c r="CI371" i="6"/>
  <c r="CI375" i="6"/>
  <c r="CI389" i="6"/>
  <c r="CI316" i="6"/>
  <c r="CI343" i="6"/>
  <c r="CI357" i="6"/>
  <c r="CI364" i="6"/>
  <c r="CI378" i="6"/>
  <c r="CI386" i="6"/>
  <c r="CI394" i="6"/>
  <c r="CI346" i="6"/>
  <c r="CI362" i="6"/>
  <c r="CI367" i="6"/>
  <c r="CI381" i="6"/>
  <c r="CI391" i="6"/>
  <c r="CI399" i="6"/>
  <c r="CI324" i="6"/>
  <c r="CI355" i="6"/>
  <c r="CI370" i="6"/>
  <c r="CI396" i="6"/>
  <c r="CI407" i="6"/>
  <c r="CI408" i="6"/>
  <c r="CI373" i="6"/>
  <c r="CI385" i="6"/>
  <c r="CI413" i="6"/>
  <c r="CI333" i="6"/>
  <c r="CI339" i="6"/>
  <c r="CI376" i="6"/>
  <c r="CI390" i="6"/>
  <c r="CI402" i="6"/>
  <c r="CI410" i="6"/>
  <c r="CI418" i="6"/>
  <c r="CI426" i="6"/>
  <c r="CI304" i="6"/>
  <c r="CI354" i="6"/>
  <c r="CI365" i="6"/>
  <c r="CI379" i="6"/>
  <c r="CI395" i="6"/>
  <c r="CI398" i="6"/>
  <c r="CI403" i="6"/>
  <c r="CI415" i="6"/>
  <c r="CI423" i="6"/>
  <c r="CI431" i="6"/>
  <c r="CI347" i="6"/>
  <c r="CI425" i="6"/>
  <c r="CI429" i="6"/>
  <c r="CI435" i="6"/>
  <c r="CI443" i="6"/>
  <c r="CI451" i="6"/>
  <c r="CI336" i="6"/>
  <c r="CI360" i="6"/>
  <c r="CI393" i="6"/>
  <c r="CI397" i="6"/>
  <c r="CI409" i="6"/>
  <c r="CI428" i="6"/>
  <c r="CI432" i="6"/>
  <c r="CI440" i="6"/>
  <c r="CI448" i="6"/>
  <c r="CI456" i="6"/>
  <c r="CI380" i="6"/>
  <c r="CI383" i="6"/>
  <c r="CI414" i="6"/>
  <c r="CI417" i="6"/>
  <c r="CI421" i="6"/>
  <c r="CI437" i="6"/>
  <c r="CI445" i="6"/>
  <c r="CI453" i="6"/>
  <c r="CI461" i="6"/>
  <c r="CI469" i="6"/>
  <c r="CI477" i="6"/>
  <c r="CI420" i="6"/>
  <c r="CI424" i="6"/>
  <c r="CI434" i="6"/>
  <c r="CI442" i="6"/>
  <c r="CI450" i="6"/>
  <c r="CI458" i="6"/>
  <c r="CI466" i="6"/>
  <c r="CI474" i="6"/>
  <c r="CI447" i="6"/>
  <c r="CI462" i="6"/>
  <c r="CI476" i="6"/>
  <c r="CI482" i="6"/>
  <c r="CI490" i="6"/>
  <c r="CI498" i="6"/>
  <c r="CI506" i="6"/>
  <c r="CI514" i="6"/>
  <c r="CI405" i="6"/>
  <c r="CI436" i="6"/>
  <c r="CI452" i="6"/>
  <c r="CI465" i="6"/>
  <c r="CI479" i="6"/>
  <c r="CI487" i="6"/>
  <c r="CI495" i="6"/>
  <c r="CI503" i="6"/>
  <c r="CI511" i="6"/>
  <c r="CI494" i="6"/>
  <c r="CI502" i="6"/>
  <c r="CI441" i="6"/>
  <c r="CI457" i="6"/>
  <c r="CI468" i="6"/>
  <c r="CI472" i="6"/>
  <c r="CI484" i="6"/>
  <c r="CI492" i="6"/>
  <c r="CI500" i="6"/>
  <c r="CI508" i="6"/>
  <c r="CI516" i="6"/>
  <c r="CI404" i="6"/>
  <c r="CI412" i="6"/>
  <c r="CI464" i="6"/>
  <c r="CI478" i="6"/>
  <c r="CI387" i="6"/>
  <c r="CI446" i="6"/>
  <c r="CI471" i="6"/>
  <c r="CI475" i="6"/>
  <c r="CI481" i="6"/>
  <c r="CI489" i="6"/>
  <c r="CI497" i="6"/>
  <c r="CI505" i="6"/>
  <c r="CI513" i="6"/>
  <c r="CI388" i="6"/>
  <c r="CI401" i="6"/>
  <c r="CI427" i="6"/>
  <c r="CI439" i="6"/>
  <c r="CI455" i="6"/>
  <c r="CI460" i="6"/>
  <c r="CI486" i="6"/>
  <c r="CI510" i="6"/>
  <c r="CI294" i="6"/>
  <c r="CI444" i="6"/>
  <c r="CI449" i="6"/>
  <c r="CI454" i="6"/>
  <c r="CI501" i="6"/>
  <c r="CI406" i="6"/>
  <c r="CI416" i="6"/>
  <c r="CI422" i="6"/>
  <c r="CI493" i="6"/>
  <c r="CI491" i="6"/>
  <c r="CI480" i="6"/>
  <c r="CI319" i="6"/>
  <c r="CI411" i="6"/>
  <c r="CI438" i="6"/>
  <c r="CI264" i="6"/>
  <c r="CI430" i="6"/>
  <c r="CI463" i="6"/>
  <c r="CI504" i="6"/>
  <c r="CI419" i="6"/>
  <c r="CI467" i="6"/>
  <c r="CI496" i="6"/>
  <c r="CI485" i="6"/>
  <c r="CI488" i="6"/>
  <c r="CI483" i="6"/>
  <c r="CI473" i="6"/>
  <c r="CI509" i="6"/>
  <c r="CI512" i="6"/>
  <c r="CI515" i="6"/>
  <c r="CI433" i="6"/>
  <c r="CI470" i="6"/>
  <c r="CI507" i="6"/>
  <c r="CI459" i="6"/>
  <c r="CI499" i="6"/>
  <c r="AG270" i="6"/>
  <c r="AG267" i="6"/>
  <c r="AG272" i="6"/>
  <c r="AG274" i="6"/>
  <c r="AG271" i="6"/>
  <c r="AG276" i="6"/>
  <c r="AG266" i="6"/>
  <c r="AG269" i="6"/>
  <c r="AG275" i="6"/>
  <c r="AG280" i="6"/>
  <c r="AG278" i="6"/>
  <c r="AG285" i="6"/>
  <c r="AG273" i="6"/>
  <c r="AG277" i="6"/>
  <c r="AG281" i="6"/>
  <c r="AG265" i="6"/>
  <c r="AG268" i="6"/>
  <c r="AG284" i="6"/>
  <c r="AG288" i="6"/>
  <c r="AG296" i="6"/>
  <c r="AG304" i="6"/>
  <c r="AG293" i="6"/>
  <c r="AG301" i="6"/>
  <c r="AG279" i="6"/>
  <c r="AG289" i="6"/>
  <c r="AG282" i="6"/>
  <c r="AG292" i="6"/>
  <c r="AG310" i="6"/>
  <c r="AG295" i="6"/>
  <c r="AG299" i="6"/>
  <c r="AG307" i="6"/>
  <c r="AG283" i="6"/>
  <c r="AG287" i="6"/>
  <c r="AG291" i="6"/>
  <c r="AG306" i="6"/>
  <c r="AG294" i="6"/>
  <c r="AG309" i="6"/>
  <c r="AG319" i="6"/>
  <c r="AG297" i="6"/>
  <c r="AG312" i="6"/>
  <c r="AG316" i="6"/>
  <c r="AG324" i="6"/>
  <c r="AG298" i="6"/>
  <c r="AG305" i="6"/>
  <c r="AG318" i="6"/>
  <c r="AG322" i="6"/>
  <c r="AG325" i="6"/>
  <c r="AG333" i="6"/>
  <c r="AG321" i="6"/>
  <c r="AG330" i="6"/>
  <c r="AG286" i="6"/>
  <c r="AG314" i="6"/>
  <c r="AG327" i="6"/>
  <c r="AG335" i="6"/>
  <c r="AG343" i="6"/>
  <c r="AG302" i="6"/>
  <c r="AG313" i="6"/>
  <c r="AG317" i="6"/>
  <c r="AG332" i="6"/>
  <c r="AG340" i="6"/>
  <c r="AG348" i="6"/>
  <c r="AG303" i="6"/>
  <c r="AG329" i="6"/>
  <c r="AG345" i="6"/>
  <c r="AG349" i="6"/>
  <c r="AG357" i="6"/>
  <c r="AG334" i="6"/>
  <c r="AG338" i="6"/>
  <c r="AG354" i="6"/>
  <c r="AG362" i="6"/>
  <c r="AG337" i="6"/>
  <c r="AG341" i="6"/>
  <c r="AG351" i="6"/>
  <c r="AG359" i="6"/>
  <c r="AG367" i="6"/>
  <c r="AG375" i="6"/>
  <c r="AG300" i="6"/>
  <c r="AG328" i="6"/>
  <c r="AG344" i="6"/>
  <c r="AG356" i="6"/>
  <c r="AG364" i="6"/>
  <c r="AG372" i="6"/>
  <c r="AG380" i="6"/>
  <c r="AG347" i="6"/>
  <c r="AG361" i="6"/>
  <c r="AG368" i="6"/>
  <c r="AG382" i="6"/>
  <c r="AG390" i="6"/>
  <c r="AG398" i="6"/>
  <c r="AG406" i="6"/>
  <c r="AG308" i="6"/>
  <c r="AG323" i="6"/>
  <c r="AG350" i="6"/>
  <c r="AG371" i="6"/>
  <c r="AG387" i="6"/>
  <c r="AG395" i="6"/>
  <c r="AG290" i="6"/>
  <c r="AG331" i="6"/>
  <c r="AG339" i="6"/>
  <c r="AG355" i="6"/>
  <c r="AG374" i="6"/>
  <c r="AG378" i="6"/>
  <c r="AG384" i="6"/>
  <c r="AG392" i="6"/>
  <c r="AG342" i="6"/>
  <c r="AG360" i="6"/>
  <c r="AG377" i="6"/>
  <c r="AG381" i="6"/>
  <c r="AG389" i="6"/>
  <c r="AG397" i="6"/>
  <c r="AG320" i="6"/>
  <c r="AG366" i="6"/>
  <c r="AG394" i="6"/>
  <c r="AG399" i="6"/>
  <c r="AG414" i="6"/>
  <c r="AG326" i="6"/>
  <c r="AG358" i="6"/>
  <c r="AG369" i="6"/>
  <c r="AG402" i="6"/>
  <c r="AG407" i="6"/>
  <c r="AG411" i="6"/>
  <c r="AG388" i="6"/>
  <c r="AG408" i="6"/>
  <c r="AG416" i="6"/>
  <c r="AG424" i="6"/>
  <c r="AG432" i="6"/>
  <c r="AG346" i="6"/>
  <c r="AG393" i="6"/>
  <c r="AG413" i="6"/>
  <c r="AG421" i="6"/>
  <c r="AG429" i="6"/>
  <c r="AG353" i="6"/>
  <c r="AG370" i="6"/>
  <c r="AG386" i="6"/>
  <c r="AG401" i="6"/>
  <c r="AG415" i="6"/>
  <c r="AG425" i="6"/>
  <c r="AG441" i="6"/>
  <c r="AG449" i="6"/>
  <c r="AG457" i="6"/>
  <c r="AG311" i="6"/>
  <c r="AG428" i="6"/>
  <c r="AG438" i="6"/>
  <c r="AG446" i="6"/>
  <c r="AG454" i="6"/>
  <c r="AG376" i="6"/>
  <c r="AG396" i="6"/>
  <c r="AG412" i="6"/>
  <c r="AG417" i="6"/>
  <c r="AG431" i="6"/>
  <c r="AG435" i="6"/>
  <c r="AG443" i="6"/>
  <c r="AG451" i="6"/>
  <c r="AG459" i="6"/>
  <c r="AG467" i="6"/>
  <c r="AG475" i="6"/>
  <c r="AG315" i="6"/>
  <c r="AG365" i="6"/>
  <c r="AG385" i="6"/>
  <c r="AG420" i="6"/>
  <c r="AG434" i="6"/>
  <c r="AG440" i="6"/>
  <c r="AG448" i="6"/>
  <c r="AG456" i="6"/>
  <c r="AG464" i="6"/>
  <c r="AG472" i="6"/>
  <c r="AG410" i="6"/>
  <c r="AG427" i="6"/>
  <c r="AG445" i="6"/>
  <c r="AG462" i="6"/>
  <c r="AG476" i="6"/>
  <c r="AG480" i="6"/>
  <c r="AG488" i="6"/>
  <c r="AG496" i="6"/>
  <c r="AG504" i="6"/>
  <c r="AG512" i="6"/>
  <c r="AG508" i="6"/>
  <c r="AG391" i="6"/>
  <c r="AG404" i="6"/>
  <c r="AG430" i="6"/>
  <c r="AG450" i="6"/>
  <c r="AG461" i="6"/>
  <c r="AG465" i="6"/>
  <c r="AG479" i="6"/>
  <c r="AG485" i="6"/>
  <c r="AG493" i="6"/>
  <c r="AG501" i="6"/>
  <c r="AG509" i="6"/>
  <c r="AG264" i="6"/>
  <c r="AG373" i="6"/>
  <c r="AG363" i="6"/>
  <c r="AG400" i="6"/>
  <c r="AG419" i="6"/>
  <c r="AG433" i="6"/>
  <c r="AG439" i="6"/>
  <c r="AG455" i="6"/>
  <c r="AG468" i="6"/>
  <c r="AG482" i="6"/>
  <c r="AG490" i="6"/>
  <c r="AG498" i="6"/>
  <c r="AG506" i="6"/>
  <c r="AG514" i="6"/>
  <c r="AG437" i="6"/>
  <c r="AG453" i="6"/>
  <c r="AG460" i="6"/>
  <c r="AG474" i="6"/>
  <c r="AG516" i="6"/>
  <c r="AG336" i="6"/>
  <c r="AG352" i="6"/>
  <c r="AG379" i="6"/>
  <c r="AG409" i="6"/>
  <c r="AG422" i="6"/>
  <c r="AG444" i="6"/>
  <c r="AG471" i="6"/>
  <c r="AG487" i="6"/>
  <c r="AG495" i="6"/>
  <c r="AG503" i="6"/>
  <c r="AG511" i="6"/>
  <c r="AG423" i="6"/>
  <c r="AG478" i="6"/>
  <c r="AG484" i="6"/>
  <c r="AG492" i="6"/>
  <c r="AG500" i="6"/>
  <c r="AG426" i="6"/>
  <c r="AG515" i="6"/>
  <c r="AG383" i="6"/>
  <c r="AG418" i="6"/>
  <c r="AG507" i="6"/>
  <c r="AG510" i="6"/>
  <c r="AG513" i="6"/>
  <c r="AG499" i="6"/>
  <c r="AG505" i="6"/>
  <c r="AG436" i="6"/>
  <c r="AG483" i="6"/>
  <c r="AG463" i="6"/>
  <c r="AG458" i="6"/>
  <c r="AG502" i="6"/>
  <c r="AG403" i="6"/>
  <c r="AG442" i="6"/>
  <c r="AG447" i="6"/>
  <c r="AG452" i="6"/>
  <c r="AG469" i="6"/>
  <c r="AG477" i="6"/>
  <c r="AG491" i="6"/>
  <c r="AG494" i="6"/>
  <c r="AG497" i="6"/>
  <c r="AG405" i="6"/>
  <c r="AG466" i="6"/>
  <c r="AG473" i="6"/>
  <c r="AG486" i="6"/>
  <c r="AG489" i="6"/>
  <c r="AG470" i="6"/>
  <c r="AG481" i="6"/>
  <c r="AT269" i="6"/>
  <c r="AT266" i="6"/>
  <c r="AT271" i="6"/>
  <c r="AT270" i="6"/>
  <c r="AT273" i="6"/>
  <c r="AT267" i="6"/>
  <c r="AT278" i="6"/>
  <c r="AT275" i="6"/>
  <c r="AT265" i="6"/>
  <c r="AT268" i="6"/>
  <c r="AT272" i="6"/>
  <c r="AT276" i="6"/>
  <c r="AT279" i="6"/>
  <c r="AT274" i="6"/>
  <c r="AT284" i="6"/>
  <c r="AT282" i="6"/>
  <c r="AT281" i="6"/>
  <c r="AT285" i="6"/>
  <c r="AT287" i="6"/>
  <c r="AT295" i="6"/>
  <c r="AT303" i="6"/>
  <c r="AT292" i="6"/>
  <c r="AT300" i="6"/>
  <c r="AT297" i="6"/>
  <c r="AT280" i="6"/>
  <c r="AT290" i="6"/>
  <c r="AT283" i="6"/>
  <c r="AT289" i="6"/>
  <c r="AT293" i="6"/>
  <c r="AT309" i="6"/>
  <c r="AT286" i="6"/>
  <c r="AT296" i="6"/>
  <c r="AT306" i="6"/>
  <c r="AT304" i="6"/>
  <c r="AT307" i="6"/>
  <c r="AT310" i="6"/>
  <c r="AT318" i="6"/>
  <c r="AT298" i="6"/>
  <c r="AT299" i="6"/>
  <c r="AT301" i="6"/>
  <c r="AT305" i="6"/>
  <c r="AT315" i="6"/>
  <c r="AT323" i="6"/>
  <c r="AT319" i="6"/>
  <c r="AT332" i="6"/>
  <c r="AT312" i="6"/>
  <c r="AT322" i="6"/>
  <c r="AT329" i="6"/>
  <c r="AT291" i="6"/>
  <c r="AT308" i="6"/>
  <c r="AT326" i="6"/>
  <c r="AT334" i="6"/>
  <c r="AT342" i="6"/>
  <c r="AT314" i="6"/>
  <c r="AT331" i="6"/>
  <c r="AT339" i="6"/>
  <c r="AT347" i="6"/>
  <c r="AT311" i="6"/>
  <c r="AT317" i="6"/>
  <c r="AT328" i="6"/>
  <c r="AT346" i="6"/>
  <c r="AT356" i="6"/>
  <c r="AT364" i="6"/>
  <c r="AT320" i="6"/>
  <c r="AT333" i="6"/>
  <c r="AT349" i="6"/>
  <c r="AT353" i="6"/>
  <c r="AT361" i="6"/>
  <c r="AT338" i="6"/>
  <c r="AT350" i="6"/>
  <c r="AT358" i="6"/>
  <c r="AT366" i="6"/>
  <c r="AT374" i="6"/>
  <c r="AT382" i="6"/>
  <c r="AT277" i="6"/>
  <c r="AT294" i="6"/>
  <c r="AT327" i="6"/>
  <c r="AT341" i="6"/>
  <c r="AT345" i="6"/>
  <c r="AT355" i="6"/>
  <c r="AT363" i="6"/>
  <c r="AT371" i="6"/>
  <c r="AT379" i="6"/>
  <c r="AT321" i="6"/>
  <c r="AT336" i="6"/>
  <c r="AT348" i="6"/>
  <c r="AT360" i="6"/>
  <c r="AT365" i="6"/>
  <c r="AT369" i="6"/>
  <c r="AT389" i="6"/>
  <c r="AT397" i="6"/>
  <c r="AT405" i="6"/>
  <c r="AT288" i="6"/>
  <c r="AT325" i="6"/>
  <c r="AT337" i="6"/>
  <c r="AT368" i="6"/>
  <c r="AT372" i="6"/>
  <c r="AT386" i="6"/>
  <c r="AT394" i="6"/>
  <c r="AT340" i="6"/>
  <c r="AT354" i="6"/>
  <c r="AT375" i="6"/>
  <c r="AT383" i="6"/>
  <c r="AT391" i="6"/>
  <c r="AT316" i="6"/>
  <c r="AT335" i="6"/>
  <c r="AT343" i="6"/>
  <c r="AT359" i="6"/>
  <c r="AT378" i="6"/>
  <c r="AT388" i="6"/>
  <c r="AT396" i="6"/>
  <c r="AT344" i="6"/>
  <c r="AT352" i="6"/>
  <c r="AT367" i="6"/>
  <c r="AT381" i="6"/>
  <c r="AT393" i="6"/>
  <c r="AT400" i="6"/>
  <c r="AT404" i="6"/>
  <c r="AT413" i="6"/>
  <c r="AT370" i="6"/>
  <c r="AT403" i="6"/>
  <c r="AT410" i="6"/>
  <c r="AT302" i="6"/>
  <c r="AT330" i="6"/>
  <c r="AT362" i="6"/>
  <c r="AT373" i="6"/>
  <c r="AT387" i="6"/>
  <c r="AT399" i="6"/>
  <c r="AT415" i="6"/>
  <c r="AT423" i="6"/>
  <c r="AT431" i="6"/>
  <c r="AT351" i="6"/>
  <c r="AT376" i="6"/>
  <c r="AT392" i="6"/>
  <c r="AT402" i="6"/>
  <c r="AT406" i="6"/>
  <c r="AT412" i="6"/>
  <c r="AT420" i="6"/>
  <c r="AT428" i="6"/>
  <c r="AT422" i="6"/>
  <c r="AT426" i="6"/>
  <c r="AT440" i="6"/>
  <c r="AT448" i="6"/>
  <c r="AT456" i="6"/>
  <c r="AT324" i="6"/>
  <c r="AT357" i="6"/>
  <c r="AT390" i="6"/>
  <c r="AT425" i="6"/>
  <c r="AT429" i="6"/>
  <c r="AT437" i="6"/>
  <c r="AT445" i="6"/>
  <c r="AT453" i="6"/>
  <c r="AT313" i="6"/>
  <c r="AT411" i="6"/>
  <c r="AT418" i="6"/>
  <c r="AT432" i="6"/>
  <c r="AT442" i="6"/>
  <c r="AT450" i="6"/>
  <c r="AT458" i="6"/>
  <c r="AT466" i="6"/>
  <c r="AT474" i="6"/>
  <c r="AT380" i="6"/>
  <c r="AT416" i="6"/>
  <c r="AT417" i="6"/>
  <c r="AT421" i="6"/>
  <c r="AT439" i="6"/>
  <c r="AT447" i="6"/>
  <c r="AT455" i="6"/>
  <c r="AT463" i="6"/>
  <c r="AT471" i="6"/>
  <c r="AT479" i="6"/>
  <c r="AT398" i="6"/>
  <c r="AT407" i="6"/>
  <c r="AT444" i="6"/>
  <c r="AT459" i="6"/>
  <c r="AT473" i="6"/>
  <c r="AT477" i="6"/>
  <c r="AT487" i="6"/>
  <c r="AT495" i="6"/>
  <c r="AT503" i="6"/>
  <c r="AT511" i="6"/>
  <c r="AT491" i="6"/>
  <c r="AT499" i="6"/>
  <c r="AT515" i="6"/>
  <c r="AT414" i="6"/>
  <c r="AT449" i="6"/>
  <c r="AT462" i="6"/>
  <c r="AT476" i="6"/>
  <c r="AT484" i="6"/>
  <c r="AT492" i="6"/>
  <c r="AT500" i="6"/>
  <c r="AT508" i="6"/>
  <c r="AT516" i="6"/>
  <c r="AT401" i="6"/>
  <c r="AT377" i="6"/>
  <c r="AT395" i="6"/>
  <c r="AT434" i="6"/>
  <c r="AT438" i="6"/>
  <c r="AT454" i="6"/>
  <c r="AT465" i="6"/>
  <c r="AT469" i="6"/>
  <c r="AT481" i="6"/>
  <c r="AT489" i="6"/>
  <c r="AT497" i="6"/>
  <c r="AT505" i="6"/>
  <c r="AT513" i="6"/>
  <c r="AT385" i="6"/>
  <c r="AT409" i="6"/>
  <c r="AT424" i="6"/>
  <c r="AT461" i="6"/>
  <c r="AT475" i="6"/>
  <c r="AT384" i="6"/>
  <c r="AT443" i="6"/>
  <c r="AT468" i="6"/>
  <c r="AT472" i="6"/>
  <c r="AT486" i="6"/>
  <c r="AT494" i="6"/>
  <c r="AT502" i="6"/>
  <c r="AT510" i="6"/>
  <c r="AT436" i="6"/>
  <c r="AT452" i="6"/>
  <c r="AT483" i="6"/>
  <c r="AT507" i="6"/>
  <c r="AT419" i="6"/>
  <c r="AT504" i="6"/>
  <c r="AT485" i="6"/>
  <c r="AT488" i="6"/>
  <c r="AT433" i="6"/>
  <c r="AT470" i="6"/>
  <c r="AT478" i="6"/>
  <c r="AT446" i="6"/>
  <c r="AT498" i="6"/>
  <c r="AT501" i="6"/>
  <c r="AT427" i="6"/>
  <c r="AT480" i="6"/>
  <c r="AT460" i="6"/>
  <c r="AT467" i="6"/>
  <c r="AT514" i="6"/>
  <c r="AT264" i="6"/>
  <c r="AT408" i="6"/>
  <c r="AT435" i="6"/>
  <c r="AT490" i="6"/>
  <c r="AT493" i="6"/>
  <c r="AT430" i="6"/>
  <c r="AT457" i="6"/>
  <c r="AT464" i="6"/>
  <c r="AT506" i="6"/>
  <c r="AT509" i="6"/>
  <c r="AT512" i="6"/>
  <c r="AT441" i="6"/>
  <c r="AT451" i="6"/>
  <c r="AT496" i="6"/>
  <c r="AT482" i="6"/>
  <c r="CK270" i="6"/>
  <c r="CK267" i="6"/>
  <c r="CK269" i="6"/>
  <c r="CK265" i="6"/>
  <c r="CK266" i="6"/>
  <c r="CK272" i="6"/>
  <c r="CK268" i="6"/>
  <c r="CK273" i="6"/>
  <c r="CK274" i="6"/>
  <c r="CK276" i="6"/>
  <c r="CK271" i="6"/>
  <c r="CK280" i="6"/>
  <c r="CK277" i="6"/>
  <c r="CK285" i="6"/>
  <c r="CK282" i="6"/>
  <c r="CK286" i="6"/>
  <c r="CK278" i="6"/>
  <c r="CK288" i="6"/>
  <c r="CK296" i="6"/>
  <c r="CK304" i="6"/>
  <c r="CK281" i="6"/>
  <c r="CK293" i="6"/>
  <c r="CK301" i="6"/>
  <c r="CK290" i="6"/>
  <c r="CK294" i="6"/>
  <c r="CK297" i="6"/>
  <c r="CK300" i="6"/>
  <c r="CK310" i="6"/>
  <c r="CK283" i="6"/>
  <c r="CK289" i="6"/>
  <c r="CK303" i="6"/>
  <c r="CK307" i="6"/>
  <c r="CK292" i="6"/>
  <c r="CK295" i="6"/>
  <c r="CK275" i="6"/>
  <c r="CK299" i="6"/>
  <c r="CK319" i="6"/>
  <c r="CK287" i="6"/>
  <c r="CK306" i="6"/>
  <c r="CK316" i="6"/>
  <c r="CK324" i="6"/>
  <c r="CK312" i="6"/>
  <c r="CK325" i="6"/>
  <c r="CK333" i="6"/>
  <c r="CK315" i="6"/>
  <c r="CK330" i="6"/>
  <c r="CK305" i="6"/>
  <c r="CK318" i="6"/>
  <c r="CK322" i="6"/>
  <c r="CK327" i="6"/>
  <c r="CK335" i="6"/>
  <c r="CK343" i="6"/>
  <c r="CK279" i="6"/>
  <c r="CK291" i="6"/>
  <c r="CK302" i="6"/>
  <c r="CK308" i="6"/>
  <c r="CK321" i="6"/>
  <c r="CK332" i="6"/>
  <c r="CK340" i="6"/>
  <c r="CK348" i="6"/>
  <c r="CK284" i="6"/>
  <c r="CK298" i="6"/>
  <c r="CK309" i="6"/>
  <c r="CK314" i="6"/>
  <c r="CK339" i="6"/>
  <c r="CK357" i="6"/>
  <c r="CK317" i="6"/>
  <c r="CK326" i="6"/>
  <c r="CK342" i="6"/>
  <c r="CK346" i="6"/>
  <c r="CK354" i="6"/>
  <c r="CK362" i="6"/>
  <c r="CK320" i="6"/>
  <c r="CK331" i="6"/>
  <c r="CK345" i="6"/>
  <c r="CK349" i="6"/>
  <c r="CK351" i="6"/>
  <c r="CK359" i="6"/>
  <c r="CK367" i="6"/>
  <c r="CK375" i="6"/>
  <c r="CK323" i="6"/>
  <c r="CK338" i="6"/>
  <c r="CK356" i="6"/>
  <c r="CK364" i="6"/>
  <c r="CK372" i="6"/>
  <c r="CK380" i="6"/>
  <c r="CK329" i="6"/>
  <c r="CK337" i="6"/>
  <c r="CK353" i="6"/>
  <c r="CK376" i="6"/>
  <c r="CK383" i="6"/>
  <c r="CK390" i="6"/>
  <c r="CK398" i="6"/>
  <c r="CK406" i="6"/>
  <c r="CK358" i="6"/>
  <c r="CK365" i="6"/>
  <c r="CK379" i="6"/>
  <c r="CK387" i="6"/>
  <c r="CK395" i="6"/>
  <c r="CK363" i="6"/>
  <c r="CK368" i="6"/>
  <c r="CK384" i="6"/>
  <c r="CK392" i="6"/>
  <c r="CK328" i="6"/>
  <c r="CK352" i="6"/>
  <c r="CK371" i="6"/>
  <c r="CK389" i="6"/>
  <c r="CK397" i="6"/>
  <c r="CK378" i="6"/>
  <c r="CK386" i="6"/>
  <c r="CK400" i="6"/>
  <c r="CK414" i="6"/>
  <c r="CK311" i="6"/>
  <c r="CK313" i="6"/>
  <c r="CK344" i="6"/>
  <c r="CK381" i="6"/>
  <c r="CK391" i="6"/>
  <c r="CK411" i="6"/>
  <c r="CK355" i="6"/>
  <c r="CK370" i="6"/>
  <c r="CK396" i="6"/>
  <c r="CK399" i="6"/>
  <c r="CK407" i="6"/>
  <c r="CK408" i="6"/>
  <c r="CK416" i="6"/>
  <c r="CK424" i="6"/>
  <c r="CK432" i="6"/>
  <c r="CK373" i="6"/>
  <c r="CK385" i="6"/>
  <c r="CK402" i="6"/>
  <c r="CK413" i="6"/>
  <c r="CK421" i="6"/>
  <c r="CK429" i="6"/>
  <c r="CK374" i="6"/>
  <c r="CK394" i="6"/>
  <c r="CK410" i="6"/>
  <c r="CK419" i="6"/>
  <c r="CK433" i="6"/>
  <c r="CK441" i="6"/>
  <c r="CK449" i="6"/>
  <c r="CK457" i="6"/>
  <c r="CK418" i="6"/>
  <c r="CK422" i="6"/>
  <c r="CK438" i="6"/>
  <c r="CK446" i="6"/>
  <c r="CK454" i="6"/>
  <c r="CK347" i="6"/>
  <c r="CK425" i="6"/>
  <c r="CK435" i="6"/>
  <c r="CK443" i="6"/>
  <c r="CK451" i="6"/>
  <c r="CK459" i="6"/>
  <c r="CK467" i="6"/>
  <c r="CK475" i="6"/>
  <c r="CK336" i="6"/>
  <c r="CK360" i="6"/>
  <c r="CK369" i="6"/>
  <c r="CK393" i="6"/>
  <c r="CK409" i="6"/>
  <c r="CK415" i="6"/>
  <c r="CK428" i="6"/>
  <c r="CK440" i="6"/>
  <c r="CK448" i="6"/>
  <c r="CK456" i="6"/>
  <c r="CK464" i="6"/>
  <c r="CK472" i="6"/>
  <c r="CK341" i="6"/>
  <c r="CK361" i="6"/>
  <c r="CK403" i="6"/>
  <c r="CK417" i="6"/>
  <c r="CK431" i="6"/>
  <c r="CK437" i="6"/>
  <c r="CK453" i="6"/>
  <c r="CK466" i="6"/>
  <c r="CK470" i="6"/>
  <c r="CK480" i="6"/>
  <c r="CK488" i="6"/>
  <c r="CK496" i="6"/>
  <c r="CK504" i="6"/>
  <c r="CK512" i="6"/>
  <c r="CK516" i="6"/>
  <c r="CK334" i="6"/>
  <c r="CK377" i="6"/>
  <c r="CK350" i="6"/>
  <c r="CK420" i="6"/>
  <c r="CK442" i="6"/>
  <c r="CK458" i="6"/>
  <c r="CK469" i="6"/>
  <c r="CK473" i="6"/>
  <c r="CK485" i="6"/>
  <c r="CK493" i="6"/>
  <c r="CK501" i="6"/>
  <c r="CK509" i="6"/>
  <c r="CK264" i="6"/>
  <c r="CK492" i="6"/>
  <c r="CK382" i="6"/>
  <c r="CK423" i="6"/>
  <c r="CK447" i="6"/>
  <c r="CK462" i="6"/>
  <c r="CK476" i="6"/>
  <c r="CK482" i="6"/>
  <c r="CK490" i="6"/>
  <c r="CK498" i="6"/>
  <c r="CK506" i="6"/>
  <c r="CK514" i="6"/>
  <c r="CK445" i="6"/>
  <c r="CK484" i="6"/>
  <c r="CK508" i="6"/>
  <c r="CK405" i="6"/>
  <c r="CK426" i="6"/>
  <c r="CK436" i="6"/>
  <c r="CK452" i="6"/>
  <c r="CK461" i="6"/>
  <c r="CK465" i="6"/>
  <c r="CK479" i="6"/>
  <c r="CK487" i="6"/>
  <c r="CK495" i="6"/>
  <c r="CK503" i="6"/>
  <c r="CK511" i="6"/>
  <c r="CK468" i="6"/>
  <c r="CK500" i="6"/>
  <c r="CK388" i="6"/>
  <c r="CK491" i="6"/>
  <c r="CK494" i="6"/>
  <c r="CK497" i="6"/>
  <c r="CK412" i="6"/>
  <c r="CK510" i="6"/>
  <c r="CK502" i="6"/>
  <c r="CK450" i="6"/>
  <c r="CK455" i="6"/>
  <c r="CK483" i="6"/>
  <c r="CK486" i="6"/>
  <c r="CK489" i="6"/>
  <c r="CK474" i="6"/>
  <c r="CK430" i="6"/>
  <c r="CK463" i="6"/>
  <c r="CK471" i="6"/>
  <c r="CK499" i="6"/>
  <c r="CK505" i="6"/>
  <c r="CK404" i="6"/>
  <c r="CK434" i="6"/>
  <c r="CK439" i="6"/>
  <c r="CK444" i="6"/>
  <c r="CK481" i="6"/>
  <c r="CK477" i="6"/>
  <c r="CK515" i="6"/>
  <c r="CK427" i="6"/>
  <c r="CK507" i="6"/>
  <c r="CK513" i="6"/>
  <c r="CK366" i="6"/>
  <c r="CK401" i="6"/>
  <c r="CK478" i="6"/>
  <c r="CK460" i="6"/>
  <c r="BZ269" i="6"/>
  <c r="BZ266" i="6"/>
  <c r="BZ271" i="6"/>
  <c r="BZ273" i="6"/>
  <c r="BZ265" i="6"/>
  <c r="BZ267" i="6"/>
  <c r="BZ272" i="6"/>
  <c r="BZ275" i="6"/>
  <c r="BZ270" i="6"/>
  <c r="BZ276" i="6"/>
  <c r="BZ279" i="6"/>
  <c r="BZ284" i="6"/>
  <c r="BZ268" i="6"/>
  <c r="BZ278" i="6"/>
  <c r="BZ282" i="6"/>
  <c r="BZ281" i="6"/>
  <c r="BZ285" i="6"/>
  <c r="BZ287" i="6"/>
  <c r="BZ295" i="6"/>
  <c r="BZ303" i="6"/>
  <c r="BZ277" i="6"/>
  <c r="BZ292" i="6"/>
  <c r="BZ300" i="6"/>
  <c r="BZ297" i="6"/>
  <c r="BZ290" i="6"/>
  <c r="BZ289" i="6"/>
  <c r="BZ293" i="6"/>
  <c r="BZ309" i="6"/>
  <c r="BZ274" i="6"/>
  <c r="BZ296" i="6"/>
  <c r="BZ306" i="6"/>
  <c r="BZ298" i="6"/>
  <c r="BZ302" i="6"/>
  <c r="BZ288" i="6"/>
  <c r="BZ307" i="6"/>
  <c r="BZ283" i="6"/>
  <c r="BZ291" i="6"/>
  <c r="BZ304" i="6"/>
  <c r="BZ310" i="6"/>
  <c r="BZ318" i="6"/>
  <c r="BZ294" i="6"/>
  <c r="BZ299" i="6"/>
  <c r="BZ315" i="6"/>
  <c r="BZ323" i="6"/>
  <c r="BZ319" i="6"/>
  <c r="BZ332" i="6"/>
  <c r="BZ280" i="6"/>
  <c r="BZ322" i="6"/>
  <c r="BZ329" i="6"/>
  <c r="BZ326" i="6"/>
  <c r="BZ334" i="6"/>
  <c r="BZ342" i="6"/>
  <c r="BZ314" i="6"/>
  <c r="BZ331" i="6"/>
  <c r="BZ339" i="6"/>
  <c r="BZ347" i="6"/>
  <c r="BZ321" i="6"/>
  <c r="BZ328" i="6"/>
  <c r="BZ346" i="6"/>
  <c r="BZ356" i="6"/>
  <c r="BZ305" i="6"/>
  <c r="BZ324" i="6"/>
  <c r="BZ333" i="6"/>
  <c r="BZ349" i="6"/>
  <c r="BZ353" i="6"/>
  <c r="BZ361" i="6"/>
  <c r="BZ311" i="6"/>
  <c r="BZ313" i="6"/>
  <c r="BZ338" i="6"/>
  <c r="BZ350" i="6"/>
  <c r="BZ358" i="6"/>
  <c r="BZ366" i="6"/>
  <c r="BZ374" i="6"/>
  <c r="BZ286" i="6"/>
  <c r="BZ316" i="6"/>
  <c r="BZ327" i="6"/>
  <c r="BZ341" i="6"/>
  <c r="BZ345" i="6"/>
  <c r="BZ355" i="6"/>
  <c r="BZ363" i="6"/>
  <c r="BZ371" i="6"/>
  <c r="BZ379" i="6"/>
  <c r="BZ317" i="6"/>
  <c r="BZ344" i="6"/>
  <c r="BZ360" i="6"/>
  <c r="BZ365" i="6"/>
  <c r="BZ369" i="6"/>
  <c r="BZ389" i="6"/>
  <c r="BZ397" i="6"/>
  <c r="BZ405" i="6"/>
  <c r="BZ301" i="6"/>
  <c r="BZ325" i="6"/>
  <c r="BZ368" i="6"/>
  <c r="BZ372" i="6"/>
  <c r="BZ386" i="6"/>
  <c r="BZ394" i="6"/>
  <c r="BZ336" i="6"/>
  <c r="BZ354" i="6"/>
  <c r="BZ375" i="6"/>
  <c r="BZ391" i="6"/>
  <c r="BZ312" i="6"/>
  <c r="BZ335" i="6"/>
  <c r="BZ359" i="6"/>
  <c r="BZ364" i="6"/>
  <c r="BZ378" i="6"/>
  <c r="BZ388" i="6"/>
  <c r="BZ396" i="6"/>
  <c r="BZ352" i="6"/>
  <c r="BZ393" i="6"/>
  <c r="BZ400" i="6"/>
  <c r="BZ407" i="6"/>
  <c r="BZ413" i="6"/>
  <c r="BZ382" i="6"/>
  <c r="BZ410" i="6"/>
  <c r="BZ308" i="6"/>
  <c r="BZ340" i="6"/>
  <c r="BZ362" i="6"/>
  <c r="BZ377" i="6"/>
  <c r="BZ383" i="6"/>
  <c r="BZ387" i="6"/>
  <c r="BZ399" i="6"/>
  <c r="BZ415" i="6"/>
  <c r="BZ423" i="6"/>
  <c r="BZ431" i="6"/>
  <c r="BZ351" i="6"/>
  <c r="BZ380" i="6"/>
  <c r="BZ392" i="6"/>
  <c r="BZ402" i="6"/>
  <c r="BZ403" i="6"/>
  <c r="BZ412" i="6"/>
  <c r="BZ420" i="6"/>
  <c r="BZ428" i="6"/>
  <c r="BZ348" i="6"/>
  <c r="BZ381" i="6"/>
  <c r="BZ398" i="6"/>
  <c r="BZ404" i="6"/>
  <c r="BZ422" i="6"/>
  <c r="BZ426" i="6"/>
  <c r="BZ440" i="6"/>
  <c r="BZ448" i="6"/>
  <c r="BZ456" i="6"/>
  <c r="BZ320" i="6"/>
  <c r="BZ337" i="6"/>
  <c r="BZ370" i="6"/>
  <c r="BZ390" i="6"/>
  <c r="BZ401" i="6"/>
  <c r="BZ425" i="6"/>
  <c r="BZ429" i="6"/>
  <c r="BZ437" i="6"/>
  <c r="BZ445" i="6"/>
  <c r="BZ453" i="6"/>
  <c r="BZ411" i="6"/>
  <c r="BZ418" i="6"/>
  <c r="BZ432" i="6"/>
  <c r="BZ434" i="6"/>
  <c r="BZ442" i="6"/>
  <c r="BZ450" i="6"/>
  <c r="BZ458" i="6"/>
  <c r="BZ466" i="6"/>
  <c r="BZ474" i="6"/>
  <c r="BZ376" i="6"/>
  <c r="BZ406" i="6"/>
  <c r="BZ417" i="6"/>
  <c r="BZ421" i="6"/>
  <c r="BZ439" i="6"/>
  <c r="BZ447" i="6"/>
  <c r="BZ455" i="6"/>
  <c r="BZ463" i="6"/>
  <c r="BZ471" i="6"/>
  <c r="BZ479" i="6"/>
  <c r="BZ385" i="6"/>
  <c r="BZ424" i="6"/>
  <c r="BZ444" i="6"/>
  <c r="BZ459" i="6"/>
  <c r="BZ473" i="6"/>
  <c r="BZ477" i="6"/>
  <c r="BZ487" i="6"/>
  <c r="BZ495" i="6"/>
  <c r="BZ503" i="6"/>
  <c r="BZ511" i="6"/>
  <c r="BZ499" i="6"/>
  <c r="BZ515" i="6"/>
  <c r="BZ357" i="6"/>
  <c r="BZ414" i="6"/>
  <c r="BZ427" i="6"/>
  <c r="BZ449" i="6"/>
  <c r="BZ462" i="6"/>
  <c r="BZ476" i="6"/>
  <c r="BZ484" i="6"/>
  <c r="BZ492" i="6"/>
  <c r="BZ500" i="6"/>
  <c r="BZ508" i="6"/>
  <c r="BZ516" i="6"/>
  <c r="BZ491" i="6"/>
  <c r="BZ330" i="6"/>
  <c r="BZ373" i="6"/>
  <c r="BZ430" i="6"/>
  <c r="BZ438" i="6"/>
  <c r="BZ454" i="6"/>
  <c r="BZ465" i="6"/>
  <c r="BZ469" i="6"/>
  <c r="BZ481" i="6"/>
  <c r="BZ489" i="6"/>
  <c r="BZ497" i="6"/>
  <c r="BZ505" i="6"/>
  <c r="BZ513" i="6"/>
  <c r="BZ367" i="6"/>
  <c r="BZ343" i="6"/>
  <c r="BZ416" i="6"/>
  <c r="BZ419" i="6"/>
  <c r="BZ433" i="6"/>
  <c r="BZ443" i="6"/>
  <c r="BZ468" i="6"/>
  <c r="BZ472" i="6"/>
  <c r="BZ486" i="6"/>
  <c r="BZ494" i="6"/>
  <c r="BZ502" i="6"/>
  <c r="BZ510" i="6"/>
  <c r="BZ409" i="6"/>
  <c r="BZ436" i="6"/>
  <c r="BZ452" i="6"/>
  <c r="BZ461" i="6"/>
  <c r="BZ475" i="6"/>
  <c r="BZ483" i="6"/>
  <c r="BZ507" i="6"/>
  <c r="BZ498" i="6"/>
  <c r="BZ501" i="6"/>
  <c r="BZ504" i="6"/>
  <c r="BZ384" i="6"/>
  <c r="BZ514" i="6"/>
  <c r="BZ457" i="6"/>
  <c r="BZ490" i="6"/>
  <c r="BZ493" i="6"/>
  <c r="BZ496" i="6"/>
  <c r="BZ441" i="6"/>
  <c r="BZ446" i="6"/>
  <c r="BZ451" i="6"/>
  <c r="BZ470" i="6"/>
  <c r="BZ478" i="6"/>
  <c r="BZ482" i="6"/>
  <c r="BZ485" i="6"/>
  <c r="BZ488" i="6"/>
  <c r="BZ264" i="6"/>
  <c r="BZ408" i="6"/>
  <c r="BZ506" i="6"/>
  <c r="BZ509" i="6"/>
  <c r="BZ512" i="6"/>
  <c r="BZ435" i="6"/>
  <c r="BZ460" i="6"/>
  <c r="BZ467" i="6"/>
  <c r="BZ480" i="6"/>
  <c r="BZ395" i="6"/>
  <c r="BZ464" i="6"/>
  <c r="S268" i="6"/>
  <c r="S265" i="6"/>
  <c r="S270" i="6"/>
  <c r="S267" i="6"/>
  <c r="S271" i="6"/>
  <c r="S274" i="6"/>
  <c r="S277" i="6"/>
  <c r="S269" i="6"/>
  <c r="S272" i="6"/>
  <c r="S273" i="6"/>
  <c r="S286" i="6"/>
  <c r="S283" i="6"/>
  <c r="S275" i="6"/>
  <c r="S280" i="6"/>
  <c r="S284" i="6"/>
  <c r="S278" i="6"/>
  <c r="S294" i="6"/>
  <c r="S302" i="6"/>
  <c r="S276" i="6"/>
  <c r="S279" i="6"/>
  <c r="S291" i="6"/>
  <c r="S299" i="6"/>
  <c r="S288" i="6"/>
  <c r="S292" i="6"/>
  <c r="S295" i="6"/>
  <c r="S298" i="6"/>
  <c r="S308" i="6"/>
  <c r="S281" i="6"/>
  <c r="S301" i="6"/>
  <c r="S305" i="6"/>
  <c r="S290" i="6"/>
  <c r="S309" i="6"/>
  <c r="S266" i="6"/>
  <c r="S285" i="6"/>
  <c r="S293" i="6"/>
  <c r="S296" i="6"/>
  <c r="S317" i="6"/>
  <c r="S314" i="6"/>
  <c r="S322" i="6"/>
  <c r="S303" i="6"/>
  <c r="S324" i="6"/>
  <c r="S331" i="6"/>
  <c r="S313" i="6"/>
  <c r="S328" i="6"/>
  <c r="S336" i="6"/>
  <c r="S312" i="6"/>
  <c r="S316" i="6"/>
  <c r="S320" i="6"/>
  <c r="S325" i="6"/>
  <c r="S333" i="6"/>
  <c r="S341" i="6"/>
  <c r="S349" i="6"/>
  <c r="S287" i="6"/>
  <c r="S289" i="6"/>
  <c r="S300" i="6"/>
  <c r="S304" i="6"/>
  <c r="S306" i="6"/>
  <c r="S319" i="6"/>
  <c r="S323" i="6"/>
  <c r="S330" i="6"/>
  <c r="S338" i="6"/>
  <c r="S346" i="6"/>
  <c r="S307" i="6"/>
  <c r="S335" i="6"/>
  <c r="S337" i="6"/>
  <c r="S355" i="6"/>
  <c r="S363" i="6"/>
  <c r="S297" i="6"/>
  <c r="S311" i="6"/>
  <c r="S315" i="6"/>
  <c r="S340" i="6"/>
  <c r="S344" i="6"/>
  <c r="S352" i="6"/>
  <c r="S360" i="6"/>
  <c r="S318" i="6"/>
  <c r="S329" i="6"/>
  <c r="S343" i="6"/>
  <c r="S347" i="6"/>
  <c r="S357" i="6"/>
  <c r="S365" i="6"/>
  <c r="S373" i="6"/>
  <c r="S381" i="6"/>
  <c r="S321" i="6"/>
  <c r="S334" i="6"/>
  <c r="S350" i="6"/>
  <c r="S354" i="6"/>
  <c r="S362" i="6"/>
  <c r="S370" i="6"/>
  <c r="S378" i="6"/>
  <c r="S282" i="6"/>
  <c r="S327" i="6"/>
  <c r="S351" i="6"/>
  <c r="S374" i="6"/>
  <c r="S388" i="6"/>
  <c r="S396" i="6"/>
  <c r="S404" i="6"/>
  <c r="S310" i="6"/>
  <c r="S356" i="6"/>
  <c r="S377" i="6"/>
  <c r="S385" i="6"/>
  <c r="S393" i="6"/>
  <c r="S361" i="6"/>
  <c r="S366" i="6"/>
  <c r="S380" i="6"/>
  <c r="S383" i="6"/>
  <c r="S390" i="6"/>
  <c r="S326" i="6"/>
  <c r="S369" i="6"/>
  <c r="S387" i="6"/>
  <c r="S395" i="6"/>
  <c r="S403" i="6"/>
  <c r="S376" i="6"/>
  <c r="S384" i="6"/>
  <c r="S398" i="6"/>
  <c r="S412" i="6"/>
  <c r="S342" i="6"/>
  <c r="S364" i="6"/>
  <c r="S379" i="6"/>
  <c r="S389" i="6"/>
  <c r="S401" i="6"/>
  <c r="S409" i="6"/>
  <c r="S353" i="6"/>
  <c r="S368" i="6"/>
  <c r="S382" i="6"/>
  <c r="S394" i="6"/>
  <c r="S405" i="6"/>
  <c r="S414" i="6"/>
  <c r="S422" i="6"/>
  <c r="S430" i="6"/>
  <c r="S348" i="6"/>
  <c r="S371" i="6"/>
  <c r="S400" i="6"/>
  <c r="S406" i="6"/>
  <c r="S411" i="6"/>
  <c r="S419" i="6"/>
  <c r="S427" i="6"/>
  <c r="S372" i="6"/>
  <c r="S392" i="6"/>
  <c r="S415" i="6"/>
  <c r="S417" i="6"/>
  <c r="S431" i="6"/>
  <c r="S439" i="6"/>
  <c r="S447" i="6"/>
  <c r="S455" i="6"/>
  <c r="S407" i="6"/>
  <c r="S413" i="6"/>
  <c r="S416" i="6"/>
  <c r="S420" i="6"/>
  <c r="S434" i="6"/>
  <c r="S436" i="6"/>
  <c r="S444" i="6"/>
  <c r="S452" i="6"/>
  <c r="S345" i="6"/>
  <c r="S408" i="6"/>
  <c r="S423" i="6"/>
  <c r="S441" i="6"/>
  <c r="S449" i="6"/>
  <c r="S457" i="6"/>
  <c r="S465" i="6"/>
  <c r="S473" i="6"/>
  <c r="S358" i="6"/>
  <c r="S367" i="6"/>
  <c r="S391" i="6"/>
  <c r="S426" i="6"/>
  <c r="S438" i="6"/>
  <c r="S446" i="6"/>
  <c r="S454" i="6"/>
  <c r="S462" i="6"/>
  <c r="S470" i="6"/>
  <c r="S478" i="6"/>
  <c r="S359" i="6"/>
  <c r="S429" i="6"/>
  <c r="S435" i="6"/>
  <c r="S451" i="6"/>
  <c r="S464" i="6"/>
  <c r="S468" i="6"/>
  <c r="S486" i="6"/>
  <c r="S494" i="6"/>
  <c r="S502" i="6"/>
  <c r="S510" i="6"/>
  <c r="S397" i="6"/>
  <c r="S418" i="6"/>
  <c r="S432" i="6"/>
  <c r="S440" i="6"/>
  <c r="S456" i="6"/>
  <c r="S467" i="6"/>
  <c r="S471" i="6"/>
  <c r="S483" i="6"/>
  <c r="S491" i="6"/>
  <c r="S499" i="6"/>
  <c r="S507" i="6"/>
  <c r="S515" i="6"/>
  <c r="S490" i="6"/>
  <c r="S332" i="6"/>
  <c r="S375" i="6"/>
  <c r="S421" i="6"/>
  <c r="S445" i="6"/>
  <c r="S460" i="6"/>
  <c r="S474" i="6"/>
  <c r="S488" i="6"/>
  <c r="S496" i="6"/>
  <c r="S504" i="6"/>
  <c r="S512" i="6"/>
  <c r="S433" i="6"/>
  <c r="S443" i="6"/>
  <c r="S459" i="6"/>
  <c r="S482" i="6"/>
  <c r="S514" i="6"/>
  <c r="S402" i="6"/>
  <c r="S424" i="6"/>
  <c r="S450" i="6"/>
  <c r="S463" i="6"/>
  <c r="S477" i="6"/>
  <c r="S485" i="6"/>
  <c r="S493" i="6"/>
  <c r="S501" i="6"/>
  <c r="S509" i="6"/>
  <c r="S264" i="6"/>
  <c r="S339" i="6"/>
  <c r="S466" i="6"/>
  <c r="S480" i="6"/>
  <c r="S498" i="6"/>
  <c r="S506" i="6"/>
  <c r="S386" i="6"/>
  <c r="S399" i="6"/>
  <c r="S489" i="6"/>
  <c r="S492" i="6"/>
  <c r="S495" i="6"/>
  <c r="S479" i="6"/>
  <c r="S516" i="6"/>
  <c r="S505" i="6"/>
  <c r="S508" i="6"/>
  <c r="S500" i="6"/>
  <c r="S448" i="6"/>
  <c r="S453" i="6"/>
  <c r="S458" i="6"/>
  <c r="S481" i="6"/>
  <c r="S484" i="6"/>
  <c r="S487" i="6"/>
  <c r="S410" i="6"/>
  <c r="S461" i="6"/>
  <c r="S425" i="6"/>
  <c r="S428" i="6"/>
  <c r="S437" i="6"/>
  <c r="S442" i="6"/>
  <c r="S469" i="6"/>
  <c r="S511" i="6"/>
  <c r="S497" i="6"/>
  <c r="S503" i="6"/>
  <c r="S475" i="6"/>
  <c r="S472" i="6"/>
  <c r="S513" i="6"/>
  <c r="S476" i="6"/>
  <c r="O272" i="6"/>
  <c r="O269" i="6"/>
  <c r="O266" i="6"/>
  <c r="O268" i="6"/>
  <c r="O273" i="6"/>
  <c r="O265" i="6"/>
  <c r="O267" i="6"/>
  <c r="O271" i="6"/>
  <c r="O270" i="6"/>
  <c r="O282" i="6"/>
  <c r="O276" i="6"/>
  <c r="O278" i="6"/>
  <c r="O279" i="6"/>
  <c r="O286" i="6"/>
  <c r="O274" i="6"/>
  <c r="O290" i="6"/>
  <c r="O298" i="6"/>
  <c r="O281" i="6"/>
  <c r="O285" i="6"/>
  <c r="O287" i="6"/>
  <c r="O295" i="6"/>
  <c r="O303" i="6"/>
  <c r="O275" i="6"/>
  <c r="O284" i="6"/>
  <c r="O294" i="6"/>
  <c r="O297" i="6"/>
  <c r="O300" i="6"/>
  <c r="O304" i="6"/>
  <c r="O312" i="6"/>
  <c r="O289" i="6"/>
  <c r="O293" i="6"/>
  <c r="O309" i="6"/>
  <c r="O296" i="6"/>
  <c r="O277" i="6"/>
  <c r="O280" i="6"/>
  <c r="O288" i="6"/>
  <c r="O301" i="6"/>
  <c r="O305" i="6"/>
  <c r="O307" i="6"/>
  <c r="O313" i="6"/>
  <c r="O321" i="6"/>
  <c r="O291" i="6"/>
  <c r="O306" i="6"/>
  <c r="O310" i="6"/>
  <c r="O318" i="6"/>
  <c r="O316" i="6"/>
  <c r="O327" i="6"/>
  <c r="O335" i="6"/>
  <c r="O299" i="6"/>
  <c r="O315" i="6"/>
  <c r="O319" i="6"/>
  <c r="O332" i="6"/>
  <c r="O322" i="6"/>
  <c r="O329" i="6"/>
  <c r="O337" i="6"/>
  <c r="O345" i="6"/>
  <c r="O311" i="6"/>
  <c r="O326" i="6"/>
  <c r="O334" i="6"/>
  <c r="O342" i="6"/>
  <c r="O350" i="6"/>
  <c r="O339" i="6"/>
  <c r="O343" i="6"/>
  <c r="O351" i="6"/>
  <c r="O359" i="6"/>
  <c r="O302" i="6"/>
  <c r="O328" i="6"/>
  <c r="O346" i="6"/>
  <c r="O356" i="6"/>
  <c r="O364" i="6"/>
  <c r="O324" i="6"/>
  <c r="O333" i="6"/>
  <c r="O349" i="6"/>
  <c r="O353" i="6"/>
  <c r="O361" i="6"/>
  <c r="O369" i="6"/>
  <c r="O377" i="6"/>
  <c r="O283" i="6"/>
  <c r="O308" i="6"/>
  <c r="O338" i="6"/>
  <c r="O358" i="6"/>
  <c r="O366" i="6"/>
  <c r="O374" i="6"/>
  <c r="O382" i="6"/>
  <c r="O292" i="6"/>
  <c r="O314" i="6"/>
  <c r="O341" i="6"/>
  <c r="O355" i="6"/>
  <c r="O376" i="6"/>
  <c r="O380" i="6"/>
  <c r="O384" i="6"/>
  <c r="O392" i="6"/>
  <c r="O400" i="6"/>
  <c r="O408" i="6"/>
  <c r="O336" i="6"/>
  <c r="O344" i="6"/>
  <c r="O360" i="6"/>
  <c r="O365" i="6"/>
  <c r="O379" i="6"/>
  <c r="O389" i="6"/>
  <c r="O397" i="6"/>
  <c r="O320" i="6"/>
  <c r="O325" i="6"/>
  <c r="O347" i="6"/>
  <c r="O368" i="6"/>
  <c r="O372" i="6"/>
  <c r="O386" i="6"/>
  <c r="O394" i="6"/>
  <c r="O354" i="6"/>
  <c r="O371" i="6"/>
  <c r="O375" i="6"/>
  <c r="O391" i="6"/>
  <c r="O399" i="6"/>
  <c r="O331" i="6"/>
  <c r="O363" i="6"/>
  <c r="O388" i="6"/>
  <c r="O406" i="6"/>
  <c r="O416" i="6"/>
  <c r="O348" i="6"/>
  <c r="O352" i="6"/>
  <c r="O393" i="6"/>
  <c r="O407" i="6"/>
  <c r="O413" i="6"/>
  <c r="O403" i="6"/>
  <c r="O410" i="6"/>
  <c r="O418" i="6"/>
  <c r="O426" i="6"/>
  <c r="O434" i="6"/>
  <c r="O323" i="6"/>
  <c r="O362" i="6"/>
  <c r="O387" i="6"/>
  <c r="O415" i="6"/>
  <c r="O423" i="6"/>
  <c r="O431" i="6"/>
  <c r="O378" i="6"/>
  <c r="O412" i="6"/>
  <c r="O419" i="6"/>
  <c r="O433" i="6"/>
  <c r="O435" i="6"/>
  <c r="O443" i="6"/>
  <c r="O451" i="6"/>
  <c r="O459" i="6"/>
  <c r="O317" i="6"/>
  <c r="O367" i="6"/>
  <c r="O398" i="6"/>
  <c r="O422" i="6"/>
  <c r="O440" i="6"/>
  <c r="O448" i="6"/>
  <c r="O456" i="6"/>
  <c r="O390" i="6"/>
  <c r="O401" i="6"/>
  <c r="O425" i="6"/>
  <c r="O429" i="6"/>
  <c r="O437" i="6"/>
  <c r="O445" i="6"/>
  <c r="O453" i="6"/>
  <c r="O461" i="6"/>
  <c r="O469" i="6"/>
  <c r="O477" i="6"/>
  <c r="O330" i="6"/>
  <c r="O373" i="6"/>
  <c r="O383" i="6"/>
  <c r="O411" i="6"/>
  <c r="O428" i="6"/>
  <c r="O432" i="6"/>
  <c r="O442" i="6"/>
  <c r="O450" i="6"/>
  <c r="O458" i="6"/>
  <c r="O466" i="6"/>
  <c r="O474" i="6"/>
  <c r="O396" i="6"/>
  <c r="O402" i="6"/>
  <c r="O421" i="6"/>
  <c r="O439" i="6"/>
  <c r="O455" i="6"/>
  <c r="O470" i="6"/>
  <c r="O482" i="6"/>
  <c r="O490" i="6"/>
  <c r="O498" i="6"/>
  <c r="O506" i="6"/>
  <c r="O514" i="6"/>
  <c r="O486" i="6"/>
  <c r="O502" i="6"/>
  <c r="O409" i="6"/>
  <c r="O381" i="6"/>
  <c r="O385" i="6"/>
  <c r="O424" i="6"/>
  <c r="O444" i="6"/>
  <c r="O473" i="6"/>
  <c r="O487" i="6"/>
  <c r="O495" i="6"/>
  <c r="O503" i="6"/>
  <c r="O511" i="6"/>
  <c r="O510" i="6"/>
  <c r="O404" i="6"/>
  <c r="O370" i="6"/>
  <c r="O405" i="6"/>
  <c r="O414" i="6"/>
  <c r="O427" i="6"/>
  <c r="O449" i="6"/>
  <c r="O462" i="6"/>
  <c r="O476" i="6"/>
  <c r="O480" i="6"/>
  <c r="O484" i="6"/>
  <c r="O492" i="6"/>
  <c r="O500" i="6"/>
  <c r="O508" i="6"/>
  <c r="O516" i="6"/>
  <c r="O417" i="6"/>
  <c r="O447" i="6"/>
  <c r="O468" i="6"/>
  <c r="O494" i="6"/>
  <c r="O340" i="6"/>
  <c r="O430" i="6"/>
  <c r="O438" i="6"/>
  <c r="O454" i="6"/>
  <c r="O465" i="6"/>
  <c r="O479" i="6"/>
  <c r="O481" i="6"/>
  <c r="O489" i="6"/>
  <c r="O497" i="6"/>
  <c r="O505" i="6"/>
  <c r="O513" i="6"/>
  <c r="O472" i="6"/>
  <c r="O509" i="6"/>
  <c r="O512" i="6"/>
  <c r="O515" i="6"/>
  <c r="O441" i="6"/>
  <c r="O264" i="6"/>
  <c r="O463" i="6"/>
  <c r="O471" i="6"/>
  <c r="O478" i="6"/>
  <c r="O501" i="6"/>
  <c r="O504" i="6"/>
  <c r="O507" i="6"/>
  <c r="O420" i="6"/>
  <c r="O446" i="6"/>
  <c r="O460" i="6"/>
  <c r="O467" i="6"/>
  <c r="O475" i="6"/>
  <c r="O493" i="6"/>
  <c r="O496" i="6"/>
  <c r="O499" i="6"/>
  <c r="O395" i="6"/>
  <c r="O464" i="6"/>
  <c r="O485" i="6"/>
  <c r="O488" i="6"/>
  <c r="O491" i="6"/>
  <c r="O357" i="6"/>
  <c r="O483" i="6"/>
  <c r="O452" i="6"/>
  <c r="O457" i="6"/>
  <c r="O436" i="6"/>
  <c r="BC269" i="6"/>
  <c r="BC266" i="6"/>
  <c r="BC267" i="6"/>
  <c r="BC268" i="6"/>
  <c r="BC273" i="6"/>
  <c r="BC271" i="6"/>
  <c r="BC275" i="6"/>
  <c r="BC282" i="6"/>
  <c r="BC265" i="6"/>
  <c r="BC279" i="6"/>
  <c r="BC270" i="6"/>
  <c r="BC278" i="6"/>
  <c r="BC276" i="6"/>
  <c r="BC281" i="6"/>
  <c r="BC285" i="6"/>
  <c r="BC284" i="6"/>
  <c r="BC290" i="6"/>
  <c r="BC298" i="6"/>
  <c r="BC274" i="6"/>
  <c r="BC287" i="6"/>
  <c r="BC295" i="6"/>
  <c r="BC303" i="6"/>
  <c r="BC277" i="6"/>
  <c r="BC289" i="6"/>
  <c r="BC293" i="6"/>
  <c r="BC272" i="6"/>
  <c r="BC292" i="6"/>
  <c r="BC296" i="6"/>
  <c r="BC312" i="6"/>
  <c r="BC299" i="6"/>
  <c r="BC309" i="6"/>
  <c r="BC280" i="6"/>
  <c r="BC288" i="6"/>
  <c r="BC301" i="6"/>
  <c r="BC305" i="6"/>
  <c r="BC307" i="6"/>
  <c r="BC291" i="6"/>
  <c r="BC306" i="6"/>
  <c r="BC310" i="6"/>
  <c r="BC286" i="6"/>
  <c r="BC294" i="6"/>
  <c r="BC313" i="6"/>
  <c r="BC321" i="6"/>
  <c r="BC297" i="6"/>
  <c r="BC300" i="6"/>
  <c r="BC302" i="6"/>
  <c r="BC318" i="6"/>
  <c r="BC322" i="6"/>
  <c r="BC327" i="6"/>
  <c r="BC335" i="6"/>
  <c r="BC283" i="6"/>
  <c r="BC311" i="6"/>
  <c r="BC332" i="6"/>
  <c r="BC314" i="6"/>
  <c r="BC329" i="6"/>
  <c r="BC337" i="6"/>
  <c r="BC345" i="6"/>
  <c r="BC317" i="6"/>
  <c r="BC326" i="6"/>
  <c r="BC334" i="6"/>
  <c r="BC342" i="6"/>
  <c r="BC324" i="6"/>
  <c r="BC331" i="6"/>
  <c r="BC349" i="6"/>
  <c r="BC351" i="6"/>
  <c r="BC359" i="6"/>
  <c r="BC304" i="6"/>
  <c r="BC308" i="6"/>
  <c r="BC336" i="6"/>
  <c r="BC338" i="6"/>
  <c r="BC356" i="6"/>
  <c r="BC316" i="6"/>
  <c r="BC325" i="6"/>
  <c r="BC341" i="6"/>
  <c r="BC353" i="6"/>
  <c r="BC361" i="6"/>
  <c r="BC369" i="6"/>
  <c r="BC377" i="6"/>
  <c r="BC319" i="6"/>
  <c r="BC330" i="6"/>
  <c r="BC344" i="6"/>
  <c r="BC348" i="6"/>
  <c r="BC350" i="6"/>
  <c r="BC358" i="6"/>
  <c r="BC366" i="6"/>
  <c r="BC374" i="6"/>
  <c r="BC382" i="6"/>
  <c r="BC320" i="6"/>
  <c r="BC347" i="6"/>
  <c r="BC363" i="6"/>
  <c r="BC368" i="6"/>
  <c r="BC372" i="6"/>
  <c r="BC384" i="6"/>
  <c r="BC392" i="6"/>
  <c r="BC400" i="6"/>
  <c r="BC328" i="6"/>
  <c r="BC352" i="6"/>
  <c r="BC371" i="6"/>
  <c r="BC375" i="6"/>
  <c r="BC389" i="6"/>
  <c r="BC397" i="6"/>
  <c r="BC339" i="6"/>
  <c r="BC357" i="6"/>
  <c r="BC364" i="6"/>
  <c r="BC378" i="6"/>
  <c r="BC383" i="6"/>
  <c r="BC386" i="6"/>
  <c r="BC394" i="6"/>
  <c r="BC315" i="6"/>
  <c r="BC362" i="6"/>
  <c r="BC367" i="6"/>
  <c r="BC381" i="6"/>
  <c r="BC391" i="6"/>
  <c r="BC399" i="6"/>
  <c r="BC355" i="6"/>
  <c r="BC396" i="6"/>
  <c r="BC403" i="6"/>
  <c r="BC404" i="6"/>
  <c r="BC408" i="6"/>
  <c r="BC416" i="6"/>
  <c r="BC385" i="6"/>
  <c r="BC405" i="6"/>
  <c r="BC413" i="6"/>
  <c r="BC343" i="6"/>
  <c r="BC380" i="6"/>
  <c r="BC390" i="6"/>
  <c r="BC402" i="6"/>
  <c r="BC410" i="6"/>
  <c r="BC418" i="6"/>
  <c r="BC426" i="6"/>
  <c r="BC354" i="6"/>
  <c r="BC395" i="6"/>
  <c r="BC398" i="6"/>
  <c r="BC406" i="6"/>
  <c r="BC415" i="6"/>
  <c r="BC423" i="6"/>
  <c r="BC431" i="6"/>
  <c r="BC401" i="6"/>
  <c r="BC407" i="6"/>
  <c r="BC425" i="6"/>
  <c r="BC429" i="6"/>
  <c r="BC435" i="6"/>
  <c r="BC443" i="6"/>
  <c r="BC451" i="6"/>
  <c r="BC340" i="6"/>
  <c r="BC373" i="6"/>
  <c r="BC393" i="6"/>
  <c r="BC409" i="6"/>
  <c r="BC428" i="6"/>
  <c r="BC432" i="6"/>
  <c r="BC440" i="6"/>
  <c r="BC448" i="6"/>
  <c r="BC456" i="6"/>
  <c r="BC414" i="6"/>
  <c r="BC417" i="6"/>
  <c r="BC421" i="6"/>
  <c r="BC437" i="6"/>
  <c r="BC445" i="6"/>
  <c r="BC453" i="6"/>
  <c r="BC461" i="6"/>
  <c r="BC469" i="6"/>
  <c r="BC477" i="6"/>
  <c r="BC379" i="6"/>
  <c r="BC420" i="6"/>
  <c r="BC424" i="6"/>
  <c r="BC442" i="6"/>
  <c r="BC450" i="6"/>
  <c r="BC458" i="6"/>
  <c r="BC466" i="6"/>
  <c r="BC474" i="6"/>
  <c r="BC388" i="6"/>
  <c r="BC427" i="6"/>
  <c r="BC447" i="6"/>
  <c r="BC462" i="6"/>
  <c r="BC476" i="6"/>
  <c r="BC482" i="6"/>
  <c r="BC490" i="6"/>
  <c r="BC498" i="6"/>
  <c r="BC506" i="6"/>
  <c r="BC514" i="6"/>
  <c r="BC323" i="6"/>
  <c r="BC360" i="6"/>
  <c r="BC430" i="6"/>
  <c r="BC436" i="6"/>
  <c r="BC452" i="6"/>
  <c r="BC465" i="6"/>
  <c r="BC479" i="6"/>
  <c r="BC487" i="6"/>
  <c r="BC495" i="6"/>
  <c r="BC503" i="6"/>
  <c r="BC511" i="6"/>
  <c r="BC494" i="6"/>
  <c r="BC502" i="6"/>
  <c r="BC333" i="6"/>
  <c r="BC376" i="6"/>
  <c r="BC419" i="6"/>
  <c r="BC433" i="6"/>
  <c r="BC441" i="6"/>
  <c r="BC457" i="6"/>
  <c r="BC468" i="6"/>
  <c r="BC472" i="6"/>
  <c r="BC484" i="6"/>
  <c r="BC492" i="6"/>
  <c r="BC500" i="6"/>
  <c r="BC508" i="6"/>
  <c r="BC516" i="6"/>
  <c r="BC460" i="6"/>
  <c r="BC365" i="6"/>
  <c r="BC422" i="6"/>
  <c r="BC446" i="6"/>
  <c r="BC471" i="6"/>
  <c r="BC475" i="6"/>
  <c r="BC481" i="6"/>
  <c r="BC489" i="6"/>
  <c r="BC497" i="6"/>
  <c r="BC505" i="6"/>
  <c r="BC513" i="6"/>
  <c r="BC370" i="6"/>
  <c r="BC412" i="6"/>
  <c r="BC439" i="6"/>
  <c r="BC455" i="6"/>
  <c r="BC464" i="6"/>
  <c r="BC478" i="6"/>
  <c r="BC486" i="6"/>
  <c r="BC510" i="6"/>
  <c r="BC501" i="6"/>
  <c r="BC504" i="6"/>
  <c r="BC507" i="6"/>
  <c r="BC264" i="6"/>
  <c r="BC411" i="6"/>
  <c r="BC509" i="6"/>
  <c r="BC515" i="6"/>
  <c r="BC493" i="6"/>
  <c r="BC496" i="6"/>
  <c r="BC499" i="6"/>
  <c r="BC459" i="6"/>
  <c r="BC346" i="6"/>
  <c r="BC512" i="6"/>
  <c r="BC444" i="6"/>
  <c r="BC449" i="6"/>
  <c r="BC454" i="6"/>
  <c r="BC473" i="6"/>
  <c r="BC485" i="6"/>
  <c r="BC488" i="6"/>
  <c r="BC491" i="6"/>
  <c r="BC387" i="6"/>
  <c r="BC434" i="6"/>
  <c r="BC438" i="6"/>
  <c r="BC463" i="6"/>
  <c r="BC470" i="6"/>
  <c r="BC480" i="6"/>
  <c r="BC483" i="6"/>
  <c r="BC467" i="6"/>
  <c r="CV271" i="6"/>
  <c r="CV268" i="6"/>
  <c r="CV265" i="6"/>
  <c r="CV269" i="6"/>
  <c r="CV270" i="6"/>
  <c r="CV272" i="6"/>
  <c r="CV266" i="6"/>
  <c r="CV273" i="6"/>
  <c r="CV276" i="6"/>
  <c r="CV281" i="6"/>
  <c r="CV278" i="6"/>
  <c r="CV274" i="6"/>
  <c r="CV277" i="6"/>
  <c r="CV279" i="6"/>
  <c r="CV282" i="6"/>
  <c r="CV285" i="6"/>
  <c r="CV289" i="6"/>
  <c r="CV297" i="6"/>
  <c r="CV286" i="6"/>
  <c r="CV294" i="6"/>
  <c r="CV302" i="6"/>
  <c r="CV287" i="6"/>
  <c r="CV275" i="6"/>
  <c r="CV284" i="6"/>
  <c r="CV290" i="6"/>
  <c r="CV293" i="6"/>
  <c r="CV311" i="6"/>
  <c r="CV267" i="6"/>
  <c r="CV296" i="6"/>
  <c r="CV300" i="6"/>
  <c r="CV308" i="6"/>
  <c r="CV280" i="6"/>
  <c r="CV288" i="6"/>
  <c r="CV301" i="6"/>
  <c r="CV303" i="6"/>
  <c r="CV307" i="6"/>
  <c r="CV291" i="6"/>
  <c r="CV298" i="6"/>
  <c r="CV310" i="6"/>
  <c r="CV312" i="6"/>
  <c r="CV320" i="6"/>
  <c r="CV317" i="6"/>
  <c r="CV306" i="6"/>
  <c r="CV319" i="6"/>
  <c r="CV323" i="6"/>
  <c r="CV326" i="6"/>
  <c r="CV334" i="6"/>
  <c r="CV309" i="6"/>
  <c r="CV322" i="6"/>
  <c r="CV331" i="6"/>
  <c r="CV295" i="6"/>
  <c r="CV304" i="6"/>
  <c r="CV315" i="6"/>
  <c r="CV328" i="6"/>
  <c r="CV336" i="6"/>
  <c r="CV344" i="6"/>
  <c r="CV314" i="6"/>
  <c r="CV318" i="6"/>
  <c r="CV325" i="6"/>
  <c r="CV333" i="6"/>
  <c r="CV341" i="6"/>
  <c r="CV349" i="6"/>
  <c r="CV321" i="6"/>
  <c r="CV330" i="6"/>
  <c r="CV346" i="6"/>
  <c r="CV350" i="6"/>
  <c r="CV358" i="6"/>
  <c r="CV335" i="6"/>
  <c r="CV339" i="6"/>
  <c r="CV355" i="6"/>
  <c r="CV363" i="6"/>
  <c r="CV313" i="6"/>
  <c r="CV324" i="6"/>
  <c r="CV338" i="6"/>
  <c r="CV342" i="6"/>
  <c r="CV352" i="6"/>
  <c r="CV360" i="6"/>
  <c r="CV368" i="6"/>
  <c r="CV376" i="6"/>
  <c r="CV316" i="6"/>
  <c r="CV329" i="6"/>
  <c r="CV345" i="6"/>
  <c r="CV357" i="6"/>
  <c r="CV365" i="6"/>
  <c r="CV373" i="6"/>
  <c r="CV381" i="6"/>
  <c r="CV362" i="6"/>
  <c r="CV369" i="6"/>
  <c r="CV382" i="6"/>
  <c r="CV391" i="6"/>
  <c r="CV399" i="6"/>
  <c r="CV407" i="6"/>
  <c r="CV351" i="6"/>
  <c r="CV372" i="6"/>
  <c r="CV383" i="6"/>
  <c r="CV388" i="6"/>
  <c r="CV396" i="6"/>
  <c r="CV332" i="6"/>
  <c r="CV356" i="6"/>
  <c r="CV375" i="6"/>
  <c r="CV379" i="6"/>
  <c r="CV385" i="6"/>
  <c r="CV393" i="6"/>
  <c r="CV347" i="6"/>
  <c r="CV361" i="6"/>
  <c r="CV364" i="6"/>
  <c r="CV378" i="6"/>
  <c r="CV390" i="6"/>
  <c r="CV398" i="6"/>
  <c r="CV348" i="6"/>
  <c r="CV371" i="6"/>
  <c r="CV395" i="6"/>
  <c r="CV400" i="6"/>
  <c r="CV415" i="6"/>
  <c r="CV292" i="6"/>
  <c r="CV337" i="6"/>
  <c r="CV359" i="6"/>
  <c r="CV374" i="6"/>
  <c r="CV384" i="6"/>
  <c r="CV405" i="6"/>
  <c r="CV412" i="6"/>
  <c r="CV283" i="6"/>
  <c r="CV377" i="6"/>
  <c r="CV389" i="6"/>
  <c r="CV406" i="6"/>
  <c r="CV409" i="6"/>
  <c r="CV417" i="6"/>
  <c r="CV425" i="6"/>
  <c r="CV433" i="6"/>
  <c r="CV299" i="6"/>
  <c r="CV343" i="6"/>
  <c r="CV366" i="6"/>
  <c r="CV380" i="6"/>
  <c r="CV394" i="6"/>
  <c r="CV414" i="6"/>
  <c r="CV422" i="6"/>
  <c r="CV430" i="6"/>
  <c r="CV367" i="6"/>
  <c r="CV387" i="6"/>
  <c r="CV426" i="6"/>
  <c r="CV434" i="6"/>
  <c r="CV442" i="6"/>
  <c r="CV450" i="6"/>
  <c r="CV458" i="6"/>
  <c r="CV408" i="6"/>
  <c r="CV429" i="6"/>
  <c r="CV439" i="6"/>
  <c r="CV447" i="6"/>
  <c r="CV455" i="6"/>
  <c r="CV401" i="6"/>
  <c r="CV403" i="6"/>
  <c r="CV413" i="6"/>
  <c r="CV418" i="6"/>
  <c r="CV432" i="6"/>
  <c r="CV436" i="6"/>
  <c r="CV444" i="6"/>
  <c r="CV452" i="6"/>
  <c r="CV460" i="6"/>
  <c r="CV468" i="6"/>
  <c r="CV476" i="6"/>
  <c r="CV353" i="6"/>
  <c r="CV386" i="6"/>
  <c r="CV404" i="6"/>
  <c r="CV421" i="6"/>
  <c r="CV441" i="6"/>
  <c r="CV449" i="6"/>
  <c r="CV457" i="6"/>
  <c r="CV465" i="6"/>
  <c r="CV473" i="6"/>
  <c r="CV354" i="6"/>
  <c r="CV402" i="6"/>
  <c r="CV411" i="6"/>
  <c r="CV424" i="6"/>
  <c r="CV446" i="6"/>
  <c r="CV459" i="6"/>
  <c r="CV463" i="6"/>
  <c r="CV477" i="6"/>
  <c r="CV481" i="6"/>
  <c r="CV489" i="6"/>
  <c r="CV497" i="6"/>
  <c r="CV505" i="6"/>
  <c r="CV513" i="6"/>
  <c r="CV509" i="6"/>
  <c r="CV392" i="6"/>
  <c r="CV327" i="6"/>
  <c r="CV370" i="6"/>
  <c r="CV427" i="6"/>
  <c r="CV435" i="6"/>
  <c r="CV451" i="6"/>
  <c r="CV462" i="6"/>
  <c r="CV466" i="6"/>
  <c r="CV486" i="6"/>
  <c r="CV494" i="6"/>
  <c r="CV502" i="6"/>
  <c r="CV510" i="6"/>
  <c r="CV485" i="6"/>
  <c r="CV264" i="6"/>
  <c r="CV305" i="6"/>
  <c r="CV416" i="6"/>
  <c r="CV440" i="6"/>
  <c r="CV456" i="6"/>
  <c r="CV469" i="6"/>
  <c r="CV483" i="6"/>
  <c r="CV491" i="6"/>
  <c r="CV499" i="6"/>
  <c r="CV507" i="6"/>
  <c r="CV515" i="6"/>
  <c r="CV428" i="6"/>
  <c r="CV438" i="6"/>
  <c r="CV454" i="6"/>
  <c r="CV479" i="6"/>
  <c r="CV501" i="6"/>
  <c r="CV397" i="6"/>
  <c r="CV410" i="6"/>
  <c r="CV419" i="6"/>
  <c r="CV445" i="6"/>
  <c r="CV472" i="6"/>
  <c r="CV480" i="6"/>
  <c r="CV488" i="6"/>
  <c r="CV496" i="6"/>
  <c r="CV504" i="6"/>
  <c r="CV512" i="6"/>
  <c r="CV461" i="6"/>
  <c r="CV475" i="6"/>
  <c r="CV493" i="6"/>
  <c r="CV340" i="6"/>
  <c r="CV470" i="6"/>
  <c r="CV478" i="6"/>
  <c r="CV484" i="6"/>
  <c r="CV487" i="6"/>
  <c r="CV490" i="6"/>
  <c r="CV506" i="6"/>
  <c r="CV495" i="6"/>
  <c r="CV443" i="6"/>
  <c r="CV448" i="6"/>
  <c r="CV453" i="6"/>
  <c r="CV467" i="6"/>
  <c r="CV474" i="6"/>
  <c r="CV482" i="6"/>
  <c r="CV420" i="6"/>
  <c r="CV437" i="6"/>
  <c r="CV464" i="6"/>
  <c r="CV471" i="6"/>
  <c r="CV516" i="6"/>
  <c r="CV511" i="6"/>
  <c r="CV514" i="6"/>
  <c r="CV503" i="6"/>
  <c r="CV498" i="6"/>
  <c r="CV431" i="6"/>
  <c r="CV423" i="6"/>
  <c r="CV508" i="6"/>
  <c r="CV500" i="6"/>
  <c r="CV492" i="6"/>
  <c r="CC270" i="6"/>
  <c r="CC267" i="6"/>
  <c r="CC271" i="6"/>
  <c r="CC268" i="6"/>
  <c r="CC265" i="6"/>
  <c r="CC269" i="6"/>
  <c r="CC276" i="6"/>
  <c r="CC274" i="6"/>
  <c r="CC280" i="6"/>
  <c r="CC272" i="6"/>
  <c r="CC285" i="6"/>
  <c r="CC273" i="6"/>
  <c r="CC279" i="6"/>
  <c r="CC283" i="6"/>
  <c r="CC275" i="6"/>
  <c r="CC282" i="6"/>
  <c r="CC286" i="6"/>
  <c r="CC288" i="6"/>
  <c r="CC296" i="6"/>
  <c r="CC304" i="6"/>
  <c r="CC293" i="6"/>
  <c r="CC301" i="6"/>
  <c r="CC277" i="6"/>
  <c r="CC278" i="6"/>
  <c r="CC281" i="6"/>
  <c r="CC287" i="6"/>
  <c r="CC291" i="6"/>
  <c r="CC266" i="6"/>
  <c r="CC284" i="6"/>
  <c r="CC290" i="6"/>
  <c r="CC294" i="6"/>
  <c r="CC310" i="6"/>
  <c r="CC297" i="6"/>
  <c r="CC307" i="6"/>
  <c r="CC305" i="6"/>
  <c r="CC298" i="6"/>
  <c r="CC300" i="6"/>
  <c r="CC308" i="6"/>
  <c r="CC311" i="6"/>
  <c r="CC319" i="6"/>
  <c r="CC302" i="6"/>
  <c r="CC316" i="6"/>
  <c r="CC324" i="6"/>
  <c r="CC320" i="6"/>
  <c r="CC325" i="6"/>
  <c r="CC333" i="6"/>
  <c r="CC306" i="6"/>
  <c r="CC323" i="6"/>
  <c r="CC330" i="6"/>
  <c r="CC292" i="6"/>
  <c r="CC299" i="6"/>
  <c r="CC303" i="6"/>
  <c r="CC309" i="6"/>
  <c r="CC312" i="6"/>
  <c r="CC327" i="6"/>
  <c r="CC335" i="6"/>
  <c r="CC343" i="6"/>
  <c r="CC315" i="6"/>
  <c r="CC332" i="6"/>
  <c r="CC340" i="6"/>
  <c r="CC348" i="6"/>
  <c r="CC318" i="6"/>
  <c r="CC329" i="6"/>
  <c r="CC347" i="6"/>
  <c r="CC357" i="6"/>
  <c r="CC289" i="6"/>
  <c r="CC321" i="6"/>
  <c r="CC334" i="6"/>
  <c r="CC336" i="6"/>
  <c r="CC354" i="6"/>
  <c r="CC362" i="6"/>
  <c r="CC339" i="6"/>
  <c r="CC351" i="6"/>
  <c r="CC359" i="6"/>
  <c r="CC367" i="6"/>
  <c r="CC375" i="6"/>
  <c r="CC313" i="6"/>
  <c r="CC328" i="6"/>
  <c r="CC342" i="6"/>
  <c r="CC346" i="6"/>
  <c r="CC356" i="6"/>
  <c r="CC364" i="6"/>
  <c r="CC372" i="6"/>
  <c r="CC380" i="6"/>
  <c r="CC322" i="6"/>
  <c r="CC349" i="6"/>
  <c r="CC361" i="6"/>
  <c r="CC366" i="6"/>
  <c r="CC370" i="6"/>
  <c r="CC390" i="6"/>
  <c r="CC398" i="6"/>
  <c r="CC406" i="6"/>
  <c r="CC326" i="6"/>
  <c r="CC338" i="6"/>
  <c r="CC350" i="6"/>
  <c r="CC369" i="6"/>
  <c r="CC373" i="6"/>
  <c r="CC383" i="6"/>
  <c r="CC387" i="6"/>
  <c r="CC395" i="6"/>
  <c r="CC341" i="6"/>
  <c r="CC355" i="6"/>
  <c r="CC376" i="6"/>
  <c r="CC384" i="6"/>
  <c r="CC392" i="6"/>
  <c r="CC295" i="6"/>
  <c r="CC317" i="6"/>
  <c r="CC344" i="6"/>
  <c r="CC360" i="6"/>
  <c r="CC365" i="6"/>
  <c r="CC379" i="6"/>
  <c r="CC389" i="6"/>
  <c r="CC397" i="6"/>
  <c r="CC345" i="6"/>
  <c r="CC353" i="6"/>
  <c r="CC368" i="6"/>
  <c r="CC394" i="6"/>
  <c r="CC401" i="6"/>
  <c r="CC405" i="6"/>
  <c r="CC414" i="6"/>
  <c r="CC371" i="6"/>
  <c r="CC411" i="6"/>
  <c r="CC314" i="6"/>
  <c r="CC331" i="6"/>
  <c r="CC363" i="6"/>
  <c r="CC374" i="6"/>
  <c r="CC388" i="6"/>
  <c r="CC400" i="6"/>
  <c r="CC408" i="6"/>
  <c r="CC416" i="6"/>
  <c r="CC424" i="6"/>
  <c r="CC432" i="6"/>
  <c r="CC352" i="6"/>
  <c r="CC377" i="6"/>
  <c r="CC382" i="6"/>
  <c r="CC393" i="6"/>
  <c r="CC407" i="6"/>
  <c r="CC413" i="6"/>
  <c r="CC421" i="6"/>
  <c r="CC429" i="6"/>
  <c r="CC423" i="6"/>
  <c r="CC427" i="6"/>
  <c r="CC441" i="6"/>
  <c r="CC449" i="6"/>
  <c r="CC457" i="6"/>
  <c r="CC358" i="6"/>
  <c r="CC391" i="6"/>
  <c r="CC403" i="6"/>
  <c r="CC426" i="6"/>
  <c r="CC430" i="6"/>
  <c r="CC438" i="6"/>
  <c r="CC446" i="6"/>
  <c r="CC454" i="6"/>
  <c r="CC337" i="6"/>
  <c r="CC412" i="6"/>
  <c r="CC419" i="6"/>
  <c r="CC433" i="6"/>
  <c r="CC435" i="6"/>
  <c r="CC443" i="6"/>
  <c r="CC451" i="6"/>
  <c r="CC459" i="6"/>
  <c r="CC467" i="6"/>
  <c r="CC475" i="6"/>
  <c r="CC381" i="6"/>
  <c r="CC404" i="6"/>
  <c r="CC418" i="6"/>
  <c r="CC422" i="6"/>
  <c r="CC440" i="6"/>
  <c r="CC448" i="6"/>
  <c r="CC456" i="6"/>
  <c r="CC464" i="6"/>
  <c r="CC472" i="6"/>
  <c r="CC399" i="6"/>
  <c r="CC445" i="6"/>
  <c r="CC460" i="6"/>
  <c r="CC474" i="6"/>
  <c r="CC478" i="6"/>
  <c r="CC480" i="6"/>
  <c r="CC488" i="6"/>
  <c r="CC496" i="6"/>
  <c r="CC504" i="6"/>
  <c r="CC512" i="6"/>
  <c r="CC492" i="6"/>
  <c r="CC500" i="6"/>
  <c r="CC434" i="6"/>
  <c r="CC450" i="6"/>
  <c r="CC463" i="6"/>
  <c r="CC477" i="6"/>
  <c r="CC485" i="6"/>
  <c r="CC493" i="6"/>
  <c r="CC501" i="6"/>
  <c r="CC509" i="6"/>
  <c r="CC264" i="6"/>
  <c r="CC396" i="6"/>
  <c r="CC439" i="6"/>
  <c r="CC455" i="6"/>
  <c r="CC466" i="6"/>
  <c r="CC470" i="6"/>
  <c r="CC482" i="6"/>
  <c r="CC490" i="6"/>
  <c r="CC498" i="6"/>
  <c r="CC506" i="6"/>
  <c r="CC514" i="6"/>
  <c r="CC386" i="6"/>
  <c r="CC410" i="6"/>
  <c r="CC425" i="6"/>
  <c r="CC462" i="6"/>
  <c r="CC476" i="6"/>
  <c r="CC402" i="6"/>
  <c r="CC385" i="6"/>
  <c r="CC444" i="6"/>
  <c r="CC469" i="6"/>
  <c r="CC473" i="6"/>
  <c r="CC487" i="6"/>
  <c r="CC495" i="6"/>
  <c r="CC503" i="6"/>
  <c r="CC511" i="6"/>
  <c r="CC437" i="6"/>
  <c r="CC453" i="6"/>
  <c r="CC484" i="6"/>
  <c r="CC508" i="6"/>
  <c r="CC516" i="6"/>
  <c r="CC502" i="6"/>
  <c r="CC409" i="6"/>
  <c r="CC436" i="6"/>
  <c r="CC461" i="6"/>
  <c r="CC483" i="6"/>
  <c r="CC428" i="6"/>
  <c r="CC431" i="6"/>
  <c r="CC515" i="6"/>
  <c r="CC442" i="6"/>
  <c r="CC452" i="6"/>
  <c r="CC499" i="6"/>
  <c r="CC471" i="6"/>
  <c r="CC479" i="6"/>
  <c r="CC494" i="6"/>
  <c r="CC378" i="6"/>
  <c r="CC489" i="6"/>
  <c r="CC465" i="6"/>
  <c r="CC481" i="6"/>
  <c r="CC415" i="6"/>
  <c r="CC417" i="6"/>
  <c r="CC420" i="6"/>
  <c r="CC505" i="6"/>
  <c r="CC497" i="6"/>
  <c r="CC458" i="6"/>
  <c r="CC507" i="6"/>
  <c r="CC510" i="6"/>
  <c r="CC513" i="6"/>
  <c r="CC447" i="6"/>
  <c r="CC491" i="6"/>
  <c r="CC468" i="6"/>
  <c r="CC486" i="6"/>
  <c r="AB271" i="6"/>
  <c r="AB268" i="6"/>
  <c r="AB265" i="6"/>
  <c r="AB266" i="6"/>
  <c r="AB270" i="6"/>
  <c r="AB277" i="6"/>
  <c r="AB269" i="6"/>
  <c r="AB267" i="6"/>
  <c r="AB272" i="6"/>
  <c r="AB281" i="6"/>
  <c r="AB286" i="6"/>
  <c r="AB276" i="6"/>
  <c r="AB283" i="6"/>
  <c r="AB287" i="6"/>
  <c r="AB279" i="6"/>
  <c r="AB289" i="6"/>
  <c r="AB297" i="6"/>
  <c r="AB305" i="6"/>
  <c r="AB282" i="6"/>
  <c r="AB294" i="6"/>
  <c r="AB302" i="6"/>
  <c r="AB285" i="6"/>
  <c r="AB291" i="6"/>
  <c r="AB295" i="6"/>
  <c r="AB298" i="6"/>
  <c r="AB301" i="6"/>
  <c r="AB311" i="6"/>
  <c r="AB280" i="6"/>
  <c r="AB290" i="6"/>
  <c r="AB304" i="6"/>
  <c r="AB308" i="6"/>
  <c r="AB275" i="6"/>
  <c r="AB303" i="6"/>
  <c r="AB320" i="6"/>
  <c r="AB278" i="6"/>
  <c r="AB284" i="6"/>
  <c r="AB292" i="6"/>
  <c r="AB299" i="6"/>
  <c r="AB307" i="6"/>
  <c r="AB317" i="6"/>
  <c r="AB293" i="6"/>
  <c r="AB310" i="6"/>
  <c r="AB313" i="6"/>
  <c r="AB326" i="6"/>
  <c r="AB334" i="6"/>
  <c r="AB316" i="6"/>
  <c r="AB331" i="6"/>
  <c r="AB319" i="6"/>
  <c r="AB323" i="6"/>
  <c r="AB328" i="6"/>
  <c r="AB336" i="6"/>
  <c r="AB344" i="6"/>
  <c r="AB274" i="6"/>
  <c r="AB288" i="6"/>
  <c r="AB322" i="6"/>
  <c r="AB325" i="6"/>
  <c r="AB333" i="6"/>
  <c r="AB341" i="6"/>
  <c r="AB349" i="6"/>
  <c r="AB300" i="6"/>
  <c r="AB340" i="6"/>
  <c r="AB358" i="6"/>
  <c r="AB296" i="6"/>
  <c r="AB314" i="6"/>
  <c r="AB327" i="6"/>
  <c r="AB343" i="6"/>
  <c r="AB347" i="6"/>
  <c r="AB355" i="6"/>
  <c r="AB363" i="6"/>
  <c r="AB306" i="6"/>
  <c r="AB332" i="6"/>
  <c r="AB346" i="6"/>
  <c r="AB350" i="6"/>
  <c r="AB352" i="6"/>
  <c r="AB360" i="6"/>
  <c r="AB368" i="6"/>
  <c r="AB376" i="6"/>
  <c r="AB339" i="6"/>
  <c r="AB357" i="6"/>
  <c r="AB365" i="6"/>
  <c r="AB373" i="6"/>
  <c r="AB381" i="6"/>
  <c r="AB330" i="6"/>
  <c r="AB342" i="6"/>
  <c r="AB354" i="6"/>
  <c r="AB377" i="6"/>
  <c r="AB391" i="6"/>
  <c r="AB399" i="6"/>
  <c r="AB407" i="6"/>
  <c r="AB318" i="6"/>
  <c r="AB345" i="6"/>
  <c r="AB359" i="6"/>
  <c r="AB366" i="6"/>
  <c r="AB380" i="6"/>
  <c r="AB388" i="6"/>
  <c r="AB396" i="6"/>
  <c r="AB273" i="6"/>
  <c r="AB348" i="6"/>
  <c r="AB364" i="6"/>
  <c r="AB369" i="6"/>
  <c r="AB383" i="6"/>
  <c r="AB385" i="6"/>
  <c r="AB393" i="6"/>
  <c r="AB309" i="6"/>
  <c r="AB312" i="6"/>
  <c r="AB324" i="6"/>
  <c r="AB329" i="6"/>
  <c r="AB337" i="6"/>
  <c r="AB353" i="6"/>
  <c r="AB372" i="6"/>
  <c r="AB390" i="6"/>
  <c r="AB398" i="6"/>
  <c r="AB375" i="6"/>
  <c r="AB387" i="6"/>
  <c r="AB401" i="6"/>
  <c r="AB404" i="6"/>
  <c r="AB415" i="6"/>
  <c r="AB335" i="6"/>
  <c r="AB378" i="6"/>
  <c r="AB392" i="6"/>
  <c r="AB412" i="6"/>
  <c r="AB321" i="6"/>
  <c r="AB356" i="6"/>
  <c r="AB367" i="6"/>
  <c r="AB397" i="6"/>
  <c r="AB400" i="6"/>
  <c r="AB405" i="6"/>
  <c r="AB409" i="6"/>
  <c r="AB417" i="6"/>
  <c r="AB425" i="6"/>
  <c r="AB433" i="6"/>
  <c r="AB370" i="6"/>
  <c r="AB386" i="6"/>
  <c r="AB403" i="6"/>
  <c r="AB406" i="6"/>
  <c r="AB414" i="6"/>
  <c r="AB422" i="6"/>
  <c r="AB430" i="6"/>
  <c r="AB315" i="6"/>
  <c r="AB362" i="6"/>
  <c r="AB395" i="6"/>
  <c r="AB411" i="6"/>
  <c r="AB420" i="6"/>
  <c r="AB434" i="6"/>
  <c r="AB442" i="6"/>
  <c r="AB450" i="6"/>
  <c r="AB458" i="6"/>
  <c r="AB351" i="6"/>
  <c r="AB382" i="6"/>
  <c r="AB384" i="6"/>
  <c r="AB419" i="6"/>
  <c r="AB423" i="6"/>
  <c r="AB439" i="6"/>
  <c r="AB447" i="6"/>
  <c r="AB455" i="6"/>
  <c r="AB371" i="6"/>
  <c r="AB402" i="6"/>
  <c r="AB426" i="6"/>
  <c r="AB436" i="6"/>
  <c r="AB444" i="6"/>
  <c r="AB452" i="6"/>
  <c r="AB460" i="6"/>
  <c r="AB468" i="6"/>
  <c r="AB476" i="6"/>
  <c r="AB394" i="6"/>
  <c r="AB410" i="6"/>
  <c r="AB429" i="6"/>
  <c r="AB441" i="6"/>
  <c r="AB449" i="6"/>
  <c r="AB457" i="6"/>
  <c r="AB465" i="6"/>
  <c r="AB473" i="6"/>
  <c r="AB338" i="6"/>
  <c r="AB379" i="6"/>
  <c r="AB438" i="6"/>
  <c r="AB454" i="6"/>
  <c r="AB467" i="6"/>
  <c r="AB471" i="6"/>
  <c r="AB481" i="6"/>
  <c r="AB489" i="6"/>
  <c r="AB497" i="6"/>
  <c r="AB505" i="6"/>
  <c r="AB513" i="6"/>
  <c r="AB264" i="6"/>
  <c r="AB443" i="6"/>
  <c r="AB470" i="6"/>
  <c r="AB474" i="6"/>
  <c r="AB486" i="6"/>
  <c r="AB494" i="6"/>
  <c r="AB502" i="6"/>
  <c r="AB510" i="6"/>
  <c r="AB493" i="6"/>
  <c r="AB389" i="6"/>
  <c r="AB408" i="6"/>
  <c r="AB428" i="6"/>
  <c r="AB448" i="6"/>
  <c r="AB459" i="6"/>
  <c r="AB463" i="6"/>
  <c r="AB477" i="6"/>
  <c r="AB483" i="6"/>
  <c r="AB491" i="6"/>
  <c r="AB499" i="6"/>
  <c r="AB507" i="6"/>
  <c r="AB515" i="6"/>
  <c r="AB432" i="6"/>
  <c r="AB446" i="6"/>
  <c r="AB469" i="6"/>
  <c r="AB485" i="6"/>
  <c r="AB416" i="6"/>
  <c r="AB431" i="6"/>
  <c r="AB437" i="6"/>
  <c r="AB453" i="6"/>
  <c r="AB462" i="6"/>
  <c r="AB466" i="6"/>
  <c r="AB480" i="6"/>
  <c r="AB488" i="6"/>
  <c r="AB496" i="6"/>
  <c r="AB504" i="6"/>
  <c r="AB512" i="6"/>
  <c r="AB418" i="6"/>
  <c r="AB501" i="6"/>
  <c r="AB509" i="6"/>
  <c r="AB413" i="6"/>
  <c r="AB435" i="6"/>
  <c r="AB440" i="6"/>
  <c r="AB445" i="6"/>
  <c r="AB461" i="6"/>
  <c r="AB478" i="6"/>
  <c r="AB421" i="6"/>
  <c r="AB427" i="6"/>
  <c r="AB482" i="6"/>
  <c r="AB451" i="6"/>
  <c r="AB516" i="6"/>
  <c r="AB508" i="6"/>
  <c r="AB511" i="6"/>
  <c r="AB514" i="6"/>
  <c r="AB495" i="6"/>
  <c r="AB487" i="6"/>
  <c r="AB490" i="6"/>
  <c r="AB472" i="6"/>
  <c r="AB492" i="6"/>
  <c r="AB498" i="6"/>
  <c r="AB374" i="6"/>
  <c r="AB484" i="6"/>
  <c r="AB424" i="6"/>
  <c r="AB456" i="6"/>
  <c r="AB464" i="6"/>
  <c r="AB361" i="6"/>
  <c r="AB500" i="6"/>
  <c r="AB503" i="6"/>
  <c r="AB506" i="6"/>
  <c r="AB475" i="6"/>
  <c r="AB479" i="6"/>
  <c r="AE272" i="6"/>
  <c r="AE269" i="6"/>
  <c r="AE266" i="6"/>
  <c r="AE271" i="6"/>
  <c r="AE267" i="6"/>
  <c r="AE273" i="6"/>
  <c r="AE268" i="6"/>
  <c r="AE274" i="6"/>
  <c r="AE282" i="6"/>
  <c r="AE279" i="6"/>
  <c r="AE265" i="6"/>
  <c r="AE284" i="6"/>
  <c r="AE278" i="6"/>
  <c r="AE280" i="6"/>
  <c r="AE290" i="6"/>
  <c r="AE298" i="6"/>
  <c r="AE276" i="6"/>
  <c r="AE283" i="6"/>
  <c r="AE287" i="6"/>
  <c r="AE295" i="6"/>
  <c r="AE303" i="6"/>
  <c r="AE292" i="6"/>
  <c r="AE296" i="6"/>
  <c r="AE270" i="6"/>
  <c r="AE299" i="6"/>
  <c r="AE277" i="6"/>
  <c r="AE288" i="6"/>
  <c r="AE302" i="6"/>
  <c r="AE312" i="6"/>
  <c r="AE285" i="6"/>
  <c r="AE291" i="6"/>
  <c r="AE305" i="6"/>
  <c r="AE309" i="6"/>
  <c r="AE294" i="6"/>
  <c r="AE297" i="6"/>
  <c r="AE275" i="6"/>
  <c r="AE301" i="6"/>
  <c r="AE313" i="6"/>
  <c r="AE321" i="6"/>
  <c r="AE289" i="6"/>
  <c r="AE308" i="6"/>
  <c r="AE318" i="6"/>
  <c r="AE286" i="6"/>
  <c r="AE314" i="6"/>
  <c r="AE327" i="6"/>
  <c r="AE335" i="6"/>
  <c r="AE317" i="6"/>
  <c r="AE332" i="6"/>
  <c r="AE307" i="6"/>
  <c r="AE320" i="6"/>
  <c r="AE324" i="6"/>
  <c r="AE329" i="6"/>
  <c r="AE337" i="6"/>
  <c r="AE345" i="6"/>
  <c r="AE293" i="6"/>
  <c r="AE310" i="6"/>
  <c r="AE311" i="6"/>
  <c r="AE323" i="6"/>
  <c r="AE326" i="6"/>
  <c r="AE334" i="6"/>
  <c r="AE342" i="6"/>
  <c r="AE350" i="6"/>
  <c r="AE316" i="6"/>
  <c r="AE341" i="6"/>
  <c r="AE351" i="6"/>
  <c r="AE359" i="6"/>
  <c r="AE300" i="6"/>
  <c r="AE319" i="6"/>
  <c r="AE328" i="6"/>
  <c r="AE344" i="6"/>
  <c r="AE348" i="6"/>
  <c r="AE356" i="6"/>
  <c r="AE364" i="6"/>
  <c r="AE322" i="6"/>
  <c r="AE333" i="6"/>
  <c r="AE347" i="6"/>
  <c r="AE353" i="6"/>
  <c r="AE361" i="6"/>
  <c r="AE369" i="6"/>
  <c r="AE377" i="6"/>
  <c r="AE281" i="6"/>
  <c r="AE306" i="6"/>
  <c r="AE340" i="6"/>
  <c r="AE358" i="6"/>
  <c r="AE366" i="6"/>
  <c r="AE374" i="6"/>
  <c r="AE382" i="6"/>
  <c r="AE331" i="6"/>
  <c r="AE339" i="6"/>
  <c r="AE355" i="6"/>
  <c r="AE378" i="6"/>
  <c r="AE384" i="6"/>
  <c r="AE392" i="6"/>
  <c r="AE400" i="6"/>
  <c r="AE408" i="6"/>
  <c r="AE360" i="6"/>
  <c r="AE367" i="6"/>
  <c r="AE381" i="6"/>
  <c r="AE389" i="6"/>
  <c r="AE397" i="6"/>
  <c r="AE370" i="6"/>
  <c r="AE386" i="6"/>
  <c r="AE394" i="6"/>
  <c r="AE304" i="6"/>
  <c r="AE330" i="6"/>
  <c r="AE354" i="6"/>
  <c r="AE373" i="6"/>
  <c r="AE391" i="6"/>
  <c r="AE399" i="6"/>
  <c r="AE380" i="6"/>
  <c r="AE388" i="6"/>
  <c r="AE402" i="6"/>
  <c r="AE416" i="6"/>
  <c r="AE346" i="6"/>
  <c r="AE393" i="6"/>
  <c r="AE398" i="6"/>
  <c r="AE413" i="6"/>
  <c r="AE357" i="6"/>
  <c r="AE372" i="6"/>
  <c r="AE401" i="6"/>
  <c r="AE410" i="6"/>
  <c r="AE418" i="6"/>
  <c r="AE426" i="6"/>
  <c r="AE434" i="6"/>
  <c r="AE375" i="6"/>
  <c r="AE387" i="6"/>
  <c r="AE404" i="6"/>
  <c r="AE415" i="6"/>
  <c r="AE423" i="6"/>
  <c r="AE431" i="6"/>
  <c r="AE343" i="6"/>
  <c r="AE376" i="6"/>
  <c r="AE396" i="6"/>
  <c r="AE412" i="6"/>
  <c r="AE417" i="6"/>
  <c r="AE421" i="6"/>
  <c r="AE435" i="6"/>
  <c r="AE443" i="6"/>
  <c r="AE451" i="6"/>
  <c r="AE315" i="6"/>
  <c r="AE365" i="6"/>
  <c r="AE385" i="6"/>
  <c r="AE420" i="6"/>
  <c r="AE424" i="6"/>
  <c r="AE440" i="6"/>
  <c r="AE448" i="6"/>
  <c r="AE456" i="6"/>
  <c r="AE427" i="6"/>
  <c r="AE437" i="6"/>
  <c r="AE445" i="6"/>
  <c r="AE453" i="6"/>
  <c r="AE461" i="6"/>
  <c r="AE469" i="6"/>
  <c r="AE477" i="6"/>
  <c r="AE362" i="6"/>
  <c r="AE371" i="6"/>
  <c r="AE395" i="6"/>
  <c r="AE411" i="6"/>
  <c r="AE430" i="6"/>
  <c r="AE442" i="6"/>
  <c r="AE450" i="6"/>
  <c r="AE458" i="6"/>
  <c r="AE466" i="6"/>
  <c r="AE474" i="6"/>
  <c r="AE363" i="6"/>
  <c r="AE419" i="6"/>
  <c r="AE433" i="6"/>
  <c r="AE439" i="6"/>
  <c r="AE455" i="6"/>
  <c r="AE468" i="6"/>
  <c r="AE472" i="6"/>
  <c r="AE482" i="6"/>
  <c r="AE490" i="6"/>
  <c r="AE498" i="6"/>
  <c r="AE506" i="6"/>
  <c r="AE514" i="6"/>
  <c r="AE494" i="6"/>
  <c r="AE383" i="6"/>
  <c r="AE336" i="6"/>
  <c r="AE352" i="6"/>
  <c r="AE379" i="6"/>
  <c r="AE409" i="6"/>
  <c r="AE422" i="6"/>
  <c r="AE444" i="6"/>
  <c r="AE471" i="6"/>
  <c r="AE475" i="6"/>
  <c r="AE487" i="6"/>
  <c r="AE495" i="6"/>
  <c r="AE503" i="6"/>
  <c r="AE511" i="6"/>
  <c r="AE325" i="6"/>
  <c r="AE349" i="6"/>
  <c r="AE368" i="6"/>
  <c r="AE406" i="6"/>
  <c r="AE425" i="6"/>
  <c r="AE449" i="6"/>
  <c r="AE460" i="6"/>
  <c r="AE464" i="6"/>
  <c r="AE478" i="6"/>
  <c r="AE484" i="6"/>
  <c r="AE492" i="6"/>
  <c r="AE500" i="6"/>
  <c r="AE508" i="6"/>
  <c r="AE516" i="6"/>
  <c r="AE486" i="6"/>
  <c r="AE502" i="6"/>
  <c r="AE510" i="6"/>
  <c r="AE338" i="6"/>
  <c r="AE428" i="6"/>
  <c r="AE438" i="6"/>
  <c r="AE454" i="6"/>
  <c r="AE463" i="6"/>
  <c r="AE467" i="6"/>
  <c r="AE481" i="6"/>
  <c r="AE489" i="6"/>
  <c r="AE497" i="6"/>
  <c r="AE505" i="6"/>
  <c r="AE513" i="6"/>
  <c r="AE405" i="6"/>
  <c r="AE447" i="6"/>
  <c r="AE470" i="6"/>
  <c r="AE429" i="6"/>
  <c r="AE432" i="6"/>
  <c r="AE479" i="6"/>
  <c r="AE493" i="6"/>
  <c r="AE496" i="6"/>
  <c r="AE499" i="6"/>
  <c r="AE512" i="6"/>
  <c r="AE515" i="6"/>
  <c r="AE504" i="6"/>
  <c r="AE452" i="6"/>
  <c r="AE457" i="6"/>
  <c r="AE476" i="6"/>
  <c r="AE485" i="6"/>
  <c r="AE488" i="6"/>
  <c r="AE491" i="6"/>
  <c r="AE414" i="6"/>
  <c r="AE407" i="6"/>
  <c r="AE507" i="6"/>
  <c r="AE403" i="6"/>
  <c r="AE436" i="6"/>
  <c r="AE441" i="6"/>
  <c r="AE446" i="6"/>
  <c r="AE465" i="6"/>
  <c r="AE473" i="6"/>
  <c r="AE480" i="6"/>
  <c r="AE483" i="6"/>
  <c r="AE264" i="6"/>
  <c r="AE509" i="6"/>
  <c r="AE501" i="6"/>
  <c r="AE462" i="6"/>
  <c r="AE390" i="6"/>
  <c r="AE459" i="6"/>
  <c r="BA266" i="6"/>
  <c r="BA271" i="6"/>
  <c r="BA268" i="6"/>
  <c r="BA265" i="6"/>
  <c r="BA272" i="6"/>
  <c r="BA275" i="6"/>
  <c r="BA274" i="6"/>
  <c r="BA269" i="6"/>
  <c r="BA267" i="6"/>
  <c r="BA270" i="6"/>
  <c r="BA273" i="6"/>
  <c r="BA284" i="6"/>
  <c r="BA281" i="6"/>
  <c r="BA287" i="6"/>
  <c r="BA277" i="6"/>
  <c r="BA280" i="6"/>
  <c r="BA292" i="6"/>
  <c r="BA300" i="6"/>
  <c r="BA283" i="6"/>
  <c r="BA289" i="6"/>
  <c r="BA297" i="6"/>
  <c r="BA305" i="6"/>
  <c r="BA296" i="6"/>
  <c r="BA279" i="6"/>
  <c r="BA299" i="6"/>
  <c r="BA282" i="6"/>
  <c r="BA288" i="6"/>
  <c r="BA302" i="6"/>
  <c r="BA306" i="6"/>
  <c r="BA285" i="6"/>
  <c r="BA291" i="6"/>
  <c r="BA295" i="6"/>
  <c r="BA311" i="6"/>
  <c r="BA286" i="6"/>
  <c r="BA294" i="6"/>
  <c r="BA303" i="6"/>
  <c r="BA309" i="6"/>
  <c r="BA315" i="6"/>
  <c r="BA323" i="6"/>
  <c r="BA276" i="6"/>
  <c r="BA304" i="6"/>
  <c r="BA308" i="6"/>
  <c r="BA320" i="6"/>
  <c r="BA314" i="6"/>
  <c r="BA318" i="6"/>
  <c r="BA329" i="6"/>
  <c r="BA317" i="6"/>
  <c r="BA321" i="6"/>
  <c r="BA326" i="6"/>
  <c r="BA334" i="6"/>
  <c r="BA290" i="6"/>
  <c r="BA307" i="6"/>
  <c r="BA324" i="6"/>
  <c r="BA331" i="6"/>
  <c r="BA339" i="6"/>
  <c r="BA347" i="6"/>
  <c r="BA310" i="6"/>
  <c r="BA313" i="6"/>
  <c r="BA328" i="6"/>
  <c r="BA336" i="6"/>
  <c r="BA344" i="6"/>
  <c r="BA316" i="6"/>
  <c r="BA325" i="6"/>
  <c r="BA341" i="6"/>
  <c r="BA345" i="6"/>
  <c r="BA353" i="6"/>
  <c r="BA361" i="6"/>
  <c r="BA319" i="6"/>
  <c r="BA330" i="6"/>
  <c r="BA348" i="6"/>
  <c r="BA350" i="6"/>
  <c r="BA358" i="6"/>
  <c r="BA301" i="6"/>
  <c r="BA322" i="6"/>
  <c r="BA335" i="6"/>
  <c r="BA337" i="6"/>
  <c r="BA355" i="6"/>
  <c r="BA363" i="6"/>
  <c r="BA371" i="6"/>
  <c r="BA379" i="6"/>
  <c r="BA293" i="6"/>
  <c r="BA340" i="6"/>
  <c r="BA352" i="6"/>
  <c r="BA360" i="6"/>
  <c r="BA368" i="6"/>
  <c r="BA376" i="6"/>
  <c r="BA357" i="6"/>
  <c r="BA364" i="6"/>
  <c r="BA378" i="6"/>
  <c r="BA382" i="6"/>
  <c r="BA383" i="6"/>
  <c r="BA386" i="6"/>
  <c r="BA394" i="6"/>
  <c r="BA402" i="6"/>
  <c r="BA362" i="6"/>
  <c r="BA367" i="6"/>
  <c r="BA381" i="6"/>
  <c r="BA391" i="6"/>
  <c r="BA327" i="6"/>
  <c r="BA351" i="6"/>
  <c r="BA370" i="6"/>
  <c r="BA374" i="6"/>
  <c r="BA388" i="6"/>
  <c r="BA396" i="6"/>
  <c r="BA278" i="6"/>
  <c r="BA342" i="6"/>
  <c r="BA356" i="6"/>
  <c r="BA373" i="6"/>
  <c r="BA377" i="6"/>
  <c r="BA385" i="6"/>
  <c r="BA393" i="6"/>
  <c r="BA401" i="6"/>
  <c r="BA343" i="6"/>
  <c r="BA366" i="6"/>
  <c r="BA380" i="6"/>
  <c r="BA390" i="6"/>
  <c r="BA405" i="6"/>
  <c r="BA410" i="6"/>
  <c r="BA354" i="6"/>
  <c r="BA369" i="6"/>
  <c r="BA395" i="6"/>
  <c r="BA398" i="6"/>
  <c r="BA406" i="6"/>
  <c r="BA349" i="6"/>
  <c r="BA372" i="6"/>
  <c r="BA384" i="6"/>
  <c r="BA407" i="6"/>
  <c r="BA412" i="6"/>
  <c r="BA420" i="6"/>
  <c r="BA428" i="6"/>
  <c r="BA332" i="6"/>
  <c r="BA338" i="6"/>
  <c r="BA375" i="6"/>
  <c r="BA389" i="6"/>
  <c r="BA409" i="6"/>
  <c r="BA417" i="6"/>
  <c r="BA425" i="6"/>
  <c r="BA433" i="6"/>
  <c r="BA298" i="6"/>
  <c r="BA414" i="6"/>
  <c r="BA421" i="6"/>
  <c r="BA437" i="6"/>
  <c r="BA445" i="6"/>
  <c r="BA453" i="6"/>
  <c r="BA424" i="6"/>
  <c r="BA442" i="6"/>
  <c r="BA450" i="6"/>
  <c r="BA458" i="6"/>
  <c r="BA359" i="6"/>
  <c r="BA392" i="6"/>
  <c r="BA408" i="6"/>
  <c r="BA427" i="6"/>
  <c r="BA431" i="6"/>
  <c r="BA439" i="6"/>
  <c r="BA447" i="6"/>
  <c r="BA455" i="6"/>
  <c r="BA463" i="6"/>
  <c r="BA471" i="6"/>
  <c r="BA479" i="6"/>
  <c r="BA399" i="6"/>
  <c r="BA413" i="6"/>
  <c r="BA430" i="6"/>
  <c r="BA436" i="6"/>
  <c r="BA444" i="6"/>
  <c r="BA452" i="6"/>
  <c r="BA460" i="6"/>
  <c r="BA468" i="6"/>
  <c r="BA476" i="6"/>
  <c r="BA333" i="6"/>
  <c r="BA419" i="6"/>
  <c r="BA441" i="6"/>
  <c r="BA457" i="6"/>
  <c r="BA472" i="6"/>
  <c r="BA484" i="6"/>
  <c r="BA492" i="6"/>
  <c r="BA500" i="6"/>
  <c r="BA508" i="6"/>
  <c r="BA516" i="6"/>
  <c r="BA512" i="6"/>
  <c r="BA346" i="6"/>
  <c r="BA387" i="6"/>
  <c r="BA365" i="6"/>
  <c r="BA422" i="6"/>
  <c r="BA446" i="6"/>
  <c r="BA461" i="6"/>
  <c r="BA475" i="6"/>
  <c r="BA481" i="6"/>
  <c r="BA489" i="6"/>
  <c r="BA497" i="6"/>
  <c r="BA505" i="6"/>
  <c r="BA513" i="6"/>
  <c r="BA504" i="6"/>
  <c r="BA400" i="6"/>
  <c r="BA403" i="6"/>
  <c r="BA435" i="6"/>
  <c r="BA451" i="6"/>
  <c r="BA464" i="6"/>
  <c r="BA478" i="6"/>
  <c r="BA486" i="6"/>
  <c r="BA494" i="6"/>
  <c r="BA502" i="6"/>
  <c r="BA510" i="6"/>
  <c r="BA423" i="6"/>
  <c r="BA434" i="6"/>
  <c r="BA449" i="6"/>
  <c r="BA474" i="6"/>
  <c r="BA411" i="6"/>
  <c r="BA397" i="6"/>
  <c r="BA416" i="6"/>
  <c r="BA440" i="6"/>
  <c r="BA456" i="6"/>
  <c r="BA467" i="6"/>
  <c r="BA483" i="6"/>
  <c r="BA491" i="6"/>
  <c r="BA499" i="6"/>
  <c r="BA507" i="6"/>
  <c r="BA515" i="6"/>
  <c r="BA470" i="6"/>
  <c r="BA480" i="6"/>
  <c r="BA488" i="6"/>
  <c r="BA496" i="6"/>
  <c r="BA312" i="6"/>
  <c r="BA404" i="6"/>
  <c r="BA454" i="6"/>
  <c r="BA465" i="6"/>
  <c r="BA473" i="6"/>
  <c r="BA482" i="6"/>
  <c r="BA485" i="6"/>
  <c r="BA514" i="6"/>
  <c r="BA506" i="6"/>
  <c r="BA495" i="6"/>
  <c r="BA493" i="6"/>
  <c r="BA438" i="6"/>
  <c r="BA443" i="6"/>
  <c r="BA448" i="6"/>
  <c r="BA462" i="6"/>
  <c r="BA469" i="6"/>
  <c r="BA477" i="6"/>
  <c r="BA511" i="6"/>
  <c r="BA503" i="6"/>
  <c r="BA501" i="6"/>
  <c r="BA490" i="6"/>
  <c r="BA459" i="6"/>
  <c r="BA466" i="6"/>
  <c r="BA264" i="6"/>
  <c r="BA509" i="6"/>
  <c r="BA487" i="6"/>
  <c r="BA426" i="6"/>
  <c r="BA429" i="6"/>
  <c r="BA432" i="6"/>
  <c r="BA418" i="6"/>
  <c r="BA415" i="6"/>
  <c r="BA498" i="6"/>
  <c r="BM270" i="6"/>
  <c r="BM267" i="6"/>
  <c r="BM268" i="6"/>
  <c r="BM269" i="6"/>
  <c r="BM265" i="6"/>
  <c r="BM272" i="6"/>
  <c r="BM276" i="6"/>
  <c r="BM266" i="6"/>
  <c r="BM271" i="6"/>
  <c r="BM275" i="6"/>
  <c r="BM280" i="6"/>
  <c r="BM285" i="6"/>
  <c r="BM274" i="6"/>
  <c r="BM278" i="6"/>
  <c r="BM281" i="6"/>
  <c r="BM273" i="6"/>
  <c r="BM277" i="6"/>
  <c r="BM284" i="6"/>
  <c r="BM288" i="6"/>
  <c r="BM296" i="6"/>
  <c r="BM304" i="6"/>
  <c r="BM293" i="6"/>
  <c r="BM301" i="6"/>
  <c r="BM283" i="6"/>
  <c r="BM289" i="6"/>
  <c r="BM286" i="6"/>
  <c r="BM292" i="6"/>
  <c r="BM310" i="6"/>
  <c r="BM295" i="6"/>
  <c r="BM299" i="6"/>
  <c r="BM307" i="6"/>
  <c r="BM298" i="6"/>
  <c r="BM279" i="6"/>
  <c r="BM287" i="6"/>
  <c r="BM300" i="6"/>
  <c r="BM302" i="6"/>
  <c r="BM306" i="6"/>
  <c r="BM290" i="6"/>
  <c r="BM309" i="6"/>
  <c r="BM319" i="6"/>
  <c r="BM316" i="6"/>
  <c r="BM324" i="6"/>
  <c r="BM318" i="6"/>
  <c r="BM322" i="6"/>
  <c r="BM325" i="6"/>
  <c r="BM333" i="6"/>
  <c r="BM308" i="6"/>
  <c r="BM321" i="6"/>
  <c r="BM330" i="6"/>
  <c r="BM282" i="6"/>
  <c r="BM294" i="6"/>
  <c r="BM305" i="6"/>
  <c r="BM314" i="6"/>
  <c r="BM327" i="6"/>
  <c r="BM335" i="6"/>
  <c r="BM343" i="6"/>
  <c r="BM313" i="6"/>
  <c r="BM317" i="6"/>
  <c r="BM332" i="6"/>
  <c r="BM340" i="6"/>
  <c r="BM348" i="6"/>
  <c r="BM320" i="6"/>
  <c r="BM329" i="6"/>
  <c r="BM345" i="6"/>
  <c r="BM349" i="6"/>
  <c r="BM357" i="6"/>
  <c r="BM291" i="6"/>
  <c r="BM323" i="6"/>
  <c r="BM334" i="6"/>
  <c r="BM338" i="6"/>
  <c r="BM354" i="6"/>
  <c r="BM362" i="6"/>
  <c r="BM312" i="6"/>
  <c r="BM337" i="6"/>
  <c r="BM341" i="6"/>
  <c r="BM351" i="6"/>
  <c r="BM359" i="6"/>
  <c r="BM367" i="6"/>
  <c r="BM375" i="6"/>
  <c r="BM315" i="6"/>
  <c r="BM328" i="6"/>
  <c r="BM344" i="6"/>
  <c r="BM356" i="6"/>
  <c r="BM364" i="6"/>
  <c r="BM372" i="6"/>
  <c r="BM380" i="6"/>
  <c r="BM361" i="6"/>
  <c r="BM368" i="6"/>
  <c r="BM390" i="6"/>
  <c r="BM398" i="6"/>
  <c r="BM406" i="6"/>
  <c r="BM350" i="6"/>
  <c r="BM371" i="6"/>
  <c r="BM382" i="6"/>
  <c r="BM387" i="6"/>
  <c r="BM395" i="6"/>
  <c r="BM331" i="6"/>
  <c r="BM355" i="6"/>
  <c r="BM374" i="6"/>
  <c r="BM378" i="6"/>
  <c r="BM384" i="6"/>
  <c r="BM392" i="6"/>
  <c r="BM297" i="6"/>
  <c r="BM311" i="6"/>
  <c r="BM346" i="6"/>
  <c r="BM360" i="6"/>
  <c r="BM377" i="6"/>
  <c r="BM381" i="6"/>
  <c r="BM383" i="6"/>
  <c r="BM389" i="6"/>
  <c r="BM397" i="6"/>
  <c r="BM347" i="6"/>
  <c r="BM370" i="6"/>
  <c r="BM394" i="6"/>
  <c r="BM399" i="6"/>
  <c r="BM414" i="6"/>
  <c r="BM358" i="6"/>
  <c r="BM373" i="6"/>
  <c r="BM402" i="6"/>
  <c r="BM404" i="6"/>
  <c r="BM411" i="6"/>
  <c r="BM376" i="6"/>
  <c r="BM388" i="6"/>
  <c r="BM405" i="6"/>
  <c r="BM408" i="6"/>
  <c r="BM416" i="6"/>
  <c r="BM424" i="6"/>
  <c r="BM432" i="6"/>
  <c r="BM336" i="6"/>
  <c r="BM342" i="6"/>
  <c r="BM365" i="6"/>
  <c r="BM379" i="6"/>
  <c r="BM393" i="6"/>
  <c r="BM413" i="6"/>
  <c r="BM421" i="6"/>
  <c r="BM429" i="6"/>
  <c r="BM366" i="6"/>
  <c r="BM386" i="6"/>
  <c r="BM425" i="6"/>
  <c r="BM441" i="6"/>
  <c r="BM449" i="6"/>
  <c r="BM457" i="6"/>
  <c r="BM428" i="6"/>
  <c r="BM438" i="6"/>
  <c r="BM446" i="6"/>
  <c r="BM454" i="6"/>
  <c r="BM303" i="6"/>
  <c r="BM339" i="6"/>
  <c r="BM363" i="6"/>
  <c r="BM396" i="6"/>
  <c r="BM400" i="6"/>
  <c r="BM412" i="6"/>
  <c r="BM417" i="6"/>
  <c r="BM431" i="6"/>
  <c r="BM435" i="6"/>
  <c r="BM443" i="6"/>
  <c r="BM451" i="6"/>
  <c r="BM459" i="6"/>
  <c r="BM467" i="6"/>
  <c r="BM475" i="6"/>
  <c r="BM352" i="6"/>
  <c r="BM385" i="6"/>
  <c r="BM403" i="6"/>
  <c r="BM420" i="6"/>
  <c r="BM440" i="6"/>
  <c r="BM448" i="6"/>
  <c r="BM456" i="6"/>
  <c r="BM464" i="6"/>
  <c r="BM472" i="6"/>
  <c r="BM353" i="6"/>
  <c r="BM401" i="6"/>
  <c r="BM410" i="6"/>
  <c r="BM415" i="6"/>
  <c r="BM423" i="6"/>
  <c r="BM445" i="6"/>
  <c r="BM462" i="6"/>
  <c r="BM476" i="6"/>
  <c r="BM480" i="6"/>
  <c r="BM488" i="6"/>
  <c r="BM496" i="6"/>
  <c r="BM504" i="6"/>
  <c r="BM512" i="6"/>
  <c r="BM508" i="6"/>
  <c r="BM391" i="6"/>
  <c r="BM407" i="6"/>
  <c r="BM426" i="6"/>
  <c r="BM450" i="6"/>
  <c r="BM461" i="6"/>
  <c r="BM465" i="6"/>
  <c r="BM479" i="6"/>
  <c r="BM485" i="6"/>
  <c r="BM493" i="6"/>
  <c r="BM501" i="6"/>
  <c r="BM509" i="6"/>
  <c r="BM264" i="6"/>
  <c r="BM484" i="6"/>
  <c r="BM326" i="6"/>
  <c r="BM369" i="6"/>
  <c r="BM434" i="6"/>
  <c r="BM439" i="6"/>
  <c r="BM455" i="6"/>
  <c r="BM468" i="6"/>
  <c r="BM482" i="6"/>
  <c r="BM490" i="6"/>
  <c r="BM498" i="6"/>
  <c r="BM506" i="6"/>
  <c r="BM514" i="6"/>
  <c r="BM427" i="6"/>
  <c r="BM437" i="6"/>
  <c r="BM453" i="6"/>
  <c r="BM478" i="6"/>
  <c r="BM492" i="6"/>
  <c r="BM516" i="6"/>
  <c r="BM409" i="6"/>
  <c r="BM418" i="6"/>
  <c r="BM444" i="6"/>
  <c r="BM471" i="6"/>
  <c r="BM487" i="6"/>
  <c r="BM495" i="6"/>
  <c r="BM503" i="6"/>
  <c r="BM511" i="6"/>
  <c r="BM460" i="6"/>
  <c r="BM474" i="6"/>
  <c r="BM500" i="6"/>
  <c r="BM458" i="6"/>
  <c r="BM483" i="6"/>
  <c r="BM486" i="6"/>
  <c r="BM489" i="6"/>
  <c r="BM510" i="6"/>
  <c r="BM513" i="6"/>
  <c r="BM499" i="6"/>
  <c r="BM430" i="6"/>
  <c r="BM433" i="6"/>
  <c r="BM442" i="6"/>
  <c r="BM447" i="6"/>
  <c r="BM452" i="6"/>
  <c r="BM481" i="6"/>
  <c r="BM469" i="6"/>
  <c r="BM477" i="6"/>
  <c r="BM466" i="6"/>
  <c r="BM473" i="6"/>
  <c r="BM470" i="6"/>
  <c r="BM502" i="6"/>
  <c r="BM505" i="6"/>
  <c r="BM491" i="6"/>
  <c r="BM419" i="6"/>
  <c r="BM422" i="6"/>
  <c r="BM436" i="6"/>
  <c r="BM515" i="6"/>
  <c r="BM507" i="6"/>
  <c r="BM494" i="6"/>
  <c r="BM463" i="6"/>
  <c r="BM497" i="6"/>
  <c r="P267" i="6"/>
  <c r="P269" i="6"/>
  <c r="P268" i="6"/>
  <c r="P272" i="6"/>
  <c r="P273" i="6"/>
  <c r="P276" i="6"/>
  <c r="P271" i="6"/>
  <c r="P265" i="6"/>
  <c r="P270" i="6"/>
  <c r="P266" i="6"/>
  <c r="P285" i="6"/>
  <c r="P282" i="6"/>
  <c r="P279" i="6"/>
  <c r="P283" i="6"/>
  <c r="P286" i="6"/>
  <c r="P293" i="6"/>
  <c r="P301" i="6"/>
  <c r="P274" i="6"/>
  <c r="P290" i="6"/>
  <c r="P298" i="6"/>
  <c r="P281" i="6"/>
  <c r="P291" i="6"/>
  <c r="P275" i="6"/>
  <c r="P284" i="6"/>
  <c r="P294" i="6"/>
  <c r="P278" i="6"/>
  <c r="P297" i="6"/>
  <c r="P307" i="6"/>
  <c r="P300" i="6"/>
  <c r="P304" i="6"/>
  <c r="P312" i="6"/>
  <c r="P308" i="6"/>
  <c r="P296" i="6"/>
  <c r="P303" i="6"/>
  <c r="P316" i="6"/>
  <c r="P324" i="6"/>
  <c r="P277" i="6"/>
  <c r="P280" i="6"/>
  <c r="P288" i="6"/>
  <c r="P305" i="6"/>
  <c r="P313" i="6"/>
  <c r="P321" i="6"/>
  <c r="P287" i="6"/>
  <c r="P289" i="6"/>
  <c r="P306" i="6"/>
  <c r="P323" i="6"/>
  <c r="P330" i="6"/>
  <c r="P309" i="6"/>
  <c r="P327" i="6"/>
  <c r="P335" i="6"/>
  <c r="P295" i="6"/>
  <c r="P299" i="6"/>
  <c r="P315" i="6"/>
  <c r="P319" i="6"/>
  <c r="P332" i="6"/>
  <c r="P340" i="6"/>
  <c r="P348" i="6"/>
  <c r="P318" i="6"/>
  <c r="P322" i="6"/>
  <c r="P329" i="6"/>
  <c r="P337" i="6"/>
  <c r="P345" i="6"/>
  <c r="P311" i="6"/>
  <c r="P334" i="6"/>
  <c r="P350" i="6"/>
  <c r="P354" i="6"/>
  <c r="P362" i="6"/>
  <c r="P339" i="6"/>
  <c r="P343" i="6"/>
  <c r="P351" i="6"/>
  <c r="P359" i="6"/>
  <c r="P302" i="6"/>
  <c r="P328" i="6"/>
  <c r="P342" i="6"/>
  <c r="P346" i="6"/>
  <c r="P356" i="6"/>
  <c r="P364" i="6"/>
  <c r="P372" i="6"/>
  <c r="P380" i="6"/>
  <c r="P333" i="6"/>
  <c r="P349" i="6"/>
  <c r="P353" i="6"/>
  <c r="P361" i="6"/>
  <c r="P369" i="6"/>
  <c r="P377" i="6"/>
  <c r="P310" i="6"/>
  <c r="P326" i="6"/>
  <c r="P338" i="6"/>
  <c r="P373" i="6"/>
  <c r="P383" i="6"/>
  <c r="P387" i="6"/>
  <c r="P395" i="6"/>
  <c r="P403" i="6"/>
  <c r="P292" i="6"/>
  <c r="P314" i="6"/>
  <c r="P341" i="6"/>
  <c r="P355" i="6"/>
  <c r="P376" i="6"/>
  <c r="P384" i="6"/>
  <c r="P392" i="6"/>
  <c r="P336" i="6"/>
  <c r="P344" i="6"/>
  <c r="P360" i="6"/>
  <c r="P365" i="6"/>
  <c r="P379" i="6"/>
  <c r="P389" i="6"/>
  <c r="P397" i="6"/>
  <c r="P320" i="6"/>
  <c r="P325" i="6"/>
  <c r="P347" i="6"/>
  <c r="P368" i="6"/>
  <c r="P382" i="6"/>
  <c r="P386" i="6"/>
  <c r="P394" i="6"/>
  <c r="P402" i="6"/>
  <c r="P371" i="6"/>
  <c r="P411" i="6"/>
  <c r="P331" i="6"/>
  <c r="P363" i="6"/>
  <c r="P374" i="6"/>
  <c r="P388" i="6"/>
  <c r="P400" i="6"/>
  <c r="P406" i="6"/>
  <c r="P352" i="6"/>
  <c r="P393" i="6"/>
  <c r="P407" i="6"/>
  <c r="P413" i="6"/>
  <c r="P421" i="6"/>
  <c r="P429" i="6"/>
  <c r="P366" i="6"/>
  <c r="P399" i="6"/>
  <c r="P408" i="6"/>
  <c r="P410" i="6"/>
  <c r="P418" i="6"/>
  <c r="P426" i="6"/>
  <c r="P434" i="6"/>
  <c r="P358" i="6"/>
  <c r="P391" i="6"/>
  <c r="P416" i="6"/>
  <c r="P430" i="6"/>
  <c r="P438" i="6"/>
  <c r="P446" i="6"/>
  <c r="P454" i="6"/>
  <c r="P378" i="6"/>
  <c r="P412" i="6"/>
  <c r="P419" i="6"/>
  <c r="P433" i="6"/>
  <c r="P435" i="6"/>
  <c r="P443" i="6"/>
  <c r="P451" i="6"/>
  <c r="P459" i="6"/>
  <c r="P317" i="6"/>
  <c r="P367" i="6"/>
  <c r="P398" i="6"/>
  <c r="P422" i="6"/>
  <c r="P440" i="6"/>
  <c r="P448" i="6"/>
  <c r="P456" i="6"/>
  <c r="P464" i="6"/>
  <c r="P472" i="6"/>
  <c r="P480" i="6"/>
  <c r="P390" i="6"/>
  <c r="P401" i="6"/>
  <c r="P425" i="6"/>
  <c r="P437" i="6"/>
  <c r="P445" i="6"/>
  <c r="P453" i="6"/>
  <c r="P461" i="6"/>
  <c r="P469" i="6"/>
  <c r="P477" i="6"/>
  <c r="P432" i="6"/>
  <c r="P450" i="6"/>
  <c r="P463" i="6"/>
  <c r="P467" i="6"/>
  <c r="P485" i="6"/>
  <c r="P493" i="6"/>
  <c r="P501" i="6"/>
  <c r="P509" i="6"/>
  <c r="P264" i="6"/>
  <c r="P513" i="6"/>
  <c r="P396" i="6"/>
  <c r="P415" i="6"/>
  <c r="P439" i="6"/>
  <c r="P455" i="6"/>
  <c r="P466" i="6"/>
  <c r="P470" i="6"/>
  <c r="P482" i="6"/>
  <c r="P490" i="6"/>
  <c r="P498" i="6"/>
  <c r="P506" i="6"/>
  <c r="P514" i="6"/>
  <c r="P489" i="6"/>
  <c r="P381" i="6"/>
  <c r="P385" i="6"/>
  <c r="P424" i="6"/>
  <c r="P444" i="6"/>
  <c r="P473" i="6"/>
  <c r="P487" i="6"/>
  <c r="P495" i="6"/>
  <c r="P503" i="6"/>
  <c r="P511" i="6"/>
  <c r="P375" i="6"/>
  <c r="P428" i="6"/>
  <c r="P442" i="6"/>
  <c r="P458" i="6"/>
  <c r="P465" i="6"/>
  <c r="P479" i="6"/>
  <c r="P481" i="6"/>
  <c r="P370" i="6"/>
  <c r="P405" i="6"/>
  <c r="P414" i="6"/>
  <c r="P427" i="6"/>
  <c r="P449" i="6"/>
  <c r="P462" i="6"/>
  <c r="P476" i="6"/>
  <c r="P484" i="6"/>
  <c r="P492" i="6"/>
  <c r="P500" i="6"/>
  <c r="P508" i="6"/>
  <c r="P516" i="6"/>
  <c r="P497" i="6"/>
  <c r="P505" i="6"/>
  <c r="P409" i="6"/>
  <c r="P417" i="6"/>
  <c r="P420" i="6"/>
  <c r="P423" i="6"/>
  <c r="P436" i="6"/>
  <c r="P441" i="6"/>
  <c r="P486" i="6"/>
  <c r="P457" i="6"/>
  <c r="P474" i="6"/>
  <c r="P512" i="6"/>
  <c r="P515" i="6"/>
  <c r="P504" i="6"/>
  <c r="P507" i="6"/>
  <c r="P510" i="6"/>
  <c r="P491" i="6"/>
  <c r="P483" i="6"/>
  <c r="P452" i="6"/>
  <c r="P471" i="6"/>
  <c r="P478" i="6"/>
  <c r="P488" i="6"/>
  <c r="P357" i="6"/>
  <c r="P404" i="6"/>
  <c r="P460" i="6"/>
  <c r="P468" i="6"/>
  <c r="P475" i="6"/>
  <c r="P496" i="6"/>
  <c r="P499" i="6"/>
  <c r="P502" i="6"/>
  <c r="P494" i="6"/>
  <c r="P431" i="6"/>
  <c r="P447" i="6"/>
  <c r="BJ269" i="6"/>
  <c r="BJ266" i="6"/>
  <c r="BJ271" i="6"/>
  <c r="BJ273" i="6"/>
  <c r="BJ270" i="6"/>
  <c r="BJ265" i="6"/>
  <c r="BJ267" i="6"/>
  <c r="BJ274" i="6"/>
  <c r="BJ275" i="6"/>
  <c r="BJ272" i="6"/>
  <c r="BJ279" i="6"/>
  <c r="BJ277" i="6"/>
  <c r="BJ284" i="6"/>
  <c r="BJ280" i="6"/>
  <c r="BJ283" i="6"/>
  <c r="BJ287" i="6"/>
  <c r="BJ295" i="6"/>
  <c r="BJ303" i="6"/>
  <c r="BJ286" i="6"/>
  <c r="BJ292" i="6"/>
  <c r="BJ300" i="6"/>
  <c r="BJ276" i="6"/>
  <c r="BJ278" i="6"/>
  <c r="BJ288" i="6"/>
  <c r="BJ281" i="6"/>
  <c r="BJ291" i="6"/>
  <c r="BJ305" i="6"/>
  <c r="BJ309" i="6"/>
  <c r="BJ294" i="6"/>
  <c r="BJ298" i="6"/>
  <c r="BJ306" i="6"/>
  <c r="BJ302" i="6"/>
  <c r="BJ304" i="6"/>
  <c r="BJ290" i="6"/>
  <c r="BJ285" i="6"/>
  <c r="BJ293" i="6"/>
  <c r="BJ308" i="6"/>
  <c r="BJ318" i="6"/>
  <c r="BJ268" i="6"/>
  <c r="BJ296" i="6"/>
  <c r="BJ301" i="6"/>
  <c r="BJ311" i="6"/>
  <c r="BJ315" i="6"/>
  <c r="BJ323" i="6"/>
  <c r="BJ317" i="6"/>
  <c r="BJ321" i="6"/>
  <c r="BJ332" i="6"/>
  <c r="BJ282" i="6"/>
  <c r="BJ320" i="6"/>
  <c r="BJ324" i="6"/>
  <c r="BJ329" i="6"/>
  <c r="BJ289" i="6"/>
  <c r="BJ313" i="6"/>
  <c r="BJ326" i="6"/>
  <c r="BJ334" i="6"/>
  <c r="BJ342" i="6"/>
  <c r="BJ312" i="6"/>
  <c r="BJ316" i="6"/>
  <c r="BJ331" i="6"/>
  <c r="BJ339" i="6"/>
  <c r="BJ347" i="6"/>
  <c r="BJ299" i="6"/>
  <c r="BJ328" i="6"/>
  <c r="BJ344" i="6"/>
  <c r="BJ348" i="6"/>
  <c r="BJ356" i="6"/>
  <c r="BJ307" i="6"/>
  <c r="BJ333" i="6"/>
  <c r="BJ337" i="6"/>
  <c r="BJ353" i="6"/>
  <c r="BJ361" i="6"/>
  <c r="BJ340" i="6"/>
  <c r="BJ350" i="6"/>
  <c r="BJ358" i="6"/>
  <c r="BJ366" i="6"/>
  <c r="BJ374" i="6"/>
  <c r="BJ327" i="6"/>
  <c r="BJ343" i="6"/>
  <c r="BJ355" i="6"/>
  <c r="BJ363" i="6"/>
  <c r="BJ371" i="6"/>
  <c r="BJ379" i="6"/>
  <c r="BJ297" i="6"/>
  <c r="BJ319" i="6"/>
  <c r="BJ346" i="6"/>
  <c r="BJ360" i="6"/>
  <c r="BJ367" i="6"/>
  <c r="BJ381" i="6"/>
  <c r="BJ383" i="6"/>
  <c r="BJ389" i="6"/>
  <c r="BJ397" i="6"/>
  <c r="BJ405" i="6"/>
  <c r="BJ349" i="6"/>
  <c r="BJ370" i="6"/>
  <c r="BJ386" i="6"/>
  <c r="BJ394" i="6"/>
  <c r="BJ330" i="6"/>
  <c r="BJ338" i="6"/>
  <c r="BJ354" i="6"/>
  <c r="BJ373" i="6"/>
  <c r="BJ377" i="6"/>
  <c r="BJ391" i="6"/>
  <c r="BJ314" i="6"/>
  <c r="BJ341" i="6"/>
  <c r="BJ359" i="6"/>
  <c r="BJ376" i="6"/>
  <c r="BJ380" i="6"/>
  <c r="BJ388" i="6"/>
  <c r="BJ396" i="6"/>
  <c r="BJ336" i="6"/>
  <c r="BJ365" i="6"/>
  <c r="BJ393" i="6"/>
  <c r="BJ398" i="6"/>
  <c r="BJ413" i="6"/>
  <c r="BJ325" i="6"/>
  <c r="BJ357" i="6"/>
  <c r="BJ368" i="6"/>
  <c r="BJ401" i="6"/>
  <c r="BJ406" i="6"/>
  <c r="BJ410" i="6"/>
  <c r="BJ310" i="6"/>
  <c r="BJ387" i="6"/>
  <c r="BJ407" i="6"/>
  <c r="BJ415" i="6"/>
  <c r="BJ423" i="6"/>
  <c r="BJ431" i="6"/>
  <c r="BJ382" i="6"/>
  <c r="BJ392" i="6"/>
  <c r="BJ412" i="6"/>
  <c r="BJ420" i="6"/>
  <c r="BJ428" i="6"/>
  <c r="BJ352" i="6"/>
  <c r="BJ385" i="6"/>
  <c r="BJ400" i="6"/>
  <c r="BJ424" i="6"/>
  <c r="BJ440" i="6"/>
  <c r="BJ448" i="6"/>
  <c r="BJ456" i="6"/>
  <c r="BJ322" i="6"/>
  <c r="BJ372" i="6"/>
  <c r="BJ403" i="6"/>
  <c r="BJ427" i="6"/>
  <c r="BJ437" i="6"/>
  <c r="BJ445" i="6"/>
  <c r="BJ453" i="6"/>
  <c r="BJ395" i="6"/>
  <c r="BJ404" i="6"/>
  <c r="BJ411" i="6"/>
  <c r="BJ430" i="6"/>
  <c r="BJ442" i="6"/>
  <c r="BJ450" i="6"/>
  <c r="BJ458" i="6"/>
  <c r="BJ466" i="6"/>
  <c r="BJ474" i="6"/>
  <c r="BJ335" i="6"/>
  <c r="BJ378" i="6"/>
  <c r="BJ384" i="6"/>
  <c r="BJ419" i="6"/>
  <c r="BJ433" i="6"/>
  <c r="BJ439" i="6"/>
  <c r="BJ447" i="6"/>
  <c r="BJ455" i="6"/>
  <c r="BJ463" i="6"/>
  <c r="BJ471" i="6"/>
  <c r="BJ479" i="6"/>
  <c r="BJ409" i="6"/>
  <c r="BJ426" i="6"/>
  <c r="BJ434" i="6"/>
  <c r="BJ444" i="6"/>
  <c r="BJ461" i="6"/>
  <c r="BJ475" i="6"/>
  <c r="BJ487" i="6"/>
  <c r="BJ495" i="6"/>
  <c r="BJ503" i="6"/>
  <c r="BJ511" i="6"/>
  <c r="BJ507" i="6"/>
  <c r="BJ390" i="6"/>
  <c r="BJ429" i="6"/>
  <c r="BJ449" i="6"/>
  <c r="BJ460" i="6"/>
  <c r="BJ464" i="6"/>
  <c r="BJ478" i="6"/>
  <c r="BJ484" i="6"/>
  <c r="BJ492" i="6"/>
  <c r="BJ500" i="6"/>
  <c r="BJ508" i="6"/>
  <c r="BJ516" i="6"/>
  <c r="BJ375" i="6"/>
  <c r="BJ418" i="6"/>
  <c r="BJ432" i="6"/>
  <c r="BJ438" i="6"/>
  <c r="BJ454" i="6"/>
  <c r="BJ467" i="6"/>
  <c r="BJ481" i="6"/>
  <c r="BJ489" i="6"/>
  <c r="BJ497" i="6"/>
  <c r="BJ505" i="6"/>
  <c r="BJ513" i="6"/>
  <c r="BJ369" i="6"/>
  <c r="BJ422" i="6"/>
  <c r="BJ436" i="6"/>
  <c r="BJ452" i="6"/>
  <c r="BJ459" i="6"/>
  <c r="BJ473" i="6"/>
  <c r="BJ491" i="6"/>
  <c r="BJ515" i="6"/>
  <c r="BJ414" i="6"/>
  <c r="BJ345" i="6"/>
  <c r="BJ364" i="6"/>
  <c r="BJ402" i="6"/>
  <c r="BJ408" i="6"/>
  <c r="BJ421" i="6"/>
  <c r="BJ443" i="6"/>
  <c r="BJ470" i="6"/>
  <c r="BJ486" i="6"/>
  <c r="BJ494" i="6"/>
  <c r="BJ502" i="6"/>
  <c r="BJ510" i="6"/>
  <c r="BJ477" i="6"/>
  <c r="BJ483" i="6"/>
  <c r="BJ499" i="6"/>
  <c r="BJ417" i="6"/>
  <c r="BJ435" i="6"/>
  <c r="BJ514" i="6"/>
  <c r="BJ264" i="6"/>
  <c r="BJ351" i="6"/>
  <c r="BJ468" i="6"/>
  <c r="BJ476" i="6"/>
  <c r="BJ506" i="6"/>
  <c r="BJ509" i="6"/>
  <c r="BJ512" i="6"/>
  <c r="BJ425" i="6"/>
  <c r="BJ399" i="6"/>
  <c r="BJ416" i="6"/>
  <c r="BJ465" i="6"/>
  <c r="BJ472" i="6"/>
  <c r="BJ498" i="6"/>
  <c r="BJ501" i="6"/>
  <c r="BJ504" i="6"/>
  <c r="BJ480" i="6"/>
  <c r="BJ457" i="6"/>
  <c r="BJ441" i="6"/>
  <c r="BJ446" i="6"/>
  <c r="BJ451" i="6"/>
  <c r="BJ462" i="6"/>
  <c r="BJ469" i="6"/>
  <c r="BJ490" i="6"/>
  <c r="BJ493" i="6"/>
  <c r="BJ496" i="6"/>
  <c r="BJ362" i="6"/>
  <c r="BJ482" i="6"/>
  <c r="BJ485" i="6"/>
  <c r="BJ488" i="6"/>
  <c r="AJ271" i="6"/>
  <c r="AJ268" i="6"/>
  <c r="AJ265" i="6"/>
  <c r="AJ269" i="6"/>
  <c r="AJ270" i="6"/>
  <c r="AJ272" i="6"/>
  <c r="AJ266" i="6"/>
  <c r="AJ273" i="6"/>
  <c r="AJ277" i="6"/>
  <c r="AJ276" i="6"/>
  <c r="AJ281" i="6"/>
  <c r="AJ286" i="6"/>
  <c r="AJ279" i="6"/>
  <c r="AJ287" i="6"/>
  <c r="AJ274" i="6"/>
  <c r="AJ275" i="6"/>
  <c r="AJ282" i="6"/>
  <c r="AJ285" i="6"/>
  <c r="AJ289" i="6"/>
  <c r="AJ297" i="6"/>
  <c r="AJ305" i="6"/>
  <c r="AJ294" i="6"/>
  <c r="AJ302" i="6"/>
  <c r="AJ278" i="6"/>
  <c r="AJ284" i="6"/>
  <c r="AJ290" i="6"/>
  <c r="AJ293" i="6"/>
  <c r="AJ311" i="6"/>
  <c r="AJ296" i="6"/>
  <c r="AJ300" i="6"/>
  <c r="AJ308" i="6"/>
  <c r="AJ288" i="6"/>
  <c r="AJ307" i="6"/>
  <c r="AJ283" i="6"/>
  <c r="AJ291" i="6"/>
  <c r="AJ304" i="6"/>
  <c r="AJ310" i="6"/>
  <c r="AJ320" i="6"/>
  <c r="AJ317" i="6"/>
  <c r="AJ267" i="6"/>
  <c r="AJ306" i="6"/>
  <c r="AJ319" i="6"/>
  <c r="AJ323" i="6"/>
  <c r="AJ326" i="6"/>
  <c r="AJ334" i="6"/>
  <c r="AJ292" i="6"/>
  <c r="AJ301" i="6"/>
  <c r="AJ309" i="6"/>
  <c r="AJ322" i="6"/>
  <c r="AJ331" i="6"/>
  <c r="AJ315" i="6"/>
  <c r="AJ328" i="6"/>
  <c r="AJ336" i="6"/>
  <c r="AJ344" i="6"/>
  <c r="AJ298" i="6"/>
  <c r="AJ312" i="6"/>
  <c r="AJ314" i="6"/>
  <c r="AJ318" i="6"/>
  <c r="AJ325" i="6"/>
  <c r="AJ333" i="6"/>
  <c r="AJ341" i="6"/>
  <c r="AJ349" i="6"/>
  <c r="AJ321" i="6"/>
  <c r="AJ330" i="6"/>
  <c r="AJ346" i="6"/>
  <c r="AJ350" i="6"/>
  <c r="AJ358" i="6"/>
  <c r="AJ303" i="6"/>
  <c r="AJ324" i="6"/>
  <c r="AJ335" i="6"/>
  <c r="AJ339" i="6"/>
  <c r="AJ355" i="6"/>
  <c r="AJ363" i="6"/>
  <c r="AJ295" i="6"/>
  <c r="AJ313" i="6"/>
  <c r="AJ338" i="6"/>
  <c r="AJ342" i="6"/>
  <c r="AJ352" i="6"/>
  <c r="AJ360" i="6"/>
  <c r="AJ368" i="6"/>
  <c r="AJ376" i="6"/>
  <c r="AJ316" i="6"/>
  <c r="AJ329" i="6"/>
  <c r="AJ345" i="6"/>
  <c r="AJ357" i="6"/>
  <c r="AJ365" i="6"/>
  <c r="AJ373" i="6"/>
  <c r="AJ381" i="6"/>
  <c r="AJ362" i="6"/>
  <c r="AJ369" i="6"/>
  <c r="AJ391" i="6"/>
  <c r="AJ399" i="6"/>
  <c r="AJ407" i="6"/>
  <c r="AJ351" i="6"/>
  <c r="AJ372" i="6"/>
  <c r="AJ383" i="6"/>
  <c r="AJ388" i="6"/>
  <c r="AJ396" i="6"/>
  <c r="AJ299" i="6"/>
  <c r="AJ332" i="6"/>
  <c r="AJ356" i="6"/>
  <c r="AJ375" i="6"/>
  <c r="AJ379" i="6"/>
  <c r="AJ385" i="6"/>
  <c r="AJ393" i="6"/>
  <c r="AJ347" i="6"/>
  <c r="AJ361" i="6"/>
  <c r="AJ378" i="6"/>
  <c r="AJ382" i="6"/>
  <c r="AJ390" i="6"/>
  <c r="AJ398" i="6"/>
  <c r="AJ371" i="6"/>
  <c r="AJ395" i="6"/>
  <c r="AJ400" i="6"/>
  <c r="AJ415" i="6"/>
  <c r="AJ359" i="6"/>
  <c r="AJ374" i="6"/>
  <c r="AJ384" i="6"/>
  <c r="AJ403" i="6"/>
  <c r="AJ405" i="6"/>
  <c r="AJ412" i="6"/>
  <c r="AJ340" i="6"/>
  <c r="AJ377" i="6"/>
  <c r="AJ389" i="6"/>
  <c r="AJ406" i="6"/>
  <c r="AJ409" i="6"/>
  <c r="AJ417" i="6"/>
  <c r="AJ425" i="6"/>
  <c r="AJ433" i="6"/>
  <c r="AJ366" i="6"/>
  <c r="AJ380" i="6"/>
  <c r="AJ394" i="6"/>
  <c r="AJ414" i="6"/>
  <c r="AJ422" i="6"/>
  <c r="AJ430" i="6"/>
  <c r="AJ387" i="6"/>
  <c r="AJ426" i="6"/>
  <c r="AJ442" i="6"/>
  <c r="AJ450" i="6"/>
  <c r="AJ458" i="6"/>
  <c r="AJ280" i="6"/>
  <c r="AJ327" i="6"/>
  <c r="AJ370" i="6"/>
  <c r="AJ408" i="6"/>
  <c r="AJ429" i="6"/>
  <c r="AJ439" i="6"/>
  <c r="AJ447" i="6"/>
  <c r="AJ455" i="6"/>
  <c r="AJ364" i="6"/>
  <c r="AJ397" i="6"/>
  <c r="AJ401" i="6"/>
  <c r="AJ413" i="6"/>
  <c r="AJ418" i="6"/>
  <c r="AJ432" i="6"/>
  <c r="AJ436" i="6"/>
  <c r="AJ444" i="6"/>
  <c r="AJ452" i="6"/>
  <c r="AJ460" i="6"/>
  <c r="AJ468" i="6"/>
  <c r="AJ476" i="6"/>
  <c r="AJ343" i="6"/>
  <c r="AJ353" i="6"/>
  <c r="AJ386" i="6"/>
  <c r="AJ421" i="6"/>
  <c r="AJ441" i="6"/>
  <c r="AJ449" i="6"/>
  <c r="AJ457" i="6"/>
  <c r="AJ465" i="6"/>
  <c r="AJ473" i="6"/>
  <c r="AJ367" i="6"/>
  <c r="AJ411" i="6"/>
  <c r="AJ424" i="6"/>
  <c r="AJ446" i="6"/>
  <c r="AJ459" i="6"/>
  <c r="AJ463" i="6"/>
  <c r="AJ477" i="6"/>
  <c r="AJ481" i="6"/>
  <c r="AJ489" i="6"/>
  <c r="AJ497" i="6"/>
  <c r="AJ505" i="6"/>
  <c r="AJ513" i="6"/>
  <c r="AJ509" i="6"/>
  <c r="AJ427" i="6"/>
  <c r="AJ435" i="6"/>
  <c r="AJ451" i="6"/>
  <c r="AJ462" i="6"/>
  <c r="AJ466" i="6"/>
  <c r="AJ486" i="6"/>
  <c r="AJ494" i="6"/>
  <c r="AJ502" i="6"/>
  <c r="AJ510" i="6"/>
  <c r="AJ264" i="6"/>
  <c r="AJ337" i="6"/>
  <c r="AJ392" i="6"/>
  <c r="AJ440" i="6"/>
  <c r="AJ456" i="6"/>
  <c r="AJ469" i="6"/>
  <c r="AJ483" i="6"/>
  <c r="AJ491" i="6"/>
  <c r="AJ499" i="6"/>
  <c r="AJ507" i="6"/>
  <c r="AJ515" i="6"/>
  <c r="AJ348" i="6"/>
  <c r="AJ354" i="6"/>
  <c r="AJ402" i="6"/>
  <c r="AJ438" i="6"/>
  <c r="AJ454" i="6"/>
  <c r="AJ479" i="6"/>
  <c r="AJ493" i="6"/>
  <c r="AJ501" i="6"/>
  <c r="AJ404" i="6"/>
  <c r="AJ410" i="6"/>
  <c r="AJ419" i="6"/>
  <c r="AJ445" i="6"/>
  <c r="AJ472" i="6"/>
  <c r="AJ480" i="6"/>
  <c r="AJ488" i="6"/>
  <c r="AJ496" i="6"/>
  <c r="AJ504" i="6"/>
  <c r="AJ512" i="6"/>
  <c r="AJ416" i="6"/>
  <c r="AJ428" i="6"/>
  <c r="AJ461" i="6"/>
  <c r="AJ475" i="6"/>
  <c r="AJ485" i="6"/>
  <c r="AJ464" i="6"/>
  <c r="AJ471" i="6"/>
  <c r="AJ484" i="6"/>
  <c r="AJ487" i="6"/>
  <c r="AJ490" i="6"/>
  <c r="AJ516" i="6"/>
  <c r="AJ453" i="6"/>
  <c r="AJ508" i="6"/>
  <c r="AJ511" i="6"/>
  <c r="AJ514" i="6"/>
  <c r="AJ437" i="6"/>
  <c r="AJ467" i="6"/>
  <c r="AJ474" i="6"/>
  <c r="AJ492" i="6"/>
  <c r="AJ498" i="6"/>
  <c r="AJ482" i="6"/>
  <c r="AJ443" i="6"/>
  <c r="AJ478" i="6"/>
  <c r="AJ500" i="6"/>
  <c r="AJ431" i="6"/>
  <c r="AJ434" i="6"/>
  <c r="AJ470" i="6"/>
  <c r="AJ503" i="6"/>
  <c r="AJ420" i="6"/>
  <c r="AJ423" i="6"/>
  <c r="AJ448" i="6"/>
  <c r="AJ506" i="6"/>
  <c r="AJ495" i="6"/>
  <c r="BV265" i="6"/>
  <c r="BV270" i="6"/>
  <c r="BV267" i="6"/>
  <c r="BV266" i="6"/>
  <c r="BV274" i="6"/>
  <c r="BV273" i="6"/>
  <c r="BV283" i="6"/>
  <c r="BV268" i="6"/>
  <c r="BV280" i="6"/>
  <c r="BV277" i="6"/>
  <c r="BV281" i="6"/>
  <c r="BV271" i="6"/>
  <c r="BV284" i="6"/>
  <c r="BV276" i="6"/>
  <c r="BV291" i="6"/>
  <c r="BV299" i="6"/>
  <c r="BV288" i="6"/>
  <c r="BV296" i="6"/>
  <c r="BV304" i="6"/>
  <c r="BV279" i="6"/>
  <c r="BV289" i="6"/>
  <c r="BV282" i="6"/>
  <c r="BV292" i="6"/>
  <c r="BV285" i="6"/>
  <c r="BV295" i="6"/>
  <c r="BV275" i="6"/>
  <c r="BV298" i="6"/>
  <c r="BV302" i="6"/>
  <c r="BV310" i="6"/>
  <c r="BV306" i="6"/>
  <c r="BV294" i="6"/>
  <c r="BV301" i="6"/>
  <c r="BV309" i="6"/>
  <c r="BV297" i="6"/>
  <c r="BV314" i="6"/>
  <c r="BV322" i="6"/>
  <c r="BV272" i="6"/>
  <c r="BV278" i="6"/>
  <c r="BV303" i="6"/>
  <c r="BV305" i="6"/>
  <c r="BV319" i="6"/>
  <c r="BV287" i="6"/>
  <c r="BV321" i="6"/>
  <c r="BV328" i="6"/>
  <c r="BV307" i="6"/>
  <c r="BV324" i="6"/>
  <c r="BV325" i="6"/>
  <c r="BV333" i="6"/>
  <c r="BV293" i="6"/>
  <c r="BV300" i="6"/>
  <c r="BV313" i="6"/>
  <c r="BV317" i="6"/>
  <c r="BV330" i="6"/>
  <c r="BV338" i="6"/>
  <c r="BV346" i="6"/>
  <c r="BV316" i="6"/>
  <c r="BV320" i="6"/>
  <c r="BV327" i="6"/>
  <c r="BV335" i="6"/>
  <c r="BV343" i="6"/>
  <c r="BV311" i="6"/>
  <c r="BV332" i="6"/>
  <c r="BV348" i="6"/>
  <c r="BV352" i="6"/>
  <c r="BV360" i="6"/>
  <c r="BV286" i="6"/>
  <c r="BV290" i="6"/>
  <c r="BV337" i="6"/>
  <c r="BV341" i="6"/>
  <c r="BV357" i="6"/>
  <c r="BV326" i="6"/>
  <c r="BV340" i="6"/>
  <c r="BV344" i="6"/>
  <c r="BV354" i="6"/>
  <c r="BV362" i="6"/>
  <c r="BV370" i="6"/>
  <c r="BV378" i="6"/>
  <c r="BV269" i="6"/>
  <c r="BV331" i="6"/>
  <c r="BV347" i="6"/>
  <c r="BV351" i="6"/>
  <c r="BV359" i="6"/>
  <c r="BV367" i="6"/>
  <c r="BV375" i="6"/>
  <c r="BV383" i="6"/>
  <c r="BV323" i="6"/>
  <c r="BV336" i="6"/>
  <c r="BV371" i="6"/>
  <c r="BV385" i="6"/>
  <c r="BV393" i="6"/>
  <c r="BV401" i="6"/>
  <c r="BV312" i="6"/>
  <c r="BV339" i="6"/>
  <c r="BV353" i="6"/>
  <c r="BV374" i="6"/>
  <c r="BV382" i="6"/>
  <c r="BV390" i="6"/>
  <c r="BV334" i="6"/>
  <c r="BV342" i="6"/>
  <c r="BV358" i="6"/>
  <c r="BV377" i="6"/>
  <c r="BV381" i="6"/>
  <c r="BV387" i="6"/>
  <c r="BV395" i="6"/>
  <c r="BV318" i="6"/>
  <c r="BV345" i="6"/>
  <c r="BV363" i="6"/>
  <c r="BV366" i="6"/>
  <c r="BV380" i="6"/>
  <c r="BV384" i="6"/>
  <c r="BV392" i="6"/>
  <c r="BV400" i="6"/>
  <c r="BV308" i="6"/>
  <c r="BV369" i="6"/>
  <c r="BV402" i="6"/>
  <c r="BV409" i="6"/>
  <c r="BV329" i="6"/>
  <c r="BV361" i="6"/>
  <c r="BV372" i="6"/>
  <c r="BV386" i="6"/>
  <c r="BV398" i="6"/>
  <c r="BV404" i="6"/>
  <c r="BV414" i="6"/>
  <c r="BV315" i="6"/>
  <c r="BV350" i="6"/>
  <c r="BV391" i="6"/>
  <c r="BV405" i="6"/>
  <c r="BV411" i="6"/>
  <c r="BV419" i="6"/>
  <c r="BV427" i="6"/>
  <c r="BV364" i="6"/>
  <c r="BV396" i="6"/>
  <c r="BV397" i="6"/>
  <c r="BV406" i="6"/>
  <c r="BV408" i="6"/>
  <c r="BV416" i="6"/>
  <c r="BV424" i="6"/>
  <c r="BV432" i="6"/>
  <c r="BV356" i="6"/>
  <c r="BV389" i="6"/>
  <c r="BV428" i="6"/>
  <c r="BV436" i="6"/>
  <c r="BV444" i="6"/>
  <c r="BV452" i="6"/>
  <c r="BV376" i="6"/>
  <c r="BV407" i="6"/>
  <c r="BV410" i="6"/>
  <c r="BV417" i="6"/>
  <c r="BV431" i="6"/>
  <c r="BV441" i="6"/>
  <c r="BV449" i="6"/>
  <c r="BV457" i="6"/>
  <c r="BV365" i="6"/>
  <c r="BV415" i="6"/>
  <c r="BV420" i="6"/>
  <c r="BV438" i="6"/>
  <c r="BV446" i="6"/>
  <c r="BV454" i="6"/>
  <c r="BV462" i="6"/>
  <c r="BV470" i="6"/>
  <c r="BV478" i="6"/>
  <c r="BV349" i="6"/>
  <c r="BV388" i="6"/>
  <c r="BV399" i="6"/>
  <c r="BV423" i="6"/>
  <c r="BV435" i="6"/>
  <c r="BV443" i="6"/>
  <c r="BV451" i="6"/>
  <c r="BV459" i="6"/>
  <c r="BV467" i="6"/>
  <c r="BV475" i="6"/>
  <c r="BV373" i="6"/>
  <c r="BV413" i="6"/>
  <c r="BV430" i="6"/>
  <c r="BV448" i="6"/>
  <c r="BV461" i="6"/>
  <c r="BV465" i="6"/>
  <c r="BV479" i="6"/>
  <c r="BV483" i="6"/>
  <c r="BV491" i="6"/>
  <c r="BV499" i="6"/>
  <c r="BV507" i="6"/>
  <c r="BV515" i="6"/>
  <c r="BV394" i="6"/>
  <c r="BV433" i="6"/>
  <c r="BV437" i="6"/>
  <c r="BV453" i="6"/>
  <c r="BV464" i="6"/>
  <c r="BV468" i="6"/>
  <c r="BV480" i="6"/>
  <c r="BV488" i="6"/>
  <c r="BV496" i="6"/>
  <c r="BV504" i="6"/>
  <c r="BV512" i="6"/>
  <c r="BV511" i="6"/>
  <c r="BV422" i="6"/>
  <c r="BV442" i="6"/>
  <c r="BV458" i="6"/>
  <c r="BV471" i="6"/>
  <c r="BV485" i="6"/>
  <c r="BV493" i="6"/>
  <c r="BV501" i="6"/>
  <c r="BV509" i="6"/>
  <c r="BV264" i="6"/>
  <c r="BV426" i="6"/>
  <c r="BV440" i="6"/>
  <c r="BV456" i="6"/>
  <c r="BV463" i="6"/>
  <c r="BV477" i="6"/>
  <c r="BV487" i="6"/>
  <c r="BV495" i="6"/>
  <c r="BV503" i="6"/>
  <c r="BV412" i="6"/>
  <c r="BV425" i="6"/>
  <c r="BV447" i="6"/>
  <c r="BV460" i="6"/>
  <c r="BV474" i="6"/>
  <c r="BV482" i="6"/>
  <c r="BV490" i="6"/>
  <c r="BV498" i="6"/>
  <c r="BV506" i="6"/>
  <c r="BV514" i="6"/>
  <c r="BV379" i="6"/>
  <c r="BV434" i="6"/>
  <c r="BV439" i="6"/>
  <c r="BV403" i="6"/>
  <c r="BV418" i="6"/>
  <c r="BV445" i="6"/>
  <c r="BV368" i="6"/>
  <c r="BV510" i="6"/>
  <c r="BV513" i="6"/>
  <c r="BV516" i="6"/>
  <c r="BV508" i="6"/>
  <c r="BV486" i="6"/>
  <c r="BV489" i="6"/>
  <c r="BV473" i="6"/>
  <c r="BV502" i="6"/>
  <c r="BV505" i="6"/>
  <c r="BV429" i="6"/>
  <c r="BV472" i="6"/>
  <c r="BV481" i="6"/>
  <c r="BV421" i="6"/>
  <c r="BV469" i="6"/>
  <c r="BV476" i="6"/>
  <c r="BV466" i="6"/>
  <c r="BV355" i="6"/>
  <c r="BV494" i="6"/>
  <c r="BV497" i="6"/>
  <c r="BV500" i="6"/>
  <c r="BV492" i="6"/>
  <c r="BV484" i="6"/>
  <c r="BV450" i="6"/>
  <c r="BV455" i="6"/>
  <c r="W272" i="6"/>
  <c r="W269" i="6"/>
  <c r="W266" i="6"/>
  <c r="W273" i="6"/>
  <c r="W270" i="6"/>
  <c r="W267" i="6"/>
  <c r="W265" i="6"/>
  <c r="W275" i="6"/>
  <c r="W278" i="6"/>
  <c r="W282" i="6"/>
  <c r="W279" i="6"/>
  <c r="W268" i="6"/>
  <c r="W271" i="6"/>
  <c r="W281" i="6"/>
  <c r="W285" i="6"/>
  <c r="W277" i="6"/>
  <c r="W284" i="6"/>
  <c r="W290" i="6"/>
  <c r="W298" i="6"/>
  <c r="W287" i="6"/>
  <c r="W295" i="6"/>
  <c r="W303" i="6"/>
  <c r="W280" i="6"/>
  <c r="W283" i="6"/>
  <c r="W289" i="6"/>
  <c r="W293" i="6"/>
  <c r="W286" i="6"/>
  <c r="W292" i="6"/>
  <c r="W296" i="6"/>
  <c r="W312" i="6"/>
  <c r="W299" i="6"/>
  <c r="W309" i="6"/>
  <c r="W307" i="6"/>
  <c r="W300" i="6"/>
  <c r="W302" i="6"/>
  <c r="W306" i="6"/>
  <c r="W310" i="6"/>
  <c r="W313" i="6"/>
  <c r="W321" i="6"/>
  <c r="W304" i="6"/>
  <c r="W318" i="6"/>
  <c r="W288" i="6"/>
  <c r="W322" i="6"/>
  <c r="W327" i="6"/>
  <c r="W335" i="6"/>
  <c r="W274" i="6"/>
  <c r="W308" i="6"/>
  <c r="W332" i="6"/>
  <c r="W294" i="6"/>
  <c r="W314" i="6"/>
  <c r="W329" i="6"/>
  <c r="W337" i="6"/>
  <c r="W345" i="6"/>
  <c r="W317" i="6"/>
  <c r="W326" i="6"/>
  <c r="W334" i="6"/>
  <c r="W342" i="6"/>
  <c r="W350" i="6"/>
  <c r="W320" i="6"/>
  <c r="W331" i="6"/>
  <c r="W349" i="6"/>
  <c r="W351" i="6"/>
  <c r="W359" i="6"/>
  <c r="W323" i="6"/>
  <c r="W336" i="6"/>
  <c r="W338" i="6"/>
  <c r="W356" i="6"/>
  <c r="W364" i="6"/>
  <c r="W305" i="6"/>
  <c r="W325" i="6"/>
  <c r="W341" i="6"/>
  <c r="W353" i="6"/>
  <c r="W361" i="6"/>
  <c r="W369" i="6"/>
  <c r="W377" i="6"/>
  <c r="W297" i="6"/>
  <c r="W311" i="6"/>
  <c r="W315" i="6"/>
  <c r="W330" i="6"/>
  <c r="W344" i="6"/>
  <c r="W348" i="6"/>
  <c r="W358" i="6"/>
  <c r="W366" i="6"/>
  <c r="W374" i="6"/>
  <c r="W382" i="6"/>
  <c r="W324" i="6"/>
  <c r="W363" i="6"/>
  <c r="W368" i="6"/>
  <c r="W372" i="6"/>
  <c r="W384" i="6"/>
  <c r="W392" i="6"/>
  <c r="W400" i="6"/>
  <c r="W408" i="6"/>
  <c r="W328" i="6"/>
  <c r="W340" i="6"/>
  <c r="W352" i="6"/>
  <c r="W371" i="6"/>
  <c r="W375" i="6"/>
  <c r="W389" i="6"/>
  <c r="W397" i="6"/>
  <c r="W343" i="6"/>
  <c r="W357" i="6"/>
  <c r="W378" i="6"/>
  <c r="W386" i="6"/>
  <c r="W394" i="6"/>
  <c r="W319" i="6"/>
  <c r="W346" i="6"/>
  <c r="W362" i="6"/>
  <c r="W367" i="6"/>
  <c r="W381" i="6"/>
  <c r="W391" i="6"/>
  <c r="W399" i="6"/>
  <c r="W347" i="6"/>
  <c r="W355" i="6"/>
  <c r="W370" i="6"/>
  <c r="W396" i="6"/>
  <c r="W403" i="6"/>
  <c r="W407" i="6"/>
  <c r="W416" i="6"/>
  <c r="W373" i="6"/>
  <c r="W385" i="6"/>
  <c r="W413" i="6"/>
  <c r="W333" i="6"/>
  <c r="W376" i="6"/>
  <c r="W383" i="6"/>
  <c r="W390" i="6"/>
  <c r="W402" i="6"/>
  <c r="W410" i="6"/>
  <c r="W418" i="6"/>
  <c r="W426" i="6"/>
  <c r="W434" i="6"/>
  <c r="W276" i="6"/>
  <c r="W354" i="6"/>
  <c r="W365" i="6"/>
  <c r="W379" i="6"/>
  <c r="W395" i="6"/>
  <c r="W398" i="6"/>
  <c r="W415" i="6"/>
  <c r="W423" i="6"/>
  <c r="W431" i="6"/>
  <c r="W404" i="6"/>
  <c r="W425" i="6"/>
  <c r="W429" i="6"/>
  <c r="W435" i="6"/>
  <c r="W443" i="6"/>
  <c r="W451" i="6"/>
  <c r="W459" i="6"/>
  <c r="W291" i="6"/>
  <c r="W360" i="6"/>
  <c r="W393" i="6"/>
  <c r="W405" i="6"/>
  <c r="W409" i="6"/>
  <c r="W428" i="6"/>
  <c r="W432" i="6"/>
  <c r="W440" i="6"/>
  <c r="W448" i="6"/>
  <c r="W456" i="6"/>
  <c r="W414" i="6"/>
  <c r="W417" i="6"/>
  <c r="W421" i="6"/>
  <c r="W437" i="6"/>
  <c r="W445" i="6"/>
  <c r="W453" i="6"/>
  <c r="W461" i="6"/>
  <c r="W469" i="6"/>
  <c r="W477" i="6"/>
  <c r="W406" i="6"/>
  <c r="W420" i="6"/>
  <c r="W424" i="6"/>
  <c r="W442" i="6"/>
  <c r="W450" i="6"/>
  <c r="W458" i="6"/>
  <c r="W466" i="6"/>
  <c r="W474" i="6"/>
  <c r="W401" i="6"/>
  <c r="W447" i="6"/>
  <c r="W462" i="6"/>
  <c r="W476" i="6"/>
  <c r="W480" i="6"/>
  <c r="W482" i="6"/>
  <c r="W490" i="6"/>
  <c r="W498" i="6"/>
  <c r="W506" i="6"/>
  <c r="W514" i="6"/>
  <c r="W436" i="6"/>
  <c r="W452" i="6"/>
  <c r="W465" i="6"/>
  <c r="W479" i="6"/>
  <c r="W487" i="6"/>
  <c r="W495" i="6"/>
  <c r="W503" i="6"/>
  <c r="W511" i="6"/>
  <c r="W494" i="6"/>
  <c r="W502" i="6"/>
  <c r="W301" i="6"/>
  <c r="W380" i="6"/>
  <c r="W441" i="6"/>
  <c r="W457" i="6"/>
  <c r="W468" i="6"/>
  <c r="W472" i="6"/>
  <c r="W484" i="6"/>
  <c r="W492" i="6"/>
  <c r="W500" i="6"/>
  <c r="W508" i="6"/>
  <c r="W516" i="6"/>
  <c r="W388" i="6"/>
  <c r="W412" i="6"/>
  <c r="W427" i="6"/>
  <c r="W464" i="6"/>
  <c r="W478" i="6"/>
  <c r="W387" i="6"/>
  <c r="W446" i="6"/>
  <c r="W471" i="6"/>
  <c r="W475" i="6"/>
  <c r="W481" i="6"/>
  <c r="W489" i="6"/>
  <c r="W497" i="6"/>
  <c r="W505" i="6"/>
  <c r="W513" i="6"/>
  <c r="W439" i="6"/>
  <c r="W455" i="6"/>
  <c r="W460" i="6"/>
  <c r="W486" i="6"/>
  <c r="W510" i="6"/>
  <c r="W493" i="6"/>
  <c r="W496" i="6"/>
  <c r="W491" i="6"/>
  <c r="W473" i="6"/>
  <c r="W264" i="6"/>
  <c r="W422" i="6"/>
  <c r="W449" i="6"/>
  <c r="W454" i="6"/>
  <c r="W504" i="6"/>
  <c r="W499" i="6"/>
  <c r="W485" i="6"/>
  <c r="W483" i="6"/>
  <c r="W463" i="6"/>
  <c r="W470" i="6"/>
  <c r="W507" i="6"/>
  <c r="W411" i="6"/>
  <c r="W316" i="6"/>
  <c r="W488" i="6"/>
  <c r="W430" i="6"/>
  <c r="W433" i="6"/>
  <c r="W467" i="6"/>
  <c r="W509" i="6"/>
  <c r="W512" i="6"/>
  <c r="W515" i="6"/>
  <c r="W419" i="6"/>
  <c r="W444" i="6"/>
  <c r="W501" i="6"/>
  <c r="W438" i="6"/>
  <c r="W339" i="6"/>
  <c r="CG266" i="6"/>
  <c r="CG271" i="6"/>
  <c r="CG268" i="6"/>
  <c r="CG270" i="6"/>
  <c r="CG267" i="6"/>
  <c r="CG272" i="6"/>
  <c r="CG273" i="6"/>
  <c r="CG275" i="6"/>
  <c r="CG265" i="6"/>
  <c r="CG269" i="6"/>
  <c r="CG284" i="6"/>
  <c r="CG281" i="6"/>
  <c r="CG274" i="6"/>
  <c r="CG276" i="6"/>
  <c r="CG280" i="6"/>
  <c r="CG292" i="6"/>
  <c r="CG300" i="6"/>
  <c r="CG283" i="6"/>
  <c r="CG289" i="6"/>
  <c r="CG297" i="6"/>
  <c r="CG286" i="6"/>
  <c r="CG296" i="6"/>
  <c r="CG278" i="6"/>
  <c r="CG288" i="6"/>
  <c r="CG302" i="6"/>
  <c r="CG306" i="6"/>
  <c r="CG277" i="6"/>
  <c r="CG291" i="6"/>
  <c r="CG295" i="6"/>
  <c r="CG311" i="6"/>
  <c r="CG299" i="6"/>
  <c r="CG301" i="6"/>
  <c r="CG287" i="6"/>
  <c r="CG282" i="6"/>
  <c r="CG290" i="6"/>
  <c r="CG298" i="6"/>
  <c r="CG303" i="6"/>
  <c r="CG305" i="6"/>
  <c r="CG309" i="6"/>
  <c r="CG315" i="6"/>
  <c r="CG323" i="6"/>
  <c r="CG293" i="6"/>
  <c r="CG308" i="6"/>
  <c r="CG312" i="6"/>
  <c r="CG320" i="6"/>
  <c r="CG314" i="6"/>
  <c r="CG318" i="6"/>
  <c r="CG329" i="6"/>
  <c r="CG279" i="6"/>
  <c r="CG317" i="6"/>
  <c r="CG321" i="6"/>
  <c r="CG326" i="6"/>
  <c r="CG334" i="6"/>
  <c r="CG324" i="6"/>
  <c r="CG331" i="6"/>
  <c r="CG339" i="6"/>
  <c r="CG347" i="6"/>
  <c r="CG313" i="6"/>
  <c r="CG328" i="6"/>
  <c r="CG336" i="6"/>
  <c r="CG344" i="6"/>
  <c r="CG325" i="6"/>
  <c r="CG341" i="6"/>
  <c r="CG345" i="6"/>
  <c r="CG353" i="6"/>
  <c r="CG361" i="6"/>
  <c r="CG330" i="6"/>
  <c r="CG348" i="6"/>
  <c r="CG350" i="6"/>
  <c r="CG358" i="6"/>
  <c r="CG335" i="6"/>
  <c r="CG337" i="6"/>
  <c r="CG355" i="6"/>
  <c r="CG363" i="6"/>
  <c r="CG371" i="6"/>
  <c r="CG379" i="6"/>
  <c r="CG310" i="6"/>
  <c r="CG340" i="6"/>
  <c r="CG352" i="6"/>
  <c r="CG360" i="6"/>
  <c r="CG368" i="6"/>
  <c r="CG376" i="6"/>
  <c r="CG316" i="6"/>
  <c r="CG343" i="6"/>
  <c r="CG357" i="6"/>
  <c r="CG364" i="6"/>
  <c r="CG378" i="6"/>
  <c r="CG386" i="6"/>
  <c r="CG394" i="6"/>
  <c r="CG402" i="6"/>
  <c r="CG346" i="6"/>
  <c r="CG362" i="6"/>
  <c r="CG367" i="6"/>
  <c r="CG381" i="6"/>
  <c r="CG391" i="6"/>
  <c r="CG322" i="6"/>
  <c r="CG327" i="6"/>
  <c r="CG349" i="6"/>
  <c r="CG351" i="6"/>
  <c r="CG370" i="6"/>
  <c r="CG374" i="6"/>
  <c r="CG388" i="6"/>
  <c r="CG396" i="6"/>
  <c r="CG285" i="6"/>
  <c r="CG338" i="6"/>
  <c r="CG356" i="6"/>
  <c r="CG373" i="6"/>
  <c r="CG377" i="6"/>
  <c r="CG382" i="6"/>
  <c r="CG385" i="6"/>
  <c r="CG393" i="6"/>
  <c r="CG401" i="6"/>
  <c r="CG333" i="6"/>
  <c r="CG390" i="6"/>
  <c r="CG410" i="6"/>
  <c r="CG304" i="6"/>
  <c r="CG354" i="6"/>
  <c r="CG365" i="6"/>
  <c r="CG395" i="6"/>
  <c r="CG398" i="6"/>
  <c r="CG403" i="6"/>
  <c r="CG384" i="6"/>
  <c r="CG404" i="6"/>
  <c r="CG412" i="6"/>
  <c r="CG420" i="6"/>
  <c r="CG428" i="6"/>
  <c r="CG389" i="6"/>
  <c r="CG409" i="6"/>
  <c r="CG417" i="6"/>
  <c r="CG425" i="6"/>
  <c r="CG433" i="6"/>
  <c r="CG380" i="6"/>
  <c r="CG383" i="6"/>
  <c r="CG397" i="6"/>
  <c r="CG414" i="6"/>
  <c r="CG421" i="6"/>
  <c r="CG437" i="6"/>
  <c r="CG445" i="6"/>
  <c r="CG453" i="6"/>
  <c r="CG369" i="6"/>
  <c r="CG400" i="6"/>
  <c r="CG415" i="6"/>
  <c r="CG424" i="6"/>
  <c r="CG434" i="6"/>
  <c r="CG442" i="6"/>
  <c r="CG450" i="6"/>
  <c r="CG458" i="6"/>
  <c r="CG307" i="6"/>
  <c r="CG392" i="6"/>
  <c r="CG408" i="6"/>
  <c r="CG427" i="6"/>
  <c r="CG431" i="6"/>
  <c r="CG439" i="6"/>
  <c r="CG447" i="6"/>
  <c r="CG455" i="6"/>
  <c r="CG463" i="6"/>
  <c r="CG471" i="6"/>
  <c r="CG479" i="6"/>
  <c r="CG332" i="6"/>
  <c r="CG375" i="6"/>
  <c r="CG413" i="6"/>
  <c r="CG416" i="6"/>
  <c r="CG430" i="6"/>
  <c r="CG436" i="6"/>
  <c r="CG444" i="6"/>
  <c r="CG452" i="6"/>
  <c r="CG460" i="6"/>
  <c r="CG468" i="6"/>
  <c r="CG476" i="6"/>
  <c r="CG405" i="6"/>
  <c r="CG423" i="6"/>
  <c r="CG441" i="6"/>
  <c r="CG457" i="6"/>
  <c r="CG472" i="6"/>
  <c r="CG484" i="6"/>
  <c r="CG492" i="6"/>
  <c r="CG500" i="6"/>
  <c r="CG508" i="6"/>
  <c r="CG516" i="6"/>
  <c r="CG387" i="6"/>
  <c r="CG426" i="6"/>
  <c r="CG446" i="6"/>
  <c r="CG461" i="6"/>
  <c r="CG475" i="6"/>
  <c r="CG481" i="6"/>
  <c r="CG489" i="6"/>
  <c r="CG497" i="6"/>
  <c r="CG505" i="6"/>
  <c r="CG513" i="6"/>
  <c r="CG504" i="6"/>
  <c r="CG512" i="6"/>
  <c r="CG319" i="6"/>
  <c r="CG411" i="6"/>
  <c r="CG372" i="6"/>
  <c r="CG407" i="6"/>
  <c r="CG429" i="6"/>
  <c r="CG435" i="6"/>
  <c r="CG451" i="6"/>
  <c r="CG464" i="6"/>
  <c r="CG478" i="6"/>
  <c r="CG486" i="6"/>
  <c r="CG494" i="6"/>
  <c r="CG502" i="6"/>
  <c r="CG510" i="6"/>
  <c r="CG419" i="6"/>
  <c r="CG449" i="6"/>
  <c r="CG470" i="6"/>
  <c r="CG406" i="6"/>
  <c r="CG399" i="6"/>
  <c r="CG418" i="6"/>
  <c r="CG432" i="6"/>
  <c r="CG440" i="6"/>
  <c r="CG456" i="6"/>
  <c r="CG467" i="6"/>
  <c r="CG483" i="6"/>
  <c r="CG491" i="6"/>
  <c r="CG499" i="6"/>
  <c r="CG507" i="6"/>
  <c r="CG515" i="6"/>
  <c r="CG294" i="6"/>
  <c r="CG366" i="6"/>
  <c r="CG474" i="6"/>
  <c r="CG480" i="6"/>
  <c r="CG488" i="6"/>
  <c r="CG496" i="6"/>
  <c r="CG359" i="6"/>
  <c r="CG511" i="6"/>
  <c r="CG514" i="6"/>
  <c r="CG264" i="6"/>
  <c r="CG465" i="6"/>
  <c r="CG473" i="6"/>
  <c r="CG503" i="6"/>
  <c r="CG506" i="6"/>
  <c r="CG509" i="6"/>
  <c r="CG498" i="6"/>
  <c r="CG501" i="6"/>
  <c r="CG482" i="6"/>
  <c r="CG443" i="6"/>
  <c r="CG462" i="6"/>
  <c r="CG469" i="6"/>
  <c r="CG477" i="6"/>
  <c r="CG495" i="6"/>
  <c r="CG485" i="6"/>
  <c r="CG454" i="6"/>
  <c r="CG342" i="6"/>
  <c r="CG422" i="6"/>
  <c r="CG459" i="6"/>
  <c r="CG466" i="6"/>
  <c r="CG487" i="6"/>
  <c r="CG490" i="6"/>
  <c r="CG493" i="6"/>
  <c r="CG438" i="6"/>
  <c r="CG448" i="6"/>
  <c r="AW270" i="6"/>
  <c r="AW267" i="6"/>
  <c r="AW265" i="6"/>
  <c r="AW266" i="6"/>
  <c r="AW273" i="6"/>
  <c r="AW268" i="6"/>
  <c r="AW276" i="6"/>
  <c r="AW277" i="6"/>
  <c r="AW280" i="6"/>
  <c r="AW285" i="6"/>
  <c r="AW274" i="6"/>
  <c r="AW275" i="6"/>
  <c r="AW279" i="6"/>
  <c r="AW283" i="6"/>
  <c r="AW282" i="6"/>
  <c r="AW286" i="6"/>
  <c r="AW288" i="6"/>
  <c r="AW296" i="6"/>
  <c r="AW304" i="6"/>
  <c r="AW269" i="6"/>
  <c r="AW293" i="6"/>
  <c r="AW301" i="6"/>
  <c r="AW298" i="6"/>
  <c r="AW271" i="6"/>
  <c r="AW272" i="6"/>
  <c r="AW291" i="6"/>
  <c r="AW290" i="6"/>
  <c r="AW294" i="6"/>
  <c r="AW310" i="6"/>
  <c r="AW297" i="6"/>
  <c r="AW307" i="6"/>
  <c r="AW281" i="6"/>
  <c r="AW289" i="6"/>
  <c r="AW302" i="6"/>
  <c r="AW308" i="6"/>
  <c r="AW292" i="6"/>
  <c r="AW311" i="6"/>
  <c r="AW319" i="6"/>
  <c r="AW295" i="6"/>
  <c r="AW316" i="6"/>
  <c r="AW324" i="6"/>
  <c r="AW303" i="6"/>
  <c r="AW320" i="6"/>
  <c r="AW325" i="6"/>
  <c r="AW333" i="6"/>
  <c r="AW323" i="6"/>
  <c r="AW330" i="6"/>
  <c r="AW284" i="6"/>
  <c r="AW299" i="6"/>
  <c r="AW327" i="6"/>
  <c r="AW335" i="6"/>
  <c r="AW343" i="6"/>
  <c r="AW300" i="6"/>
  <c r="AW312" i="6"/>
  <c r="AW315" i="6"/>
  <c r="AW332" i="6"/>
  <c r="AW340" i="6"/>
  <c r="AW348" i="6"/>
  <c r="AW322" i="6"/>
  <c r="AW329" i="6"/>
  <c r="AW347" i="6"/>
  <c r="AW357" i="6"/>
  <c r="AW334" i="6"/>
  <c r="AW354" i="6"/>
  <c r="AW362" i="6"/>
  <c r="AW309" i="6"/>
  <c r="AW314" i="6"/>
  <c r="AW339" i="6"/>
  <c r="AW351" i="6"/>
  <c r="AW359" i="6"/>
  <c r="AW367" i="6"/>
  <c r="AW375" i="6"/>
  <c r="AW317" i="6"/>
  <c r="AW328" i="6"/>
  <c r="AW342" i="6"/>
  <c r="AW346" i="6"/>
  <c r="AW356" i="6"/>
  <c r="AW364" i="6"/>
  <c r="AW372" i="6"/>
  <c r="AW380" i="6"/>
  <c r="AW345" i="6"/>
  <c r="AW361" i="6"/>
  <c r="AW366" i="6"/>
  <c r="AW370" i="6"/>
  <c r="AW390" i="6"/>
  <c r="AW398" i="6"/>
  <c r="AW406" i="6"/>
  <c r="AW278" i="6"/>
  <c r="AW306" i="6"/>
  <c r="AW321" i="6"/>
  <c r="AW326" i="6"/>
  <c r="AW350" i="6"/>
  <c r="AW369" i="6"/>
  <c r="AW373" i="6"/>
  <c r="AW387" i="6"/>
  <c r="AW395" i="6"/>
  <c r="AW305" i="6"/>
  <c r="AW337" i="6"/>
  <c r="AW355" i="6"/>
  <c r="AW376" i="6"/>
  <c r="AW384" i="6"/>
  <c r="AW392" i="6"/>
  <c r="AW336" i="6"/>
  <c r="AW360" i="6"/>
  <c r="AW365" i="6"/>
  <c r="AW379" i="6"/>
  <c r="AW389" i="6"/>
  <c r="AW397" i="6"/>
  <c r="AW318" i="6"/>
  <c r="AW349" i="6"/>
  <c r="AW353" i="6"/>
  <c r="AW394" i="6"/>
  <c r="AW401" i="6"/>
  <c r="AW414" i="6"/>
  <c r="AW338" i="6"/>
  <c r="AW411" i="6"/>
  <c r="AW363" i="6"/>
  <c r="AW378" i="6"/>
  <c r="AW388" i="6"/>
  <c r="AW400" i="6"/>
  <c r="AW408" i="6"/>
  <c r="AW416" i="6"/>
  <c r="AW424" i="6"/>
  <c r="AW432" i="6"/>
  <c r="AW344" i="6"/>
  <c r="AW352" i="6"/>
  <c r="AW381" i="6"/>
  <c r="AW393" i="6"/>
  <c r="AW403" i="6"/>
  <c r="AW404" i="6"/>
  <c r="AW413" i="6"/>
  <c r="AW421" i="6"/>
  <c r="AW429" i="6"/>
  <c r="AW368" i="6"/>
  <c r="AW399" i="6"/>
  <c r="AW423" i="6"/>
  <c r="AW427" i="6"/>
  <c r="AW434" i="6"/>
  <c r="AW441" i="6"/>
  <c r="AW449" i="6"/>
  <c r="AW457" i="6"/>
  <c r="AW383" i="6"/>
  <c r="AW391" i="6"/>
  <c r="AW402" i="6"/>
  <c r="AW426" i="6"/>
  <c r="AW430" i="6"/>
  <c r="AW438" i="6"/>
  <c r="AW446" i="6"/>
  <c r="AW454" i="6"/>
  <c r="AW331" i="6"/>
  <c r="AW341" i="6"/>
  <c r="AW374" i="6"/>
  <c r="AW412" i="6"/>
  <c r="AW415" i="6"/>
  <c r="AW419" i="6"/>
  <c r="AW433" i="6"/>
  <c r="AW435" i="6"/>
  <c r="AW443" i="6"/>
  <c r="AW451" i="6"/>
  <c r="AW459" i="6"/>
  <c r="AW467" i="6"/>
  <c r="AW475" i="6"/>
  <c r="AW313" i="6"/>
  <c r="AW418" i="6"/>
  <c r="AW422" i="6"/>
  <c r="AW440" i="6"/>
  <c r="AW448" i="6"/>
  <c r="AW456" i="6"/>
  <c r="AW464" i="6"/>
  <c r="AW472" i="6"/>
  <c r="AW386" i="6"/>
  <c r="AW405" i="6"/>
  <c r="AW425" i="6"/>
  <c r="AW445" i="6"/>
  <c r="AW460" i="6"/>
  <c r="AW474" i="6"/>
  <c r="AW478" i="6"/>
  <c r="AW480" i="6"/>
  <c r="AW488" i="6"/>
  <c r="AW496" i="6"/>
  <c r="AW504" i="6"/>
  <c r="AW512" i="6"/>
  <c r="AW492" i="6"/>
  <c r="AW500" i="6"/>
  <c r="AW358" i="6"/>
  <c r="AW287" i="6"/>
  <c r="AW428" i="6"/>
  <c r="AW450" i="6"/>
  <c r="AW463" i="6"/>
  <c r="AW477" i="6"/>
  <c r="AW485" i="6"/>
  <c r="AW493" i="6"/>
  <c r="AW501" i="6"/>
  <c r="AW509" i="6"/>
  <c r="AW264" i="6"/>
  <c r="AW371" i="6"/>
  <c r="AW417" i="6"/>
  <c r="AW431" i="6"/>
  <c r="AW439" i="6"/>
  <c r="AW455" i="6"/>
  <c r="AW466" i="6"/>
  <c r="AW470" i="6"/>
  <c r="AW482" i="6"/>
  <c r="AW490" i="6"/>
  <c r="AW498" i="6"/>
  <c r="AW506" i="6"/>
  <c r="AW514" i="6"/>
  <c r="AW382" i="6"/>
  <c r="AW377" i="6"/>
  <c r="AW407" i="6"/>
  <c r="AW420" i="6"/>
  <c r="AW444" i="6"/>
  <c r="AW469" i="6"/>
  <c r="AW473" i="6"/>
  <c r="AW487" i="6"/>
  <c r="AW495" i="6"/>
  <c r="AW503" i="6"/>
  <c r="AW511" i="6"/>
  <c r="AW410" i="6"/>
  <c r="AW437" i="6"/>
  <c r="AW453" i="6"/>
  <c r="AW462" i="6"/>
  <c r="AW476" i="6"/>
  <c r="AW484" i="6"/>
  <c r="AW508" i="6"/>
  <c r="AW516" i="6"/>
  <c r="AW499" i="6"/>
  <c r="AW502" i="6"/>
  <c r="AW505" i="6"/>
  <c r="AW491" i="6"/>
  <c r="AW494" i="6"/>
  <c r="AW497" i="6"/>
  <c r="AW396" i="6"/>
  <c r="AW442" i="6"/>
  <c r="AW515" i="6"/>
  <c r="AW513" i="6"/>
  <c r="AW483" i="6"/>
  <c r="AW486" i="6"/>
  <c r="AW489" i="6"/>
  <c r="AW458" i="6"/>
  <c r="AW452" i="6"/>
  <c r="AW465" i="6"/>
  <c r="AW436" i="6"/>
  <c r="AW409" i="6"/>
  <c r="AW481" i="6"/>
  <c r="AW471" i="6"/>
  <c r="AW479" i="6"/>
  <c r="AW461" i="6"/>
  <c r="AW468" i="6"/>
  <c r="AW447" i="6"/>
  <c r="AW385" i="6"/>
  <c r="AW507" i="6"/>
  <c r="AW510" i="6"/>
  <c r="AR271" i="6"/>
  <c r="AR268" i="6"/>
  <c r="AR265" i="6"/>
  <c r="AR267" i="6"/>
  <c r="AR272" i="6"/>
  <c r="AR274" i="6"/>
  <c r="AR277" i="6"/>
  <c r="AR270" i="6"/>
  <c r="AR281" i="6"/>
  <c r="AR275" i="6"/>
  <c r="AR286" i="6"/>
  <c r="AR285" i="6"/>
  <c r="AR287" i="6"/>
  <c r="AR266" i="6"/>
  <c r="AR269" i="6"/>
  <c r="AR278" i="6"/>
  <c r="AR276" i="6"/>
  <c r="AR289" i="6"/>
  <c r="AR297" i="6"/>
  <c r="AR305" i="6"/>
  <c r="AR280" i="6"/>
  <c r="AR284" i="6"/>
  <c r="AR294" i="6"/>
  <c r="AR302" i="6"/>
  <c r="AR273" i="6"/>
  <c r="AR283" i="6"/>
  <c r="AR293" i="6"/>
  <c r="AR296" i="6"/>
  <c r="AR299" i="6"/>
  <c r="AR303" i="6"/>
  <c r="AR311" i="6"/>
  <c r="AR288" i="6"/>
  <c r="AR292" i="6"/>
  <c r="AR308" i="6"/>
  <c r="AR295" i="6"/>
  <c r="AR310" i="6"/>
  <c r="AR298" i="6"/>
  <c r="AR301" i="6"/>
  <c r="AR306" i="6"/>
  <c r="AR320" i="6"/>
  <c r="AR282" i="6"/>
  <c r="AR290" i="6"/>
  <c r="AR309" i="6"/>
  <c r="AR317" i="6"/>
  <c r="AR291" i="6"/>
  <c r="AR315" i="6"/>
  <c r="AR326" i="6"/>
  <c r="AR334" i="6"/>
  <c r="AR314" i="6"/>
  <c r="AR318" i="6"/>
  <c r="AR331" i="6"/>
  <c r="AR300" i="6"/>
  <c r="AR304" i="6"/>
  <c r="AR321" i="6"/>
  <c r="AR328" i="6"/>
  <c r="AR336" i="6"/>
  <c r="AR344" i="6"/>
  <c r="AR324" i="6"/>
  <c r="AR325" i="6"/>
  <c r="AR333" i="6"/>
  <c r="AR341" i="6"/>
  <c r="AR349" i="6"/>
  <c r="AR338" i="6"/>
  <c r="AR342" i="6"/>
  <c r="AR350" i="6"/>
  <c r="AR358" i="6"/>
  <c r="AR327" i="6"/>
  <c r="AR345" i="6"/>
  <c r="AR355" i="6"/>
  <c r="AR363" i="6"/>
  <c r="AR279" i="6"/>
  <c r="AR323" i="6"/>
  <c r="AR332" i="6"/>
  <c r="AR348" i="6"/>
  <c r="AR352" i="6"/>
  <c r="AR360" i="6"/>
  <c r="AR368" i="6"/>
  <c r="AR376" i="6"/>
  <c r="AR312" i="6"/>
  <c r="AR337" i="6"/>
  <c r="AR357" i="6"/>
  <c r="AR365" i="6"/>
  <c r="AR373" i="6"/>
  <c r="AR381" i="6"/>
  <c r="AR340" i="6"/>
  <c r="AR354" i="6"/>
  <c r="AR375" i="6"/>
  <c r="AR379" i="6"/>
  <c r="AR383" i="6"/>
  <c r="AR391" i="6"/>
  <c r="AR399" i="6"/>
  <c r="AR407" i="6"/>
  <c r="AR316" i="6"/>
  <c r="AR335" i="6"/>
  <c r="AR343" i="6"/>
  <c r="AR359" i="6"/>
  <c r="AR378" i="6"/>
  <c r="AR382" i="6"/>
  <c r="AR388" i="6"/>
  <c r="AR396" i="6"/>
  <c r="AR346" i="6"/>
  <c r="AR364" i="6"/>
  <c r="AR367" i="6"/>
  <c r="AR371" i="6"/>
  <c r="AR385" i="6"/>
  <c r="AR393" i="6"/>
  <c r="AR307" i="6"/>
  <c r="AR322" i="6"/>
  <c r="AR353" i="6"/>
  <c r="AR370" i="6"/>
  <c r="AR374" i="6"/>
  <c r="AR390" i="6"/>
  <c r="AR398" i="6"/>
  <c r="AR330" i="6"/>
  <c r="AR362" i="6"/>
  <c r="AR387" i="6"/>
  <c r="AR405" i="6"/>
  <c r="AR415" i="6"/>
  <c r="AR351" i="6"/>
  <c r="AR392" i="6"/>
  <c r="AR406" i="6"/>
  <c r="AR412" i="6"/>
  <c r="AR319" i="6"/>
  <c r="AR397" i="6"/>
  <c r="AR402" i="6"/>
  <c r="AR409" i="6"/>
  <c r="AR417" i="6"/>
  <c r="AR425" i="6"/>
  <c r="AR433" i="6"/>
  <c r="AR339" i="6"/>
  <c r="AR361" i="6"/>
  <c r="AR386" i="6"/>
  <c r="AR414" i="6"/>
  <c r="AR422" i="6"/>
  <c r="AR430" i="6"/>
  <c r="AR313" i="6"/>
  <c r="AR411" i="6"/>
  <c r="AR418" i="6"/>
  <c r="AR432" i="6"/>
  <c r="AR442" i="6"/>
  <c r="AR450" i="6"/>
  <c r="AR458" i="6"/>
  <c r="AR380" i="6"/>
  <c r="AR416" i="6"/>
  <c r="AR421" i="6"/>
  <c r="AR439" i="6"/>
  <c r="AR447" i="6"/>
  <c r="AR455" i="6"/>
  <c r="AR369" i="6"/>
  <c r="AR389" i="6"/>
  <c r="AR400" i="6"/>
  <c r="AR404" i="6"/>
  <c r="AR424" i="6"/>
  <c r="AR428" i="6"/>
  <c r="AR436" i="6"/>
  <c r="AR444" i="6"/>
  <c r="AR452" i="6"/>
  <c r="AR460" i="6"/>
  <c r="AR468" i="6"/>
  <c r="AR476" i="6"/>
  <c r="AR403" i="6"/>
  <c r="AR410" i="6"/>
  <c r="AR427" i="6"/>
  <c r="AR431" i="6"/>
  <c r="AR441" i="6"/>
  <c r="AR449" i="6"/>
  <c r="AR457" i="6"/>
  <c r="AR465" i="6"/>
  <c r="AR473" i="6"/>
  <c r="AR377" i="6"/>
  <c r="AR395" i="6"/>
  <c r="AR420" i="6"/>
  <c r="AR434" i="6"/>
  <c r="AR438" i="6"/>
  <c r="AR454" i="6"/>
  <c r="AR469" i="6"/>
  <c r="AR481" i="6"/>
  <c r="AR489" i="6"/>
  <c r="AR497" i="6"/>
  <c r="AR505" i="6"/>
  <c r="AR513" i="6"/>
  <c r="AR501" i="6"/>
  <c r="AR347" i="6"/>
  <c r="AR366" i="6"/>
  <c r="AR384" i="6"/>
  <c r="AR423" i="6"/>
  <c r="AR443" i="6"/>
  <c r="AR472" i="6"/>
  <c r="AR486" i="6"/>
  <c r="AR494" i="6"/>
  <c r="AR502" i="6"/>
  <c r="AR510" i="6"/>
  <c r="AR509" i="6"/>
  <c r="AR356" i="6"/>
  <c r="AR413" i="6"/>
  <c r="AR426" i="6"/>
  <c r="AR448" i="6"/>
  <c r="AR461" i="6"/>
  <c r="AR475" i="6"/>
  <c r="AR479" i="6"/>
  <c r="AR483" i="6"/>
  <c r="AR491" i="6"/>
  <c r="AR499" i="6"/>
  <c r="AR507" i="6"/>
  <c r="AR515" i="6"/>
  <c r="AR401" i="6"/>
  <c r="AR446" i="6"/>
  <c r="AR467" i="6"/>
  <c r="AR485" i="6"/>
  <c r="AR264" i="6"/>
  <c r="AR429" i="6"/>
  <c r="AR437" i="6"/>
  <c r="AR453" i="6"/>
  <c r="AR464" i="6"/>
  <c r="AR478" i="6"/>
  <c r="AR480" i="6"/>
  <c r="AR488" i="6"/>
  <c r="AR496" i="6"/>
  <c r="AR504" i="6"/>
  <c r="AR512" i="6"/>
  <c r="AR471" i="6"/>
  <c r="AR493" i="6"/>
  <c r="AR408" i="6"/>
  <c r="AR459" i="6"/>
  <c r="AR466" i="6"/>
  <c r="AR474" i="6"/>
  <c r="AR508" i="6"/>
  <c r="AR511" i="6"/>
  <c r="AR514" i="6"/>
  <c r="AR470" i="6"/>
  <c r="AR516" i="6"/>
  <c r="AR372" i="6"/>
  <c r="AR394" i="6"/>
  <c r="AR463" i="6"/>
  <c r="AR500" i="6"/>
  <c r="AR503" i="6"/>
  <c r="AR506" i="6"/>
  <c r="AR462" i="6"/>
  <c r="AR451" i="6"/>
  <c r="AR456" i="6"/>
  <c r="AR492" i="6"/>
  <c r="AR495" i="6"/>
  <c r="AR498" i="6"/>
  <c r="AR482" i="6"/>
  <c r="AR419" i="6"/>
  <c r="AR329" i="6"/>
  <c r="AR435" i="6"/>
  <c r="AR440" i="6"/>
  <c r="AR445" i="6"/>
  <c r="AR484" i="6"/>
  <c r="AR487" i="6"/>
  <c r="AR490" i="6"/>
  <c r="AR477" i="6"/>
  <c r="AN267" i="6"/>
  <c r="AN269" i="6"/>
  <c r="AN268" i="6"/>
  <c r="AN265" i="6"/>
  <c r="AN273" i="6"/>
  <c r="AN276" i="6"/>
  <c r="AN272" i="6"/>
  <c r="AN270" i="6"/>
  <c r="AN266" i="6"/>
  <c r="AN271" i="6"/>
  <c r="AN285" i="6"/>
  <c r="AN277" i="6"/>
  <c r="AN282" i="6"/>
  <c r="AN280" i="6"/>
  <c r="AN279" i="6"/>
  <c r="AN283" i="6"/>
  <c r="AN293" i="6"/>
  <c r="AN301" i="6"/>
  <c r="AN275" i="6"/>
  <c r="AN286" i="6"/>
  <c r="AN290" i="6"/>
  <c r="AN298" i="6"/>
  <c r="AN287" i="6"/>
  <c r="AN295" i="6"/>
  <c r="AN274" i="6"/>
  <c r="AN288" i="6"/>
  <c r="AN281" i="6"/>
  <c r="AN291" i="6"/>
  <c r="AN305" i="6"/>
  <c r="AN307" i="6"/>
  <c r="AN278" i="6"/>
  <c r="AN284" i="6"/>
  <c r="AN294" i="6"/>
  <c r="AN312" i="6"/>
  <c r="AN299" i="6"/>
  <c r="AN300" i="6"/>
  <c r="AN308" i="6"/>
  <c r="AN316" i="6"/>
  <c r="AN324" i="6"/>
  <c r="AN296" i="6"/>
  <c r="AN311" i="6"/>
  <c r="AN313" i="6"/>
  <c r="AN321" i="6"/>
  <c r="AN297" i="6"/>
  <c r="AN304" i="6"/>
  <c r="AN317" i="6"/>
  <c r="AN330" i="6"/>
  <c r="AN320" i="6"/>
  <c r="AN327" i="6"/>
  <c r="AN335" i="6"/>
  <c r="AN306" i="6"/>
  <c r="AN323" i="6"/>
  <c r="AN332" i="6"/>
  <c r="AN340" i="6"/>
  <c r="AN348" i="6"/>
  <c r="AN292" i="6"/>
  <c r="AN309" i="6"/>
  <c r="AN329" i="6"/>
  <c r="AN337" i="6"/>
  <c r="AN345" i="6"/>
  <c r="AN315" i="6"/>
  <c r="AN326" i="6"/>
  <c r="AN344" i="6"/>
  <c r="AN354" i="6"/>
  <c r="AN362" i="6"/>
  <c r="AN318" i="6"/>
  <c r="AN331" i="6"/>
  <c r="AN347" i="6"/>
  <c r="AN351" i="6"/>
  <c r="AN359" i="6"/>
  <c r="AN310" i="6"/>
  <c r="AN336" i="6"/>
  <c r="AN356" i="6"/>
  <c r="AN364" i="6"/>
  <c r="AN372" i="6"/>
  <c r="AN380" i="6"/>
  <c r="AN303" i="6"/>
  <c r="AN325" i="6"/>
  <c r="AN339" i="6"/>
  <c r="AN343" i="6"/>
  <c r="AN353" i="6"/>
  <c r="AN361" i="6"/>
  <c r="AN369" i="6"/>
  <c r="AN377" i="6"/>
  <c r="AN334" i="6"/>
  <c r="AN346" i="6"/>
  <c r="AN358" i="6"/>
  <c r="AN367" i="6"/>
  <c r="AN381" i="6"/>
  <c r="AN387" i="6"/>
  <c r="AN395" i="6"/>
  <c r="AN403" i="6"/>
  <c r="AN322" i="6"/>
  <c r="AN349" i="6"/>
  <c r="AN363" i="6"/>
  <c r="AN366" i="6"/>
  <c r="AN370" i="6"/>
  <c r="AN384" i="6"/>
  <c r="AN392" i="6"/>
  <c r="AN338" i="6"/>
  <c r="AN352" i="6"/>
  <c r="AN373" i="6"/>
  <c r="AN389" i="6"/>
  <c r="AN397" i="6"/>
  <c r="AN333" i="6"/>
  <c r="AN341" i="6"/>
  <c r="AN357" i="6"/>
  <c r="AN376" i="6"/>
  <c r="AN386" i="6"/>
  <c r="AN394" i="6"/>
  <c r="AN402" i="6"/>
  <c r="AN302" i="6"/>
  <c r="AN319" i="6"/>
  <c r="AN350" i="6"/>
  <c r="AN365" i="6"/>
  <c r="AN379" i="6"/>
  <c r="AN391" i="6"/>
  <c r="AN398" i="6"/>
  <c r="AN411" i="6"/>
  <c r="AN368" i="6"/>
  <c r="AN382" i="6"/>
  <c r="AN383" i="6"/>
  <c r="AN396" i="6"/>
  <c r="AN401" i="6"/>
  <c r="AN408" i="6"/>
  <c r="AN289" i="6"/>
  <c r="AN328" i="6"/>
  <c r="AN360" i="6"/>
  <c r="AN371" i="6"/>
  <c r="AN385" i="6"/>
  <c r="AN413" i="6"/>
  <c r="AN421" i="6"/>
  <c r="AN429" i="6"/>
  <c r="AN374" i="6"/>
  <c r="AN390" i="6"/>
  <c r="AN400" i="6"/>
  <c r="AN404" i="6"/>
  <c r="AN410" i="6"/>
  <c r="AN418" i="6"/>
  <c r="AN426" i="6"/>
  <c r="AN434" i="6"/>
  <c r="AN342" i="6"/>
  <c r="AN405" i="6"/>
  <c r="AN420" i="6"/>
  <c r="AN424" i="6"/>
  <c r="AN438" i="6"/>
  <c r="AN446" i="6"/>
  <c r="AN454" i="6"/>
  <c r="AN355" i="6"/>
  <c r="AN388" i="6"/>
  <c r="AN423" i="6"/>
  <c r="AN427" i="6"/>
  <c r="AN435" i="6"/>
  <c r="AN443" i="6"/>
  <c r="AN451" i="6"/>
  <c r="AN375" i="6"/>
  <c r="AN406" i="6"/>
  <c r="AN409" i="6"/>
  <c r="AN430" i="6"/>
  <c r="AN440" i="6"/>
  <c r="AN448" i="6"/>
  <c r="AN456" i="6"/>
  <c r="AN464" i="6"/>
  <c r="AN472" i="6"/>
  <c r="AN407" i="6"/>
  <c r="AN414" i="6"/>
  <c r="AN419" i="6"/>
  <c r="AN433" i="6"/>
  <c r="AN437" i="6"/>
  <c r="AN445" i="6"/>
  <c r="AN453" i="6"/>
  <c r="AN461" i="6"/>
  <c r="AN469" i="6"/>
  <c r="AN477" i="6"/>
  <c r="AN415" i="6"/>
  <c r="AN442" i="6"/>
  <c r="AN458" i="6"/>
  <c r="AN471" i="6"/>
  <c r="AN475" i="6"/>
  <c r="AN485" i="6"/>
  <c r="AN493" i="6"/>
  <c r="AN501" i="6"/>
  <c r="AN509" i="6"/>
  <c r="AN264" i="6"/>
  <c r="AN489" i="6"/>
  <c r="AN497" i="6"/>
  <c r="AN399" i="6"/>
  <c r="AN412" i="6"/>
  <c r="AN447" i="6"/>
  <c r="AN460" i="6"/>
  <c r="AN474" i="6"/>
  <c r="AN478" i="6"/>
  <c r="AN482" i="6"/>
  <c r="AN490" i="6"/>
  <c r="AN498" i="6"/>
  <c r="AN506" i="6"/>
  <c r="AN514" i="6"/>
  <c r="AN393" i="6"/>
  <c r="AN432" i="6"/>
  <c r="AN436" i="6"/>
  <c r="AN452" i="6"/>
  <c r="AN463" i="6"/>
  <c r="AN467" i="6"/>
  <c r="AN487" i="6"/>
  <c r="AN495" i="6"/>
  <c r="AN503" i="6"/>
  <c r="AN511" i="6"/>
  <c r="AN459" i="6"/>
  <c r="AN473" i="6"/>
  <c r="AN505" i="6"/>
  <c r="AN513" i="6"/>
  <c r="AN314" i="6"/>
  <c r="AN378" i="6"/>
  <c r="AN441" i="6"/>
  <c r="AN457" i="6"/>
  <c r="AN466" i="6"/>
  <c r="AN470" i="6"/>
  <c r="AN484" i="6"/>
  <c r="AN492" i="6"/>
  <c r="AN500" i="6"/>
  <c r="AN508" i="6"/>
  <c r="AN516" i="6"/>
  <c r="AN422" i="6"/>
  <c r="AN450" i="6"/>
  <c r="AN481" i="6"/>
  <c r="AN439" i="6"/>
  <c r="AN444" i="6"/>
  <c r="AN449" i="6"/>
  <c r="AN455" i="6"/>
  <c r="AN416" i="6"/>
  <c r="AN512" i="6"/>
  <c r="AN515" i="6"/>
  <c r="AN428" i="6"/>
  <c r="AN491" i="6"/>
  <c r="AN486" i="6"/>
  <c r="AN479" i="6"/>
  <c r="AN465" i="6"/>
  <c r="AN496" i="6"/>
  <c r="AN499" i="6"/>
  <c r="AN417" i="6"/>
  <c r="AN462" i="6"/>
  <c r="AN494" i="6"/>
  <c r="AN483" i="6"/>
  <c r="AN468" i="6"/>
  <c r="AN476" i="6"/>
  <c r="AN504" i="6"/>
  <c r="AN507" i="6"/>
  <c r="AN510" i="6"/>
  <c r="AN425" i="6"/>
  <c r="AN431" i="6"/>
  <c r="AN502" i="6"/>
  <c r="AN488" i="6"/>
  <c r="AN480" i="6"/>
  <c r="CU268" i="6"/>
  <c r="CU265" i="6"/>
  <c r="CU270" i="6"/>
  <c r="CU272" i="6"/>
  <c r="CU266" i="6"/>
  <c r="CU267" i="6"/>
  <c r="CU273" i="6"/>
  <c r="CU277" i="6"/>
  <c r="CU269" i="6"/>
  <c r="CU271" i="6"/>
  <c r="CU274" i="6"/>
  <c r="CU278" i="6"/>
  <c r="CU283" i="6"/>
  <c r="CU282" i="6"/>
  <c r="CU276" i="6"/>
  <c r="CU285" i="6"/>
  <c r="CU286" i="6"/>
  <c r="CU294" i="6"/>
  <c r="CU302" i="6"/>
  <c r="CU281" i="6"/>
  <c r="CU291" i="6"/>
  <c r="CU299" i="6"/>
  <c r="CU275" i="6"/>
  <c r="CU284" i="6"/>
  <c r="CU290" i="6"/>
  <c r="CU293" i="6"/>
  <c r="CU297" i="6"/>
  <c r="CU296" i="6"/>
  <c r="CU300" i="6"/>
  <c r="CU308" i="6"/>
  <c r="CU279" i="6"/>
  <c r="CU289" i="6"/>
  <c r="CU303" i="6"/>
  <c r="CU305" i="6"/>
  <c r="CU280" i="6"/>
  <c r="CU288" i="6"/>
  <c r="CU301" i="6"/>
  <c r="CU307" i="6"/>
  <c r="CU298" i="6"/>
  <c r="CU317" i="6"/>
  <c r="CU306" i="6"/>
  <c r="CU314" i="6"/>
  <c r="CU322" i="6"/>
  <c r="CU309" i="6"/>
  <c r="CU312" i="6"/>
  <c r="CU331" i="6"/>
  <c r="CU295" i="6"/>
  <c r="CU304" i="6"/>
  <c r="CU315" i="6"/>
  <c r="CU328" i="6"/>
  <c r="CU318" i="6"/>
  <c r="CU325" i="6"/>
  <c r="CU333" i="6"/>
  <c r="CU341" i="6"/>
  <c r="CU349" i="6"/>
  <c r="CU311" i="6"/>
  <c r="CU321" i="6"/>
  <c r="CU330" i="6"/>
  <c r="CU338" i="6"/>
  <c r="CU346" i="6"/>
  <c r="CU335" i="6"/>
  <c r="CU339" i="6"/>
  <c r="CU355" i="6"/>
  <c r="CU363" i="6"/>
  <c r="CU313" i="6"/>
  <c r="CU324" i="6"/>
  <c r="CU342" i="6"/>
  <c r="CU352" i="6"/>
  <c r="CU360" i="6"/>
  <c r="CU316" i="6"/>
  <c r="CU329" i="6"/>
  <c r="CU345" i="6"/>
  <c r="CU357" i="6"/>
  <c r="CU365" i="6"/>
  <c r="CU373" i="6"/>
  <c r="CU381" i="6"/>
  <c r="CU287" i="6"/>
  <c r="CU319" i="6"/>
  <c r="CU334" i="6"/>
  <c r="CU348" i="6"/>
  <c r="CU354" i="6"/>
  <c r="CU362" i="6"/>
  <c r="CU370" i="6"/>
  <c r="CU378" i="6"/>
  <c r="CU351" i="6"/>
  <c r="CU372" i="6"/>
  <c r="CU376" i="6"/>
  <c r="CU383" i="6"/>
  <c r="CU388" i="6"/>
  <c r="CU396" i="6"/>
  <c r="CU404" i="6"/>
  <c r="CU332" i="6"/>
  <c r="CU344" i="6"/>
  <c r="CU356" i="6"/>
  <c r="CU375" i="6"/>
  <c r="CU379" i="6"/>
  <c r="CU385" i="6"/>
  <c r="CU393" i="6"/>
  <c r="CU310" i="6"/>
  <c r="CU320" i="6"/>
  <c r="CU347" i="6"/>
  <c r="CU361" i="6"/>
  <c r="CU364" i="6"/>
  <c r="CU368" i="6"/>
  <c r="CU390" i="6"/>
  <c r="CU336" i="6"/>
  <c r="CU350" i="6"/>
  <c r="CU367" i="6"/>
  <c r="CU371" i="6"/>
  <c r="CU387" i="6"/>
  <c r="CU395" i="6"/>
  <c r="CU292" i="6"/>
  <c r="CU337" i="6"/>
  <c r="CU359" i="6"/>
  <c r="CU374" i="6"/>
  <c r="CU384" i="6"/>
  <c r="CU405" i="6"/>
  <c r="CU412" i="6"/>
  <c r="CU377" i="6"/>
  <c r="CU389" i="6"/>
  <c r="CU406" i="6"/>
  <c r="CU409" i="6"/>
  <c r="CU343" i="6"/>
  <c r="CU366" i="6"/>
  <c r="CU380" i="6"/>
  <c r="CU394" i="6"/>
  <c r="CU399" i="6"/>
  <c r="CU414" i="6"/>
  <c r="CU422" i="6"/>
  <c r="CU430" i="6"/>
  <c r="CU323" i="6"/>
  <c r="CU326" i="6"/>
  <c r="CU358" i="6"/>
  <c r="CU369" i="6"/>
  <c r="CU382" i="6"/>
  <c r="CU402" i="6"/>
  <c r="CU407" i="6"/>
  <c r="CU411" i="6"/>
  <c r="CU419" i="6"/>
  <c r="CU427" i="6"/>
  <c r="CU398" i="6"/>
  <c r="CU408" i="6"/>
  <c r="CU429" i="6"/>
  <c r="CU433" i="6"/>
  <c r="CU439" i="6"/>
  <c r="CU447" i="6"/>
  <c r="CU455" i="6"/>
  <c r="CU401" i="6"/>
  <c r="CU403" i="6"/>
  <c r="CU413" i="6"/>
  <c r="CU418" i="6"/>
  <c r="CU432" i="6"/>
  <c r="CU436" i="6"/>
  <c r="CU444" i="6"/>
  <c r="CU452" i="6"/>
  <c r="CU353" i="6"/>
  <c r="CU386" i="6"/>
  <c r="CU415" i="6"/>
  <c r="CU421" i="6"/>
  <c r="CU425" i="6"/>
  <c r="CU441" i="6"/>
  <c r="CU449" i="6"/>
  <c r="CU457" i="6"/>
  <c r="CU465" i="6"/>
  <c r="CU473" i="6"/>
  <c r="CU424" i="6"/>
  <c r="CU428" i="6"/>
  <c r="CU438" i="6"/>
  <c r="CU446" i="6"/>
  <c r="CU454" i="6"/>
  <c r="CU462" i="6"/>
  <c r="CU470" i="6"/>
  <c r="CU478" i="6"/>
  <c r="CU327" i="6"/>
  <c r="CU435" i="6"/>
  <c r="CU451" i="6"/>
  <c r="CU466" i="6"/>
  <c r="CU486" i="6"/>
  <c r="CU494" i="6"/>
  <c r="CU502" i="6"/>
  <c r="CU510" i="6"/>
  <c r="CU498" i="6"/>
  <c r="CU506" i="6"/>
  <c r="CU514" i="6"/>
  <c r="CU416" i="6"/>
  <c r="CU440" i="6"/>
  <c r="CU456" i="6"/>
  <c r="CU469" i="6"/>
  <c r="CU483" i="6"/>
  <c r="CU491" i="6"/>
  <c r="CU499" i="6"/>
  <c r="CU507" i="6"/>
  <c r="CU515" i="6"/>
  <c r="CU340" i="6"/>
  <c r="CU397" i="6"/>
  <c r="CU410" i="6"/>
  <c r="CU445" i="6"/>
  <c r="CU472" i="6"/>
  <c r="CU476" i="6"/>
  <c r="CU480" i="6"/>
  <c r="CU488" i="6"/>
  <c r="CU496" i="6"/>
  <c r="CU504" i="6"/>
  <c r="CU512" i="6"/>
  <c r="CU417" i="6"/>
  <c r="CU468" i="6"/>
  <c r="CU482" i="6"/>
  <c r="CU391" i="6"/>
  <c r="CU434" i="6"/>
  <c r="CU450" i="6"/>
  <c r="CU461" i="6"/>
  <c r="CU475" i="6"/>
  <c r="CU479" i="6"/>
  <c r="CU485" i="6"/>
  <c r="CU493" i="6"/>
  <c r="CU501" i="6"/>
  <c r="CU509" i="6"/>
  <c r="CU264" i="6"/>
  <c r="CU392" i="6"/>
  <c r="CU431" i="6"/>
  <c r="CU443" i="6"/>
  <c r="CU464" i="6"/>
  <c r="CU490" i="6"/>
  <c r="CU448" i="6"/>
  <c r="CU453" i="6"/>
  <c r="CU458" i="6"/>
  <c r="CU459" i="6"/>
  <c r="CU467" i="6"/>
  <c r="CU474" i="6"/>
  <c r="CU505" i="6"/>
  <c r="CU511" i="6"/>
  <c r="CU495" i="6"/>
  <c r="CU477" i="6"/>
  <c r="CU484" i="6"/>
  <c r="CU400" i="6"/>
  <c r="CU437" i="6"/>
  <c r="CU442" i="6"/>
  <c r="CU463" i="6"/>
  <c r="CU471" i="6"/>
  <c r="CU497" i="6"/>
  <c r="CU460" i="6"/>
  <c r="CU508" i="6"/>
  <c r="CU503" i="6"/>
  <c r="CU492" i="6"/>
  <c r="CU487" i="6"/>
  <c r="CU420" i="6"/>
  <c r="CU423" i="6"/>
  <c r="CU426" i="6"/>
  <c r="CU513" i="6"/>
  <c r="CU516" i="6"/>
  <c r="CU500" i="6"/>
  <c r="CU489" i="6"/>
  <c r="CU481" i="6"/>
  <c r="BN265" i="6"/>
  <c r="BN270" i="6"/>
  <c r="BN267" i="6"/>
  <c r="BN268" i="6"/>
  <c r="BN274" i="6"/>
  <c r="BN269" i="6"/>
  <c r="BN266" i="6"/>
  <c r="BN283" i="6"/>
  <c r="BN271" i="6"/>
  <c r="BN275" i="6"/>
  <c r="BN280" i="6"/>
  <c r="BN285" i="6"/>
  <c r="BN278" i="6"/>
  <c r="BN272" i="6"/>
  <c r="BN281" i="6"/>
  <c r="BN291" i="6"/>
  <c r="BN299" i="6"/>
  <c r="BN273" i="6"/>
  <c r="BN277" i="6"/>
  <c r="BN284" i="6"/>
  <c r="BN288" i="6"/>
  <c r="BN296" i="6"/>
  <c r="BN304" i="6"/>
  <c r="BN293" i="6"/>
  <c r="BN297" i="6"/>
  <c r="BN276" i="6"/>
  <c r="BN289" i="6"/>
  <c r="BN303" i="6"/>
  <c r="BN286" i="6"/>
  <c r="BN292" i="6"/>
  <c r="BN310" i="6"/>
  <c r="BN295" i="6"/>
  <c r="BN298" i="6"/>
  <c r="BN279" i="6"/>
  <c r="BN287" i="6"/>
  <c r="BN300" i="6"/>
  <c r="BN302" i="6"/>
  <c r="BN306" i="6"/>
  <c r="BN314" i="6"/>
  <c r="BN322" i="6"/>
  <c r="BN290" i="6"/>
  <c r="BN309" i="6"/>
  <c r="BN319" i="6"/>
  <c r="BN311" i="6"/>
  <c r="BN315" i="6"/>
  <c r="BN328" i="6"/>
  <c r="BN336" i="6"/>
  <c r="BN301" i="6"/>
  <c r="BN318" i="6"/>
  <c r="BN325" i="6"/>
  <c r="BN333" i="6"/>
  <c r="BN308" i="6"/>
  <c r="BN321" i="6"/>
  <c r="BN330" i="6"/>
  <c r="BN338" i="6"/>
  <c r="BN346" i="6"/>
  <c r="BN282" i="6"/>
  <c r="BN294" i="6"/>
  <c r="BN305" i="6"/>
  <c r="BN324" i="6"/>
  <c r="BN327" i="6"/>
  <c r="BN335" i="6"/>
  <c r="BN343" i="6"/>
  <c r="BN317" i="6"/>
  <c r="BN342" i="6"/>
  <c r="BN352" i="6"/>
  <c r="BN360" i="6"/>
  <c r="BN320" i="6"/>
  <c r="BN329" i="6"/>
  <c r="BN345" i="6"/>
  <c r="BN349" i="6"/>
  <c r="BN357" i="6"/>
  <c r="BN323" i="6"/>
  <c r="BN334" i="6"/>
  <c r="BN348" i="6"/>
  <c r="BN354" i="6"/>
  <c r="BN362" i="6"/>
  <c r="BN370" i="6"/>
  <c r="BN378" i="6"/>
  <c r="BN307" i="6"/>
  <c r="BN312" i="6"/>
  <c r="BN337" i="6"/>
  <c r="BN341" i="6"/>
  <c r="BN351" i="6"/>
  <c r="BN359" i="6"/>
  <c r="BN367" i="6"/>
  <c r="BN375" i="6"/>
  <c r="BN383" i="6"/>
  <c r="BN313" i="6"/>
  <c r="BN332" i="6"/>
  <c r="BN340" i="6"/>
  <c r="BN356" i="6"/>
  <c r="BN365" i="6"/>
  <c r="BN379" i="6"/>
  <c r="BN385" i="6"/>
  <c r="BN393" i="6"/>
  <c r="BN401" i="6"/>
  <c r="BN361" i="6"/>
  <c r="BN364" i="6"/>
  <c r="BN368" i="6"/>
  <c r="BN390" i="6"/>
  <c r="BN350" i="6"/>
  <c r="BN371" i="6"/>
  <c r="BN382" i="6"/>
  <c r="BN387" i="6"/>
  <c r="BN395" i="6"/>
  <c r="BN331" i="6"/>
  <c r="BN355" i="6"/>
  <c r="BN374" i="6"/>
  <c r="BN384" i="6"/>
  <c r="BN392" i="6"/>
  <c r="BN400" i="6"/>
  <c r="BN381" i="6"/>
  <c r="BN389" i="6"/>
  <c r="BN403" i="6"/>
  <c r="BN409" i="6"/>
  <c r="BN316" i="6"/>
  <c r="BN347" i="6"/>
  <c r="BN394" i="6"/>
  <c r="BN399" i="6"/>
  <c r="BN414" i="6"/>
  <c r="BN358" i="6"/>
  <c r="BN373" i="6"/>
  <c r="BN402" i="6"/>
  <c r="BN404" i="6"/>
  <c r="BN411" i="6"/>
  <c r="BN419" i="6"/>
  <c r="BN427" i="6"/>
  <c r="BN376" i="6"/>
  <c r="BN388" i="6"/>
  <c r="BN398" i="6"/>
  <c r="BN405" i="6"/>
  <c r="BN408" i="6"/>
  <c r="BN416" i="6"/>
  <c r="BN424" i="6"/>
  <c r="BN432" i="6"/>
  <c r="BN377" i="6"/>
  <c r="BN413" i="6"/>
  <c r="BN418" i="6"/>
  <c r="BN422" i="6"/>
  <c r="BN436" i="6"/>
  <c r="BN444" i="6"/>
  <c r="BN452" i="6"/>
  <c r="BN366" i="6"/>
  <c r="BN386" i="6"/>
  <c r="BN397" i="6"/>
  <c r="BN421" i="6"/>
  <c r="BN425" i="6"/>
  <c r="BN441" i="6"/>
  <c r="BN449" i="6"/>
  <c r="BN457" i="6"/>
  <c r="BN428" i="6"/>
  <c r="BN438" i="6"/>
  <c r="BN446" i="6"/>
  <c r="BN454" i="6"/>
  <c r="BN462" i="6"/>
  <c r="BN470" i="6"/>
  <c r="BN478" i="6"/>
  <c r="BN339" i="6"/>
  <c r="BN363" i="6"/>
  <c r="BN372" i="6"/>
  <c r="BN396" i="6"/>
  <c r="BN412" i="6"/>
  <c r="BN417" i="6"/>
  <c r="BN431" i="6"/>
  <c r="BN435" i="6"/>
  <c r="BN443" i="6"/>
  <c r="BN451" i="6"/>
  <c r="BN459" i="6"/>
  <c r="BN467" i="6"/>
  <c r="BN475" i="6"/>
  <c r="BN406" i="6"/>
  <c r="BN420" i="6"/>
  <c r="BN440" i="6"/>
  <c r="BN456" i="6"/>
  <c r="BN469" i="6"/>
  <c r="BN473" i="6"/>
  <c r="BN483" i="6"/>
  <c r="BN491" i="6"/>
  <c r="BN499" i="6"/>
  <c r="BN507" i="6"/>
  <c r="BN515" i="6"/>
  <c r="BN495" i="6"/>
  <c r="BN353" i="6"/>
  <c r="BN410" i="6"/>
  <c r="BN415" i="6"/>
  <c r="BN423" i="6"/>
  <c r="BN445" i="6"/>
  <c r="BN472" i="6"/>
  <c r="BN476" i="6"/>
  <c r="BN480" i="6"/>
  <c r="BN488" i="6"/>
  <c r="BN496" i="6"/>
  <c r="BN504" i="6"/>
  <c r="BN512" i="6"/>
  <c r="BN487" i="6"/>
  <c r="BN426" i="6"/>
  <c r="BN450" i="6"/>
  <c r="BN461" i="6"/>
  <c r="BN465" i="6"/>
  <c r="BN479" i="6"/>
  <c r="BN485" i="6"/>
  <c r="BN493" i="6"/>
  <c r="BN501" i="6"/>
  <c r="BN509" i="6"/>
  <c r="BN264" i="6"/>
  <c r="BN344" i="6"/>
  <c r="BN511" i="6"/>
  <c r="BN380" i="6"/>
  <c r="BN429" i="6"/>
  <c r="BN434" i="6"/>
  <c r="BN439" i="6"/>
  <c r="BN455" i="6"/>
  <c r="BN464" i="6"/>
  <c r="BN468" i="6"/>
  <c r="BN482" i="6"/>
  <c r="BN490" i="6"/>
  <c r="BN498" i="6"/>
  <c r="BN506" i="6"/>
  <c r="BN514" i="6"/>
  <c r="BN448" i="6"/>
  <c r="BN471" i="6"/>
  <c r="BN503" i="6"/>
  <c r="BN391" i="6"/>
  <c r="BN407" i="6"/>
  <c r="BN460" i="6"/>
  <c r="BN494" i="6"/>
  <c r="BN497" i="6"/>
  <c r="BN500" i="6"/>
  <c r="BN516" i="6"/>
  <c r="BN505" i="6"/>
  <c r="BN508" i="6"/>
  <c r="BN453" i="6"/>
  <c r="BN458" i="6"/>
  <c r="BN486" i="6"/>
  <c r="BN489" i="6"/>
  <c r="BN492" i="6"/>
  <c r="BN326" i="6"/>
  <c r="BN466" i="6"/>
  <c r="BN474" i="6"/>
  <c r="BN510" i="6"/>
  <c r="BN513" i="6"/>
  <c r="BN369" i="6"/>
  <c r="BN430" i="6"/>
  <c r="BN433" i="6"/>
  <c r="BN437" i="6"/>
  <c r="BN442" i="6"/>
  <c r="BN447" i="6"/>
  <c r="BN481" i="6"/>
  <c r="BN484" i="6"/>
  <c r="BN477" i="6"/>
  <c r="BN502" i="6"/>
  <c r="BN463" i="6"/>
  <c r="BK269" i="6"/>
  <c r="BK266" i="6"/>
  <c r="BK265" i="6"/>
  <c r="BK273" i="6"/>
  <c r="BK268" i="6"/>
  <c r="BK271" i="6"/>
  <c r="BK282" i="6"/>
  <c r="BK272" i="6"/>
  <c r="BK279" i="6"/>
  <c r="BK267" i="6"/>
  <c r="BK275" i="6"/>
  <c r="BK277" i="6"/>
  <c r="BK284" i="6"/>
  <c r="BK270" i="6"/>
  <c r="BK280" i="6"/>
  <c r="BK290" i="6"/>
  <c r="BK298" i="6"/>
  <c r="BK283" i="6"/>
  <c r="BK287" i="6"/>
  <c r="BK295" i="6"/>
  <c r="BK303" i="6"/>
  <c r="BK286" i="6"/>
  <c r="BK292" i="6"/>
  <c r="BK296" i="6"/>
  <c r="BK276" i="6"/>
  <c r="BK299" i="6"/>
  <c r="BK278" i="6"/>
  <c r="BK288" i="6"/>
  <c r="BK302" i="6"/>
  <c r="BK281" i="6"/>
  <c r="BK291" i="6"/>
  <c r="BK305" i="6"/>
  <c r="BK309" i="6"/>
  <c r="BK304" i="6"/>
  <c r="BK274" i="6"/>
  <c r="BK313" i="6"/>
  <c r="BK321" i="6"/>
  <c r="BK285" i="6"/>
  <c r="BK293" i="6"/>
  <c r="BK308" i="6"/>
  <c r="BK318" i="6"/>
  <c r="BK294" i="6"/>
  <c r="BK301" i="6"/>
  <c r="BK314" i="6"/>
  <c r="BK327" i="6"/>
  <c r="BK335" i="6"/>
  <c r="BK317" i="6"/>
  <c r="BK332" i="6"/>
  <c r="BK320" i="6"/>
  <c r="BK324" i="6"/>
  <c r="BK329" i="6"/>
  <c r="BK337" i="6"/>
  <c r="BK345" i="6"/>
  <c r="BK289" i="6"/>
  <c r="BK306" i="6"/>
  <c r="BK323" i="6"/>
  <c r="BK326" i="6"/>
  <c r="BK334" i="6"/>
  <c r="BK342" i="6"/>
  <c r="BK312" i="6"/>
  <c r="BK341" i="6"/>
  <c r="BK351" i="6"/>
  <c r="BK359" i="6"/>
  <c r="BK315" i="6"/>
  <c r="BK328" i="6"/>
  <c r="BK344" i="6"/>
  <c r="BK348" i="6"/>
  <c r="BK356" i="6"/>
  <c r="BK307" i="6"/>
  <c r="BK333" i="6"/>
  <c r="BK347" i="6"/>
  <c r="BK353" i="6"/>
  <c r="BK361" i="6"/>
  <c r="BK369" i="6"/>
  <c r="BK377" i="6"/>
  <c r="BK340" i="6"/>
  <c r="BK350" i="6"/>
  <c r="BK358" i="6"/>
  <c r="BK366" i="6"/>
  <c r="BK374" i="6"/>
  <c r="BK382" i="6"/>
  <c r="BK331" i="6"/>
  <c r="BK343" i="6"/>
  <c r="BK355" i="6"/>
  <c r="BK364" i="6"/>
  <c r="BK378" i="6"/>
  <c r="BK384" i="6"/>
  <c r="BK392" i="6"/>
  <c r="BK400" i="6"/>
  <c r="BK297" i="6"/>
  <c r="BK311" i="6"/>
  <c r="BK319" i="6"/>
  <c r="BK346" i="6"/>
  <c r="BK360" i="6"/>
  <c r="BK367" i="6"/>
  <c r="BK381" i="6"/>
  <c r="BK383" i="6"/>
  <c r="BK389" i="6"/>
  <c r="BK397" i="6"/>
  <c r="BK349" i="6"/>
  <c r="BK370" i="6"/>
  <c r="BK386" i="6"/>
  <c r="BK394" i="6"/>
  <c r="BK300" i="6"/>
  <c r="BK330" i="6"/>
  <c r="BK338" i="6"/>
  <c r="BK354" i="6"/>
  <c r="BK373" i="6"/>
  <c r="BK391" i="6"/>
  <c r="BK399" i="6"/>
  <c r="BK316" i="6"/>
  <c r="BK376" i="6"/>
  <c r="BK388" i="6"/>
  <c r="BK402" i="6"/>
  <c r="BK405" i="6"/>
  <c r="BK408" i="6"/>
  <c r="BK416" i="6"/>
  <c r="BK336" i="6"/>
  <c r="BK365" i="6"/>
  <c r="BK379" i="6"/>
  <c r="BK393" i="6"/>
  <c r="BK398" i="6"/>
  <c r="BK413" i="6"/>
  <c r="BK325" i="6"/>
  <c r="BK357" i="6"/>
  <c r="BK368" i="6"/>
  <c r="BK401" i="6"/>
  <c r="BK406" i="6"/>
  <c r="BK410" i="6"/>
  <c r="BK418" i="6"/>
  <c r="BK426" i="6"/>
  <c r="BK310" i="6"/>
  <c r="BK371" i="6"/>
  <c r="BK387" i="6"/>
  <c r="BK407" i="6"/>
  <c r="BK415" i="6"/>
  <c r="BK423" i="6"/>
  <c r="BK431" i="6"/>
  <c r="BK339" i="6"/>
  <c r="BK363" i="6"/>
  <c r="BK396" i="6"/>
  <c r="BK412" i="6"/>
  <c r="BK417" i="6"/>
  <c r="BK421" i="6"/>
  <c r="BK435" i="6"/>
  <c r="BK443" i="6"/>
  <c r="BK451" i="6"/>
  <c r="BK352" i="6"/>
  <c r="BK385" i="6"/>
  <c r="BK420" i="6"/>
  <c r="BK424" i="6"/>
  <c r="BK440" i="6"/>
  <c r="BK448" i="6"/>
  <c r="BK456" i="6"/>
  <c r="BK322" i="6"/>
  <c r="BK372" i="6"/>
  <c r="BK403" i="6"/>
  <c r="BK427" i="6"/>
  <c r="BK437" i="6"/>
  <c r="BK445" i="6"/>
  <c r="BK453" i="6"/>
  <c r="BK461" i="6"/>
  <c r="BK469" i="6"/>
  <c r="BK477" i="6"/>
  <c r="BK395" i="6"/>
  <c r="BK404" i="6"/>
  <c r="BK411" i="6"/>
  <c r="BK430" i="6"/>
  <c r="BK442" i="6"/>
  <c r="BK450" i="6"/>
  <c r="BK458" i="6"/>
  <c r="BK466" i="6"/>
  <c r="BK474" i="6"/>
  <c r="BK439" i="6"/>
  <c r="BK455" i="6"/>
  <c r="BK468" i="6"/>
  <c r="BK472" i="6"/>
  <c r="BK482" i="6"/>
  <c r="BK490" i="6"/>
  <c r="BK498" i="6"/>
  <c r="BK506" i="6"/>
  <c r="BK514" i="6"/>
  <c r="BK494" i="6"/>
  <c r="BK409" i="6"/>
  <c r="BK434" i="6"/>
  <c r="BK444" i="6"/>
  <c r="BK471" i="6"/>
  <c r="BK475" i="6"/>
  <c r="BK487" i="6"/>
  <c r="BK495" i="6"/>
  <c r="BK503" i="6"/>
  <c r="BK511" i="6"/>
  <c r="BK486" i="6"/>
  <c r="BK390" i="6"/>
  <c r="BK429" i="6"/>
  <c r="BK449" i="6"/>
  <c r="BK460" i="6"/>
  <c r="BK464" i="6"/>
  <c r="BK478" i="6"/>
  <c r="BK484" i="6"/>
  <c r="BK492" i="6"/>
  <c r="BK500" i="6"/>
  <c r="BK508" i="6"/>
  <c r="BK516" i="6"/>
  <c r="BK380" i="6"/>
  <c r="BK433" i="6"/>
  <c r="BK470" i="6"/>
  <c r="BK502" i="6"/>
  <c r="BK510" i="6"/>
  <c r="BK375" i="6"/>
  <c r="BK432" i="6"/>
  <c r="BK438" i="6"/>
  <c r="BK454" i="6"/>
  <c r="BK463" i="6"/>
  <c r="BK467" i="6"/>
  <c r="BK481" i="6"/>
  <c r="BK489" i="6"/>
  <c r="BK497" i="6"/>
  <c r="BK505" i="6"/>
  <c r="BK513" i="6"/>
  <c r="BK419" i="6"/>
  <c r="BK447" i="6"/>
  <c r="BK414" i="6"/>
  <c r="BK422" i="6"/>
  <c r="BK425" i="6"/>
  <c r="BK428" i="6"/>
  <c r="BK436" i="6"/>
  <c r="BK441" i="6"/>
  <c r="BK446" i="6"/>
  <c r="BK362" i="6"/>
  <c r="BK488" i="6"/>
  <c r="BK491" i="6"/>
  <c r="BK480" i="6"/>
  <c r="BK452" i="6"/>
  <c r="BK479" i="6"/>
  <c r="BK264" i="6"/>
  <c r="BK509" i="6"/>
  <c r="BK462" i="6"/>
  <c r="BK459" i="6"/>
  <c r="BK476" i="6"/>
  <c r="BK512" i="6"/>
  <c r="BK515" i="6"/>
  <c r="BK493" i="6"/>
  <c r="BK457" i="6"/>
  <c r="BK465" i="6"/>
  <c r="BK473" i="6"/>
  <c r="BK501" i="6"/>
  <c r="BK504" i="6"/>
  <c r="BK507" i="6"/>
  <c r="BK496" i="6"/>
  <c r="BK499" i="6"/>
  <c r="BK485" i="6"/>
  <c r="BK483" i="6"/>
  <c r="Z265" i="6"/>
  <c r="Z270" i="6"/>
  <c r="Z267" i="6"/>
  <c r="Z268" i="6"/>
  <c r="Z269" i="6"/>
  <c r="Z272" i="6"/>
  <c r="Z274" i="6"/>
  <c r="Z276" i="6"/>
  <c r="Z283" i="6"/>
  <c r="Z280" i="6"/>
  <c r="Z279" i="6"/>
  <c r="Z282" i="6"/>
  <c r="Z286" i="6"/>
  <c r="Z285" i="6"/>
  <c r="Z291" i="6"/>
  <c r="Z299" i="6"/>
  <c r="Z271" i="6"/>
  <c r="Z275" i="6"/>
  <c r="Z288" i="6"/>
  <c r="Z296" i="6"/>
  <c r="Z304" i="6"/>
  <c r="Z277" i="6"/>
  <c r="Z290" i="6"/>
  <c r="Z294" i="6"/>
  <c r="Z287" i="6"/>
  <c r="Z293" i="6"/>
  <c r="Z297" i="6"/>
  <c r="Z300" i="6"/>
  <c r="Z310" i="6"/>
  <c r="Z289" i="6"/>
  <c r="Z308" i="6"/>
  <c r="Z278" i="6"/>
  <c r="Z284" i="6"/>
  <c r="Z292" i="6"/>
  <c r="Z305" i="6"/>
  <c r="Z307" i="6"/>
  <c r="Z266" i="6"/>
  <c r="Z295" i="6"/>
  <c r="Z314" i="6"/>
  <c r="Z322" i="6"/>
  <c r="Z298" i="6"/>
  <c r="Z319" i="6"/>
  <c r="Z302" i="6"/>
  <c r="Z323" i="6"/>
  <c r="Z328" i="6"/>
  <c r="Z336" i="6"/>
  <c r="Z325" i="6"/>
  <c r="Z333" i="6"/>
  <c r="Z311" i="6"/>
  <c r="Z315" i="6"/>
  <c r="Z330" i="6"/>
  <c r="Z338" i="6"/>
  <c r="Z346" i="6"/>
  <c r="Z303" i="6"/>
  <c r="Z318" i="6"/>
  <c r="Z327" i="6"/>
  <c r="Z335" i="6"/>
  <c r="Z343" i="6"/>
  <c r="Z281" i="6"/>
  <c r="Z306" i="6"/>
  <c r="Z332" i="6"/>
  <c r="Z350" i="6"/>
  <c r="Z352" i="6"/>
  <c r="Z360" i="6"/>
  <c r="Z339" i="6"/>
  <c r="Z357" i="6"/>
  <c r="Z317" i="6"/>
  <c r="Z326" i="6"/>
  <c r="Z342" i="6"/>
  <c r="Z354" i="6"/>
  <c r="Z362" i="6"/>
  <c r="Z370" i="6"/>
  <c r="Z378" i="6"/>
  <c r="Z320" i="6"/>
  <c r="Z331" i="6"/>
  <c r="Z345" i="6"/>
  <c r="Z349" i="6"/>
  <c r="Z351" i="6"/>
  <c r="Z359" i="6"/>
  <c r="Z367" i="6"/>
  <c r="Z375" i="6"/>
  <c r="Z383" i="6"/>
  <c r="Z273" i="6"/>
  <c r="Z348" i="6"/>
  <c r="Z364" i="6"/>
  <c r="Z369" i="6"/>
  <c r="Z373" i="6"/>
  <c r="Z385" i="6"/>
  <c r="Z393" i="6"/>
  <c r="Z401" i="6"/>
  <c r="Z309" i="6"/>
  <c r="Z312" i="6"/>
  <c r="Z324" i="6"/>
  <c r="Z329" i="6"/>
  <c r="Z337" i="6"/>
  <c r="Z353" i="6"/>
  <c r="Z372" i="6"/>
  <c r="Z376" i="6"/>
  <c r="Z390" i="6"/>
  <c r="Z313" i="6"/>
  <c r="Z340" i="6"/>
  <c r="Z358" i="6"/>
  <c r="Z365" i="6"/>
  <c r="Z379" i="6"/>
  <c r="Z387" i="6"/>
  <c r="Z395" i="6"/>
  <c r="Z363" i="6"/>
  <c r="Z368" i="6"/>
  <c r="Z382" i="6"/>
  <c r="Z384" i="6"/>
  <c r="Z392" i="6"/>
  <c r="Z400" i="6"/>
  <c r="Z321" i="6"/>
  <c r="Z356" i="6"/>
  <c r="Z397" i="6"/>
  <c r="Z405" i="6"/>
  <c r="Z409" i="6"/>
  <c r="Z341" i="6"/>
  <c r="Z386" i="6"/>
  <c r="Z406" i="6"/>
  <c r="Z414" i="6"/>
  <c r="Z381" i="6"/>
  <c r="Z391" i="6"/>
  <c r="Z403" i="6"/>
  <c r="Z411" i="6"/>
  <c r="Z419" i="6"/>
  <c r="Z427" i="6"/>
  <c r="Z347" i="6"/>
  <c r="Z355" i="6"/>
  <c r="Z396" i="6"/>
  <c r="Z399" i="6"/>
  <c r="Z407" i="6"/>
  <c r="Z416" i="6"/>
  <c r="Z424" i="6"/>
  <c r="Z432" i="6"/>
  <c r="Z371" i="6"/>
  <c r="Z402" i="6"/>
  <c r="Z426" i="6"/>
  <c r="Z430" i="6"/>
  <c r="Z436" i="6"/>
  <c r="Z444" i="6"/>
  <c r="Z452" i="6"/>
  <c r="Z394" i="6"/>
  <c r="Z410" i="6"/>
  <c r="Z429" i="6"/>
  <c r="Z433" i="6"/>
  <c r="Z441" i="6"/>
  <c r="Z449" i="6"/>
  <c r="Z457" i="6"/>
  <c r="Z334" i="6"/>
  <c r="Z344" i="6"/>
  <c r="Z377" i="6"/>
  <c r="Z418" i="6"/>
  <c r="Z422" i="6"/>
  <c r="Z438" i="6"/>
  <c r="Z446" i="6"/>
  <c r="Z454" i="6"/>
  <c r="Z462" i="6"/>
  <c r="Z470" i="6"/>
  <c r="Z478" i="6"/>
  <c r="Z366" i="6"/>
  <c r="Z404" i="6"/>
  <c r="Z421" i="6"/>
  <c r="Z425" i="6"/>
  <c r="Z435" i="6"/>
  <c r="Z443" i="6"/>
  <c r="Z451" i="6"/>
  <c r="Z459" i="6"/>
  <c r="Z467" i="6"/>
  <c r="Z475" i="6"/>
  <c r="Z389" i="6"/>
  <c r="Z408" i="6"/>
  <c r="Z428" i="6"/>
  <c r="Z448" i="6"/>
  <c r="Z463" i="6"/>
  <c r="Z477" i="6"/>
  <c r="Z483" i="6"/>
  <c r="Z491" i="6"/>
  <c r="Z499" i="6"/>
  <c r="Z507" i="6"/>
  <c r="Z515" i="6"/>
  <c r="Z487" i="6"/>
  <c r="Z503" i="6"/>
  <c r="Z361" i="6"/>
  <c r="Z374" i="6"/>
  <c r="Z398" i="6"/>
  <c r="Z417" i="6"/>
  <c r="Z431" i="6"/>
  <c r="Z437" i="6"/>
  <c r="Z453" i="6"/>
  <c r="Z466" i="6"/>
  <c r="Z480" i="6"/>
  <c r="Z488" i="6"/>
  <c r="Z496" i="6"/>
  <c r="Z504" i="6"/>
  <c r="Z512" i="6"/>
  <c r="Z495" i="6"/>
  <c r="Z420" i="6"/>
  <c r="Z434" i="6"/>
  <c r="Z442" i="6"/>
  <c r="Z458" i="6"/>
  <c r="Z469" i="6"/>
  <c r="Z473" i="6"/>
  <c r="Z485" i="6"/>
  <c r="Z493" i="6"/>
  <c r="Z501" i="6"/>
  <c r="Z509" i="6"/>
  <c r="Z264" i="6"/>
  <c r="Z461" i="6"/>
  <c r="Z301" i="6"/>
  <c r="Z380" i="6"/>
  <c r="Z423" i="6"/>
  <c r="Z447" i="6"/>
  <c r="Z472" i="6"/>
  <c r="Z476" i="6"/>
  <c r="Z482" i="6"/>
  <c r="Z490" i="6"/>
  <c r="Z498" i="6"/>
  <c r="Z506" i="6"/>
  <c r="Z514" i="6"/>
  <c r="Z413" i="6"/>
  <c r="Z415" i="6"/>
  <c r="Z440" i="6"/>
  <c r="Z456" i="6"/>
  <c r="Z465" i="6"/>
  <c r="Z479" i="6"/>
  <c r="Z511" i="6"/>
  <c r="Z502" i="6"/>
  <c r="Z505" i="6"/>
  <c r="Z508" i="6"/>
  <c r="Z474" i="6"/>
  <c r="Z471" i="6"/>
  <c r="Z445" i="6"/>
  <c r="Z450" i="6"/>
  <c r="Z455" i="6"/>
  <c r="Z316" i="6"/>
  <c r="Z388" i="6"/>
  <c r="Z510" i="6"/>
  <c r="Z513" i="6"/>
  <c r="Z494" i="6"/>
  <c r="Z497" i="6"/>
  <c r="Z500" i="6"/>
  <c r="Z486" i="6"/>
  <c r="Z489" i="6"/>
  <c r="Z492" i="6"/>
  <c r="Z464" i="6"/>
  <c r="Z460" i="6"/>
  <c r="Z468" i="6"/>
  <c r="Z439" i="6"/>
  <c r="Z412" i="6"/>
  <c r="Z481" i="6"/>
  <c r="Z484" i="6"/>
  <c r="Z516" i="6"/>
  <c r="AS266" i="6"/>
  <c r="AS271" i="6"/>
  <c r="AS268" i="6"/>
  <c r="AS267" i="6"/>
  <c r="AS272" i="6"/>
  <c r="AS270" i="6"/>
  <c r="AS275" i="6"/>
  <c r="AS265" i="6"/>
  <c r="AS274" i="6"/>
  <c r="AS284" i="6"/>
  <c r="AS281" i="6"/>
  <c r="AS282" i="6"/>
  <c r="AS285" i="6"/>
  <c r="AS287" i="6"/>
  <c r="AS269" i="6"/>
  <c r="AS278" i="6"/>
  <c r="AS292" i="6"/>
  <c r="AS300" i="6"/>
  <c r="AS276" i="6"/>
  <c r="AS289" i="6"/>
  <c r="AS297" i="6"/>
  <c r="AS305" i="6"/>
  <c r="AS280" i="6"/>
  <c r="AS290" i="6"/>
  <c r="AS273" i="6"/>
  <c r="AS283" i="6"/>
  <c r="AS293" i="6"/>
  <c r="AS286" i="6"/>
  <c r="AS296" i="6"/>
  <c r="AS306" i="6"/>
  <c r="AS299" i="6"/>
  <c r="AS303" i="6"/>
  <c r="AS311" i="6"/>
  <c r="AS307" i="6"/>
  <c r="AS295" i="6"/>
  <c r="AS310" i="6"/>
  <c r="AS298" i="6"/>
  <c r="AS301" i="6"/>
  <c r="AS315" i="6"/>
  <c r="AS323" i="6"/>
  <c r="AS320" i="6"/>
  <c r="AS312" i="6"/>
  <c r="AS322" i="6"/>
  <c r="AS329" i="6"/>
  <c r="AS291" i="6"/>
  <c r="AS308" i="6"/>
  <c r="AS326" i="6"/>
  <c r="AS334" i="6"/>
  <c r="AS314" i="6"/>
  <c r="AS318" i="6"/>
  <c r="AS331" i="6"/>
  <c r="AS339" i="6"/>
  <c r="AS347" i="6"/>
  <c r="AS304" i="6"/>
  <c r="AS317" i="6"/>
  <c r="AS321" i="6"/>
  <c r="AS328" i="6"/>
  <c r="AS336" i="6"/>
  <c r="AS344" i="6"/>
  <c r="AS309" i="6"/>
  <c r="AS333" i="6"/>
  <c r="AS349" i="6"/>
  <c r="AS353" i="6"/>
  <c r="AS361" i="6"/>
  <c r="AS338" i="6"/>
  <c r="AS342" i="6"/>
  <c r="AS350" i="6"/>
  <c r="AS358" i="6"/>
  <c r="AS277" i="6"/>
  <c r="AS294" i="6"/>
  <c r="AS327" i="6"/>
  <c r="AS341" i="6"/>
  <c r="AS345" i="6"/>
  <c r="AS355" i="6"/>
  <c r="AS363" i="6"/>
  <c r="AS371" i="6"/>
  <c r="AS379" i="6"/>
  <c r="AS279" i="6"/>
  <c r="AS332" i="6"/>
  <c r="AS348" i="6"/>
  <c r="AS352" i="6"/>
  <c r="AS360" i="6"/>
  <c r="AS368" i="6"/>
  <c r="AS376" i="6"/>
  <c r="AS288" i="6"/>
  <c r="AS325" i="6"/>
  <c r="AS337" i="6"/>
  <c r="AS372" i="6"/>
  <c r="AS386" i="6"/>
  <c r="AS394" i="6"/>
  <c r="AS402" i="6"/>
  <c r="AS340" i="6"/>
  <c r="AS354" i="6"/>
  <c r="AS375" i="6"/>
  <c r="AS383" i="6"/>
  <c r="AS391" i="6"/>
  <c r="AS316" i="6"/>
  <c r="AS335" i="6"/>
  <c r="AS343" i="6"/>
  <c r="AS359" i="6"/>
  <c r="AS378" i="6"/>
  <c r="AS382" i="6"/>
  <c r="AS388" i="6"/>
  <c r="AS396" i="6"/>
  <c r="AS346" i="6"/>
  <c r="AS364" i="6"/>
  <c r="AS367" i="6"/>
  <c r="AS381" i="6"/>
  <c r="AS385" i="6"/>
  <c r="AS393" i="6"/>
  <c r="AS401" i="6"/>
  <c r="AS370" i="6"/>
  <c r="AS403" i="6"/>
  <c r="AS410" i="6"/>
  <c r="AS302" i="6"/>
  <c r="AS330" i="6"/>
  <c r="AS362" i="6"/>
  <c r="AS373" i="6"/>
  <c r="AS387" i="6"/>
  <c r="AS399" i="6"/>
  <c r="AS405" i="6"/>
  <c r="AS351" i="6"/>
  <c r="AS392" i="6"/>
  <c r="AS406" i="6"/>
  <c r="AS412" i="6"/>
  <c r="AS420" i="6"/>
  <c r="AS428" i="6"/>
  <c r="AS319" i="6"/>
  <c r="AS365" i="6"/>
  <c r="AS397" i="6"/>
  <c r="AS398" i="6"/>
  <c r="AS407" i="6"/>
  <c r="AS409" i="6"/>
  <c r="AS417" i="6"/>
  <c r="AS425" i="6"/>
  <c r="AS433" i="6"/>
  <c r="AS324" i="6"/>
  <c r="AS357" i="6"/>
  <c r="AS374" i="6"/>
  <c r="AS390" i="6"/>
  <c r="AS415" i="6"/>
  <c r="AS429" i="6"/>
  <c r="AS437" i="6"/>
  <c r="AS445" i="6"/>
  <c r="AS453" i="6"/>
  <c r="AS313" i="6"/>
  <c r="AS411" i="6"/>
  <c r="AS418" i="6"/>
  <c r="AS432" i="6"/>
  <c r="AS442" i="6"/>
  <c r="AS450" i="6"/>
  <c r="AS458" i="6"/>
  <c r="AS380" i="6"/>
  <c r="AS416" i="6"/>
  <c r="AS421" i="6"/>
  <c r="AS439" i="6"/>
  <c r="AS447" i="6"/>
  <c r="AS455" i="6"/>
  <c r="AS463" i="6"/>
  <c r="AS471" i="6"/>
  <c r="AS479" i="6"/>
  <c r="AS369" i="6"/>
  <c r="AS389" i="6"/>
  <c r="AS400" i="6"/>
  <c r="AS404" i="6"/>
  <c r="AS424" i="6"/>
  <c r="AS436" i="6"/>
  <c r="AS444" i="6"/>
  <c r="AS452" i="6"/>
  <c r="AS460" i="6"/>
  <c r="AS468" i="6"/>
  <c r="AS476" i="6"/>
  <c r="AS414" i="6"/>
  <c r="AS431" i="6"/>
  <c r="AS449" i="6"/>
  <c r="AS462" i="6"/>
  <c r="AS466" i="6"/>
  <c r="AS484" i="6"/>
  <c r="AS492" i="6"/>
  <c r="AS500" i="6"/>
  <c r="AS508" i="6"/>
  <c r="AS516" i="6"/>
  <c r="AS377" i="6"/>
  <c r="AS395" i="6"/>
  <c r="AS434" i="6"/>
  <c r="AS438" i="6"/>
  <c r="AS454" i="6"/>
  <c r="AS465" i="6"/>
  <c r="AS469" i="6"/>
  <c r="AS481" i="6"/>
  <c r="AS489" i="6"/>
  <c r="AS497" i="6"/>
  <c r="AS505" i="6"/>
  <c r="AS513" i="6"/>
  <c r="AS512" i="6"/>
  <c r="AS366" i="6"/>
  <c r="AS384" i="6"/>
  <c r="AS423" i="6"/>
  <c r="AS443" i="6"/>
  <c r="AS472" i="6"/>
  <c r="AS486" i="6"/>
  <c r="AS494" i="6"/>
  <c r="AS502" i="6"/>
  <c r="AS510" i="6"/>
  <c r="AS441" i="6"/>
  <c r="AS457" i="6"/>
  <c r="AS464" i="6"/>
  <c r="AS478" i="6"/>
  <c r="AS480" i="6"/>
  <c r="AS488" i="6"/>
  <c r="AS496" i="6"/>
  <c r="AS504" i="6"/>
  <c r="AS356" i="6"/>
  <c r="AS413" i="6"/>
  <c r="AS426" i="6"/>
  <c r="AS448" i="6"/>
  <c r="AS461" i="6"/>
  <c r="AS475" i="6"/>
  <c r="AS483" i="6"/>
  <c r="AS491" i="6"/>
  <c r="AS499" i="6"/>
  <c r="AS507" i="6"/>
  <c r="AS515" i="6"/>
  <c r="AS427" i="6"/>
  <c r="AS470" i="6"/>
  <c r="AS477" i="6"/>
  <c r="AS422" i="6"/>
  <c r="AS459" i="6"/>
  <c r="AS467" i="6"/>
  <c r="AS474" i="6"/>
  <c r="AS511" i="6"/>
  <c r="AS514" i="6"/>
  <c r="AS264" i="6"/>
  <c r="AS435" i="6"/>
  <c r="AS490" i="6"/>
  <c r="AS485" i="6"/>
  <c r="AS503" i="6"/>
  <c r="AS506" i="6"/>
  <c r="AS509" i="6"/>
  <c r="AS487" i="6"/>
  <c r="AS430" i="6"/>
  <c r="AS419" i="6"/>
  <c r="AS446" i="6"/>
  <c r="AS451" i="6"/>
  <c r="AS456" i="6"/>
  <c r="AS495" i="6"/>
  <c r="AS498" i="6"/>
  <c r="AS501" i="6"/>
  <c r="AS408" i="6"/>
  <c r="AS440" i="6"/>
  <c r="AS493" i="6"/>
  <c r="AS482" i="6"/>
  <c r="AS473" i="6"/>
  <c r="J265" i="6"/>
  <c r="J270" i="6"/>
  <c r="J267" i="6"/>
  <c r="J266" i="6"/>
  <c r="J274" i="6"/>
  <c r="J273" i="6"/>
  <c r="J268" i="6"/>
  <c r="J271" i="6"/>
  <c r="J283" i="6"/>
  <c r="J280" i="6"/>
  <c r="J281" i="6"/>
  <c r="J284" i="6"/>
  <c r="J291" i="6"/>
  <c r="J299" i="6"/>
  <c r="J275" i="6"/>
  <c r="J277" i="6"/>
  <c r="J278" i="6"/>
  <c r="J288" i="6"/>
  <c r="J296" i="6"/>
  <c r="J304" i="6"/>
  <c r="J269" i="6"/>
  <c r="J279" i="6"/>
  <c r="J289" i="6"/>
  <c r="J282" i="6"/>
  <c r="J292" i="6"/>
  <c r="J276" i="6"/>
  <c r="J285" i="6"/>
  <c r="J287" i="6"/>
  <c r="J295" i="6"/>
  <c r="J298" i="6"/>
  <c r="J302" i="6"/>
  <c r="J310" i="6"/>
  <c r="J306" i="6"/>
  <c r="J286" i="6"/>
  <c r="J294" i="6"/>
  <c r="J309" i="6"/>
  <c r="J297" i="6"/>
  <c r="J300" i="6"/>
  <c r="J312" i="6"/>
  <c r="J314" i="6"/>
  <c r="J322" i="6"/>
  <c r="J319" i="6"/>
  <c r="J272" i="6"/>
  <c r="J311" i="6"/>
  <c r="J321" i="6"/>
  <c r="J328" i="6"/>
  <c r="J336" i="6"/>
  <c r="J290" i="6"/>
  <c r="J301" i="6"/>
  <c r="J307" i="6"/>
  <c r="J324" i="6"/>
  <c r="J325" i="6"/>
  <c r="J333" i="6"/>
  <c r="J313" i="6"/>
  <c r="J317" i="6"/>
  <c r="J330" i="6"/>
  <c r="J338" i="6"/>
  <c r="J346" i="6"/>
  <c r="J305" i="6"/>
  <c r="J316" i="6"/>
  <c r="J320" i="6"/>
  <c r="J327" i="6"/>
  <c r="J335" i="6"/>
  <c r="J343" i="6"/>
  <c r="J308" i="6"/>
  <c r="J332" i="6"/>
  <c r="J348" i="6"/>
  <c r="J352" i="6"/>
  <c r="J360" i="6"/>
  <c r="J337" i="6"/>
  <c r="J341" i="6"/>
  <c r="J357" i="6"/>
  <c r="J326" i="6"/>
  <c r="J340" i="6"/>
  <c r="J344" i="6"/>
  <c r="J354" i="6"/>
  <c r="J362" i="6"/>
  <c r="J370" i="6"/>
  <c r="J378" i="6"/>
  <c r="J331" i="6"/>
  <c r="J347" i="6"/>
  <c r="J351" i="6"/>
  <c r="J359" i="6"/>
  <c r="J367" i="6"/>
  <c r="J375" i="6"/>
  <c r="J383" i="6"/>
  <c r="J350" i="6"/>
  <c r="J364" i="6"/>
  <c r="J371" i="6"/>
  <c r="J385" i="6"/>
  <c r="J393" i="6"/>
  <c r="J401" i="6"/>
  <c r="J339" i="6"/>
  <c r="J353" i="6"/>
  <c r="J374" i="6"/>
  <c r="J390" i="6"/>
  <c r="J315" i="6"/>
  <c r="J334" i="6"/>
  <c r="J342" i="6"/>
  <c r="J358" i="6"/>
  <c r="J377" i="6"/>
  <c r="J381" i="6"/>
  <c r="J387" i="6"/>
  <c r="J395" i="6"/>
  <c r="J303" i="6"/>
  <c r="J345" i="6"/>
  <c r="J363" i="6"/>
  <c r="J366" i="6"/>
  <c r="J380" i="6"/>
  <c r="J392" i="6"/>
  <c r="J400" i="6"/>
  <c r="J323" i="6"/>
  <c r="J369" i="6"/>
  <c r="J397" i="6"/>
  <c r="J402" i="6"/>
  <c r="J409" i="6"/>
  <c r="J329" i="6"/>
  <c r="J361" i="6"/>
  <c r="J372" i="6"/>
  <c r="J386" i="6"/>
  <c r="J398" i="6"/>
  <c r="J404" i="6"/>
  <c r="J414" i="6"/>
  <c r="J293" i="6"/>
  <c r="J391" i="6"/>
  <c r="J405" i="6"/>
  <c r="J411" i="6"/>
  <c r="J419" i="6"/>
  <c r="J427" i="6"/>
  <c r="J349" i="6"/>
  <c r="J396" i="6"/>
  <c r="J406" i="6"/>
  <c r="J416" i="6"/>
  <c r="J424" i="6"/>
  <c r="J432" i="6"/>
  <c r="J356" i="6"/>
  <c r="J373" i="6"/>
  <c r="J389" i="6"/>
  <c r="J428" i="6"/>
  <c r="J436" i="6"/>
  <c r="J444" i="6"/>
  <c r="J452" i="6"/>
  <c r="J410" i="6"/>
  <c r="J417" i="6"/>
  <c r="J431" i="6"/>
  <c r="J441" i="6"/>
  <c r="J449" i="6"/>
  <c r="J457" i="6"/>
  <c r="J379" i="6"/>
  <c r="J415" i="6"/>
  <c r="J420" i="6"/>
  <c r="J434" i="6"/>
  <c r="J438" i="6"/>
  <c r="J446" i="6"/>
  <c r="J454" i="6"/>
  <c r="J462" i="6"/>
  <c r="J470" i="6"/>
  <c r="J478" i="6"/>
  <c r="J368" i="6"/>
  <c r="J388" i="6"/>
  <c r="J399" i="6"/>
  <c r="J423" i="6"/>
  <c r="J435" i="6"/>
  <c r="J443" i="6"/>
  <c r="J451" i="6"/>
  <c r="J459" i="6"/>
  <c r="J467" i="6"/>
  <c r="J475" i="6"/>
  <c r="J413" i="6"/>
  <c r="J430" i="6"/>
  <c r="J448" i="6"/>
  <c r="J461" i="6"/>
  <c r="J465" i="6"/>
  <c r="J479" i="6"/>
  <c r="J483" i="6"/>
  <c r="J491" i="6"/>
  <c r="J499" i="6"/>
  <c r="J507" i="6"/>
  <c r="J515" i="6"/>
  <c r="J511" i="6"/>
  <c r="J376" i="6"/>
  <c r="J394" i="6"/>
  <c r="J407" i="6"/>
  <c r="J433" i="6"/>
  <c r="J437" i="6"/>
  <c r="J453" i="6"/>
  <c r="J464" i="6"/>
  <c r="J468" i="6"/>
  <c r="J488" i="6"/>
  <c r="J496" i="6"/>
  <c r="J504" i="6"/>
  <c r="J512" i="6"/>
  <c r="J403" i="6"/>
  <c r="J422" i="6"/>
  <c r="J442" i="6"/>
  <c r="J458" i="6"/>
  <c r="J471" i="6"/>
  <c r="J485" i="6"/>
  <c r="J493" i="6"/>
  <c r="J501" i="6"/>
  <c r="J509" i="6"/>
  <c r="J264" i="6"/>
  <c r="J384" i="6"/>
  <c r="J440" i="6"/>
  <c r="J456" i="6"/>
  <c r="J463" i="6"/>
  <c r="J477" i="6"/>
  <c r="J495" i="6"/>
  <c r="J318" i="6"/>
  <c r="J355" i="6"/>
  <c r="J382" i="6"/>
  <c r="J412" i="6"/>
  <c r="J425" i="6"/>
  <c r="J447" i="6"/>
  <c r="J460" i="6"/>
  <c r="J474" i="6"/>
  <c r="J482" i="6"/>
  <c r="J490" i="6"/>
  <c r="J498" i="6"/>
  <c r="J506" i="6"/>
  <c r="J514" i="6"/>
  <c r="J426" i="6"/>
  <c r="J487" i="6"/>
  <c r="J503" i="6"/>
  <c r="J365" i="6"/>
  <c r="J418" i="6"/>
  <c r="J510" i="6"/>
  <c r="J513" i="6"/>
  <c r="J516" i="6"/>
  <c r="J502" i="6"/>
  <c r="J439" i="6"/>
  <c r="J469" i="6"/>
  <c r="J476" i="6"/>
  <c r="J486" i="6"/>
  <c r="J489" i="6"/>
  <c r="J484" i="6"/>
  <c r="J408" i="6"/>
  <c r="J505" i="6"/>
  <c r="J508" i="6"/>
  <c r="J421" i="6"/>
  <c r="J466" i="6"/>
  <c r="J473" i="6"/>
  <c r="J481" i="6"/>
  <c r="J445" i="6"/>
  <c r="J450" i="6"/>
  <c r="J455" i="6"/>
  <c r="J472" i="6"/>
  <c r="J480" i="6"/>
  <c r="J494" i="6"/>
  <c r="J497" i="6"/>
  <c r="J500" i="6"/>
  <c r="J429" i="6"/>
  <c r="J492" i="6"/>
  <c r="AC266" i="6"/>
  <c r="AC271" i="6"/>
  <c r="AC268" i="6"/>
  <c r="AC265" i="6"/>
  <c r="AC275" i="6"/>
  <c r="AC270" i="6"/>
  <c r="AC269" i="6"/>
  <c r="AC274" i="6"/>
  <c r="AC277" i="6"/>
  <c r="AC284" i="6"/>
  <c r="AC267" i="6"/>
  <c r="AC272" i="6"/>
  <c r="AC281" i="6"/>
  <c r="AC278" i="6"/>
  <c r="AC280" i="6"/>
  <c r="AC276" i="6"/>
  <c r="AC283" i="6"/>
  <c r="AC287" i="6"/>
  <c r="AC286" i="6"/>
  <c r="AC292" i="6"/>
  <c r="AC300" i="6"/>
  <c r="AC279" i="6"/>
  <c r="AC289" i="6"/>
  <c r="AC297" i="6"/>
  <c r="AC305" i="6"/>
  <c r="AC282" i="6"/>
  <c r="AC288" i="6"/>
  <c r="AC285" i="6"/>
  <c r="AC291" i="6"/>
  <c r="AC295" i="6"/>
  <c r="AC294" i="6"/>
  <c r="AC298" i="6"/>
  <c r="AC306" i="6"/>
  <c r="AC301" i="6"/>
  <c r="AC311" i="6"/>
  <c r="AC309" i="6"/>
  <c r="AC308" i="6"/>
  <c r="AC303" i="6"/>
  <c r="AC315" i="6"/>
  <c r="AC323" i="6"/>
  <c r="AC320" i="6"/>
  <c r="AC307" i="6"/>
  <c r="AC312" i="6"/>
  <c r="AC324" i="6"/>
  <c r="AC329" i="6"/>
  <c r="AC293" i="6"/>
  <c r="AC302" i="6"/>
  <c r="AC310" i="6"/>
  <c r="AC313" i="6"/>
  <c r="AC326" i="6"/>
  <c r="AC334" i="6"/>
  <c r="AC316" i="6"/>
  <c r="AC331" i="6"/>
  <c r="AC339" i="6"/>
  <c r="AC347" i="6"/>
  <c r="AC319" i="6"/>
  <c r="AC328" i="6"/>
  <c r="AC336" i="6"/>
  <c r="AC344" i="6"/>
  <c r="AC322" i="6"/>
  <c r="AC333" i="6"/>
  <c r="AC337" i="6"/>
  <c r="AC353" i="6"/>
  <c r="AC361" i="6"/>
  <c r="AC340" i="6"/>
  <c r="AC358" i="6"/>
  <c r="AC296" i="6"/>
  <c r="AC314" i="6"/>
  <c r="AC327" i="6"/>
  <c r="AC343" i="6"/>
  <c r="AC355" i="6"/>
  <c r="AC363" i="6"/>
  <c r="AC371" i="6"/>
  <c r="AC379" i="6"/>
  <c r="AC317" i="6"/>
  <c r="AC332" i="6"/>
  <c r="AC346" i="6"/>
  <c r="AC350" i="6"/>
  <c r="AC352" i="6"/>
  <c r="AC360" i="6"/>
  <c r="AC368" i="6"/>
  <c r="AC376" i="6"/>
  <c r="AC290" i="6"/>
  <c r="AC299" i="6"/>
  <c r="AC370" i="6"/>
  <c r="AC374" i="6"/>
  <c r="AC386" i="6"/>
  <c r="AC394" i="6"/>
  <c r="AC402" i="6"/>
  <c r="AC304" i="6"/>
  <c r="AC330" i="6"/>
  <c r="AC342" i="6"/>
  <c r="AC354" i="6"/>
  <c r="AC373" i="6"/>
  <c r="AC377" i="6"/>
  <c r="AC391" i="6"/>
  <c r="AC318" i="6"/>
  <c r="AC345" i="6"/>
  <c r="AC359" i="6"/>
  <c r="AC366" i="6"/>
  <c r="AC380" i="6"/>
  <c r="AC388" i="6"/>
  <c r="AC396" i="6"/>
  <c r="AC273" i="6"/>
  <c r="AC348" i="6"/>
  <c r="AC364" i="6"/>
  <c r="AC365" i="6"/>
  <c r="AC369" i="6"/>
  <c r="AC383" i="6"/>
  <c r="AC385" i="6"/>
  <c r="AC393" i="6"/>
  <c r="AC401" i="6"/>
  <c r="AC357" i="6"/>
  <c r="AC372" i="6"/>
  <c r="AC410" i="6"/>
  <c r="AC375" i="6"/>
  <c r="AC387" i="6"/>
  <c r="AC404" i="6"/>
  <c r="AC335" i="6"/>
  <c r="AC341" i="6"/>
  <c r="AC378" i="6"/>
  <c r="AC392" i="6"/>
  <c r="AC412" i="6"/>
  <c r="AC420" i="6"/>
  <c r="AC428" i="6"/>
  <c r="AC321" i="6"/>
  <c r="AC356" i="6"/>
  <c r="AC367" i="6"/>
  <c r="AC381" i="6"/>
  <c r="AC397" i="6"/>
  <c r="AC400" i="6"/>
  <c r="AC405" i="6"/>
  <c r="AC409" i="6"/>
  <c r="AC417" i="6"/>
  <c r="AC425" i="6"/>
  <c r="AC433" i="6"/>
  <c r="AC416" i="6"/>
  <c r="AC427" i="6"/>
  <c r="AC431" i="6"/>
  <c r="AC437" i="6"/>
  <c r="AC445" i="6"/>
  <c r="AC453" i="6"/>
  <c r="AC362" i="6"/>
  <c r="AC395" i="6"/>
  <c r="AC399" i="6"/>
  <c r="AC411" i="6"/>
  <c r="AC430" i="6"/>
  <c r="AC434" i="6"/>
  <c r="AC442" i="6"/>
  <c r="AC450" i="6"/>
  <c r="AC458" i="6"/>
  <c r="AC351" i="6"/>
  <c r="AC382" i="6"/>
  <c r="AC384" i="6"/>
  <c r="AC419" i="6"/>
  <c r="AC423" i="6"/>
  <c r="AC439" i="6"/>
  <c r="AC447" i="6"/>
  <c r="AC455" i="6"/>
  <c r="AC463" i="6"/>
  <c r="AC471" i="6"/>
  <c r="AC479" i="6"/>
  <c r="AC422" i="6"/>
  <c r="AC426" i="6"/>
  <c r="AC436" i="6"/>
  <c r="AC444" i="6"/>
  <c r="AC452" i="6"/>
  <c r="AC460" i="6"/>
  <c r="AC468" i="6"/>
  <c r="AC476" i="6"/>
  <c r="AC325" i="6"/>
  <c r="AC349" i="6"/>
  <c r="AC406" i="6"/>
  <c r="AC449" i="6"/>
  <c r="AC464" i="6"/>
  <c r="AC478" i="6"/>
  <c r="AC484" i="6"/>
  <c r="AC492" i="6"/>
  <c r="AC500" i="6"/>
  <c r="AC508" i="6"/>
  <c r="AC516" i="6"/>
  <c r="AC488" i="6"/>
  <c r="AC504" i="6"/>
  <c r="AC338" i="6"/>
  <c r="AC438" i="6"/>
  <c r="AC454" i="6"/>
  <c r="AC467" i="6"/>
  <c r="AC481" i="6"/>
  <c r="AC489" i="6"/>
  <c r="AC497" i="6"/>
  <c r="AC505" i="6"/>
  <c r="AC513" i="6"/>
  <c r="AC496" i="6"/>
  <c r="AC407" i="6"/>
  <c r="AC443" i="6"/>
  <c r="AC470" i="6"/>
  <c r="AC474" i="6"/>
  <c r="AC486" i="6"/>
  <c r="AC494" i="6"/>
  <c r="AC502" i="6"/>
  <c r="AC510" i="6"/>
  <c r="AC414" i="6"/>
  <c r="AC466" i="6"/>
  <c r="AC480" i="6"/>
  <c r="AC389" i="6"/>
  <c r="AC408" i="6"/>
  <c r="AC448" i="6"/>
  <c r="AC459" i="6"/>
  <c r="AC473" i="6"/>
  <c r="AC477" i="6"/>
  <c r="AC483" i="6"/>
  <c r="AC491" i="6"/>
  <c r="AC499" i="6"/>
  <c r="AC507" i="6"/>
  <c r="AC515" i="6"/>
  <c r="AC390" i="6"/>
  <c r="AC403" i="6"/>
  <c r="AC429" i="6"/>
  <c r="AC441" i="6"/>
  <c r="AC457" i="6"/>
  <c r="AC462" i="6"/>
  <c r="AC512" i="6"/>
  <c r="AC446" i="6"/>
  <c r="AC451" i="6"/>
  <c r="AC456" i="6"/>
  <c r="AC465" i="6"/>
  <c r="AC472" i="6"/>
  <c r="AC498" i="6"/>
  <c r="AC490" i="6"/>
  <c r="AC493" i="6"/>
  <c r="AC418" i="6"/>
  <c r="AC424" i="6"/>
  <c r="AC482" i="6"/>
  <c r="AC413" i="6"/>
  <c r="AC435" i="6"/>
  <c r="AC440" i="6"/>
  <c r="AC461" i="6"/>
  <c r="AC469" i="6"/>
  <c r="AC506" i="6"/>
  <c r="AC501" i="6"/>
  <c r="AC503" i="6"/>
  <c r="AC398" i="6"/>
  <c r="AC495" i="6"/>
  <c r="AC487" i="6"/>
  <c r="AC485" i="6"/>
  <c r="AC511" i="6"/>
  <c r="AC514" i="6"/>
  <c r="AC264" i="6"/>
  <c r="AC415" i="6"/>
  <c r="AC509" i="6"/>
  <c r="AC432" i="6"/>
  <c r="AC421" i="6"/>
  <c r="AC475" i="6"/>
  <c r="AM269" i="6"/>
  <c r="AM266" i="6"/>
  <c r="AM265" i="6"/>
  <c r="AM273" i="6"/>
  <c r="AM272" i="6"/>
  <c r="AM267" i="6"/>
  <c r="AM271" i="6"/>
  <c r="AM268" i="6"/>
  <c r="AM277" i="6"/>
  <c r="AM282" i="6"/>
  <c r="AM279" i="6"/>
  <c r="AM280" i="6"/>
  <c r="AM283" i="6"/>
  <c r="AM275" i="6"/>
  <c r="AM286" i="6"/>
  <c r="AM290" i="6"/>
  <c r="AM298" i="6"/>
  <c r="AM287" i="6"/>
  <c r="AM295" i="6"/>
  <c r="AM303" i="6"/>
  <c r="AM274" i="6"/>
  <c r="AM288" i="6"/>
  <c r="AM281" i="6"/>
  <c r="AM291" i="6"/>
  <c r="AM278" i="6"/>
  <c r="AM284" i="6"/>
  <c r="AM294" i="6"/>
  <c r="AM312" i="6"/>
  <c r="AM270" i="6"/>
  <c r="AM276" i="6"/>
  <c r="AM297" i="6"/>
  <c r="AM301" i="6"/>
  <c r="AM309" i="6"/>
  <c r="AM305" i="6"/>
  <c r="AM293" i="6"/>
  <c r="AM299" i="6"/>
  <c r="AM300" i="6"/>
  <c r="AM308" i="6"/>
  <c r="AM296" i="6"/>
  <c r="AM311" i="6"/>
  <c r="AM313" i="6"/>
  <c r="AM321" i="6"/>
  <c r="AM302" i="6"/>
  <c r="AM304" i="6"/>
  <c r="AM318" i="6"/>
  <c r="AM320" i="6"/>
  <c r="AM324" i="6"/>
  <c r="AM327" i="6"/>
  <c r="AM335" i="6"/>
  <c r="AM285" i="6"/>
  <c r="AM306" i="6"/>
  <c r="AM323" i="6"/>
  <c r="AM332" i="6"/>
  <c r="AM292" i="6"/>
  <c r="AM316" i="6"/>
  <c r="AM329" i="6"/>
  <c r="AM337" i="6"/>
  <c r="AM345" i="6"/>
  <c r="AM315" i="6"/>
  <c r="AM319" i="6"/>
  <c r="AM326" i="6"/>
  <c r="AM334" i="6"/>
  <c r="AM342" i="6"/>
  <c r="AM331" i="6"/>
  <c r="AM347" i="6"/>
  <c r="AM351" i="6"/>
  <c r="AM359" i="6"/>
  <c r="AM310" i="6"/>
  <c r="AM336" i="6"/>
  <c r="AM340" i="6"/>
  <c r="AM356" i="6"/>
  <c r="AM364" i="6"/>
  <c r="AM325" i="6"/>
  <c r="AM339" i="6"/>
  <c r="AM343" i="6"/>
  <c r="AM353" i="6"/>
  <c r="AM361" i="6"/>
  <c r="AM369" i="6"/>
  <c r="AM377" i="6"/>
  <c r="AM330" i="6"/>
  <c r="AM346" i="6"/>
  <c r="AM350" i="6"/>
  <c r="AM358" i="6"/>
  <c r="AM366" i="6"/>
  <c r="AM374" i="6"/>
  <c r="AM382" i="6"/>
  <c r="AM307" i="6"/>
  <c r="AM322" i="6"/>
  <c r="AM349" i="6"/>
  <c r="AM363" i="6"/>
  <c r="AM370" i="6"/>
  <c r="AM384" i="6"/>
  <c r="AM392" i="6"/>
  <c r="AM400" i="6"/>
  <c r="AM338" i="6"/>
  <c r="AM352" i="6"/>
  <c r="AM373" i="6"/>
  <c r="AM389" i="6"/>
  <c r="AM397" i="6"/>
  <c r="AM333" i="6"/>
  <c r="AM341" i="6"/>
  <c r="AM357" i="6"/>
  <c r="AM376" i="6"/>
  <c r="AM380" i="6"/>
  <c r="AM386" i="6"/>
  <c r="AM394" i="6"/>
  <c r="AM317" i="6"/>
  <c r="AM344" i="6"/>
  <c r="AM362" i="6"/>
  <c r="AM365" i="6"/>
  <c r="AM379" i="6"/>
  <c r="AM391" i="6"/>
  <c r="AM399" i="6"/>
  <c r="AM368" i="6"/>
  <c r="AM383" i="6"/>
  <c r="AM396" i="6"/>
  <c r="AM401" i="6"/>
  <c r="AM408" i="6"/>
  <c r="AM416" i="6"/>
  <c r="AM289" i="6"/>
  <c r="AM328" i="6"/>
  <c r="AM360" i="6"/>
  <c r="AM371" i="6"/>
  <c r="AM385" i="6"/>
  <c r="AM413" i="6"/>
  <c r="AM390" i="6"/>
  <c r="AM404" i="6"/>
  <c r="AM410" i="6"/>
  <c r="AM418" i="6"/>
  <c r="AM426" i="6"/>
  <c r="AM434" i="6"/>
  <c r="AM395" i="6"/>
  <c r="AM405" i="6"/>
  <c r="AM415" i="6"/>
  <c r="AM423" i="6"/>
  <c r="AM431" i="6"/>
  <c r="AM355" i="6"/>
  <c r="AM388" i="6"/>
  <c r="AM403" i="6"/>
  <c r="AM427" i="6"/>
  <c r="AM435" i="6"/>
  <c r="AM443" i="6"/>
  <c r="AM451" i="6"/>
  <c r="AM375" i="6"/>
  <c r="AM406" i="6"/>
  <c r="AM409" i="6"/>
  <c r="AM430" i="6"/>
  <c r="AM440" i="6"/>
  <c r="AM448" i="6"/>
  <c r="AM456" i="6"/>
  <c r="AM407" i="6"/>
  <c r="AM414" i="6"/>
  <c r="AM419" i="6"/>
  <c r="AM433" i="6"/>
  <c r="AM437" i="6"/>
  <c r="AM445" i="6"/>
  <c r="AM453" i="6"/>
  <c r="AM461" i="6"/>
  <c r="AM469" i="6"/>
  <c r="AM477" i="6"/>
  <c r="AM381" i="6"/>
  <c r="AM387" i="6"/>
  <c r="AM398" i="6"/>
  <c r="AM422" i="6"/>
  <c r="AM442" i="6"/>
  <c r="AM450" i="6"/>
  <c r="AM458" i="6"/>
  <c r="AM466" i="6"/>
  <c r="AM474" i="6"/>
  <c r="AM412" i="6"/>
  <c r="AM429" i="6"/>
  <c r="AM447" i="6"/>
  <c r="AM460" i="6"/>
  <c r="AM464" i="6"/>
  <c r="AM478" i="6"/>
  <c r="AM482" i="6"/>
  <c r="AM490" i="6"/>
  <c r="AM498" i="6"/>
  <c r="AM506" i="6"/>
  <c r="AM514" i="6"/>
  <c r="AM510" i="6"/>
  <c r="AM393" i="6"/>
  <c r="AM432" i="6"/>
  <c r="AM436" i="6"/>
  <c r="AM452" i="6"/>
  <c r="AM463" i="6"/>
  <c r="AM467" i="6"/>
  <c r="AM487" i="6"/>
  <c r="AM495" i="6"/>
  <c r="AM503" i="6"/>
  <c r="AM511" i="6"/>
  <c r="AM314" i="6"/>
  <c r="AM378" i="6"/>
  <c r="AM421" i="6"/>
  <c r="AM441" i="6"/>
  <c r="AM457" i="6"/>
  <c r="AM470" i="6"/>
  <c r="AM484" i="6"/>
  <c r="AM492" i="6"/>
  <c r="AM500" i="6"/>
  <c r="AM508" i="6"/>
  <c r="AM516" i="6"/>
  <c r="AM425" i="6"/>
  <c r="AM439" i="6"/>
  <c r="AM455" i="6"/>
  <c r="AM462" i="6"/>
  <c r="AM476" i="6"/>
  <c r="AM367" i="6"/>
  <c r="AM411" i="6"/>
  <c r="AM424" i="6"/>
  <c r="AM446" i="6"/>
  <c r="AM459" i="6"/>
  <c r="AM473" i="6"/>
  <c r="AM481" i="6"/>
  <c r="AM489" i="6"/>
  <c r="AM497" i="6"/>
  <c r="AM505" i="6"/>
  <c r="AM513" i="6"/>
  <c r="AM372" i="6"/>
  <c r="AM486" i="6"/>
  <c r="AM494" i="6"/>
  <c r="AM502" i="6"/>
  <c r="AM438" i="6"/>
  <c r="AM264" i="6"/>
  <c r="AM480" i="6"/>
  <c r="AM444" i="6"/>
  <c r="AM449" i="6"/>
  <c r="AM348" i="6"/>
  <c r="AM354" i="6"/>
  <c r="AM471" i="6"/>
  <c r="AM479" i="6"/>
  <c r="AM509" i="6"/>
  <c r="AM512" i="6"/>
  <c r="AM515" i="6"/>
  <c r="AM501" i="6"/>
  <c r="AM504" i="6"/>
  <c r="AM485" i="6"/>
  <c r="AM488" i="6"/>
  <c r="AM468" i="6"/>
  <c r="AM475" i="6"/>
  <c r="AM507" i="6"/>
  <c r="AM454" i="6"/>
  <c r="AM428" i="6"/>
  <c r="AM465" i="6"/>
  <c r="AM472" i="6"/>
  <c r="AM493" i="6"/>
  <c r="AM496" i="6"/>
  <c r="AM499" i="6"/>
  <c r="AM417" i="6"/>
  <c r="AM420" i="6"/>
  <c r="AM491" i="6"/>
  <c r="AM483" i="6"/>
  <c r="AM402" i="6"/>
  <c r="BT267" i="6"/>
  <c r="BT269" i="6"/>
  <c r="BT270" i="6"/>
  <c r="BT271" i="6"/>
  <c r="BT273" i="6"/>
  <c r="BT276" i="6"/>
  <c r="BT266" i="6"/>
  <c r="BT268" i="6"/>
  <c r="BT265" i="6"/>
  <c r="BT285" i="6"/>
  <c r="BT282" i="6"/>
  <c r="BT280" i="6"/>
  <c r="BT274" i="6"/>
  <c r="BT279" i="6"/>
  <c r="BT283" i="6"/>
  <c r="BT293" i="6"/>
  <c r="BT301" i="6"/>
  <c r="BT286" i="6"/>
  <c r="BT290" i="6"/>
  <c r="BT298" i="6"/>
  <c r="BT295" i="6"/>
  <c r="BT275" i="6"/>
  <c r="BT288" i="6"/>
  <c r="BT287" i="6"/>
  <c r="BT291" i="6"/>
  <c r="BT305" i="6"/>
  <c r="BT307" i="6"/>
  <c r="BT294" i="6"/>
  <c r="BT297" i="6"/>
  <c r="BT272" i="6"/>
  <c r="BT278" i="6"/>
  <c r="BT299" i="6"/>
  <c r="BT303" i="6"/>
  <c r="BT277" i="6"/>
  <c r="BT289" i="6"/>
  <c r="BT308" i="6"/>
  <c r="BT316" i="6"/>
  <c r="BT324" i="6"/>
  <c r="BT284" i="6"/>
  <c r="BT292" i="6"/>
  <c r="BT311" i="6"/>
  <c r="BT313" i="6"/>
  <c r="BT321" i="6"/>
  <c r="BT300" i="6"/>
  <c r="BT317" i="6"/>
  <c r="BT330" i="6"/>
  <c r="BT320" i="6"/>
  <c r="BT327" i="6"/>
  <c r="BT335" i="6"/>
  <c r="BT281" i="6"/>
  <c r="BT304" i="6"/>
  <c r="BT310" i="6"/>
  <c r="BT323" i="6"/>
  <c r="BT332" i="6"/>
  <c r="BT340" i="6"/>
  <c r="BT348" i="6"/>
  <c r="BT312" i="6"/>
  <c r="BT329" i="6"/>
  <c r="BT337" i="6"/>
  <c r="BT345" i="6"/>
  <c r="BT319" i="6"/>
  <c r="BT326" i="6"/>
  <c r="BT344" i="6"/>
  <c r="BT354" i="6"/>
  <c r="BT362" i="6"/>
  <c r="BT322" i="6"/>
  <c r="BT331" i="6"/>
  <c r="BT347" i="6"/>
  <c r="BT351" i="6"/>
  <c r="BT359" i="6"/>
  <c r="BT302" i="6"/>
  <c r="BT306" i="6"/>
  <c r="BT336" i="6"/>
  <c r="BT356" i="6"/>
  <c r="BT364" i="6"/>
  <c r="BT372" i="6"/>
  <c r="BT380" i="6"/>
  <c r="BT314" i="6"/>
  <c r="BT325" i="6"/>
  <c r="BT339" i="6"/>
  <c r="BT343" i="6"/>
  <c r="BT353" i="6"/>
  <c r="BT361" i="6"/>
  <c r="BT369" i="6"/>
  <c r="BT377" i="6"/>
  <c r="BT334" i="6"/>
  <c r="BT342" i="6"/>
  <c r="BT358" i="6"/>
  <c r="BT367" i="6"/>
  <c r="BT381" i="6"/>
  <c r="BT387" i="6"/>
  <c r="BT395" i="6"/>
  <c r="BT403" i="6"/>
  <c r="BT318" i="6"/>
  <c r="BT363" i="6"/>
  <c r="BT366" i="6"/>
  <c r="BT370" i="6"/>
  <c r="BT383" i="6"/>
  <c r="BT384" i="6"/>
  <c r="BT392" i="6"/>
  <c r="BT352" i="6"/>
  <c r="BT373" i="6"/>
  <c r="BT389" i="6"/>
  <c r="BT333" i="6"/>
  <c r="BT357" i="6"/>
  <c r="BT376" i="6"/>
  <c r="BT386" i="6"/>
  <c r="BT394" i="6"/>
  <c r="BT402" i="6"/>
  <c r="BT315" i="6"/>
  <c r="BT346" i="6"/>
  <c r="BT350" i="6"/>
  <c r="BT391" i="6"/>
  <c r="BT398" i="6"/>
  <c r="BT405" i="6"/>
  <c r="BT411" i="6"/>
  <c r="BT396" i="6"/>
  <c r="BT401" i="6"/>
  <c r="BT408" i="6"/>
  <c r="BT360" i="6"/>
  <c r="BT375" i="6"/>
  <c r="BT385" i="6"/>
  <c r="BT397" i="6"/>
  <c r="BT406" i="6"/>
  <c r="BT413" i="6"/>
  <c r="BT421" i="6"/>
  <c r="BT429" i="6"/>
  <c r="BT296" i="6"/>
  <c r="BT341" i="6"/>
  <c r="BT378" i="6"/>
  <c r="BT390" i="6"/>
  <c r="BT400" i="6"/>
  <c r="BT407" i="6"/>
  <c r="BT410" i="6"/>
  <c r="BT418" i="6"/>
  <c r="BT426" i="6"/>
  <c r="BT434" i="6"/>
  <c r="BT365" i="6"/>
  <c r="BT415" i="6"/>
  <c r="BT420" i="6"/>
  <c r="BT424" i="6"/>
  <c r="BT438" i="6"/>
  <c r="BT446" i="6"/>
  <c r="BT454" i="6"/>
  <c r="BT349" i="6"/>
  <c r="BT388" i="6"/>
  <c r="BT399" i="6"/>
  <c r="BT423" i="6"/>
  <c r="BT427" i="6"/>
  <c r="BT435" i="6"/>
  <c r="BT443" i="6"/>
  <c r="BT451" i="6"/>
  <c r="BT328" i="6"/>
  <c r="BT338" i="6"/>
  <c r="BT371" i="6"/>
  <c r="BT409" i="6"/>
  <c r="BT430" i="6"/>
  <c r="BT440" i="6"/>
  <c r="BT448" i="6"/>
  <c r="BT456" i="6"/>
  <c r="BT464" i="6"/>
  <c r="BT472" i="6"/>
  <c r="BT382" i="6"/>
  <c r="BT414" i="6"/>
  <c r="BT416" i="6"/>
  <c r="BT419" i="6"/>
  <c r="BT433" i="6"/>
  <c r="BT437" i="6"/>
  <c r="BT445" i="6"/>
  <c r="BT453" i="6"/>
  <c r="BT461" i="6"/>
  <c r="BT469" i="6"/>
  <c r="BT477" i="6"/>
  <c r="BT422" i="6"/>
  <c r="BT442" i="6"/>
  <c r="BT458" i="6"/>
  <c r="BT471" i="6"/>
  <c r="BT475" i="6"/>
  <c r="BT485" i="6"/>
  <c r="BT493" i="6"/>
  <c r="BT501" i="6"/>
  <c r="BT509" i="6"/>
  <c r="BT264" i="6"/>
  <c r="BT489" i="6"/>
  <c r="BT497" i="6"/>
  <c r="BT513" i="6"/>
  <c r="BT355" i="6"/>
  <c r="BT368" i="6"/>
  <c r="BT412" i="6"/>
  <c r="BT425" i="6"/>
  <c r="BT447" i="6"/>
  <c r="BT460" i="6"/>
  <c r="BT474" i="6"/>
  <c r="BT478" i="6"/>
  <c r="BT482" i="6"/>
  <c r="BT490" i="6"/>
  <c r="BT498" i="6"/>
  <c r="BT506" i="6"/>
  <c r="BT514" i="6"/>
  <c r="BT428" i="6"/>
  <c r="BT436" i="6"/>
  <c r="BT452" i="6"/>
  <c r="BT463" i="6"/>
  <c r="BT467" i="6"/>
  <c r="BT487" i="6"/>
  <c r="BT495" i="6"/>
  <c r="BT503" i="6"/>
  <c r="BT511" i="6"/>
  <c r="BT505" i="6"/>
  <c r="BT309" i="6"/>
  <c r="BT374" i="6"/>
  <c r="BT404" i="6"/>
  <c r="BT417" i="6"/>
  <c r="BT431" i="6"/>
  <c r="BT441" i="6"/>
  <c r="BT457" i="6"/>
  <c r="BT466" i="6"/>
  <c r="BT470" i="6"/>
  <c r="BT484" i="6"/>
  <c r="BT492" i="6"/>
  <c r="BT500" i="6"/>
  <c r="BT508" i="6"/>
  <c r="BT516" i="6"/>
  <c r="BT379" i="6"/>
  <c r="BT450" i="6"/>
  <c r="BT459" i="6"/>
  <c r="BT473" i="6"/>
  <c r="BT481" i="6"/>
  <c r="BT496" i="6"/>
  <c r="BT499" i="6"/>
  <c r="BT502" i="6"/>
  <c r="BT432" i="6"/>
  <c r="BT465" i="6"/>
  <c r="BT507" i="6"/>
  <c r="BT488" i="6"/>
  <c r="BT491" i="6"/>
  <c r="BT494" i="6"/>
  <c r="BT444" i="6"/>
  <c r="BT512" i="6"/>
  <c r="BT504" i="6"/>
  <c r="BT480" i="6"/>
  <c r="BT483" i="6"/>
  <c r="BT486" i="6"/>
  <c r="BT455" i="6"/>
  <c r="BT393" i="6"/>
  <c r="BT439" i="6"/>
  <c r="BT462" i="6"/>
  <c r="BT515" i="6"/>
  <c r="BT510" i="6"/>
  <c r="BT479" i="6"/>
  <c r="BT468" i="6"/>
  <c r="BT476" i="6"/>
  <c r="BT449" i="6"/>
  <c r="CH269" i="6"/>
  <c r="CH266" i="6"/>
  <c r="CH271" i="6"/>
  <c r="CH273" i="6"/>
  <c r="CH270" i="6"/>
  <c r="CH275" i="6"/>
  <c r="CH267" i="6"/>
  <c r="CH279" i="6"/>
  <c r="CH284" i="6"/>
  <c r="CH265" i="6"/>
  <c r="CH277" i="6"/>
  <c r="CH281" i="6"/>
  <c r="CH285" i="6"/>
  <c r="CH272" i="6"/>
  <c r="CH268" i="6"/>
  <c r="CH274" i="6"/>
  <c r="CH276" i="6"/>
  <c r="CH287" i="6"/>
  <c r="CH295" i="6"/>
  <c r="CH303" i="6"/>
  <c r="CH280" i="6"/>
  <c r="CH292" i="6"/>
  <c r="CH300" i="6"/>
  <c r="CH283" i="6"/>
  <c r="CH289" i="6"/>
  <c r="CH293" i="6"/>
  <c r="CH286" i="6"/>
  <c r="CH296" i="6"/>
  <c r="CH299" i="6"/>
  <c r="CH309" i="6"/>
  <c r="CH278" i="6"/>
  <c r="CH288" i="6"/>
  <c r="CH302" i="6"/>
  <c r="CH306" i="6"/>
  <c r="CH301" i="6"/>
  <c r="CH318" i="6"/>
  <c r="CH282" i="6"/>
  <c r="CH290" i="6"/>
  <c r="CH298" i="6"/>
  <c r="CH305" i="6"/>
  <c r="CH315" i="6"/>
  <c r="CH323" i="6"/>
  <c r="CH291" i="6"/>
  <c r="CH308" i="6"/>
  <c r="CH310" i="6"/>
  <c r="CH332" i="6"/>
  <c r="CH314" i="6"/>
  <c r="CH329" i="6"/>
  <c r="CH297" i="6"/>
  <c r="CH311" i="6"/>
  <c r="CH317" i="6"/>
  <c r="CH321" i="6"/>
  <c r="CH326" i="6"/>
  <c r="CH334" i="6"/>
  <c r="CH342" i="6"/>
  <c r="CH320" i="6"/>
  <c r="CH324" i="6"/>
  <c r="CH331" i="6"/>
  <c r="CH339" i="6"/>
  <c r="CH347" i="6"/>
  <c r="CH338" i="6"/>
  <c r="CH356" i="6"/>
  <c r="CH312" i="6"/>
  <c r="CH325" i="6"/>
  <c r="CH341" i="6"/>
  <c r="CH345" i="6"/>
  <c r="CH353" i="6"/>
  <c r="CH361" i="6"/>
  <c r="CH330" i="6"/>
  <c r="CH344" i="6"/>
  <c r="CH348" i="6"/>
  <c r="CH350" i="6"/>
  <c r="CH358" i="6"/>
  <c r="CH366" i="6"/>
  <c r="CH374" i="6"/>
  <c r="CH335" i="6"/>
  <c r="CH337" i="6"/>
  <c r="CH355" i="6"/>
  <c r="CH363" i="6"/>
  <c r="CH371" i="6"/>
  <c r="CH379" i="6"/>
  <c r="CH328" i="6"/>
  <c r="CH340" i="6"/>
  <c r="CH352" i="6"/>
  <c r="CH375" i="6"/>
  <c r="CH389" i="6"/>
  <c r="CH397" i="6"/>
  <c r="CH405" i="6"/>
  <c r="CH316" i="6"/>
  <c r="CH343" i="6"/>
  <c r="CH357" i="6"/>
  <c r="CH364" i="6"/>
  <c r="CH378" i="6"/>
  <c r="CH386" i="6"/>
  <c r="CH394" i="6"/>
  <c r="CH346" i="6"/>
  <c r="CH362" i="6"/>
  <c r="CH367" i="6"/>
  <c r="CH381" i="6"/>
  <c r="CH391" i="6"/>
  <c r="CH322" i="6"/>
  <c r="CH327" i="6"/>
  <c r="CH349" i="6"/>
  <c r="CH351" i="6"/>
  <c r="CH370" i="6"/>
  <c r="CH388" i="6"/>
  <c r="CH396" i="6"/>
  <c r="CH313" i="6"/>
  <c r="CH373" i="6"/>
  <c r="CH385" i="6"/>
  <c r="CH399" i="6"/>
  <c r="CH413" i="6"/>
  <c r="CH333" i="6"/>
  <c r="CH376" i="6"/>
  <c r="CH390" i="6"/>
  <c r="CH402" i="6"/>
  <c r="CH410" i="6"/>
  <c r="CH304" i="6"/>
  <c r="CH354" i="6"/>
  <c r="CH365" i="6"/>
  <c r="CH395" i="6"/>
  <c r="CH398" i="6"/>
  <c r="CH403" i="6"/>
  <c r="CH415" i="6"/>
  <c r="CH423" i="6"/>
  <c r="CH431" i="6"/>
  <c r="CH368" i="6"/>
  <c r="CH384" i="6"/>
  <c r="CH401" i="6"/>
  <c r="CH404" i="6"/>
  <c r="CH412" i="6"/>
  <c r="CH420" i="6"/>
  <c r="CH428" i="6"/>
  <c r="CH336" i="6"/>
  <c r="CH360" i="6"/>
  <c r="CH393" i="6"/>
  <c r="CH409" i="6"/>
  <c r="CH418" i="6"/>
  <c r="CH432" i="6"/>
  <c r="CH440" i="6"/>
  <c r="CH448" i="6"/>
  <c r="CH456" i="6"/>
  <c r="CH380" i="6"/>
  <c r="CH383" i="6"/>
  <c r="CH414" i="6"/>
  <c r="CH417" i="6"/>
  <c r="CH421" i="6"/>
  <c r="CH437" i="6"/>
  <c r="CH445" i="6"/>
  <c r="CH453" i="6"/>
  <c r="CH369" i="6"/>
  <c r="CH400" i="6"/>
  <c r="CH424" i="6"/>
  <c r="CH434" i="6"/>
  <c r="CH442" i="6"/>
  <c r="CH450" i="6"/>
  <c r="CH458" i="6"/>
  <c r="CH466" i="6"/>
  <c r="CH474" i="6"/>
  <c r="CH307" i="6"/>
  <c r="CH392" i="6"/>
  <c r="CH408" i="6"/>
  <c r="CH427" i="6"/>
  <c r="CH439" i="6"/>
  <c r="CH447" i="6"/>
  <c r="CH455" i="6"/>
  <c r="CH463" i="6"/>
  <c r="CH471" i="6"/>
  <c r="CH479" i="6"/>
  <c r="CH382" i="6"/>
  <c r="CH436" i="6"/>
  <c r="CH452" i="6"/>
  <c r="CH465" i="6"/>
  <c r="CH469" i="6"/>
  <c r="CH487" i="6"/>
  <c r="CH495" i="6"/>
  <c r="CH503" i="6"/>
  <c r="CH511" i="6"/>
  <c r="CH491" i="6"/>
  <c r="CH294" i="6"/>
  <c r="CH441" i="6"/>
  <c r="CH457" i="6"/>
  <c r="CH468" i="6"/>
  <c r="CH472" i="6"/>
  <c r="CH484" i="6"/>
  <c r="CH492" i="6"/>
  <c r="CH500" i="6"/>
  <c r="CH508" i="6"/>
  <c r="CH516" i="6"/>
  <c r="CH515" i="6"/>
  <c r="CH387" i="6"/>
  <c r="CH426" i="6"/>
  <c r="CH446" i="6"/>
  <c r="CH461" i="6"/>
  <c r="CH475" i="6"/>
  <c r="CH481" i="6"/>
  <c r="CH489" i="6"/>
  <c r="CH497" i="6"/>
  <c r="CH505" i="6"/>
  <c r="CH513" i="6"/>
  <c r="CH430" i="6"/>
  <c r="CH444" i="6"/>
  <c r="CH467" i="6"/>
  <c r="CH483" i="6"/>
  <c r="CH499" i="6"/>
  <c r="CH507" i="6"/>
  <c r="CH372" i="6"/>
  <c r="CH407" i="6"/>
  <c r="CH429" i="6"/>
  <c r="CH435" i="6"/>
  <c r="CH451" i="6"/>
  <c r="CH460" i="6"/>
  <c r="CH464" i="6"/>
  <c r="CH478" i="6"/>
  <c r="CH486" i="6"/>
  <c r="CH494" i="6"/>
  <c r="CH502" i="6"/>
  <c r="CH510" i="6"/>
  <c r="CH377" i="6"/>
  <c r="CH416" i="6"/>
  <c r="CH319" i="6"/>
  <c r="CH411" i="6"/>
  <c r="CH438" i="6"/>
  <c r="CH443" i="6"/>
  <c r="CH482" i="6"/>
  <c r="CH359" i="6"/>
  <c r="CH476" i="6"/>
  <c r="CH514" i="6"/>
  <c r="CH264" i="6"/>
  <c r="CH512" i="6"/>
  <c r="CH425" i="6"/>
  <c r="CH493" i="6"/>
  <c r="CH496" i="6"/>
  <c r="CH454" i="6"/>
  <c r="CH473" i="6"/>
  <c r="CH506" i="6"/>
  <c r="CH509" i="6"/>
  <c r="CH490" i="6"/>
  <c r="CH485" i="6"/>
  <c r="CH488" i="6"/>
  <c r="CH480" i="6"/>
  <c r="CH449" i="6"/>
  <c r="CH433" i="6"/>
  <c r="CH462" i="6"/>
  <c r="CH470" i="6"/>
  <c r="CH477" i="6"/>
  <c r="CH498" i="6"/>
  <c r="CH501" i="6"/>
  <c r="CH504" i="6"/>
  <c r="CH406" i="6"/>
  <c r="CH419" i="6"/>
  <c r="CH422" i="6"/>
  <c r="CH459" i="6"/>
  <c r="AX265" i="6"/>
  <c r="AX270" i="6"/>
  <c r="AX267" i="6"/>
  <c r="AX269" i="6"/>
  <c r="AX274" i="6"/>
  <c r="AX266" i="6"/>
  <c r="AX272" i="6"/>
  <c r="AX273" i="6"/>
  <c r="AX278" i="6"/>
  <c r="AX283" i="6"/>
  <c r="AX277" i="6"/>
  <c r="AX280" i="6"/>
  <c r="AX275" i="6"/>
  <c r="AX279" i="6"/>
  <c r="AX291" i="6"/>
  <c r="AX299" i="6"/>
  <c r="AX282" i="6"/>
  <c r="AX286" i="6"/>
  <c r="AX288" i="6"/>
  <c r="AX296" i="6"/>
  <c r="AX304" i="6"/>
  <c r="AX285" i="6"/>
  <c r="AX295" i="6"/>
  <c r="AX298" i="6"/>
  <c r="AX271" i="6"/>
  <c r="AX301" i="6"/>
  <c r="AX305" i="6"/>
  <c r="AX290" i="6"/>
  <c r="AX294" i="6"/>
  <c r="AX310" i="6"/>
  <c r="AX268" i="6"/>
  <c r="AX276" i="6"/>
  <c r="AX297" i="6"/>
  <c r="AX300" i="6"/>
  <c r="AX281" i="6"/>
  <c r="AX289" i="6"/>
  <c r="AX302" i="6"/>
  <c r="AX308" i="6"/>
  <c r="AX314" i="6"/>
  <c r="AX322" i="6"/>
  <c r="AX292" i="6"/>
  <c r="AX307" i="6"/>
  <c r="AX311" i="6"/>
  <c r="AX319" i="6"/>
  <c r="AX313" i="6"/>
  <c r="AX317" i="6"/>
  <c r="AX328" i="6"/>
  <c r="AX336" i="6"/>
  <c r="AX303" i="6"/>
  <c r="AX316" i="6"/>
  <c r="AX320" i="6"/>
  <c r="AX325" i="6"/>
  <c r="AX333" i="6"/>
  <c r="AX323" i="6"/>
  <c r="AX330" i="6"/>
  <c r="AX338" i="6"/>
  <c r="AX346" i="6"/>
  <c r="AX284" i="6"/>
  <c r="AX327" i="6"/>
  <c r="AX335" i="6"/>
  <c r="AX343" i="6"/>
  <c r="AX293" i="6"/>
  <c r="AX340" i="6"/>
  <c r="AX344" i="6"/>
  <c r="AX352" i="6"/>
  <c r="AX360" i="6"/>
  <c r="AX329" i="6"/>
  <c r="AX347" i="6"/>
  <c r="AX357" i="6"/>
  <c r="AX334" i="6"/>
  <c r="AX354" i="6"/>
  <c r="AX362" i="6"/>
  <c r="AX370" i="6"/>
  <c r="AX378" i="6"/>
  <c r="AX309" i="6"/>
  <c r="AX339" i="6"/>
  <c r="AX351" i="6"/>
  <c r="AX359" i="6"/>
  <c r="AX367" i="6"/>
  <c r="AX375" i="6"/>
  <c r="AX383" i="6"/>
  <c r="AX315" i="6"/>
  <c r="AX342" i="6"/>
  <c r="AX356" i="6"/>
  <c r="AX377" i="6"/>
  <c r="AX381" i="6"/>
  <c r="AX385" i="6"/>
  <c r="AX393" i="6"/>
  <c r="AX401" i="6"/>
  <c r="AX345" i="6"/>
  <c r="AX361" i="6"/>
  <c r="AX366" i="6"/>
  <c r="AX380" i="6"/>
  <c r="AX390" i="6"/>
  <c r="AX306" i="6"/>
  <c r="AX321" i="6"/>
  <c r="AX326" i="6"/>
  <c r="AX348" i="6"/>
  <c r="AX350" i="6"/>
  <c r="AX369" i="6"/>
  <c r="AX373" i="6"/>
  <c r="AX387" i="6"/>
  <c r="AX395" i="6"/>
  <c r="AX337" i="6"/>
  <c r="AX355" i="6"/>
  <c r="AX372" i="6"/>
  <c r="AX376" i="6"/>
  <c r="AX384" i="6"/>
  <c r="AX392" i="6"/>
  <c r="AX400" i="6"/>
  <c r="AX332" i="6"/>
  <c r="AX389" i="6"/>
  <c r="AX407" i="6"/>
  <c r="AX409" i="6"/>
  <c r="AX318" i="6"/>
  <c r="AX349" i="6"/>
  <c r="AX353" i="6"/>
  <c r="AX364" i="6"/>
  <c r="AX394" i="6"/>
  <c r="AX414" i="6"/>
  <c r="AX411" i="6"/>
  <c r="AX419" i="6"/>
  <c r="AX427" i="6"/>
  <c r="AX363" i="6"/>
  <c r="AX388" i="6"/>
  <c r="AX408" i="6"/>
  <c r="AX416" i="6"/>
  <c r="AX424" i="6"/>
  <c r="AX432" i="6"/>
  <c r="AX379" i="6"/>
  <c r="AX413" i="6"/>
  <c r="AX420" i="6"/>
  <c r="AX436" i="6"/>
  <c r="AX444" i="6"/>
  <c r="AX452" i="6"/>
  <c r="AX368" i="6"/>
  <c r="AX399" i="6"/>
  <c r="AX423" i="6"/>
  <c r="AX434" i="6"/>
  <c r="AX441" i="6"/>
  <c r="AX449" i="6"/>
  <c r="AX457" i="6"/>
  <c r="AX391" i="6"/>
  <c r="AX402" i="6"/>
  <c r="AX426" i="6"/>
  <c r="AX430" i="6"/>
  <c r="AX438" i="6"/>
  <c r="AX446" i="6"/>
  <c r="AX454" i="6"/>
  <c r="AX462" i="6"/>
  <c r="AX470" i="6"/>
  <c r="AX478" i="6"/>
  <c r="AX324" i="6"/>
  <c r="AX331" i="6"/>
  <c r="AX341" i="6"/>
  <c r="AX374" i="6"/>
  <c r="AX412" i="6"/>
  <c r="AX415" i="6"/>
  <c r="AX429" i="6"/>
  <c r="AX433" i="6"/>
  <c r="AX435" i="6"/>
  <c r="AX443" i="6"/>
  <c r="AX451" i="6"/>
  <c r="AX459" i="6"/>
  <c r="AX467" i="6"/>
  <c r="AX475" i="6"/>
  <c r="AX365" i="6"/>
  <c r="AX397" i="6"/>
  <c r="AX403" i="6"/>
  <c r="AX422" i="6"/>
  <c r="AX440" i="6"/>
  <c r="AX456" i="6"/>
  <c r="AX471" i="6"/>
  <c r="AX483" i="6"/>
  <c r="AX491" i="6"/>
  <c r="AX499" i="6"/>
  <c r="AX507" i="6"/>
  <c r="AX515" i="6"/>
  <c r="AX469" i="6"/>
  <c r="AX511" i="6"/>
  <c r="AX410" i="6"/>
  <c r="AX386" i="6"/>
  <c r="AX405" i="6"/>
  <c r="AX425" i="6"/>
  <c r="AX445" i="6"/>
  <c r="AX460" i="6"/>
  <c r="AX474" i="6"/>
  <c r="AX480" i="6"/>
  <c r="AX488" i="6"/>
  <c r="AX496" i="6"/>
  <c r="AX504" i="6"/>
  <c r="AX512" i="6"/>
  <c r="AX503" i="6"/>
  <c r="AX382" i="6"/>
  <c r="AX287" i="6"/>
  <c r="AX428" i="6"/>
  <c r="AX450" i="6"/>
  <c r="AX463" i="6"/>
  <c r="AX477" i="6"/>
  <c r="AX485" i="6"/>
  <c r="AX493" i="6"/>
  <c r="AX501" i="6"/>
  <c r="AX509" i="6"/>
  <c r="AX264" i="6"/>
  <c r="AX312" i="6"/>
  <c r="AX418" i="6"/>
  <c r="AX448" i="6"/>
  <c r="AX398" i="6"/>
  <c r="AX417" i="6"/>
  <c r="AX431" i="6"/>
  <c r="AX439" i="6"/>
  <c r="AX455" i="6"/>
  <c r="AX466" i="6"/>
  <c r="AX482" i="6"/>
  <c r="AX490" i="6"/>
  <c r="AX498" i="6"/>
  <c r="AX506" i="6"/>
  <c r="AX514" i="6"/>
  <c r="AX404" i="6"/>
  <c r="AX473" i="6"/>
  <c r="AX487" i="6"/>
  <c r="AX495" i="6"/>
  <c r="AX510" i="6"/>
  <c r="AX513" i="6"/>
  <c r="AX516" i="6"/>
  <c r="AX472" i="6"/>
  <c r="AX476" i="6"/>
  <c r="AX447" i="6"/>
  <c r="AX421" i="6"/>
  <c r="AX502" i="6"/>
  <c r="AX505" i="6"/>
  <c r="AX508" i="6"/>
  <c r="AX484" i="6"/>
  <c r="AX371" i="6"/>
  <c r="AX458" i="6"/>
  <c r="AX468" i="6"/>
  <c r="AX396" i="6"/>
  <c r="AX437" i="6"/>
  <c r="AX406" i="6"/>
  <c r="AX494" i="6"/>
  <c r="AX497" i="6"/>
  <c r="AX500" i="6"/>
  <c r="AX479" i="6"/>
  <c r="AX453" i="6"/>
  <c r="AX461" i="6"/>
  <c r="AX486" i="6"/>
  <c r="AX489" i="6"/>
  <c r="AX492" i="6"/>
  <c r="AX481" i="6"/>
  <c r="AX464" i="6"/>
  <c r="AX358" i="6"/>
  <c r="AX442" i="6"/>
  <c r="AX465" i="6"/>
  <c r="AV267" i="6"/>
  <c r="AV269" i="6"/>
  <c r="AV266" i="6"/>
  <c r="AV270" i="6"/>
  <c r="AV273" i="6"/>
  <c r="AV268" i="6"/>
  <c r="AV276" i="6"/>
  <c r="AV265" i="6"/>
  <c r="AV285" i="6"/>
  <c r="AV282" i="6"/>
  <c r="AV279" i="6"/>
  <c r="AV283" i="6"/>
  <c r="AV277" i="6"/>
  <c r="AV286" i="6"/>
  <c r="AV293" i="6"/>
  <c r="AV301" i="6"/>
  <c r="AV290" i="6"/>
  <c r="AV298" i="6"/>
  <c r="AV271" i="6"/>
  <c r="AV272" i="6"/>
  <c r="AV291" i="6"/>
  <c r="AV294" i="6"/>
  <c r="AV297" i="6"/>
  <c r="AV307" i="6"/>
  <c r="AV274" i="6"/>
  <c r="AV275" i="6"/>
  <c r="AV280" i="6"/>
  <c r="AV300" i="6"/>
  <c r="AV304" i="6"/>
  <c r="AV281" i="6"/>
  <c r="AV289" i="6"/>
  <c r="AV302" i="6"/>
  <c r="AV308" i="6"/>
  <c r="AV292" i="6"/>
  <c r="AV295" i="6"/>
  <c r="AV316" i="6"/>
  <c r="AV324" i="6"/>
  <c r="AV303" i="6"/>
  <c r="AV313" i="6"/>
  <c r="AV321" i="6"/>
  <c r="AV310" i="6"/>
  <c r="AV323" i="6"/>
  <c r="AV330" i="6"/>
  <c r="AV284" i="6"/>
  <c r="AV296" i="6"/>
  <c r="AV299" i="6"/>
  <c r="AV327" i="6"/>
  <c r="AV335" i="6"/>
  <c r="AV312" i="6"/>
  <c r="AV315" i="6"/>
  <c r="AV319" i="6"/>
  <c r="AV332" i="6"/>
  <c r="AV340" i="6"/>
  <c r="AV348" i="6"/>
  <c r="AV318" i="6"/>
  <c r="AV322" i="6"/>
  <c r="AV329" i="6"/>
  <c r="AV337" i="6"/>
  <c r="AV345" i="6"/>
  <c r="AV334" i="6"/>
  <c r="AV354" i="6"/>
  <c r="AV362" i="6"/>
  <c r="AV309" i="6"/>
  <c r="AV314" i="6"/>
  <c r="AV339" i="6"/>
  <c r="AV343" i="6"/>
  <c r="AV351" i="6"/>
  <c r="AV359" i="6"/>
  <c r="AV311" i="6"/>
  <c r="AV317" i="6"/>
  <c r="AV328" i="6"/>
  <c r="AV342" i="6"/>
  <c r="AV346" i="6"/>
  <c r="AV356" i="6"/>
  <c r="AV364" i="6"/>
  <c r="AV372" i="6"/>
  <c r="AV380" i="6"/>
  <c r="AV320" i="6"/>
  <c r="AV333" i="6"/>
  <c r="AV349" i="6"/>
  <c r="AV353" i="6"/>
  <c r="AV361" i="6"/>
  <c r="AV369" i="6"/>
  <c r="AV377" i="6"/>
  <c r="AV278" i="6"/>
  <c r="AV306" i="6"/>
  <c r="AV326" i="6"/>
  <c r="AV350" i="6"/>
  <c r="AV373" i="6"/>
  <c r="AV387" i="6"/>
  <c r="AV395" i="6"/>
  <c r="AV403" i="6"/>
  <c r="AV305" i="6"/>
  <c r="AV355" i="6"/>
  <c r="AV376" i="6"/>
  <c r="AV384" i="6"/>
  <c r="AV392" i="6"/>
  <c r="AV336" i="6"/>
  <c r="AV360" i="6"/>
  <c r="AV365" i="6"/>
  <c r="AV379" i="6"/>
  <c r="AV389" i="6"/>
  <c r="AV397" i="6"/>
  <c r="AV288" i="6"/>
  <c r="AV325" i="6"/>
  <c r="AV368" i="6"/>
  <c r="AV382" i="6"/>
  <c r="AV386" i="6"/>
  <c r="AV394" i="6"/>
  <c r="AV402" i="6"/>
  <c r="AV338" i="6"/>
  <c r="AV375" i="6"/>
  <c r="AV411" i="6"/>
  <c r="AV363" i="6"/>
  <c r="AV378" i="6"/>
  <c r="AV388" i="6"/>
  <c r="AV400" i="6"/>
  <c r="AV408" i="6"/>
  <c r="AV344" i="6"/>
  <c r="AV352" i="6"/>
  <c r="AV367" i="6"/>
  <c r="AV381" i="6"/>
  <c r="AV393" i="6"/>
  <c r="AV404" i="6"/>
  <c r="AV413" i="6"/>
  <c r="AV421" i="6"/>
  <c r="AV429" i="6"/>
  <c r="AV370" i="6"/>
  <c r="AV399" i="6"/>
  <c r="AV405" i="6"/>
  <c r="AV410" i="6"/>
  <c r="AV418" i="6"/>
  <c r="AV426" i="6"/>
  <c r="AV434" i="6"/>
  <c r="AV383" i="6"/>
  <c r="AV391" i="6"/>
  <c r="AV430" i="6"/>
  <c r="AV438" i="6"/>
  <c r="AV446" i="6"/>
  <c r="AV454" i="6"/>
  <c r="AV331" i="6"/>
  <c r="AV341" i="6"/>
  <c r="AV374" i="6"/>
  <c r="AV412" i="6"/>
  <c r="AV415" i="6"/>
  <c r="AV419" i="6"/>
  <c r="AV433" i="6"/>
  <c r="AV435" i="6"/>
  <c r="AV443" i="6"/>
  <c r="AV451" i="6"/>
  <c r="AV422" i="6"/>
  <c r="AV440" i="6"/>
  <c r="AV448" i="6"/>
  <c r="AV456" i="6"/>
  <c r="AV464" i="6"/>
  <c r="AV472" i="6"/>
  <c r="AV357" i="6"/>
  <c r="AV390" i="6"/>
  <c r="AV425" i="6"/>
  <c r="AV437" i="6"/>
  <c r="AV445" i="6"/>
  <c r="AV453" i="6"/>
  <c r="AV461" i="6"/>
  <c r="AV469" i="6"/>
  <c r="AV477" i="6"/>
  <c r="AV287" i="6"/>
  <c r="AV416" i="6"/>
  <c r="AV428" i="6"/>
  <c r="AV450" i="6"/>
  <c r="AV463" i="6"/>
  <c r="AV467" i="6"/>
  <c r="AV485" i="6"/>
  <c r="AV493" i="6"/>
  <c r="AV501" i="6"/>
  <c r="AV509" i="6"/>
  <c r="AV264" i="6"/>
  <c r="AV513" i="6"/>
  <c r="AV417" i="6"/>
  <c r="AV431" i="6"/>
  <c r="AV439" i="6"/>
  <c r="AV455" i="6"/>
  <c r="AV466" i="6"/>
  <c r="AV470" i="6"/>
  <c r="AV482" i="6"/>
  <c r="AV490" i="6"/>
  <c r="AV498" i="6"/>
  <c r="AV506" i="6"/>
  <c r="AV514" i="6"/>
  <c r="AV489" i="6"/>
  <c r="AV398" i="6"/>
  <c r="AV407" i="6"/>
  <c r="AV420" i="6"/>
  <c r="AV444" i="6"/>
  <c r="AV459" i="6"/>
  <c r="AV473" i="6"/>
  <c r="AV487" i="6"/>
  <c r="AV495" i="6"/>
  <c r="AV503" i="6"/>
  <c r="AV511" i="6"/>
  <c r="AV358" i="6"/>
  <c r="AV371" i="6"/>
  <c r="AV442" i="6"/>
  <c r="AV458" i="6"/>
  <c r="AV481" i="6"/>
  <c r="AV497" i="6"/>
  <c r="AV396" i="6"/>
  <c r="AV347" i="6"/>
  <c r="AV366" i="6"/>
  <c r="AV414" i="6"/>
  <c r="AV423" i="6"/>
  <c r="AV449" i="6"/>
  <c r="AV462" i="6"/>
  <c r="AV476" i="6"/>
  <c r="AV484" i="6"/>
  <c r="AV492" i="6"/>
  <c r="AV500" i="6"/>
  <c r="AV508" i="6"/>
  <c r="AV516" i="6"/>
  <c r="AV432" i="6"/>
  <c r="AV465" i="6"/>
  <c r="AV479" i="6"/>
  <c r="AV505" i="6"/>
  <c r="AV406" i="6"/>
  <c r="AV488" i="6"/>
  <c r="AV491" i="6"/>
  <c r="AV494" i="6"/>
  <c r="AV452" i="6"/>
  <c r="AV504" i="6"/>
  <c r="AV424" i="6"/>
  <c r="AV427" i="6"/>
  <c r="AV480" i="6"/>
  <c r="AV483" i="6"/>
  <c r="AV486" i="6"/>
  <c r="AV468" i="6"/>
  <c r="AV475" i="6"/>
  <c r="AV447" i="6"/>
  <c r="AV512" i="6"/>
  <c r="AV385" i="6"/>
  <c r="AV436" i="6"/>
  <c r="AV507" i="6"/>
  <c r="AV409" i="6"/>
  <c r="AV474" i="6"/>
  <c r="AV441" i="6"/>
  <c r="AV510" i="6"/>
  <c r="AV496" i="6"/>
  <c r="AV499" i="6"/>
  <c r="AV401" i="6"/>
  <c r="AV471" i="6"/>
  <c r="AV478" i="6"/>
  <c r="AV460" i="6"/>
  <c r="AV457" i="6"/>
  <c r="AV515" i="6"/>
  <c r="AV502" i="6"/>
  <c r="BI266" i="6"/>
  <c r="BI271" i="6"/>
  <c r="BI268" i="6"/>
  <c r="BI269" i="6"/>
  <c r="BI270" i="6"/>
  <c r="BI272" i="6"/>
  <c r="BI265" i="6"/>
  <c r="BI267" i="6"/>
  <c r="BI274" i="6"/>
  <c r="BI275" i="6"/>
  <c r="BI273" i="6"/>
  <c r="BI277" i="6"/>
  <c r="BI284" i="6"/>
  <c r="BI281" i="6"/>
  <c r="BI280" i="6"/>
  <c r="BI283" i="6"/>
  <c r="BI287" i="6"/>
  <c r="BI286" i="6"/>
  <c r="BI292" i="6"/>
  <c r="BI300" i="6"/>
  <c r="BI276" i="6"/>
  <c r="BI279" i="6"/>
  <c r="BI289" i="6"/>
  <c r="BI297" i="6"/>
  <c r="BI305" i="6"/>
  <c r="BI278" i="6"/>
  <c r="BI288" i="6"/>
  <c r="BI291" i="6"/>
  <c r="BI295" i="6"/>
  <c r="BI294" i="6"/>
  <c r="BI298" i="6"/>
  <c r="BI306" i="6"/>
  <c r="BI301" i="6"/>
  <c r="BI311" i="6"/>
  <c r="BI290" i="6"/>
  <c r="BI309" i="6"/>
  <c r="BI285" i="6"/>
  <c r="BI293" i="6"/>
  <c r="BI308" i="6"/>
  <c r="BI296" i="6"/>
  <c r="BI315" i="6"/>
  <c r="BI323" i="6"/>
  <c r="BI299" i="6"/>
  <c r="BI312" i="6"/>
  <c r="BI320" i="6"/>
  <c r="BI282" i="6"/>
  <c r="BI324" i="6"/>
  <c r="BI329" i="6"/>
  <c r="BI313" i="6"/>
  <c r="BI326" i="6"/>
  <c r="BI334" i="6"/>
  <c r="BI316" i="6"/>
  <c r="BI331" i="6"/>
  <c r="BI339" i="6"/>
  <c r="BI347" i="6"/>
  <c r="BI302" i="6"/>
  <c r="BI319" i="6"/>
  <c r="BI328" i="6"/>
  <c r="BI336" i="6"/>
  <c r="BI344" i="6"/>
  <c r="BI307" i="6"/>
  <c r="BI333" i="6"/>
  <c r="BI337" i="6"/>
  <c r="BI353" i="6"/>
  <c r="BI361" i="6"/>
  <c r="BI340" i="6"/>
  <c r="BI350" i="6"/>
  <c r="BI358" i="6"/>
  <c r="BI318" i="6"/>
  <c r="BI327" i="6"/>
  <c r="BI343" i="6"/>
  <c r="BI355" i="6"/>
  <c r="BI363" i="6"/>
  <c r="BI371" i="6"/>
  <c r="BI379" i="6"/>
  <c r="BI304" i="6"/>
  <c r="BI321" i="6"/>
  <c r="BI332" i="6"/>
  <c r="BI346" i="6"/>
  <c r="BI352" i="6"/>
  <c r="BI360" i="6"/>
  <c r="BI368" i="6"/>
  <c r="BI376" i="6"/>
  <c r="BI349" i="6"/>
  <c r="BI370" i="6"/>
  <c r="BI374" i="6"/>
  <c r="BI386" i="6"/>
  <c r="BI394" i="6"/>
  <c r="BI402" i="6"/>
  <c r="BI330" i="6"/>
  <c r="BI338" i="6"/>
  <c r="BI354" i="6"/>
  <c r="BI373" i="6"/>
  <c r="BI377" i="6"/>
  <c r="BI391" i="6"/>
  <c r="BI314" i="6"/>
  <c r="BI341" i="6"/>
  <c r="BI359" i="6"/>
  <c r="BI366" i="6"/>
  <c r="BI380" i="6"/>
  <c r="BI388" i="6"/>
  <c r="BI396" i="6"/>
  <c r="BI365" i="6"/>
  <c r="BI369" i="6"/>
  <c r="BI385" i="6"/>
  <c r="BI393" i="6"/>
  <c r="BI401" i="6"/>
  <c r="BI325" i="6"/>
  <c r="BI357" i="6"/>
  <c r="BI406" i="6"/>
  <c r="BI410" i="6"/>
  <c r="BI310" i="6"/>
  <c r="BI342" i="6"/>
  <c r="BI387" i="6"/>
  <c r="BI407" i="6"/>
  <c r="BI382" i="6"/>
  <c r="BI392" i="6"/>
  <c r="BI412" i="6"/>
  <c r="BI420" i="6"/>
  <c r="BI428" i="6"/>
  <c r="BI317" i="6"/>
  <c r="BI348" i="6"/>
  <c r="BI356" i="6"/>
  <c r="BI383" i="6"/>
  <c r="BI397" i="6"/>
  <c r="BI400" i="6"/>
  <c r="BI409" i="6"/>
  <c r="BI417" i="6"/>
  <c r="BI425" i="6"/>
  <c r="BI433" i="6"/>
  <c r="BI303" i="6"/>
  <c r="BI322" i="6"/>
  <c r="BI372" i="6"/>
  <c r="BI403" i="6"/>
  <c r="BI427" i="6"/>
  <c r="BI431" i="6"/>
  <c r="BI437" i="6"/>
  <c r="BI445" i="6"/>
  <c r="BI453" i="6"/>
  <c r="BI395" i="6"/>
  <c r="BI404" i="6"/>
  <c r="BI411" i="6"/>
  <c r="BI430" i="6"/>
  <c r="BI442" i="6"/>
  <c r="BI450" i="6"/>
  <c r="BI458" i="6"/>
  <c r="BI335" i="6"/>
  <c r="BI378" i="6"/>
  <c r="BI384" i="6"/>
  <c r="BI415" i="6"/>
  <c r="BI419" i="6"/>
  <c r="BI423" i="6"/>
  <c r="BI439" i="6"/>
  <c r="BI447" i="6"/>
  <c r="BI455" i="6"/>
  <c r="BI463" i="6"/>
  <c r="BI471" i="6"/>
  <c r="BI479" i="6"/>
  <c r="BI367" i="6"/>
  <c r="BI398" i="6"/>
  <c r="BI405" i="6"/>
  <c r="BI422" i="6"/>
  <c r="BI426" i="6"/>
  <c r="BI434" i="6"/>
  <c r="BI436" i="6"/>
  <c r="BI444" i="6"/>
  <c r="BI452" i="6"/>
  <c r="BI460" i="6"/>
  <c r="BI468" i="6"/>
  <c r="BI476" i="6"/>
  <c r="BI390" i="6"/>
  <c r="BI429" i="6"/>
  <c r="BI449" i="6"/>
  <c r="BI464" i="6"/>
  <c r="BI478" i="6"/>
  <c r="BI484" i="6"/>
  <c r="BI492" i="6"/>
  <c r="BI500" i="6"/>
  <c r="BI508" i="6"/>
  <c r="BI516" i="6"/>
  <c r="BI488" i="6"/>
  <c r="BI504" i="6"/>
  <c r="BI375" i="6"/>
  <c r="BI418" i="6"/>
  <c r="BI432" i="6"/>
  <c r="BI438" i="6"/>
  <c r="BI454" i="6"/>
  <c r="BI467" i="6"/>
  <c r="BI481" i="6"/>
  <c r="BI489" i="6"/>
  <c r="BI497" i="6"/>
  <c r="BI505" i="6"/>
  <c r="BI513" i="6"/>
  <c r="BI496" i="6"/>
  <c r="BI362" i="6"/>
  <c r="BI345" i="6"/>
  <c r="BI364" i="6"/>
  <c r="BI408" i="6"/>
  <c r="BI421" i="6"/>
  <c r="BI443" i="6"/>
  <c r="BI470" i="6"/>
  <c r="BI474" i="6"/>
  <c r="BI486" i="6"/>
  <c r="BI494" i="6"/>
  <c r="BI502" i="6"/>
  <c r="BI510" i="6"/>
  <c r="BI416" i="6"/>
  <c r="BI462" i="6"/>
  <c r="BI480" i="6"/>
  <c r="BI424" i="6"/>
  <c r="BI448" i="6"/>
  <c r="BI459" i="6"/>
  <c r="BI473" i="6"/>
  <c r="BI477" i="6"/>
  <c r="BI483" i="6"/>
  <c r="BI491" i="6"/>
  <c r="BI499" i="6"/>
  <c r="BI507" i="6"/>
  <c r="BI515" i="6"/>
  <c r="BI414" i="6"/>
  <c r="BI441" i="6"/>
  <c r="BI457" i="6"/>
  <c r="BI466" i="6"/>
  <c r="BI512" i="6"/>
  <c r="BI399" i="6"/>
  <c r="BI475" i="6"/>
  <c r="BI503" i="6"/>
  <c r="BI506" i="6"/>
  <c r="BI509" i="6"/>
  <c r="BI446" i="6"/>
  <c r="BI456" i="6"/>
  <c r="BI511" i="6"/>
  <c r="BI465" i="6"/>
  <c r="BI472" i="6"/>
  <c r="BI495" i="6"/>
  <c r="BI498" i="6"/>
  <c r="BI501" i="6"/>
  <c r="BI451" i="6"/>
  <c r="BI435" i="6"/>
  <c r="BI514" i="6"/>
  <c r="BI264" i="6"/>
  <c r="BI461" i="6"/>
  <c r="BI469" i="6"/>
  <c r="BI487" i="6"/>
  <c r="BI490" i="6"/>
  <c r="BI493" i="6"/>
  <c r="BI381" i="6"/>
  <c r="BI389" i="6"/>
  <c r="BI413" i="6"/>
  <c r="BI482" i="6"/>
  <c r="BI485" i="6"/>
  <c r="BI351" i="6"/>
  <c r="BI440" i="6"/>
  <c r="Q270" i="6"/>
  <c r="Q267" i="6"/>
  <c r="Q272" i="6"/>
  <c r="Q271" i="6"/>
  <c r="Q274" i="6"/>
  <c r="Q268" i="6"/>
  <c r="Q276" i="6"/>
  <c r="Q265" i="6"/>
  <c r="Q277" i="6"/>
  <c r="Q280" i="6"/>
  <c r="Q266" i="6"/>
  <c r="Q285" i="6"/>
  <c r="Q279" i="6"/>
  <c r="Q283" i="6"/>
  <c r="Q273" i="6"/>
  <c r="Q282" i="6"/>
  <c r="Q286" i="6"/>
  <c r="Q288" i="6"/>
  <c r="Q296" i="6"/>
  <c r="Q304" i="6"/>
  <c r="Q293" i="6"/>
  <c r="Q301" i="6"/>
  <c r="Q298" i="6"/>
  <c r="Q269" i="6"/>
  <c r="Q281" i="6"/>
  <c r="Q291" i="6"/>
  <c r="Q275" i="6"/>
  <c r="Q284" i="6"/>
  <c r="Q290" i="6"/>
  <c r="Q294" i="6"/>
  <c r="Q310" i="6"/>
  <c r="Q278" i="6"/>
  <c r="Q297" i="6"/>
  <c r="Q307" i="6"/>
  <c r="Q308" i="6"/>
  <c r="Q303" i="6"/>
  <c r="Q311" i="6"/>
  <c r="Q319" i="6"/>
  <c r="Q316" i="6"/>
  <c r="Q324" i="6"/>
  <c r="Q312" i="6"/>
  <c r="Q320" i="6"/>
  <c r="Q325" i="6"/>
  <c r="Q333" i="6"/>
  <c r="Q287" i="6"/>
  <c r="Q289" i="6"/>
  <c r="Q300" i="6"/>
  <c r="Q306" i="6"/>
  <c r="Q323" i="6"/>
  <c r="Q330" i="6"/>
  <c r="Q309" i="6"/>
  <c r="Q327" i="6"/>
  <c r="Q335" i="6"/>
  <c r="Q343" i="6"/>
  <c r="Q295" i="6"/>
  <c r="Q299" i="6"/>
  <c r="Q315" i="6"/>
  <c r="Q332" i="6"/>
  <c r="Q340" i="6"/>
  <c r="Q348" i="6"/>
  <c r="Q305" i="6"/>
  <c r="Q318" i="6"/>
  <c r="Q329" i="6"/>
  <c r="Q347" i="6"/>
  <c r="Q357" i="6"/>
  <c r="Q321" i="6"/>
  <c r="Q334" i="6"/>
  <c r="Q350" i="6"/>
  <c r="Q354" i="6"/>
  <c r="Q362" i="6"/>
  <c r="Q339" i="6"/>
  <c r="Q351" i="6"/>
  <c r="Q359" i="6"/>
  <c r="Q367" i="6"/>
  <c r="Q375" i="6"/>
  <c r="Q302" i="6"/>
  <c r="Q313" i="6"/>
  <c r="Q328" i="6"/>
  <c r="Q342" i="6"/>
  <c r="Q346" i="6"/>
  <c r="Q356" i="6"/>
  <c r="Q364" i="6"/>
  <c r="Q372" i="6"/>
  <c r="Q380" i="6"/>
  <c r="Q349" i="6"/>
  <c r="Q361" i="6"/>
  <c r="Q366" i="6"/>
  <c r="Q370" i="6"/>
  <c r="Q390" i="6"/>
  <c r="Q398" i="6"/>
  <c r="Q406" i="6"/>
  <c r="Q326" i="6"/>
  <c r="Q338" i="6"/>
  <c r="Q369" i="6"/>
  <c r="Q373" i="6"/>
  <c r="Q383" i="6"/>
  <c r="Q387" i="6"/>
  <c r="Q395" i="6"/>
  <c r="Q292" i="6"/>
  <c r="Q314" i="6"/>
  <c r="Q341" i="6"/>
  <c r="Q355" i="6"/>
  <c r="Q376" i="6"/>
  <c r="Q384" i="6"/>
  <c r="Q392" i="6"/>
  <c r="Q336" i="6"/>
  <c r="Q344" i="6"/>
  <c r="Q360" i="6"/>
  <c r="Q365" i="6"/>
  <c r="Q379" i="6"/>
  <c r="Q389" i="6"/>
  <c r="Q397" i="6"/>
  <c r="Q322" i="6"/>
  <c r="Q353" i="6"/>
  <c r="Q368" i="6"/>
  <c r="Q382" i="6"/>
  <c r="Q394" i="6"/>
  <c r="Q401" i="6"/>
  <c r="Q405" i="6"/>
  <c r="Q414" i="6"/>
  <c r="Q371" i="6"/>
  <c r="Q411" i="6"/>
  <c r="Q331" i="6"/>
  <c r="Q337" i="6"/>
  <c r="Q363" i="6"/>
  <c r="Q374" i="6"/>
  <c r="Q388" i="6"/>
  <c r="Q400" i="6"/>
  <c r="Q416" i="6"/>
  <c r="Q424" i="6"/>
  <c r="Q432" i="6"/>
  <c r="Q352" i="6"/>
  <c r="Q377" i="6"/>
  <c r="Q393" i="6"/>
  <c r="Q403" i="6"/>
  <c r="Q407" i="6"/>
  <c r="Q413" i="6"/>
  <c r="Q421" i="6"/>
  <c r="Q429" i="6"/>
  <c r="Q345" i="6"/>
  <c r="Q408" i="6"/>
  <c r="Q423" i="6"/>
  <c r="Q427" i="6"/>
  <c r="Q441" i="6"/>
  <c r="Q449" i="6"/>
  <c r="Q457" i="6"/>
  <c r="Q358" i="6"/>
  <c r="Q391" i="6"/>
  <c r="Q426" i="6"/>
  <c r="Q430" i="6"/>
  <c r="Q438" i="6"/>
  <c r="Q446" i="6"/>
  <c r="Q454" i="6"/>
  <c r="Q378" i="6"/>
  <c r="Q412" i="6"/>
  <c r="Q419" i="6"/>
  <c r="Q433" i="6"/>
  <c r="Q435" i="6"/>
  <c r="Q443" i="6"/>
  <c r="Q451" i="6"/>
  <c r="Q459" i="6"/>
  <c r="Q467" i="6"/>
  <c r="Q475" i="6"/>
  <c r="Q317" i="6"/>
  <c r="Q418" i="6"/>
  <c r="Q422" i="6"/>
  <c r="Q440" i="6"/>
  <c r="Q448" i="6"/>
  <c r="Q456" i="6"/>
  <c r="Q464" i="6"/>
  <c r="Q472" i="6"/>
  <c r="Q480" i="6"/>
  <c r="Q445" i="6"/>
  <c r="Q460" i="6"/>
  <c r="Q474" i="6"/>
  <c r="Q478" i="6"/>
  <c r="Q488" i="6"/>
  <c r="Q496" i="6"/>
  <c r="Q504" i="6"/>
  <c r="Q512" i="6"/>
  <c r="Q500" i="6"/>
  <c r="Q402" i="6"/>
  <c r="Q450" i="6"/>
  <c r="Q463" i="6"/>
  <c r="Q477" i="6"/>
  <c r="Q485" i="6"/>
  <c r="Q493" i="6"/>
  <c r="Q501" i="6"/>
  <c r="Q509" i="6"/>
  <c r="Q264" i="6"/>
  <c r="Q492" i="6"/>
  <c r="Q396" i="6"/>
  <c r="Q415" i="6"/>
  <c r="Q439" i="6"/>
  <c r="Q455" i="6"/>
  <c r="Q466" i="6"/>
  <c r="Q470" i="6"/>
  <c r="Q482" i="6"/>
  <c r="Q490" i="6"/>
  <c r="Q498" i="6"/>
  <c r="Q506" i="6"/>
  <c r="Q514" i="6"/>
  <c r="Q410" i="6"/>
  <c r="Q462" i="6"/>
  <c r="Q476" i="6"/>
  <c r="Q381" i="6"/>
  <c r="Q385" i="6"/>
  <c r="Q444" i="6"/>
  <c r="Q469" i="6"/>
  <c r="Q473" i="6"/>
  <c r="Q487" i="6"/>
  <c r="Q495" i="6"/>
  <c r="Q503" i="6"/>
  <c r="Q511" i="6"/>
  <c r="Q386" i="6"/>
  <c r="Q399" i="6"/>
  <c r="Q425" i="6"/>
  <c r="Q437" i="6"/>
  <c r="Q453" i="6"/>
  <c r="Q484" i="6"/>
  <c r="Q508" i="6"/>
  <c r="Q516" i="6"/>
  <c r="Q428" i="6"/>
  <c r="Q431" i="6"/>
  <c r="Q434" i="6"/>
  <c r="Q442" i="6"/>
  <c r="Q447" i="6"/>
  <c r="Q452" i="6"/>
  <c r="Q486" i="6"/>
  <c r="Q409" i="6"/>
  <c r="Q417" i="6"/>
  <c r="Q420" i="6"/>
  <c r="Q436" i="6"/>
  <c r="Q499" i="6"/>
  <c r="Q502" i="6"/>
  <c r="Q505" i="6"/>
  <c r="Q465" i="6"/>
  <c r="Q497" i="6"/>
  <c r="Q483" i="6"/>
  <c r="Q515" i="6"/>
  <c r="Q491" i="6"/>
  <c r="Q404" i="6"/>
  <c r="Q481" i="6"/>
  <c r="Q471" i="6"/>
  <c r="Q479" i="6"/>
  <c r="Q507" i="6"/>
  <c r="Q510" i="6"/>
  <c r="Q513" i="6"/>
  <c r="Q461" i="6"/>
  <c r="Q468" i="6"/>
  <c r="Q494" i="6"/>
  <c r="Q489" i="6"/>
  <c r="Q458" i="6"/>
  <c r="BD267" i="6"/>
  <c r="BD269" i="6"/>
  <c r="BD271" i="6"/>
  <c r="BD268" i="6"/>
  <c r="BD273" i="6"/>
  <c r="BD276" i="6"/>
  <c r="BD274" i="6"/>
  <c r="BD285" i="6"/>
  <c r="BD275" i="6"/>
  <c r="BD282" i="6"/>
  <c r="BD270" i="6"/>
  <c r="BD278" i="6"/>
  <c r="BD266" i="6"/>
  <c r="BD281" i="6"/>
  <c r="BD293" i="6"/>
  <c r="BD301" i="6"/>
  <c r="BD284" i="6"/>
  <c r="BD290" i="6"/>
  <c r="BD298" i="6"/>
  <c r="BD265" i="6"/>
  <c r="BD287" i="6"/>
  <c r="BD297" i="6"/>
  <c r="BD277" i="6"/>
  <c r="BD279" i="6"/>
  <c r="BD289" i="6"/>
  <c r="BD303" i="6"/>
  <c r="BD307" i="6"/>
  <c r="BD272" i="6"/>
  <c r="BD292" i="6"/>
  <c r="BD296" i="6"/>
  <c r="BD299" i="6"/>
  <c r="BD280" i="6"/>
  <c r="BD288" i="6"/>
  <c r="BD305" i="6"/>
  <c r="BD291" i="6"/>
  <c r="BD306" i="6"/>
  <c r="BD310" i="6"/>
  <c r="BD316" i="6"/>
  <c r="BD324" i="6"/>
  <c r="BD286" i="6"/>
  <c r="BD294" i="6"/>
  <c r="BD309" i="6"/>
  <c r="BD313" i="6"/>
  <c r="BD321" i="6"/>
  <c r="BD295" i="6"/>
  <c r="BD302" i="6"/>
  <c r="BD315" i="6"/>
  <c r="BD319" i="6"/>
  <c r="BD330" i="6"/>
  <c r="BD318" i="6"/>
  <c r="BD322" i="6"/>
  <c r="BD327" i="6"/>
  <c r="BD335" i="6"/>
  <c r="BD283" i="6"/>
  <c r="BD311" i="6"/>
  <c r="BD332" i="6"/>
  <c r="BD340" i="6"/>
  <c r="BD348" i="6"/>
  <c r="BD314" i="6"/>
  <c r="BD329" i="6"/>
  <c r="BD337" i="6"/>
  <c r="BD345" i="6"/>
  <c r="BD326" i="6"/>
  <c r="BD342" i="6"/>
  <c r="BD346" i="6"/>
  <c r="BD354" i="6"/>
  <c r="BD362" i="6"/>
  <c r="BD331" i="6"/>
  <c r="BD349" i="6"/>
  <c r="BD351" i="6"/>
  <c r="BD359" i="6"/>
  <c r="BD304" i="6"/>
  <c r="BD308" i="6"/>
  <c r="BD336" i="6"/>
  <c r="BD338" i="6"/>
  <c r="BD356" i="6"/>
  <c r="BD364" i="6"/>
  <c r="BD372" i="6"/>
  <c r="BD380" i="6"/>
  <c r="BD325" i="6"/>
  <c r="BD341" i="6"/>
  <c r="BD353" i="6"/>
  <c r="BD361" i="6"/>
  <c r="BD369" i="6"/>
  <c r="BD377" i="6"/>
  <c r="BD300" i="6"/>
  <c r="BD344" i="6"/>
  <c r="BD358" i="6"/>
  <c r="BD365" i="6"/>
  <c r="BD379" i="6"/>
  <c r="BD387" i="6"/>
  <c r="BD395" i="6"/>
  <c r="BD403" i="6"/>
  <c r="BD320" i="6"/>
  <c r="BD347" i="6"/>
  <c r="BD363" i="6"/>
  <c r="BD368" i="6"/>
  <c r="BD382" i="6"/>
  <c r="BD384" i="6"/>
  <c r="BD392" i="6"/>
  <c r="BD328" i="6"/>
  <c r="BD352" i="6"/>
  <c r="BD371" i="6"/>
  <c r="BD375" i="6"/>
  <c r="BD389" i="6"/>
  <c r="BD397" i="6"/>
  <c r="BD339" i="6"/>
  <c r="BD357" i="6"/>
  <c r="BD374" i="6"/>
  <c r="BD378" i="6"/>
  <c r="BD383" i="6"/>
  <c r="BD386" i="6"/>
  <c r="BD394" i="6"/>
  <c r="BD402" i="6"/>
  <c r="BD317" i="6"/>
  <c r="BD334" i="6"/>
  <c r="BD391" i="6"/>
  <c r="BD411" i="6"/>
  <c r="BD355" i="6"/>
  <c r="BD366" i="6"/>
  <c r="BD396" i="6"/>
  <c r="BD399" i="6"/>
  <c r="BD404" i="6"/>
  <c r="BD408" i="6"/>
  <c r="BD385" i="6"/>
  <c r="BD405" i="6"/>
  <c r="BD413" i="6"/>
  <c r="BD421" i="6"/>
  <c r="BD429" i="6"/>
  <c r="BD343" i="6"/>
  <c r="BD390" i="6"/>
  <c r="BD410" i="6"/>
  <c r="BD418" i="6"/>
  <c r="BD426" i="6"/>
  <c r="BD434" i="6"/>
  <c r="BD350" i="6"/>
  <c r="BD367" i="6"/>
  <c r="BD398" i="6"/>
  <c r="BD406" i="6"/>
  <c r="BD422" i="6"/>
  <c r="BD438" i="6"/>
  <c r="BD446" i="6"/>
  <c r="BD454" i="6"/>
  <c r="BD401" i="6"/>
  <c r="BD407" i="6"/>
  <c r="BD416" i="6"/>
  <c r="BD425" i="6"/>
  <c r="BD435" i="6"/>
  <c r="BD443" i="6"/>
  <c r="BD451" i="6"/>
  <c r="BD373" i="6"/>
  <c r="BD393" i="6"/>
  <c r="BD409" i="6"/>
  <c r="BD428" i="6"/>
  <c r="BD432" i="6"/>
  <c r="BD440" i="6"/>
  <c r="BD448" i="6"/>
  <c r="BD456" i="6"/>
  <c r="BD464" i="6"/>
  <c r="BD472" i="6"/>
  <c r="BD414" i="6"/>
  <c r="BD417" i="6"/>
  <c r="BD431" i="6"/>
  <c r="BD437" i="6"/>
  <c r="BD445" i="6"/>
  <c r="BD453" i="6"/>
  <c r="BD461" i="6"/>
  <c r="BD469" i="6"/>
  <c r="BD477" i="6"/>
  <c r="BD424" i="6"/>
  <c r="BD442" i="6"/>
  <c r="BD458" i="6"/>
  <c r="BD459" i="6"/>
  <c r="BD473" i="6"/>
  <c r="BD485" i="6"/>
  <c r="BD493" i="6"/>
  <c r="BD501" i="6"/>
  <c r="BD509" i="6"/>
  <c r="BD264" i="6"/>
  <c r="BD370" i="6"/>
  <c r="BD388" i="6"/>
  <c r="BD427" i="6"/>
  <c r="BD447" i="6"/>
  <c r="BD462" i="6"/>
  <c r="BD476" i="6"/>
  <c r="BD482" i="6"/>
  <c r="BD490" i="6"/>
  <c r="BD498" i="6"/>
  <c r="BD506" i="6"/>
  <c r="BD514" i="6"/>
  <c r="BD505" i="6"/>
  <c r="BD513" i="6"/>
  <c r="BD360" i="6"/>
  <c r="BD430" i="6"/>
  <c r="BD436" i="6"/>
  <c r="BD452" i="6"/>
  <c r="BD465" i="6"/>
  <c r="BD479" i="6"/>
  <c r="BD487" i="6"/>
  <c r="BD495" i="6"/>
  <c r="BD503" i="6"/>
  <c r="BD511" i="6"/>
  <c r="BD450" i="6"/>
  <c r="BD471" i="6"/>
  <c r="BD412" i="6"/>
  <c r="BD333" i="6"/>
  <c r="BD376" i="6"/>
  <c r="BD419" i="6"/>
  <c r="BD433" i="6"/>
  <c r="BD441" i="6"/>
  <c r="BD457" i="6"/>
  <c r="BD468" i="6"/>
  <c r="BD484" i="6"/>
  <c r="BD492" i="6"/>
  <c r="BD500" i="6"/>
  <c r="BD508" i="6"/>
  <c r="BD516" i="6"/>
  <c r="BD381" i="6"/>
  <c r="BD420" i="6"/>
  <c r="BD475" i="6"/>
  <c r="BD481" i="6"/>
  <c r="BD489" i="6"/>
  <c r="BD497" i="6"/>
  <c r="BD512" i="6"/>
  <c r="BD515" i="6"/>
  <c r="BD467" i="6"/>
  <c r="BD400" i="6"/>
  <c r="BD415" i="6"/>
  <c r="BD504" i="6"/>
  <c r="BD507" i="6"/>
  <c r="BD510" i="6"/>
  <c r="BD502" i="6"/>
  <c r="BD423" i="6"/>
  <c r="BD478" i="6"/>
  <c r="BD480" i="6"/>
  <c r="BD323" i="6"/>
  <c r="BD455" i="6"/>
  <c r="BD496" i="6"/>
  <c r="BD499" i="6"/>
  <c r="BD470" i="6"/>
  <c r="BD483" i="6"/>
  <c r="BD486" i="6"/>
  <c r="BD312" i="6"/>
  <c r="BD460" i="6"/>
  <c r="BD439" i="6"/>
  <c r="BD444" i="6"/>
  <c r="BD449" i="6"/>
  <c r="BD466" i="6"/>
  <c r="BD474" i="6"/>
  <c r="BD488" i="6"/>
  <c r="BD491" i="6"/>
  <c r="BD494" i="6"/>
  <c r="BD463" i="6"/>
  <c r="CR267" i="6"/>
  <c r="CR269" i="6"/>
  <c r="CR270" i="6"/>
  <c r="CR271" i="6"/>
  <c r="CR273" i="6"/>
  <c r="CR276" i="6"/>
  <c r="CR265" i="6"/>
  <c r="CR268" i="6"/>
  <c r="CR266" i="6"/>
  <c r="CR272" i="6"/>
  <c r="CR285" i="6"/>
  <c r="CR282" i="6"/>
  <c r="CR281" i="6"/>
  <c r="CR284" i="6"/>
  <c r="CR293" i="6"/>
  <c r="CR301" i="6"/>
  <c r="CR275" i="6"/>
  <c r="CR280" i="6"/>
  <c r="CR290" i="6"/>
  <c r="CR298" i="6"/>
  <c r="CR279" i="6"/>
  <c r="CR289" i="6"/>
  <c r="CR292" i="6"/>
  <c r="CR296" i="6"/>
  <c r="CR295" i="6"/>
  <c r="CR299" i="6"/>
  <c r="CR307" i="6"/>
  <c r="CR288" i="6"/>
  <c r="CR302" i="6"/>
  <c r="CR291" i="6"/>
  <c r="CR306" i="6"/>
  <c r="CR294" i="6"/>
  <c r="CR309" i="6"/>
  <c r="CR297" i="6"/>
  <c r="CR300" i="6"/>
  <c r="CR316" i="6"/>
  <c r="CR324" i="6"/>
  <c r="CR286" i="6"/>
  <c r="CR305" i="6"/>
  <c r="CR313" i="6"/>
  <c r="CR321" i="6"/>
  <c r="CR304" i="6"/>
  <c r="CR311" i="6"/>
  <c r="CR330" i="6"/>
  <c r="CR314" i="6"/>
  <c r="CR327" i="6"/>
  <c r="CR335" i="6"/>
  <c r="CR317" i="6"/>
  <c r="CR332" i="6"/>
  <c r="CR340" i="6"/>
  <c r="CR348" i="6"/>
  <c r="CR277" i="6"/>
  <c r="CR278" i="6"/>
  <c r="CR320" i="6"/>
  <c r="CR329" i="6"/>
  <c r="CR337" i="6"/>
  <c r="CR345" i="6"/>
  <c r="CR287" i="6"/>
  <c r="CR308" i="6"/>
  <c r="CR334" i="6"/>
  <c r="CR338" i="6"/>
  <c r="CR354" i="6"/>
  <c r="CR362" i="6"/>
  <c r="CR341" i="6"/>
  <c r="CR351" i="6"/>
  <c r="CR359" i="6"/>
  <c r="CR319" i="6"/>
  <c r="CR328" i="6"/>
  <c r="CR344" i="6"/>
  <c r="CR356" i="6"/>
  <c r="CR364" i="6"/>
  <c r="CR372" i="6"/>
  <c r="CR380" i="6"/>
  <c r="CR274" i="6"/>
  <c r="CR303" i="6"/>
  <c r="CR322" i="6"/>
  <c r="CR333" i="6"/>
  <c r="CR347" i="6"/>
  <c r="CR353" i="6"/>
  <c r="CR361" i="6"/>
  <c r="CR369" i="6"/>
  <c r="CR377" i="6"/>
  <c r="CR336" i="6"/>
  <c r="CR350" i="6"/>
  <c r="CR371" i="6"/>
  <c r="CR375" i="6"/>
  <c r="CR387" i="6"/>
  <c r="CR395" i="6"/>
  <c r="CR403" i="6"/>
  <c r="CR310" i="6"/>
  <c r="CR331" i="6"/>
  <c r="CR339" i="6"/>
  <c r="CR355" i="6"/>
  <c r="CR374" i="6"/>
  <c r="CR378" i="6"/>
  <c r="CR384" i="6"/>
  <c r="CR392" i="6"/>
  <c r="CR315" i="6"/>
  <c r="CR342" i="6"/>
  <c r="CR360" i="6"/>
  <c r="CR367" i="6"/>
  <c r="CR381" i="6"/>
  <c r="CR389" i="6"/>
  <c r="CR366" i="6"/>
  <c r="CR370" i="6"/>
  <c r="CR386" i="6"/>
  <c r="CR394" i="6"/>
  <c r="CR402" i="6"/>
  <c r="CR283" i="6"/>
  <c r="CR323" i="6"/>
  <c r="CR326" i="6"/>
  <c r="CR358" i="6"/>
  <c r="CR382" i="6"/>
  <c r="CR407" i="6"/>
  <c r="CR411" i="6"/>
  <c r="CR312" i="6"/>
  <c r="CR343" i="6"/>
  <c r="CR388" i="6"/>
  <c r="CR408" i="6"/>
  <c r="CR383" i="6"/>
  <c r="CR393" i="6"/>
  <c r="CR398" i="6"/>
  <c r="CR413" i="6"/>
  <c r="CR421" i="6"/>
  <c r="CR429" i="6"/>
  <c r="CR349" i="6"/>
  <c r="CR357" i="6"/>
  <c r="CR401" i="6"/>
  <c r="CR410" i="6"/>
  <c r="CR418" i="6"/>
  <c r="CR426" i="6"/>
  <c r="CR373" i="6"/>
  <c r="CR404" i="6"/>
  <c r="CR428" i="6"/>
  <c r="CR432" i="6"/>
  <c r="CR438" i="6"/>
  <c r="CR446" i="6"/>
  <c r="CR454" i="6"/>
  <c r="CR396" i="6"/>
  <c r="CR405" i="6"/>
  <c r="CR412" i="6"/>
  <c r="CR417" i="6"/>
  <c r="CR431" i="6"/>
  <c r="CR435" i="6"/>
  <c r="CR443" i="6"/>
  <c r="CR451" i="6"/>
  <c r="CR346" i="6"/>
  <c r="CR379" i="6"/>
  <c r="CR385" i="6"/>
  <c r="CR420" i="6"/>
  <c r="CR424" i="6"/>
  <c r="CR440" i="6"/>
  <c r="CR448" i="6"/>
  <c r="CR456" i="6"/>
  <c r="CR464" i="6"/>
  <c r="CR472" i="6"/>
  <c r="CR318" i="6"/>
  <c r="CR325" i="6"/>
  <c r="CR368" i="6"/>
  <c r="CR399" i="6"/>
  <c r="CR406" i="6"/>
  <c r="CR423" i="6"/>
  <c r="CR427" i="6"/>
  <c r="CR437" i="6"/>
  <c r="CR445" i="6"/>
  <c r="CR453" i="6"/>
  <c r="CR461" i="6"/>
  <c r="CR469" i="6"/>
  <c r="CR477" i="6"/>
  <c r="CR391" i="6"/>
  <c r="CR397" i="6"/>
  <c r="CR416" i="6"/>
  <c r="CR430" i="6"/>
  <c r="CR434" i="6"/>
  <c r="CR450" i="6"/>
  <c r="CR465" i="6"/>
  <c r="CR479" i="6"/>
  <c r="CR485" i="6"/>
  <c r="CR493" i="6"/>
  <c r="CR501" i="6"/>
  <c r="CR509" i="6"/>
  <c r="CR264" i="6"/>
  <c r="CR505" i="6"/>
  <c r="CR513" i="6"/>
  <c r="CR400" i="6"/>
  <c r="CR419" i="6"/>
  <c r="CR433" i="6"/>
  <c r="CR439" i="6"/>
  <c r="CR455" i="6"/>
  <c r="CR468" i="6"/>
  <c r="CR482" i="6"/>
  <c r="CR490" i="6"/>
  <c r="CR498" i="6"/>
  <c r="CR506" i="6"/>
  <c r="CR514" i="6"/>
  <c r="CR497" i="6"/>
  <c r="CR363" i="6"/>
  <c r="CR376" i="6"/>
  <c r="CR409" i="6"/>
  <c r="CR422" i="6"/>
  <c r="CR444" i="6"/>
  <c r="CR471" i="6"/>
  <c r="CR475" i="6"/>
  <c r="CR487" i="6"/>
  <c r="CR495" i="6"/>
  <c r="CR503" i="6"/>
  <c r="CR511" i="6"/>
  <c r="CR463" i="6"/>
  <c r="CR481" i="6"/>
  <c r="CR489" i="6"/>
  <c r="CR415" i="6"/>
  <c r="CR425" i="6"/>
  <c r="CR449" i="6"/>
  <c r="CR460" i="6"/>
  <c r="CR474" i="6"/>
  <c r="CR478" i="6"/>
  <c r="CR484" i="6"/>
  <c r="CR492" i="6"/>
  <c r="CR500" i="6"/>
  <c r="CR508" i="6"/>
  <c r="CR516" i="6"/>
  <c r="CR442" i="6"/>
  <c r="CR458" i="6"/>
  <c r="CR467" i="6"/>
  <c r="CR504" i="6"/>
  <c r="CR507" i="6"/>
  <c r="CR510" i="6"/>
  <c r="CR466" i="6"/>
  <c r="CR452" i="6"/>
  <c r="CR457" i="6"/>
  <c r="CR436" i="6"/>
  <c r="CR496" i="6"/>
  <c r="CR499" i="6"/>
  <c r="CR502" i="6"/>
  <c r="CR476" i="6"/>
  <c r="CR352" i="6"/>
  <c r="CR462" i="6"/>
  <c r="CR441" i="6"/>
  <c r="CR459" i="6"/>
  <c r="CR365" i="6"/>
  <c r="CR488" i="6"/>
  <c r="CR491" i="6"/>
  <c r="CR494" i="6"/>
  <c r="CR447" i="6"/>
  <c r="CR390" i="6"/>
  <c r="CR515" i="6"/>
  <c r="CR414" i="6"/>
  <c r="CR480" i="6"/>
  <c r="CR483" i="6"/>
  <c r="CR486" i="6"/>
  <c r="CR473" i="6"/>
  <c r="CR470" i="6"/>
  <c r="CR512" i="6"/>
  <c r="D265" i="6"/>
  <c r="D267" i="6"/>
  <c r="D269" i="6"/>
  <c r="D271" i="6"/>
  <c r="D273" i="6"/>
  <c r="D275" i="6"/>
  <c r="D277" i="6"/>
  <c r="D279" i="6"/>
  <c r="D281" i="6"/>
  <c r="D283" i="6"/>
  <c r="D285" i="6"/>
  <c r="D287" i="6"/>
  <c r="D289" i="6"/>
  <c r="D291" i="6"/>
  <c r="D293" i="6"/>
  <c r="D295" i="6"/>
  <c r="D297" i="6"/>
  <c r="D299" i="6"/>
  <c r="D301" i="6"/>
  <c r="D303" i="6"/>
  <c r="D305" i="6"/>
  <c r="D307" i="6"/>
  <c r="D309" i="6"/>
  <c r="D311" i="6"/>
  <c r="D313" i="6"/>
  <c r="D315" i="6"/>
  <c r="D317" i="6"/>
  <c r="D319" i="6"/>
  <c r="D321" i="6"/>
  <c r="D323" i="6"/>
  <c r="D325" i="6"/>
  <c r="D327" i="6"/>
  <c r="D329" i="6"/>
  <c r="D331" i="6"/>
  <c r="D333" i="6"/>
  <c r="D335" i="6"/>
  <c r="D337" i="6"/>
  <c r="D339" i="6"/>
  <c r="D341" i="6"/>
  <c r="D343" i="6"/>
  <c r="D272" i="6"/>
  <c r="D280" i="6"/>
  <c r="D288" i="6"/>
  <c r="D296" i="6"/>
  <c r="D304" i="6"/>
  <c r="D312" i="6"/>
  <c r="D320" i="6"/>
  <c r="D328" i="6"/>
  <c r="D336" i="6"/>
  <c r="D344" i="6"/>
  <c r="D350" i="6"/>
  <c r="D352" i="6"/>
  <c r="D354" i="6"/>
  <c r="D356" i="6"/>
  <c r="D358" i="6"/>
  <c r="D360" i="6"/>
  <c r="D362" i="6"/>
  <c r="D364" i="6"/>
  <c r="D366" i="6"/>
  <c r="D368" i="6"/>
  <c r="D370" i="6"/>
  <c r="D372" i="6"/>
  <c r="D374" i="6"/>
  <c r="D376" i="6"/>
  <c r="D378" i="6"/>
  <c r="D380" i="6"/>
  <c r="D382" i="6"/>
  <c r="D384" i="6"/>
  <c r="D386" i="6"/>
  <c r="D388" i="6"/>
  <c r="D390" i="6"/>
  <c r="D345" i="6"/>
  <c r="D266" i="6"/>
  <c r="D274" i="6"/>
  <c r="D282" i="6"/>
  <c r="D290" i="6"/>
  <c r="D298" i="6"/>
  <c r="D306" i="6"/>
  <c r="D314" i="6"/>
  <c r="D322" i="6"/>
  <c r="D330" i="6"/>
  <c r="D338" i="6"/>
  <c r="D348" i="6"/>
  <c r="D270" i="6"/>
  <c r="D286" i="6"/>
  <c r="D302" i="6"/>
  <c r="D318" i="6"/>
  <c r="D334" i="6"/>
  <c r="D363" i="6"/>
  <c r="D379" i="6"/>
  <c r="D395" i="6"/>
  <c r="D404" i="6"/>
  <c r="D411" i="6"/>
  <c r="D346" i="6"/>
  <c r="D353" i="6"/>
  <c r="D369" i="6"/>
  <c r="D385" i="6"/>
  <c r="D393" i="6"/>
  <c r="D402" i="6"/>
  <c r="D409" i="6"/>
  <c r="D276" i="6"/>
  <c r="D292" i="6"/>
  <c r="D308" i="6"/>
  <c r="D324" i="6"/>
  <c r="D340" i="6"/>
  <c r="D359" i="6"/>
  <c r="D375" i="6"/>
  <c r="D391" i="6"/>
  <c r="D400" i="6"/>
  <c r="D407" i="6"/>
  <c r="D416" i="6"/>
  <c r="D418" i="6"/>
  <c r="D420" i="6"/>
  <c r="D422" i="6"/>
  <c r="D424" i="6"/>
  <c r="D426" i="6"/>
  <c r="D428" i="6"/>
  <c r="D430" i="6"/>
  <c r="D432" i="6"/>
  <c r="D434" i="6"/>
  <c r="D436" i="6"/>
  <c r="D438" i="6"/>
  <c r="D440" i="6"/>
  <c r="D442" i="6"/>
  <c r="D444" i="6"/>
  <c r="D446" i="6"/>
  <c r="D448" i="6"/>
  <c r="D450" i="6"/>
  <c r="D452" i="6"/>
  <c r="D454" i="6"/>
  <c r="D456" i="6"/>
  <c r="D458" i="6"/>
  <c r="D460" i="6"/>
  <c r="D462" i="6"/>
  <c r="D464" i="6"/>
  <c r="D466" i="6"/>
  <c r="D468" i="6"/>
  <c r="D470" i="6"/>
  <c r="D472" i="6"/>
  <c r="D474" i="6"/>
  <c r="D476" i="6"/>
  <c r="D478" i="6"/>
  <c r="D480" i="6"/>
  <c r="D482" i="6"/>
  <c r="D484" i="6"/>
  <c r="D486" i="6"/>
  <c r="D488" i="6"/>
  <c r="D490" i="6"/>
  <c r="D492" i="6"/>
  <c r="D494" i="6"/>
  <c r="D496" i="6"/>
  <c r="D498" i="6"/>
  <c r="D500" i="6"/>
  <c r="D502" i="6"/>
  <c r="D504" i="6"/>
  <c r="D506" i="6"/>
  <c r="D508" i="6"/>
  <c r="D510" i="6"/>
  <c r="D512" i="6"/>
  <c r="D351" i="6"/>
  <c r="D392" i="6"/>
  <c r="D399" i="6"/>
  <c r="D425" i="6"/>
  <c r="D441" i="6"/>
  <c r="D457" i="6"/>
  <c r="D475" i="6"/>
  <c r="D481" i="6"/>
  <c r="D489" i="6"/>
  <c r="D497" i="6"/>
  <c r="D505" i="6"/>
  <c r="D513" i="6"/>
  <c r="D473" i="6"/>
  <c r="D373" i="6"/>
  <c r="D405" i="6"/>
  <c r="D294" i="6"/>
  <c r="D300" i="6"/>
  <c r="D389" i="6"/>
  <c r="D394" i="6"/>
  <c r="D408" i="6"/>
  <c r="D415" i="6"/>
  <c r="D431" i="6"/>
  <c r="D447" i="6"/>
  <c r="D463" i="6"/>
  <c r="D514" i="6"/>
  <c r="D516" i="6"/>
  <c r="D417" i="6"/>
  <c r="D493" i="6"/>
  <c r="D365" i="6"/>
  <c r="D371" i="6"/>
  <c r="D377" i="6"/>
  <c r="D383" i="6"/>
  <c r="D401" i="6"/>
  <c r="D410" i="6"/>
  <c r="D421" i="6"/>
  <c r="D437" i="6"/>
  <c r="D453" i="6"/>
  <c r="D469" i="6"/>
  <c r="D479" i="6"/>
  <c r="D487" i="6"/>
  <c r="D495" i="6"/>
  <c r="D503" i="6"/>
  <c r="D511" i="6"/>
  <c r="D310" i="6"/>
  <c r="D316" i="6"/>
  <c r="D396" i="6"/>
  <c r="D403" i="6"/>
  <c r="D427" i="6"/>
  <c r="D443" i="6"/>
  <c r="D459" i="6"/>
  <c r="D412" i="6"/>
  <c r="D433" i="6"/>
  <c r="D449" i="6"/>
  <c r="D465" i="6"/>
  <c r="D485" i="6"/>
  <c r="D387" i="6"/>
  <c r="D445" i="6"/>
  <c r="D499" i="6"/>
  <c r="D515" i="6"/>
  <c r="D414" i="6"/>
  <c r="D451" i="6"/>
  <c r="D455" i="6"/>
  <c r="D507" i="6"/>
  <c r="D342" i="6"/>
  <c r="D413" i="6"/>
  <c r="D278" i="6"/>
  <c r="D268" i="6"/>
  <c r="D284" i="6"/>
  <c r="D332" i="6"/>
  <c r="D347" i="6"/>
  <c r="D349" i="6"/>
  <c r="D355" i="6"/>
  <c r="D357" i="6"/>
  <c r="D367" i="6"/>
  <c r="D397" i="6"/>
  <c r="D398" i="6"/>
  <c r="D419" i="6"/>
  <c r="D423" i="6"/>
  <c r="D461" i="6"/>
  <c r="D361" i="6"/>
  <c r="D467" i="6"/>
  <c r="D483" i="6"/>
  <c r="D381" i="6"/>
  <c r="D429" i="6"/>
  <c r="D326" i="6"/>
  <c r="D501" i="6"/>
  <c r="D477" i="6"/>
  <c r="D435" i="6"/>
  <c r="D491" i="6"/>
  <c r="D439" i="6"/>
  <c r="D471" i="6"/>
  <c r="D509" i="6"/>
  <c r="D406" i="6"/>
  <c r="E265" i="6"/>
  <c r="E267" i="6"/>
  <c r="E269" i="6"/>
  <c r="E271" i="6"/>
  <c r="E273" i="6"/>
  <c r="E275" i="6"/>
  <c r="E277" i="6"/>
  <c r="E279" i="6"/>
  <c r="E281" i="6"/>
  <c r="E283" i="6"/>
  <c r="E285" i="6"/>
  <c r="E287" i="6"/>
  <c r="E289" i="6"/>
  <c r="E291" i="6"/>
  <c r="E293" i="6"/>
  <c r="E295" i="6"/>
  <c r="E297" i="6"/>
  <c r="E299" i="6"/>
  <c r="E301" i="6"/>
  <c r="E303" i="6"/>
  <c r="E305" i="6"/>
  <c r="E307" i="6"/>
  <c r="E309" i="6"/>
  <c r="E311" i="6"/>
  <c r="E313" i="6"/>
  <c r="E315" i="6"/>
  <c r="E317" i="6"/>
  <c r="E319" i="6"/>
  <c r="E321" i="6"/>
  <c r="E323" i="6"/>
  <c r="E325" i="6"/>
  <c r="E327" i="6"/>
  <c r="E329" i="6"/>
  <c r="E331" i="6"/>
  <c r="E333" i="6"/>
  <c r="E335" i="6"/>
  <c r="E337" i="6"/>
  <c r="E339" i="6"/>
  <c r="E341" i="6"/>
  <c r="E343" i="6"/>
  <c r="E345" i="6"/>
  <c r="E347" i="6"/>
  <c r="E349" i="6"/>
  <c r="E272" i="6"/>
  <c r="E280" i="6"/>
  <c r="E288" i="6"/>
  <c r="E296" i="6"/>
  <c r="E304" i="6"/>
  <c r="E312" i="6"/>
  <c r="E320" i="6"/>
  <c r="E328" i="6"/>
  <c r="E336" i="6"/>
  <c r="E344" i="6"/>
  <c r="E350" i="6"/>
  <c r="E352" i="6"/>
  <c r="E354" i="6"/>
  <c r="E356" i="6"/>
  <c r="E358" i="6"/>
  <c r="E360" i="6"/>
  <c r="E362" i="6"/>
  <c r="E364" i="6"/>
  <c r="E366" i="6"/>
  <c r="E368" i="6"/>
  <c r="E370" i="6"/>
  <c r="E372" i="6"/>
  <c r="E374" i="6"/>
  <c r="E376" i="6"/>
  <c r="E378" i="6"/>
  <c r="E380" i="6"/>
  <c r="E382" i="6"/>
  <c r="E384" i="6"/>
  <c r="E386" i="6"/>
  <c r="E388" i="6"/>
  <c r="E390" i="6"/>
  <c r="E357" i="6"/>
  <c r="E373" i="6"/>
  <c r="E389" i="6"/>
  <c r="E397" i="6"/>
  <c r="E406" i="6"/>
  <c r="E413" i="6"/>
  <c r="E270" i="6"/>
  <c r="E286" i="6"/>
  <c r="E302" i="6"/>
  <c r="E318" i="6"/>
  <c r="E334" i="6"/>
  <c r="E363" i="6"/>
  <c r="E379" i="6"/>
  <c r="E395" i="6"/>
  <c r="E404" i="6"/>
  <c r="E411" i="6"/>
  <c r="E274" i="6"/>
  <c r="E290" i="6"/>
  <c r="E306" i="6"/>
  <c r="E322" i="6"/>
  <c r="E338" i="6"/>
  <c r="E346" i="6"/>
  <c r="E348" i="6"/>
  <c r="E353" i="6"/>
  <c r="E369" i="6"/>
  <c r="E385" i="6"/>
  <c r="E393" i="6"/>
  <c r="E402" i="6"/>
  <c r="E409" i="6"/>
  <c r="E278" i="6"/>
  <c r="E284" i="6"/>
  <c r="E342" i="6"/>
  <c r="E375" i="6"/>
  <c r="E381" i="6"/>
  <c r="E387" i="6"/>
  <c r="E400" i="6"/>
  <c r="E419" i="6"/>
  <c r="E426" i="6"/>
  <c r="E435" i="6"/>
  <c r="E442" i="6"/>
  <c r="E451" i="6"/>
  <c r="E458" i="6"/>
  <c r="E467" i="6"/>
  <c r="E472" i="6"/>
  <c r="E515" i="6"/>
  <c r="E383" i="6"/>
  <c r="E421" i="6"/>
  <c r="E437" i="6"/>
  <c r="E469" i="6"/>
  <c r="E479" i="6"/>
  <c r="E482" i="6"/>
  <c r="E487" i="6"/>
  <c r="E506" i="6"/>
  <c r="E310" i="6"/>
  <c r="E450" i="6"/>
  <c r="E459" i="6"/>
  <c r="E466" i="6"/>
  <c r="E292" i="6"/>
  <c r="E298" i="6"/>
  <c r="E351" i="6"/>
  <c r="E392" i="6"/>
  <c r="E399" i="6"/>
  <c r="E416" i="6"/>
  <c r="E425" i="6"/>
  <c r="E432" i="6"/>
  <c r="E441" i="6"/>
  <c r="E448" i="6"/>
  <c r="E457" i="6"/>
  <c r="E464" i="6"/>
  <c r="E475" i="6"/>
  <c r="E481" i="6"/>
  <c r="E484" i="6"/>
  <c r="E489" i="6"/>
  <c r="E492" i="6"/>
  <c r="E497" i="6"/>
  <c r="E500" i="6"/>
  <c r="E505" i="6"/>
  <c r="E508" i="6"/>
  <c r="E513" i="6"/>
  <c r="E428" i="6"/>
  <c r="E444" i="6"/>
  <c r="E460" i="6"/>
  <c r="E470" i="6"/>
  <c r="E490" i="6"/>
  <c r="E498" i="6"/>
  <c r="E503" i="6"/>
  <c r="E403" i="6"/>
  <c r="E418" i="6"/>
  <c r="E427" i="6"/>
  <c r="E443" i="6"/>
  <c r="E294" i="6"/>
  <c r="E300" i="6"/>
  <c r="E394" i="6"/>
  <c r="E408" i="6"/>
  <c r="E415" i="6"/>
  <c r="E422" i="6"/>
  <c r="E431" i="6"/>
  <c r="E438" i="6"/>
  <c r="E447" i="6"/>
  <c r="E454" i="6"/>
  <c r="E463" i="6"/>
  <c r="E476" i="6"/>
  <c r="E308" i="6"/>
  <c r="E314" i="6"/>
  <c r="E359" i="6"/>
  <c r="E365" i="6"/>
  <c r="E371" i="6"/>
  <c r="E377" i="6"/>
  <c r="E401" i="6"/>
  <c r="E410" i="6"/>
  <c r="E453" i="6"/>
  <c r="E495" i="6"/>
  <c r="E511" i="6"/>
  <c r="E316" i="6"/>
  <c r="E396" i="6"/>
  <c r="E434" i="6"/>
  <c r="E473" i="6"/>
  <c r="E276" i="6"/>
  <c r="E324" i="6"/>
  <c r="E340" i="6"/>
  <c r="E477" i="6"/>
  <c r="E478" i="6"/>
  <c r="E501" i="6"/>
  <c r="E504" i="6"/>
  <c r="E509" i="6"/>
  <c r="E512" i="6"/>
  <c r="E516" i="6"/>
  <c r="E502" i="6"/>
  <c r="E433" i="6"/>
  <c r="E412" i="6"/>
  <c r="E420" i="6"/>
  <c r="E445" i="6"/>
  <c r="E449" i="6"/>
  <c r="E456" i="6"/>
  <c r="E485" i="6"/>
  <c r="E496" i="6"/>
  <c r="E510" i="6"/>
  <c r="E405" i="6"/>
  <c r="E414" i="6"/>
  <c r="E455" i="6"/>
  <c r="E462" i="6"/>
  <c r="E468" i="6"/>
  <c r="E474" i="6"/>
  <c r="E486" i="6"/>
  <c r="E499" i="6"/>
  <c r="E507" i="6"/>
  <c r="E429" i="6"/>
  <c r="E417" i="6"/>
  <c r="E424" i="6"/>
  <c r="E493" i="6"/>
  <c r="E268" i="6"/>
  <c r="E332" i="6"/>
  <c r="E355" i="6"/>
  <c r="E367" i="6"/>
  <c r="E398" i="6"/>
  <c r="E423" i="6"/>
  <c r="E430" i="6"/>
  <c r="E436" i="6"/>
  <c r="E461" i="6"/>
  <c r="E465" i="6"/>
  <c r="E494" i="6"/>
  <c r="E266" i="6"/>
  <c r="E282" i="6"/>
  <c r="E330" i="6"/>
  <c r="E361" i="6"/>
  <c r="E407" i="6"/>
  <c r="E480" i="6"/>
  <c r="E483" i="6"/>
  <c r="E391" i="6"/>
  <c r="E439" i="6"/>
  <c r="E452" i="6"/>
  <c r="E488" i="6"/>
  <c r="E446" i="6"/>
  <c r="E440" i="6"/>
  <c r="E514" i="6"/>
  <c r="E326" i="6"/>
  <c r="E471" i="6"/>
  <c r="E491" i="6"/>
  <c r="F265" i="6"/>
  <c r="F270" i="6"/>
  <c r="F273" i="6"/>
  <c r="F278" i="6"/>
  <c r="F281" i="6"/>
  <c r="F286" i="6"/>
  <c r="F289" i="6"/>
  <c r="F294" i="6"/>
  <c r="F297" i="6"/>
  <c r="F302" i="6"/>
  <c r="F305" i="6"/>
  <c r="F310" i="6"/>
  <c r="F313" i="6"/>
  <c r="F318" i="6"/>
  <c r="F321" i="6"/>
  <c r="F326" i="6"/>
  <c r="F329" i="6"/>
  <c r="F334" i="6"/>
  <c r="F337" i="6"/>
  <c r="F342" i="6"/>
  <c r="F347" i="6"/>
  <c r="F267" i="6"/>
  <c r="F272" i="6"/>
  <c r="F275" i="6"/>
  <c r="F280" i="6"/>
  <c r="F283" i="6"/>
  <c r="F288" i="6"/>
  <c r="F291" i="6"/>
  <c r="F296" i="6"/>
  <c r="F299" i="6"/>
  <c r="F304" i="6"/>
  <c r="F307" i="6"/>
  <c r="F312" i="6"/>
  <c r="F315" i="6"/>
  <c r="F320" i="6"/>
  <c r="F323" i="6"/>
  <c r="F328" i="6"/>
  <c r="F331" i="6"/>
  <c r="F336" i="6"/>
  <c r="F339" i="6"/>
  <c r="F344" i="6"/>
  <c r="F345" i="6"/>
  <c r="F350" i="6"/>
  <c r="F352" i="6"/>
  <c r="F354" i="6"/>
  <c r="F356" i="6"/>
  <c r="F358" i="6"/>
  <c r="F360" i="6"/>
  <c r="F362" i="6"/>
  <c r="F364" i="6"/>
  <c r="F366" i="6"/>
  <c r="F368" i="6"/>
  <c r="F370" i="6"/>
  <c r="F372" i="6"/>
  <c r="F374" i="6"/>
  <c r="F376" i="6"/>
  <c r="F378" i="6"/>
  <c r="F380" i="6"/>
  <c r="F382" i="6"/>
  <c r="F384" i="6"/>
  <c r="F386" i="6"/>
  <c r="F388" i="6"/>
  <c r="F390" i="6"/>
  <c r="F392" i="6"/>
  <c r="F394" i="6"/>
  <c r="F396" i="6"/>
  <c r="F398" i="6"/>
  <c r="F400" i="6"/>
  <c r="F402" i="6"/>
  <c r="F404" i="6"/>
  <c r="F406" i="6"/>
  <c r="F408" i="6"/>
  <c r="F410" i="6"/>
  <c r="F412" i="6"/>
  <c r="F414" i="6"/>
  <c r="F268" i="6"/>
  <c r="F284" i="6"/>
  <c r="F300" i="6"/>
  <c r="F316" i="6"/>
  <c r="F332" i="6"/>
  <c r="F351" i="6"/>
  <c r="F367" i="6"/>
  <c r="F383" i="6"/>
  <c r="F399" i="6"/>
  <c r="F415" i="6"/>
  <c r="F417" i="6"/>
  <c r="F419" i="6"/>
  <c r="F421" i="6"/>
  <c r="F423" i="6"/>
  <c r="F425" i="6"/>
  <c r="F427" i="6"/>
  <c r="F429" i="6"/>
  <c r="F431" i="6"/>
  <c r="F433" i="6"/>
  <c r="F435" i="6"/>
  <c r="F437" i="6"/>
  <c r="F439" i="6"/>
  <c r="F441" i="6"/>
  <c r="F443" i="6"/>
  <c r="F445" i="6"/>
  <c r="F447" i="6"/>
  <c r="F449" i="6"/>
  <c r="F451" i="6"/>
  <c r="F453" i="6"/>
  <c r="F455" i="6"/>
  <c r="F457" i="6"/>
  <c r="F459" i="6"/>
  <c r="F461" i="6"/>
  <c r="F463" i="6"/>
  <c r="F465" i="6"/>
  <c r="F467" i="6"/>
  <c r="F469" i="6"/>
  <c r="F471" i="6"/>
  <c r="F473" i="6"/>
  <c r="F475" i="6"/>
  <c r="F477" i="6"/>
  <c r="F357" i="6"/>
  <c r="F373" i="6"/>
  <c r="F389" i="6"/>
  <c r="F397" i="6"/>
  <c r="F413" i="6"/>
  <c r="F277" i="6"/>
  <c r="F293" i="6"/>
  <c r="F309" i="6"/>
  <c r="F325" i="6"/>
  <c r="F341" i="6"/>
  <c r="F363" i="6"/>
  <c r="F379" i="6"/>
  <c r="F395" i="6"/>
  <c r="F411" i="6"/>
  <c r="F276" i="6"/>
  <c r="F282" i="6"/>
  <c r="F295" i="6"/>
  <c r="F301" i="6"/>
  <c r="F340" i="6"/>
  <c r="F409" i="6"/>
  <c r="F420" i="6"/>
  <c r="F436" i="6"/>
  <c r="F452" i="6"/>
  <c r="F468" i="6"/>
  <c r="F478" i="6"/>
  <c r="F483" i="6"/>
  <c r="F486" i="6"/>
  <c r="F491" i="6"/>
  <c r="F494" i="6"/>
  <c r="F499" i="6"/>
  <c r="F502" i="6"/>
  <c r="F507" i="6"/>
  <c r="F510" i="6"/>
  <c r="F438" i="6"/>
  <c r="F476" i="6"/>
  <c r="F269" i="6"/>
  <c r="F314" i="6"/>
  <c r="F327" i="6"/>
  <c r="F401" i="6"/>
  <c r="F444" i="6"/>
  <c r="F487" i="6"/>
  <c r="F271" i="6"/>
  <c r="F322" i="6"/>
  <c r="F335" i="6"/>
  <c r="F375" i="6"/>
  <c r="F381" i="6"/>
  <c r="F387" i="6"/>
  <c r="F426" i="6"/>
  <c r="F442" i="6"/>
  <c r="F458" i="6"/>
  <c r="F472" i="6"/>
  <c r="F515" i="6"/>
  <c r="F454" i="6"/>
  <c r="F308" i="6"/>
  <c r="F359" i="6"/>
  <c r="F428" i="6"/>
  <c r="F470" i="6"/>
  <c r="F479" i="6"/>
  <c r="F482" i="6"/>
  <c r="F292" i="6"/>
  <c r="F298" i="6"/>
  <c r="F311" i="6"/>
  <c r="F317" i="6"/>
  <c r="F369" i="6"/>
  <c r="F416" i="6"/>
  <c r="F432" i="6"/>
  <c r="F448" i="6"/>
  <c r="F464" i="6"/>
  <c r="F481" i="6"/>
  <c r="F484" i="6"/>
  <c r="F489" i="6"/>
  <c r="F492" i="6"/>
  <c r="F497" i="6"/>
  <c r="F500" i="6"/>
  <c r="F505" i="6"/>
  <c r="F508" i="6"/>
  <c r="F513" i="6"/>
  <c r="F274" i="6"/>
  <c r="F287" i="6"/>
  <c r="F338" i="6"/>
  <c r="F422" i="6"/>
  <c r="F333" i="6"/>
  <c r="F365" i="6"/>
  <c r="F371" i="6"/>
  <c r="F377" i="6"/>
  <c r="F460" i="6"/>
  <c r="F490" i="6"/>
  <c r="F495" i="6"/>
  <c r="F403" i="6"/>
  <c r="F446" i="6"/>
  <c r="F450" i="6"/>
  <c r="F488" i="6"/>
  <c r="F514" i="6"/>
  <c r="F501" i="6"/>
  <c r="F504" i="6"/>
  <c r="F516" i="6"/>
  <c r="F285" i="6"/>
  <c r="F303" i="6"/>
  <c r="F306" i="6"/>
  <c r="F324" i="6"/>
  <c r="F509" i="6"/>
  <c r="F512" i="6"/>
  <c r="F266" i="6"/>
  <c r="F330" i="6"/>
  <c r="F348" i="6"/>
  <c r="F385" i="6"/>
  <c r="F418" i="6"/>
  <c r="F456" i="6"/>
  <c r="F485" i="6"/>
  <c r="F496" i="6"/>
  <c r="F290" i="6"/>
  <c r="F407" i="6"/>
  <c r="F462" i="6"/>
  <c r="F466" i="6"/>
  <c r="F474" i="6"/>
  <c r="F279" i="6"/>
  <c r="F319" i="6"/>
  <c r="F343" i="6"/>
  <c r="F349" i="6"/>
  <c r="F393" i="6"/>
  <c r="F424" i="6"/>
  <c r="F493" i="6"/>
  <c r="F346" i="6"/>
  <c r="F353" i="6"/>
  <c r="F355" i="6"/>
  <c r="F430" i="6"/>
  <c r="F434" i="6"/>
  <c r="F361" i="6"/>
  <c r="F498" i="6"/>
  <c r="F503" i="6"/>
  <c r="F480" i="6"/>
  <c r="F391" i="6"/>
  <c r="F405" i="6"/>
  <c r="F440" i="6"/>
  <c r="F511" i="6"/>
  <c r="F506" i="6"/>
  <c r="G266" i="6"/>
  <c r="G268" i="6"/>
  <c r="G270" i="6"/>
  <c r="G272" i="6"/>
  <c r="G274" i="6"/>
  <c r="G276" i="6"/>
  <c r="G278" i="6"/>
  <c r="G280" i="6"/>
  <c r="G282" i="6"/>
  <c r="G284" i="6"/>
  <c r="G286" i="6"/>
  <c r="G288" i="6"/>
  <c r="G290" i="6"/>
  <c r="G292" i="6"/>
  <c r="G294" i="6"/>
  <c r="G296" i="6"/>
  <c r="G298" i="6"/>
  <c r="G300" i="6"/>
  <c r="G302" i="6"/>
  <c r="G304" i="6"/>
  <c r="G306" i="6"/>
  <c r="G308" i="6"/>
  <c r="G310" i="6"/>
  <c r="G312" i="6"/>
  <c r="G314" i="6"/>
  <c r="G316" i="6"/>
  <c r="G318" i="6"/>
  <c r="G320" i="6"/>
  <c r="G322" i="6"/>
  <c r="G324" i="6"/>
  <c r="G326" i="6"/>
  <c r="G328" i="6"/>
  <c r="G330" i="6"/>
  <c r="G332" i="6"/>
  <c r="G334" i="6"/>
  <c r="G336" i="6"/>
  <c r="G338" i="6"/>
  <c r="G340" i="6"/>
  <c r="G342" i="6"/>
  <c r="G344" i="6"/>
  <c r="G265" i="6"/>
  <c r="G273" i="6"/>
  <c r="G281" i="6"/>
  <c r="G289" i="6"/>
  <c r="G297" i="6"/>
  <c r="G305" i="6"/>
  <c r="G313" i="6"/>
  <c r="G321" i="6"/>
  <c r="G329" i="6"/>
  <c r="G337" i="6"/>
  <c r="G347" i="6"/>
  <c r="G271" i="6"/>
  <c r="G287" i="6"/>
  <c r="G303" i="6"/>
  <c r="G319" i="6"/>
  <c r="G335" i="6"/>
  <c r="G345" i="6"/>
  <c r="G352" i="6"/>
  <c r="G361" i="6"/>
  <c r="G368" i="6"/>
  <c r="G377" i="6"/>
  <c r="G384" i="6"/>
  <c r="G392" i="6"/>
  <c r="G401" i="6"/>
  <c r="G408" i="6"/>
  <c r="G275" i="6"/>
  <c r="G291" i="6"/>
  <c r="G307" i="6"/>
  <c r="G323" i="6"/>
  <c r="G339" i="6"/>
  <c r="G351" i="6"/>
  <c r="G358" i="6"/>
  <c r="G367" i="6"/>
  <c r="G374" i="6"/>
  <c r="G383" i="6"/>
  <c r="G390" i="6"/>
  <c r="G399" i="6"/>
  <c r="G406" i="6"/>
  <c r="G415" i="6"/>
  <c r="G417" i="6"/>
  <c r="G419" i="6"/>
  <c r="G421" i="6"/>
  <c r="G423" i="6"/>
  <c r="G425" i="6"/>
  <c r="G427" i="6"/>
  <c r="G429" i="6"/>
  <c r="G431" i="6"/>
  <c r="G433" i="6"/>
  <c r="G435" i="6"/>
  <c r="G437" i="6"/>
  <c r="G439" i="6"/>
  <c r="G441" i="6"/>
  <c r="G443" i="6"/>
  <c r="G445" i="6"/>
  <c r="G447" i="6"/>
  <c r="G449" i="6"/>
  <c r="G451" i="6"/>
  <c r="G453" i="6"/>
  <c r="G455" i="6"/>
  <c r="G457" i="6"/>
  <c r="G459" i="6"/>
  <c r="G461" i="6"/>
  <c r="G463" i="6"/>
  <c r="G465" i="6"/>
  <c r="G467" i="6"/>
  <c r="G469" i="6"/>
  <c r="G357" i="6"/>
  <c r="G364" i="6"/>
  <c r="G373" i="6"/>
  <c r="G380" i="6"/>
  <c r="G389" i="6"/>
  <c r="G397" i="6"/>
  <c r="G404" i="6"/>
  <c r="G413" i="6"/>
  <c r="G293" i="6"/>
  <c r="G299" i="6"/>
  <c r="G346" i="6"/>
  <c r="G349" i="6"/>
  <c r="G355" i="6"/>
  <c r="G385" i="6"/>
  <c r="G393" i="6"/>
  <c r="G407" i="6"/>
  <c r="G414" i="6"/>
  <c r="G430" i="6"/>
  <c r="G446" i="6"/>
  <c r="G462" i="6"/>
  <c r="G471" i="6"/>
  <c r="G411" i="6"/>
  <c r="G416" i="6"/>
  <c r="G464" i="6"/>
  <c r="G484" i="6"/>
  <c r="G497" i="6"/>
  <c r="G505" i="6"/>
  <c r="G267" i="6"/>
  <c r="G372" i="6"/>
  <c r="G476" i="6"/>
  <c r="G295" i="6"/>
  <c r="G301" i="6"/>
  <c r="G370" i="6"/>
  <c r="G376" i="6"/>
  <c r="G382" i="6"/>
  <c r="G388" i="6"/>
  <c r="G400" i="6"/>
  <c r="G409" i="6"/>
  <c r="G420" i="6"/>
  <c r="G436" i="6"/>
  <c r="G452" i="6"/>
  <c r="G468" i="6"/>
  <c r="G478" i="6"/>
  <c r="G483" i="6"/>
  <c r="G486" i="6"/>
  <c r="G491" i="6"/>
  <c r="G494" i="6"/>
  <c r="G499" i="6"/>
  <c r="G502" i="6"/>
  <c r="G507" i="6"/>
  <c r="G510" i="6"/>
  <c r="G448" i="6"/>
  <c r="G481" i="6"/>
  <c r="G489" i="6"/>
  <c r="G492" i="6"/>
  <c r="G508" i="6"/>
  <c r="G513" i="6"/>
  <c r="G325" i="6"/>
  <c r="G354" i="6"/>
  <c r="G366" i="6"/>
  <c r="G422" i="6"/>
  <c r="G309" i="6"/>
  <c r="G315" i="6"/>
  <c r="G375" i="6"/>
  <c r="G379" i="6"/>
  <c r="G381" i="6"/>
  <c r="G387" i="6"/>
  <c r="G395" i="6"/>
  <c r="G402" i="6"/>
  <c r="G426" i="6"/>
  <c r="G442" i="6"/>
  <c r="G458" i="6"/>
  <c r="G472" i="6"/>
  <c r="G475" i="6"/>
  <c r="G515" i="6"/>
  <c r="G311" i="6"/>
  <c r="G317" i="6"/>
  <c r="G369" i="6"/>
  <c r="G378" i="6"/>
  <c r="G394" i="6"/>
  <c r="G432" i="6"/>
  <c r="G500" i="6"/>
  <c r="G331" i="6"/>
  <c r="G360" i="6"/>
  <c r="G410" i="6"/>
  <c r="G438" i="6"/>
  <c r="G454" i="6"/>
  <c r="G386" i="6"/>
  <c r="G391" i="6"/>
  <c r="G405" i="6"/>
  <c r="G440" i="6"/>
  <c r="G487" i="6"/>
  <c r="G498" i="6"/>
  <c r="G503" i="6"/>
  <c r="G506" i="6"/>
  <c r="G511" i="6"/>
  <c r="G514" i="6"/>
  <c r="G512" i="6"/>
  <c r="G493" i="6"/>
  <c r="G371" i="6"/>
  <c r="G403" i="6"/>
  <c r="G450" i="6"/>
  <c r="G477" i="6"/>
  <c r="G488" i="6"/>
  <c r="G501" i="6"/>
  <c r="G504" i="6"/>
  <c r="G516" i="6"/>
  <c r="G470" i="6"/>
  <c r="G490" i="6"/>
  <c r="G269" i="6"/>
  <c r="G285" i="6"/>
  <c r="G333" i="6"/>
  <c r="G412" i="6"/>
  <c r="G460" i="6"/>
  <c r="G495" i="6"/>
  <c r="G509" i="6"/>
  <c r="G277" i="6"/>
  <c r="G341" i="6"/>
  <c r="G283" i="6"/>
  <c r="G348" i="6"/>
  <c r="G350" i="6"/>
  <c r="G363" i="6"/>
  <c r="G418" i="6"/>
  <c r="G456" i="6"/>
  <c r="G473" i="6"/>
  <c r="G482" i="6"/>
  <c r="G485" i="6"/>
  <c r="G496" i="6"/>
  <c r="G365" i="6"/>
  <c r="G356" i="6"/>
  <c r="G396" i="6"/>
  <c r="G428" i="6"/>
  <c r="G466" i="6"/>
  <c r="G474" i="6"/>
  <c r="G279" i="6"/>
  <c r="G327" i="6"/>
  <c r="G343" i="6"/>
  <c r="G362" i="6"/>
  <c r="G398" i="6"/>
  <c r="G424" i="6"/>
  <c r="G353" i="6"/>
  <c r="G434" i="6"/>
  <c r="G479" i="6"/>
  <c r="G480" i="6"/>
  <c r="G359" i="6"/>
  <c r="G444" i="6"/>
  <c r="H266" i="6"/>
  <c r="H268" i="6"/>
  <c r="H270" i="6"/>
  <c r="H272" i="6"/>
  <c r="H274" i="6"/>
  <c r="H276" i="6"/>
  <c r="H278" i="6"/>
  <c r="H280" i="6"/>
  <c r="H282" i="6"/>
  <c r="H284" i="6"/>
  <c r="H286" i="6"/>
  <c r="H288" i="6"/>
  <c r="H290" i="6"/>
  <c r="H292" i="6"/>
  <c r="H294" i="6"/>
  <c r="H296" i="6"/>
  <c r="H298" i="6"/>
  <c r="H300" i="6"/>
  <c r="H302" i="6"/>
  <c r="H304" i="6"/>
  <c r="H306" i="6"/>
  <c r="H308" i="6"/>
  <c r="H310" i="6"/>
  <c r="H312" i="6"/>
  <c r="H314" i="6"/>
  <c r="H316" i="6"/>
  <c r="H318" i="6"/>
  <c r="H320" i="6"/>
  <c r="H322" i="6"/>
  <c r="H324" i="6"/>
  <c r="H326" i="6"/>
  <c r="H328" i="6"/>
  <c r="H330" i="6"/>
  <c r="H332" i="6"/>
  <c r="H334" i="6"/>
  <c r="H336" i="6"/>
  <c r="H338" i="6"/>
  <c r="H340" i="6"/>
  <c r="H342" i="6"/>
  <c r="H344" i="6"/>
  <c r="H271" i="6"/>
  <c r="H279" i="6"/>
  <c r="H287" i="6"/>
  <c r="H295" i="6"/>
  <c r="H303" i="6"/>
  <c r="H311" i="6"/>
  <c r="H319" i="6"/>
  <c r="H327" i="6"/>
  <c r="H335" i="6"/>
  <c r="H343" i="6"/>
  <c r="H346" i="6"/>
  <c r="H349" i="6"/>
  <c r="H351" i="6"/>
  <c r="H353" i="6"/>
  <c r="H355" i="6"/>
  <c r="H357" i="6"/>
  <c r="H359" i="6"/>
  <c r="H361" i="6"/>
  <c r="H363" i="6"/>
  <c r="H365" i="6"/>
  <c r="H367" i="6"/>
  <c r="H369" i="6"/>
  <c r="H371" i="6"/>
  <c r="H373" i="6"/>
  <c r="H375" i="6"/>
  <c r="H377" i="6"/>
  <c r="H379" i="6"/>
  <c r="H381" i="6"/>
  <c r="H383" i="6"/>
  <c r="H385" i="6"/>
  <c r="H387" i="6"/>
  <c r="H389" i="6"/>
  <c r="H265" i="6"/>
  <c r="H273" i="6"/>
  <c r="H281" i="6"/>
  <c r="H289" i="6"/>
  <c r="H297" i="6"/>
  <c r="H305" i="6"/>
  <c r="H313" i="6"/>
  <c r="H321" i="6"/>
  <c r="H329" i="6"/>
  <c r="H337" i="6"/>
  <c r="H347" i="6"/>
  <c r="H269" i="6"/>
  <c r="H285" i="6"/>
  <c r="H301" i="6"/>
  <c r="H317" i="6"/>
  <c r="H333" i="6"/>
  <c r="H362" i="6"/>
  <c r="H378" i="6"/>
  <c r="H394" i="6"/>
  <c r="H403" i="6"/>
  <c r="H410" i="6"/>
  <c r="H345" i="6"/>
  <c r="H352" i="6"/>
  <c r="H368" i="6"/>
  <c r="H384" i="6"/>
  <c r="H392" i="6"/>
  <c r="H401" i="6"/>
  <c r="H408" i="6"/>
  <c r="H275" i="6"/>
  <c r="H291" i="6"/>
  <c r="H307" i="6"/>
  <c r="H323" i="6"/>
  <c r="H339" i="6"/>
  <c r="H358" i="6"/>
  <c r="H374" i="6"/>
  <c r="H390" i="6"/>
  <c r="H399" i="6"/>
  <c r="H406" i="6"/>
  <c r="H415" i="6"/>
  <c r="H417" i="6"/>
  <c r="H419" i="6"/>
  <c r="H421" i="6"/>
  <c r="H423" i="6"/>
  <c r="H425" i="6"/>
  <c r="H427" i="6"/>
  <c r="H429" i="6"/>
  <c r="H431" i="6"/>
  <c r="H433" i="6"/>
  <c r="H435" i="6"/>
  <c r="H437" i="6"/>
  <c r="H439" i="6"/>
  <c r="H441" i="6"/>
  <c r="H443" i="6"/>
  <c r="H445" i="6"/>
  <c r="H447" i="6"/>
  <c r="H449" i="6"/>
  <c r="H451" i="6"/>
  <c r="H453" i="6"/>
  <c r="H455" i="6"/>
  <c r="H457" i="6"/>
  <c r="H459" i="6"/>
  <c r="H461" i="6"/>
  <c r="H463" i="6"/>
  <c r="H465" i="6"/>
  <c r="H467" i="6"/>
  <c r="H469" i="6"/>
  <c r="H471" i="6"/>
  <c r="H473" i="6"/>
  <c r="H475" i="6"/>
  <c r="H477" i="6"/>
  <c r="H479" i="6"/>
  <c r="H481" i="6"/>
  <c r="H483" i="6"/>
  <c r="H485" i="6"/>
  <c r="H487" i="6"/>
  <c r="H489" i="6"/>
  <c r="H491" i="6"/>
  <c r="H493" i="6"/>
  <c r="H495" i="6"/>
  <c r="H497" i="6"/>
  <c r="H499" i="6"/>
  <c r="H501" i="6"/>
  <c r="H503" i="6"/>
  <c r="H505" i="6"/>
  <c r="H507" i="6"/>
  <c r="H509" i="6"/>
  <c r="H511" i="6"/>
  <c r="H513" i="6"/>
  <c r="H350" i="6"/>
  <c r="H356" i="6"/>
  <c r="H380" i="6"/>
  <c r="H391" i="6"/>
  <c r="H398" i="6"/>
  <c r="H405" i="6"/>
  <c r="H424" i="6"/>
  <c r="H440" i="6"/>
  <c r="H456" i="6"/>
  <c r="H474" i="6"/>
  <c r="H480" i="6"/>
  <c r="H488" i="6"/>
  <c r="H496" i="6"/>
  <c r="H504" i="6"/>
  <c r="H512" i="6"/>
  <c r="H395" i="6"/>
  <c r="H472" i="6"/>
  <c r="H515" i="6"/>
  <c r="H411" i="6"/>
  <c r="H484" i="6"/>
  <c r="H492" i="6"/>
  <c r="H293" i="6"/>
  <c r="H299" i="6"/>
  <c r="H393" i="6"/>
  <c r="H407" i="6"/>
  <c r="H414" i="6"/>
  <c r="H430" i="6"/>
  <c r="H446" i="6"/>
  <c r="H462" i="6"/>
  <c r="H402" i="6"/>
  <c r="H458" i="6"/>
  <c r="H432" i="6"/>
  <c r="H370" i="6"/>
  <c r="H376" i="6"/>
  <c r="H382" i="6"/>
  <c r="H388" i="6"/>
  <c r="H400" i="6"/>
  <c r="H409" i="6"/>
  <c r="H420" i="6"/>
  <c r="H436" i="6"/>
  <c r="H452" i="6"/>
  <c r="H468" i="6"/>
  <c r="H478" i="6"/>
  <c r="H486" i="6"/>
  <c r="H494" i="6"/>
  <c r="H502" i="6"/>
  <c r="H510" i="6"/>
  <c r="H309" i="6"/>
  <c r="H315" i="6"/>
  <c r="H364" i="6"/>
  <c r="H426" i="6"/>
  <c r="H442" i="6"/>
  <c r="H416" i="6"/>
  <c r="H448" i="6"/>
  <c r="H464" i="6"/>
  <c r="H444" i="6"/>
  <c r="H476" i="6"/>
  <c r="H500" i="6"/>
  <c r="H508" i="6"/>
  <c r="H506" i="6"/>
  <c r="H516" i="6"/>
  <c r="H386" i="6"/>
  <c r="H498" i="6"/>
  <c r="H466" i="6"/>
  <c r="H450" i="6"/>
  <c r="H454" i="6"/>
  <c r="H514" i="6"/>
  <c r="H412" i="6"/>
  <c r="H413" i="6"/>
  <c r="H460" i="6"/>
  <c r="H267" i="6"/>
  <c r="H283" i="6"/>
  <c r="H331" i="6"/>
  <c r="H348" i="6"/>
  <c r="H354" i="6"/>
  <c r="H366" i="6"/>
  <c r="H397" i="6"/>
  <c r="H418" i="6"/>
  <c r="H422" i="6"/>
  <c r="H482" i="6"/>
  <c r="H360" i="6"/>
  <c r="H396" i="6"/>
  <c r="H428" i="6"/>
  <c r="H341" i="6"/>
  <c r="H325" i="6"/>
  <c r="H404" i="6"/>
  <c r="H438" i="6"/>
  <c r="H434" i="6"/>
  <c r="H372" i="6"/>
  <c r="H277" i="6"/>
  <c r="H470" i="6"/>
  <c r="H490" i="6"/>
  <c r="I266" i="6"/>
  <c r="I268" i="6"/>
  <c r="I270" i="6"/>
  <c r="I272" i="6"/>
  <c r="I274" i="6"/>
  <c r="I276" i="6"/>
  <c r="I278" i="6"/>
  <c r="I280" i="6"/>
  <c r="I282" i="6"/>
  <c r="I284" i="6"/>
  <c r="I286" i="6"/>
  <c r="I288" i="6"/>
  <c r="I290" i="6"/>
  <c r="I292" i="6"/>
  <c r="I294" i="6"/>
  <c r="I296" i="6"/>
  <c r="I298" i="6"/>
  <c r="I300" i="6"/>
  <c r="I302" i="6"/>
  <c r="I304" i="6"/>
  <c r="I306" i="6"/>
  <c r="I308" i="6"/>
  <c r="I310" i="6"/>
  <c r="I312" i="6"/>
  <c r="I314" i="6"/>
  <c r="I316" i="6"/>
  <c r="I318" i="6"/>
  <c r="I320" i="6"/>
  <c r="I322" i="6"/>
  <c r="I324" i="6"/>
  <c r="I326" i="6"/>
  <c r="I328" i="6"/>
  <c r="I330" i="6"/>
  <c r="I332" i="6"/>
  <c r="I334" i="6"/>
  <c r="I336" i="6"/>
  <c r="I338" i="6"/>
  <c r="I340" i="6"/>
  <c r="I342" i="6"/>
  <c r="I344" i="6"/>
  <c r="I346" i="6"/>
  <c r="I348" i="6"/>
  <c r="I271" i="6"/>
  <c r="I279" i="6"/>
  <c r="I287" i="6"/>
  <c r="I295" i="6"/>
  <c r="I303" i="6"/>
  <c r="I311" i="6"/>
  <c r="I319" i="6"/>
  <c r="I327" i="6"/>
  <c r="I335" i="6"/>
  <c r="I343" i="6"/>
  <c r="I349" i="6"/>
  <c r="I351" i="6"/>
  <c r="I353" i="6"/>
  <c r="I355" i="6"/>
  <c r="I357" i="6"/>
  <c r="I359" i="6"/>
  <c r="I361" i="6"/>
  <c r="I363" i="6"/>
  <c r="I365" i="6"/>
  <c r="I367" i="6"/>
  <c r="I369" i="6"/>
  <c r="I371" i="6"/>
  <c r="I373" i="6"/>
  <c r="I375" i="6"/>
  <c r="I377" i="6"/>
  <c r="I379" i="6"/>
  <c r="I381" i="6"/>
  <c r="I383" i="6"/>
  <c r="I385" i="6"/>
  <c r="I387" i="6"/>
  <c r="I389" i="6"/>
  <c r="I265" i="6"/>
  <c r="I281" i="6"/>
  <c r="I297" i="6"/>
  <c r="I313" i="6"/>
  <c r="I329" i="6"/>
  <c r="I356" i="6"/>
  <c r="I372" i="6"/>
  <c r="I388" i="6"/>
  <c r="I396" i="6"/>
  <c r="I405" i="6"/>
  <c r="I412" i="6"/>
  <c r="I269" i="6"/>
  <c r="I285" i="6"/>
  <c r="I301" i="6"/>
  <c r="I317" i="6"/>
  <c r="I333" i="6"/>
  <c r="I362" i="6"/>
  <c r="I378" i="6"/>
  <c r="I394" i="6"/>
  <c r="I403" i="6"/>
  <c r="I410" i="6"/>
  <c r="I345" i="6"/>
  <c r="I352" i="6"/>
  <c r="I368" i="6"/>
  <c r="I384" i="6"/>
  <c r="I392" i="6"/>
  <c r="I401" i="6"/>
  <c r="I408" i="6"/>
  <c r="I277" i="6"/>
  <c r="I283" i="6"/>
  <c r="I341" i="6"/>
  <c r="I386" i="6"/>
  <c r="I406" i="6"/>
  <c r="I413" i="6"/>
  <c r="I418" i="6"/>
  <c r="I429" i="6"/>
  <c r="I434" i="6"/>
  <c r="I445" i="6"/>
  <c r="I450" i="6"/>
  <c r="I461" i="6"/>
  <c r="I466" i="6"/>
  <c r="I477" i="6"/>
  <c r="I485" i="6"/>
  <c r="I493" i="6"/>
  <c r="I501" i="6"/>
  <c r="I509" i="6"/>
  <c r="I514" i="6"/>
  <c r="I516" i="6"/>
  <c r="I415" i="6"/>
  <c r="I468" i="6"/>
  <c r="I309" i="6"/>
  <c r="I364" i="6"/>
  <c r="I442" i="6"/>
  <c r="I458" i="6"/>
  <c r="I489" i="6"/>
  <c r="I275" i="6"/>
  <c r="I305" i="6"/>
  <c r="I339" i="6"/>
  <c r="I350" i="6"/>
  <c r="I380" i="6"/>
  <c r="I391" i="6"/>
  <c r="I398" i="6"/>
  <c r="I419" i="6"/>
  <c r="I424" i="6"/>
  <c r="I435" i="6"/>
  <c r="I440" i="6"/>
  <c r="I451" i="6"/>
  <c r="I456" i="6"/>
  <c r="I467" i="6"/>
  <c r="I471" i="6"/>
  <c r="I474" i="6"/>
  <c r="I480" i="6"/>
  <c r="I488" i="6"/>
  <c r="I496" i="6"/>
  <c r="I504" i="6"/>
  <c r="I512" i="6"/>
  <c r="I400" i="6"/>
  <c r="I409" i="6"/>
  <c r="I420" i="6"/>
  <c r="I447" i="6"/>
  <c r="I452" i="6"/>
  <c r="I463" i="6"/>
  <c r="I475" i="6"/>
  <c r="I478" i="6"/>
  <c r="I494" i="6"/>
  <c r="I315" i="6"/>
  <c r="I402" i="6"/>
  <c r="I421" i="6"/>
  <c r="I426" i="6"/>
  <c r="I453" i="6"/>
  <c r="I472" i="6"/>
  <c r="I497" i="6"/>
  <c r="I293" i="6"/>
  <c r="I299" i="6"/>
  <c r="I374" i="6"/>
  <c r="I393" i="6"/>
  <c r="I399" i="6"/>
  <c r="I407" i="6"/>
  <c r="I414" i="6"/>
  <c r="I425" i="6"/>
  <c r="I430" i="6"/>
  <c r="I441" i="6"/>
  <c r="I446" i="6"/>
  <c r="I457" i="6"/>
  <c r="I462" i="6"/>
  <c r="I483" i="6"/>
  <c r="I491" i="6"/>
  <c r="I499" i="6"/>
  <c r="I507" i="6"/>
  <c r="I291" i="6"/>
  <c r="I321" i="6"/>
  <c r="I370" i="6"/>
  <c r="I376" i="6"/>
  <c r="I382" i="6"/>
  <c r="I431" i="6"/>
  <c r="I436" i="6"/>
  <c r="I486" i="6"/>
  <c r="I502" i="6"/>
  <c r="I510" i="6"/>
  <c r="I395" i="6"/>
  <c r="I437" i="6"/>
  <c r="I469" i="6"/>
  <c r="I481" i="6"/>
  <c r="I273" i="6"/>
  <c r="I289" i="6"/>
  <c r="I325" i="6"/>
  <c r="I337" i="6"/>
  <c r="I390" i="6"/>
  <c r="I404" i="6"/>
  <c r="I432" i="6"/>
  <c r="I438" i="6"/>
  <c r="I439" i="6"/>
  <c r="I500" i="6"/>
  <c r="I503" i="6"/>
  <c r="I511" i="6"/>
  <c r="I513" i="6"/>
  <c r="I506" i="6"/>
  <c r="I515" i="6"/>
  <c r="I482" i="6"/>
  <c r="I427" i="6"/>
  <c r="I358" i="6"/>
  <c r="I443" i="6"/>
  <c r="I444" i="6"/>
  <c r="I476" i="6"/>
  <c r="I487" i="6"/>
  <c r="I505" i="6"/>
  <c r="I508" i="6"/>
  <c r="I360" i="6"/>
  <c r="I323" i="6"/>
  <c r="I449" i="6"/>
  <c r="I498" i="6"/>
  <c r="I492" i="6"/>
  <c r="I428" i="6"/>
  <c r="I411" i="6"/>
  <c r="I448" i="6"/>
  <c r="I454" i="6"/>
  <c r="I455" i="6"/>
  <c r="I484" i="6"/>
  <c r="I495" i="6"/>
  <c r="I347" i="6"/>
  <c r="I417" i="6"/>
  <c r="I459" i="6"/>
  <c r="I460" i="6"/>
  <c r="I473" i="6"/>
  <c r="I267" i="6"/>
  <c r="I331" i="6"/>
  <c r="I354" i="6"/>
  <c r="I366" i="6"/>
  <c r="I397" i="6"/>
  <c r="I416" i="6"/>
  <c r="I422" i="6"/>
  <c r="I423" i="6"/>
  <c r="I465" i="6"/>
  <c r="I479" i="6"/>
  <c r="I307" i="6"/>
  <c r="I433" i="6"/>
  <c r="I464" i="6"/>
  <c r="I470" i="6"/>
  <c r="I490" i="6"/>
  <c r="C533" i="6"/>
  <c r="C530" i="6"/>
  <c r="C522" i="6"/>
  <c r="CD533" i="6"/>
  <c r="Y533" i="6"/>
  <c r="AH533" i="6"/>
  <c r="CB533" i="6"/>
  <c r="AC533" i="6"/>
  <c r="BA533" i="6"/>
  <c r="CM533" i="6"/>
  <c r="CX533" i="6"/>
  <c r="BG533" i="6"/>
  <c r="K533" i="6"/>
  <c r="BB533" i="6"/>
  <c r="AO533" i="6"/>
  <c r="AG533" i="6"/>
  <c r="Q533" i="6"/>
  <c r="AF533" i="6"/>
  <c r="BT533" i="6"/>
  <c r="AJ533" i="6"/>
  <c r="BV533" i="6"/>
  <c r="BD533" i="6"/>
  <c r="S533" i="6"/>
  <c r="O533" i="6"/>
  <c r="AB533" i="6"/>
  <c r="AT533" i="6"/>
  <c r="AV533" i="6"/>
  <c r="AD533" i="6"/>
  <c r="AR533" i="6"/>
  <c r="AY533" i="6"/>
  <c r="CQ533" i="6"/>
  <c r="C526" i="6"/>
  <c r="R533" i="6"/>
  <c r="BS533" i="6"/>
  <c r="CT533" i="6"/>
  <c r="BI533" i="6"/>
  <c r="T533" i="6"/>
  <c r="BW533" i="6"/>
  <c r="CI533" i="6"/>
  <c r="AL533" i="6"/>
  <c r="AP533" i="6"/>
  <c r="AE533" i="6"/>
  <c r="Z533" i="6"/>
  <c r="BU533" i="6"/>
  <c r="AM533" i="6"/>
  <c r="V533" i="6"/>
  <c r="AW533" i="6"/>
  <c r="CO533" i="6"/>
  <c r="W533" i="6"/>
  <c r="BE533" i="6"/>
  <c r="BY533" i="6"/>
  <c r="CV533" i="6"/>
  <c r="AA533" i="6"/>
  <c r="AN533" i="6"/>
  <c r="BZ533" i="6"/>
  <c r="CE533" i="6"/>
  <c r="CS533" i="6"/>
  <c r="CA533" i="6"/>
  <c r="AS533" i="6"/>
  <c r="CN533" i="6"/>
  <c r="AI533" i="6"/>
  <c r="BR533" i="6"/>
  <c r="BO533" i="6"/>
  <c r="BM533" i="6"/>
  <c r="AU533" i="6"/>
  <c r="AK533" i="6"/>
  <c r="CF533" i="6"/>
  <c r="BF533" i="6"/>
  <c r="CK533" i="6"/>
  <c r="X533" i="6"/>
  <c r="CH533" i="6"/>
  <c r="N533" i="6"/>
  <c r="BN533" i="6"/>
  <c r="BL533" i="6"/>
  <c r="CW533" i="6"/>
  <c r="U533" i="6"/>
  <c r="AZ533" i="6"/>
  <c r="C524" i="6"/>
  <c r="CC533" i="6"/>
  <c r="P533" i="6"/>
  <c r="CG533" i="6"/>
  <c r="M533" i="6"/>
  <c r="BP533" i="6"/>
  <c r="BH533" i="6"/>
  <c r="CL533" i="6"/>
  <c r="AQ533" i="6"/>
  <c r="CJ533" i="6"/>
  <c r="BC533" i="6"/>
  <c r="BJ533" i="6"/>
  <c r="CU533" i="6"/>
  <c r="AX533" i="6"/>
  <c r="CR533" i="6"/>
  <c r="BK533" i="6"/>
  <c r="BQ533" i="6"/>
  <c r="BX533" i="6"/>
  <c r="L533" i="6"/>
  <c r="DB86" i="6"/>
  <c r="DB94" i="6"/>
  <c r="DB102" i="6"/>
  <c r="DB110" i="6"/>
  <c r="DB118" i="6"/>
  <c r="DB126" i="6"/>
  <c r="DB134" i="6"/>
  <c r="DB142" i="6"/>
  <c r="DB150" i="6"/>
  <c r="DB158" i="6"/>
  <c r="DB166" i="6"/>
  <c r="DB174" i="6"/>
  <c r="DB182" i="6"/>
  <c r="DB190" i="6"/>
  <c r="DB198" i="6"/>
  <c r="DB206" i="6"/>
  <c r="DB214" i="6"/>
  <c r="DB222" i="6"/>
  <c r="DB230" i="6"/>
  <c r="DB238" i="6"/>
  <c r="DB246" i="6"/>
  <c r="DB254" i="6"/>
  <c r="DB262" i="6"/>
  <c r="DB270" i="6"/>
  <c r="DB278" i="6"/>
  <c r="DB286" i="6"/>
  <c r="DB294" i="6"/>
  <c r="DB302" i="6"/>
  <c r="DB310" i="6"/>
  <c r="DB318" i="6"/>
  <c r="DB326" i="6"/>
  <c r="DB334" i="6"/>
  <c r="DB342" i="6"/>
  <c r="DB350" i="6"/>
  <c r="DB358" i="6"/>
  <c r="DB366" i="6"/>
  <c r="DB374" i="6"/>
  <c r="DB382" i="6"/>
  <c r="DB390" i="6"/>
  <c r="DB398" i="6"/>
  <c r="DB406" i="6"/>
  <c r="DB414" i="6"/>
  <c r="DB422" i="6"/>
  <c r="DB430" i="6"/>
  <c r="DB438" i="6"/>
  <c r="DB446" i="6"/>
  <c r="DB454" i="6"/>
  <c r="DB462" i="6"/>
  <c r="DB470" i="6"/>
  <c r="DB478" i="6"/>
  <c r="DB486" i="6"/>
  <c r="DB494" i="6"/>
  <c r="DB502" i="6"/>
  <c r="DB510" i="6"/>
  <c r="DB518" i="6"/>
  <c r="DB526" i="6"/>
  <c r="DB534" i="6"/>
  <c r="DB542" i="6"/>
  <c r="DB550" i="6"/>
  <c r="DB558" i="6"/>
  <c r="DB566" i="6"/>
  <c r="DB574" i="6"/>
  <c r="DB582" i="6"/>
  <c r="DB590" i="6"/>
  <c r="DB598" i="6"/>
  <c r="DB606" i="6"/>
  <c r="DB614" i="6"/>
  <c r="DB622" i="6"/>
  <c r="DB630" i="6"/>
  <c r="DB638" i="6"/>
  <c r="DB646" i="6"/>
  <c r="DB654" i="6"/>
  <c r="DB662" i="6"/>
  <c r="DB670" i="6"/>
  <c r="DB678" i="6"/>
  <c r="DB686" i="6"/>
  <c r="DB694" i="6"/>
  <c r="DB702" i="6"/>
  <c r="DB710" i="6"/>
  <c r="DB87" i="6"/>
  <c r="DB95" i="6"/>
  <c r="DB103" i="6"/>
  <c r="DB111" i="6"/>
  <c r="DB119" i="6"/>
  <c r="DB127" i="6"/>
  <c r="DB135" i="6"/>
  <c r="DB143" i="6"/>
  <c r="DB151" i="6"/>
  <c r="DB159" i="6"/>
  <c r="DB167" i="6"/>
  <c r="DB175" i="6"/>
  <c r="DB183" i="6"/>
  <c r="DB191" i="6"/>
  <c r="DB199" i="6"/>
  <c r="DB207" i="6"/>
  <c r="DB215" i="6"/>
  <c r="DB223" i="6"/>
  <c r="DB231" i="6"/>
  <c r="DB239" i="6"/>
  <c r="DB247" i="6"/>
  <c r="DB255" i="6"/>
  <c r="DB263" i="6"/>
  <c r="DB271" i="6"/>
  <c r="DB279" i="6"/>
  <c r="DB287" i="6"/>
  <c r="DB295" i="6"/>
  <c r="DB303" i="6"/>
  <c r="DB311" i="6"/>
  <c r="DB319" i="6"/>
  <c r="DB327" i="6"/>
  <c r="DB335" i="6"/>
  <c r="DB343" i="6"/>
  <c r="DB351" i="6"/>
  <c r="DB359" i="6"/>
  <c r="DB367" i="6"/>
  <c r="DB375" i="6"/>
  <c r="DB383" i="6"/>
  <c r="DB391" i="6"/>
  <c r="DB399" i="6"/>
  <c r="DB407" i="6"/>
  <c r="DB415" i="6"/>
  <c r="DB423" i="6"/>
  <c r="DB431" i="6"/>
  <c r="DB439" i="6"/>
  <c r="DB447" i="6"/>
  <c r="DB455" i="6"/>
  <c r="DB463" i="6"/>
  <c r="DB471" i="6"/>
  <c r="DB479" i="6"/>
  <c r="DB487" i="6"/>
  <c r="DB495" i="6"/>
  <c r="DB503" i="6"/>
  <c r="DB511" i="6"/>
  <c r="DB519" i="6"/>
  <c r="DB527" i="6"/>
  <c r="DB535" i="6"/>
  <c r="DB543" i="6"/>
  <c r="DB551" i="6"/>
  <c r="DB559" i="6"/>
  <c r="DB567" i="6"/>
  <c r="DB575" i="6"/>
  <c r="DB583" i="6"/>
  <c r="DB591" i="6"/>
  <c r="DB599" i="6"/>
  <c r="DB607" i="6"/>
  <c r="DB615" i="6"/>
  <c r="DB623" i="6"/>
  <c r="DB631" i="6"/>
  <c r="DB639" i="6"/>
  <c r="DB647" i="6"/>
  <c r="DB655" i="6"/>
  <c r="DB663" i="6"/>
  <c r="DB671" i="6"/>
  <c r="DB679" i="6"/>
  <c r="DB687" i="6"/>
  <c r="DB695" i="6"/>
  <c r="DB703" i="6"/>
  <c r="DB711" i="6"/>
  <c r="DB88" i="6"/>
  <c r="DB96" i="6"/>
  <c r="DB104" i="6"/>
  <c r="DB112" i="6"/>
  <c r="DB120" i="6"/>
  <c r="DB128" i="6"/>
  <c r="DB136" i="6"/>
  <c r="DB144" i="6"/>
  <c r="DB152" i="6"/>
  <c r="DB160" i="6"/>
  <c r="DB168" i="6"/>
  <c r="DB176" i="6"/>
  <c r="DB184" i="6"/>
  <c r="DB192" i="6"/>
  <c r="DB200" i="6"/>
  <c r="DB208" i="6"/>
  <c r="DB216" i="6"/>
  <c r="DB224" i="6"/>
  <c r="DB232" i="6"/>
  <c r="DB240" i="6"/>
  <c r="DB248" i="6"/>
  <c r="DB256" i="6"/>
  <c r="DB264" i="6"/>
  <c r="DB272" i="6"/>
  <c r="DB280" i="6"/>
  <c r="DB288" i="6"/>
  <c r="DB296" i="6"/>
  <c r="DB304" i="6"/>
  <c r="DB312" i="6"/>
  <c r="DB320" i="6"/>
  <c r="DB328" i="6"/>
  <c r="DB336" i="6"/>
  <c r="DB344" i="6"/>
  <c r="DB352" i="6"/>
  <c r="DB360" i="6"/>
  <c r="DB368" i="6"/>
  <c r="DB376" i="6"/>
  <c r="DB384" i="6"/>
  <c r="DB392" i="6"/>
  <c r="DB400" i="6"/>
  <c r="DB408" i="6"/>
  <c r="DB416" i="6"/>
  <c r="DB424" i="6"/>
  <c r="DB432" i="6"/>
  <c r="DB440" i="6"/>
  <c r="DB448" i="6"/>
  <c r="DB456" i="6"/>
  <c r="DB464" i="6"/>
  <c r="DB472" i="6"/>
  <c r="DB480" i="6"/>
  <c r="DB488" i="6"/>
  <c r="DB496" i="6"/>
  <c r="DB504" i="6"/>
  <c r="DB512" i="6"/>
  <c r="DB520" i="6"/>
  <c r="DB528" i="6"/>
  <c r="DB536" i="6"/>
  <c r="DB544" i="6"/>
  <c r="DB552" i="6"/>
  <c r="DB560" i="6"/>
  <c r="DB568" i="6"/>
  <c r="DB576" i="6"/>
  <c r="DB584" i="6"/>
  <c r="DB592" i="6"/>
  <c r="DB600" i="6"/>
  <c r="DB608" i="6"/>
  <c r="DB616" i="6"/>
  <c r="DB624" i="6"/>
  <c r="DB632" i="6"/>
  <c r="DB640" i="6"/>
  <c r="DB648" i="6"/>
  <c r="DB656" i="6"/>
  <c r="DB664" i="6"/>
  <c r="DB672" i="6"/>
  <c r="DB680" i="6"/>
  <c r="DB688" i="6"/>
  <c r="DB696" i="6"/>
  <c r="DB704" i="6"/>
  <c r="DB712" i="6"/>
  <c r="DB720" i="6"/>
  <c r="DB728" i="6"/>
  <c r="DB736" i="6"/>
  <c r="DB744" i="6"/>
  <c r="DB752" i="6"/>
  <c r="DB760" i="6"/>
  <c r="DB89" i="6"/>
  <c r="DB100" i="6"/>
  <c r="DB114" i="6"/>
  <c r="DB125" i="6"/>
  <c r="DB139" i="6"/>
  <c r="DB153" i="6"/>
  <c r="DB164" i="6"/>
  <c r="DB178" i="6"/>
  <c r="DB189" i="6"/>
  <c r="DB203" i="6"/>
  <c r="DB217" i="6"/>
  <c r="DB228" i="6"/>
  <c r="DB242" i="6"/>
  <c r="DB253" i="6"/>
  <c r="DB267" i="6"/>
  <c r="DB281" i="6"/>
  <c r="DB292" i="6"/>
  <c r="DB306" i="6"/>
  <c r="DB317" i="6"/>
  <c r="DB331" i="6"/>
  <c r="DB345" i="6"/>
  <c r="DB356" i="6"/>
  <c r="DB370" i="6"/>
  <c r="DB381" i="6"/>
  <c r="DB395" i="6"/>
  <c r="DB409" i="6"/>
  <c r="DB420" i="6"/>
  <c r="DB434" i="6"/>
  <c r="DB445" i="6"/>
  <c r="DB459" i="6"/>
  <c r="DB473" i="6"/>
  <c r="DB484" i="6"/>
  <c r="DB498" i="6"/>
  <c r="DB509" i="6"/>
  <c r="DB523" i="6"/>
  <c r="DB537" i="6"/>
  <c r="DB548" i="6"/>
  <c r="DB562" i="6"/>
  <c r="DB573" i="6"/>
  <c r="DB587" i="6"/>
  <c r="DB601" i="6"/>
  <c r="DB612" i="6"/>
  <c r="DB626" i="6"/>
  <c r="DB637" i="6"/>
  <c r="DB651" i="6"/>
  <c r="DB665" i="6"/>
  <c r="DB676" i="6"/>
  <c r="DB690" i="6"/>
  <c r="DB701" i="6"/>
  <c r="DB715" i="6"/>
  <c r="DB724" i="6"/>
  <c r="DB733" i="6"/>
  <c r="DB742" i="6"/>
  <c r="DB751" i="6"/>
  <c r="DB761" i="6"/>
  <c r="DB769" i="6"/>
  <c r="DB777" i="6"/>
  <c r="DB157" i="6"/>
  <c r="DB274" i="6"/>
  <c r="DB299" i="6"/>
  <c r="DB324" i="6"/>
  <c r="DB363" i="6"/>
  <c r="DB388" i="6"/>
  <c r="DB413" i="6"/>
  <c r="DB441" i="6"/>
  <c r="DB477" i="6"/>
  <c r="DB505" i="6"/>
  <c r="DB541" i="6"/>
  <c r="DB580" i="6"/>
  <c r="DB619" i="6"/>
  <c r="DB658" i="6"/>
  <c r="DB697" i="6"/>
  <c r="DB729" i="6"/>
  <c r="DB756" i="6"/>
  <c r="DB773" i="6"/>
  <c r="DB97" i="6"/>
  <c r="DB147" i="6"/>
  <c r="DB197" i="6"/>
  <c r="DB236" i="6"/>
  <c r="DB275" i="6"/>
  <c r="DB314" i="6"/>
  <c r="DB353" i="6"/>
  <c r="DB389" i="6"/>
  <c r="DB428" i="6"/>
  <c r="DB467" i="6"/>
  <c r="DB90" i="6"/>
  <c r="DB101" i="6"/>
  <c r="DB115" i="6"/>
  <c r="DB129" i="6"/>
  <c r="DB140" i="6"/>
  <c r="DB154" i="6"/>
  <c r="DB165" i="6"/>
  <c r="DB179" i="6"/>
  <c r="DB193" i="6"/>
  <c r="DB204" i="6"/>
  <c r="DB218" i="6"/>
  <c r="DB229" i="6"/>
  <c r="DB243" i="6"/>
  <c r="DB257" i="6"/>
  <c r="DB268" i="6"/>
  <c r="DB282" i="6"/>
  <c r="DB293" i="6"/>
  <c r="DB307" i="6"/>
  <c r="DB321" i="6"/>
  <c r="DB332" i="6"/>
  <c r="DB346" i="6"/>
  <c r="DB357" i="6"/>
  <c r="DB371" i="6"/>
  <c r="DB385" i="6"/>
  <c r="DB396" i="6"/>
  <c r="DB410" i="6"/>
  <c r="DB421" i="6"/>
  <c r="DB435" i="6"/>
  <c r="DB449" i="6"/>
  <c r="DB460" i="6"/>
  <c r="DB474" i="6"/>
  <c r="DB485" i="6"/>
  <c r="DB499" i="6"/>
  <c r="DB513" i="6"/>
  <c r="DB524" i="6"/>
  <c r="DB538" i="6"/>
  <c r="DB549" i="6"/>
  <c r="DB563" i="6"/>
  <c r="DB577" i="6"/>
  <c r="DB588" i="6"/>
  <c r="DB602" i="6"/>
  <c r="DB613" i="6"/>
  <c r="DB627" i="6"/>
  <c r="DB641" i="6"/>
  <c r="DB652" i="6"/>
  <c r="DB666" i="6"/>
  <c r="DB677" i="6"/>
  <c r="DB691" i="6"/>
  <c r="DB705" i="6"/>
  <c r="DB716" i="6"/>
  <c r="DB725" i="6"/>
  <c r="DB734" i="6"/>
  <c r="DB743" i="6"/>
  <c r="DB753" i="6"/>
  <c r="DB762" i="6"/>
  <c r="DB770" i="6"/>
  <c r="DB778" i="6"/>
  <c r="DB349" i="6"/>
  <c r="DB466" i="6"/>
  <c r="DB516" i="6"/>
  <c r="DB569" i="6"/>
  <c r="DB605" i="6"/>
  <c r="DB644" i="6"/>
  <c r="DB683" i="6"/>
  <c r="DB719" i="6"/>
  <c r="DB738" i="6"/>
  <c r="DB765" i="6"/>
  <c r="DB108" i="6"/>
  <c r="DB172" i="6"/>
  <c r="DB211" i="6"/>
  <c r="DB250" i="6"/>
  <c r="DB289" i="6"/>
  <c r="DB325" i="6"/>
  <c r="DB378" i="6"/>
  <c r="DB417" i="6"/>
  <c r="DB453" i="6"/>
  <c r="DB492" i="6"/>
  <c r="DB91" i="6"/>
  <c r="DB105" i="6"/>
  <c r="DB116" i="6"/>
  <c r="DB130" i="6"/>
  <c r="DB141" i="6"/>
  <c r="DB155" i="6"/>
  <c r="DB169" i="6"/>
  <c r="DB180" i="6"/>
  <c r="DB194" i="6"/>
  <c r="DB205" i="6"/>
  <c r="DB219" i="6"/>
  <c r="DB233" i="6"/>
  <c r="DB244" i="6"/>
  <c r="DB258" i="6"/>
  <c r="DB269" i="6"/>
  <c r="DB283" i="6"/>
  <c r="DB297" i="6"/>
  <c r="DB308" i="6"/>
  <c r="DB322" i="6"/>
  <c r="DB333" i="6"/>
  <c r="DB347" i="6"/>
  <c r="DB361" i="6"/>
  <c r="DB372" i="6"/>
  <c r="DB386" i="6"/>
  <c r="DB397" i="6"/>
  <c r="DB411" i="6"/>
  <c r="DB425" i="6"/>
  <c r="DB436" i="6"/>
  <c r="DB450" i="6"/>
  <c r="DB461" i="6"/>
  <c r="DB475" i="6"/>
  <c r="DB489" i="6"/>
  <c r="DB500" i="6"/>
  <c r="DB514" i="6"/>
  <c r="DB525" i="6"/>
  <c r="DB539" i="6"/>
  <c r="DB553" i="6"/>
  <c r="DB564" i="6"/>
  <c r="DB578" i="6"/>
  <c r="DB589" i="6"/>
  <c r="DB603" i="6"/>
  <c r="DB617" i="6"/>
  <c r="DB628" i="6"/>
  <c r="DB642" i="6"/>
  <c r="DB653" i="6"/>
  <c r="DB667" i="6"/>
  <c r="DB681" i="6"/>
  <c r="DB692" i="6"/>
  <c r="DB706" i="6"/>
  <c r="DB717" i="6"/>
  <c r="DB726" i="6"/>
  <c r="DB735" i="6"/>
  <c r="DB745" i="6"/>
  <c r="DB754" i="6"/>
  <c r="DB763" i="6"/>
  <c r="DB771" i="6"/>
  <c r="DB779" i="6"/>
  <c r="DB92" i="6"/>
  <c r="DB106" i="6"/>
  <c r="DB117" i="6"/>
  <c r="DB131" i="6"/>
  <c r="DB145" i="6"/>
  <c r="DB156" i="6"/>
  <c r="DB170" i="6"/>
  <c r="DB181" i="6"/>
  <c r="DB195" i="6"/>
  <c r="DB209" i="6"/>
  <c r="DB220" i="6"/>
  <c r="DB234" i="6"/>
  <c r="DB245" i="6"/>
  <c r="DB259" i="6"/>
  <c r="DB273" i="6"/>
  <c r="DB284" i="6"/>
  <c r="DB298" i="6"/>
  <c r="DB309" i="6"/>
  <c r="DB323" i="6"/>
  <c r="DB337" i="6"/>
  <c r="DB348" i="6"/>
  <c r="DB362" i="6"/>
  <c r="DB373" i="6"/>
  <c r="DB387" i="6"/>
  <c r="DB401" i="6"/>
  <c r="DB412" i="6"/>
  <c r="DB426" i="6"/>
  <c r="DB437" i="6"/>
  <c r="DB451" i="6"/>
  <c r="DB465" i="6"/>
  <c r="DB476" i="6"/>
  <c r="DB490" i="6"/>
  <c r="DB501" i="6"/>
  <c r="DB515" i="6"/>
  <c r="DB529" i="6"/>
  <c r="DB540" i="6"/>
  <c r="DB554" i="6"/>
  <c r="DB565" i="6"/>
  <c r="DB579" i="6"/>
  <c r="DB593" i="6"/>
  <c r="DB604" i="6"/>
  <c r="DB618" i="6"/>
  <c r="DB629" i="6"/>
  <c r="DB643" i="6"/>
  <c r="DB657" i="6"/>
  <c r="DB668" i="6"/>
  <c r="DB682" i="6"/>
  <c r="DB693" i="6"/>
  <c r="DB707" i="6"/>
  <c r="DB718" i="6"/>
  <c r="DB727" i="6"/>
  <c r="DB737" i="6"/>
  <c r="DB746" i="6"/>
  <c r="DB755" i="6"/>
  <c r="DB764" i="6"/>
  <c r="DB772" i="6"/>
  <c r="DB780" i="6"/>
  <c r="DB93" i="6"/>
  <c r="DB107" i="6"/>
  <c r="DB121" i="6"/>
  <c r="DB132" i="6"/>
  <c r="DB146" i="6"/>
  <c r="DB171" i="6"/>
  <c r="DB185" i="6"/>
  <c r="DB196" i="6"/>
  <c r="DB210" i="6"/>
  <c r="DB221" i="6"/>
  <c r="DB235" i="6"/>
  <c r="DB249" i="6"/>
  <c r="DB260" i="6"/>
  <c r="DB285" i="6"/>
  <c r="DB313" i="6"/>
  <c r="DB338" i="6"/>
  <c r="DB377" i="6"/>
  <c r="DB402" i="6"/>
  <c r="DB427" i="6"/>
  <c r="DB452" i="6"/>
  <c r="DB491" i="6"/>
  <c r="DB530" i="6"/>
  <c r="DB555" i="6"/>
  <c r="DB594" i="6"/>
  <c r="DB633" i="6"/>
  <c r="DB669" i="6"/>
  <c r="DB708" i="6"/>
  <c r="DB747" i="6"/>
  <c r="DB781" i="6"/>
  <c r="DB122" i="6"/>
  <c r="DB133" i="6"/>
  <c r="DB161" i="6"/>
  <c r="DB186" i="6"/>
  <c r="DB225" i="6"/>
  <c r="DB261" i="6"/>
  <c r="DB300" i="6"/>
  <c r="DB339" i="6"/>
  <c r="DB364" i="6"/>
  <c r="DB403" i="6"/>
  <c r="DB442" i="6"/>
  <c r="DB481" i="6"/>
  <c r="DB517" i="6"/>
  <c r="DB98" i="6"/>
  <c r="DB148" i="6"/>
  <c r="DB201" i="6"/>
  <c r="DB251" i="6"/>
  <c r="DB301" i="6"/>
  <c r="DB354" i="6"/>
  <c r="DB404" i="6"/>
  <c r="DB457" i="6"/>
  <c r="DB506" i="6"/>
  <c r="DB545" i="6"/>
  <c r="DB572" i="6"/>
  <c r="DB610" i="6"/>
  <c r="DB645" i="6"/>
  <c r="DB675" i="6"/>
  <c r="DB713" i="6"/>
  <c r="DB739" i="6"/>
  <c r="DB759" i="6"/>
  <c r="DB783" i="6"/>
  <c r="DB581" i="6"/>
  <c r="DB649" i="6"/>
  <c r="DB714" i="6"/>
  <c r="DB766" i="6"/>
  <c r="DB784" i="6"/>
  <c r="DB163" i="6"/>
  <c r="DB369" i="6"/>
  <c r="DB521" i="6"/>
  <c r="DB621" i="6"/>
  <c r="DB722" i="6"/>
  <c r="DB173" i="6"/>
  <c r="DB379" i="6"/>
  <c r="DB522" i="6"/>
  <c r="DB625" i="6"/>
  <c r="DB723" i="6"/>
  <c r="DB124" i="6"/>
  <c r="DB380" i="6"/>
  <c r="DB531" i="6"/>
  <c r="DB634" i="6"/>
  <c r="DB730" i="6"/>
  <c r="DB187" i="6"/>
  <c r="DB340" i="6"/>
  <c r="DB493" i="6"/>
  <c r="DB597" i="6"/>
  <c r="DB700" i="6"/>
  <c r="DB776" i="6"/>
  <c r="DB241" i="6"/>
  <c r="DB394" i="6"/>
  <c r="DB497" i="6"/>
  <c r="DB609" i="6"/>
  <c r="DB709" i="6"/>
  <c r="DB782" i="6"/>
  <c r="DB99" i="6"/>
  <c r="DB149" i="6"/>
  <c r="DB202" i="6"/>
  <c r="DB252" i="6"/>
  <c r="DB305" i="6"/>
  <c r="DB355" i="6"/>
  <c r="DB405" i="6"/>
  <c r="DB458" i="6"/>
  <c r="DB507" i="6"/>
  <c r="DB546" i="6"/>
  <c r="DB611" i="6"/>
  <c r="DB684" i="6"/>
  <c r="DB740" i="6"/>
  <c r="DB113" i="6"/>
  <c r="DB316" i="6"/>
  <c r="DB469" i="6"/>
  <c r="DB586" i="6"/>
  <c r="DB689" i="6"/>
  <c r="DB768" i="6"/>
  <c r="DB226" i="6"/>
  <c r="DB329" i="6"/>
  <c r="DB429" i="6"/>
  <c r="DB557" i="6"/>
  <c r="DB660" i="6"/>
  <c r="DB749" i="6"/>
  <c r="DB227" i="6"/>
  <c r="DB277" i="6"/>
  <c r="DB433" i="6"/>
  <c r="DB561" i="6"/>
  <c r="DB661" i="6"/>
  <c r="DB750" i="6"/>
  <c r="DB237" i="6"/>
  <c r="DB290" i="6"/>
  <c r="DB443" i="6"/>
  <c r="DB532" i="6"/>
  <c r="DB635" i="6"/>
  <c r="DB731" i="6"/>
  <c r="DB188" i="6"/>
  <c r="DB291" i="6"/>
  <c r="DB444" i="6"/>
  <c r="DB571" i="6"/>
  <c r="DB674" i="6"/>
  <c r="DB758" i="6"/>
  <c r="DB109" i="6"/>
  <c r="DB162" i="6"/>
  <c r="DB212" i="6"/>
  <c r="DB265" i="6"/>
  <c r="DB315" i="6"/>
  <c r="DB365" i="6"/>
  <c r="DB418" i="6"/>
  <c r="DB468" i="6"/>
  <c r="DB508" i="6"/>
  <c r="DB547" i="6"/>
  <c r="DB585" i="6"/>
  <c r="DB620" i="6"/>
  <c r="DB650" i="6"/>
  <c r="DB685" i="6"/>
  <c r="DB721" i="6"/>
  <c r="DB741" i="6"/>
  <c r="DB767" i="6"/>
  <c r="DB213" i="6"/>
  <c r="DB266" i="6"/>
  <c r="DB419" i="6"/>
  <c r="DB556" i="6"/>
  <c r="DB659" i="6"/>
  <c r="DB748" i="6"/>
  <c r="DB123" i="6"/>
  <c r="DB276" i="6"/>
  <c r="DB482" i="6"/>
  <c r="DB595" i="6"/>
  <c r="DB698" i="6"/>
  <c r="DB774" i="6"/>
  <c r="DB177" i="6"/>
  <c r="DB330" i="6"/>
  <c r="DB483" i="6"/>
  <c r="DB596" i="6"/>
  <c r="DB699" i="6"/>
  <c r="DB775" i="6"/>
  <c r="DB137" i="6"/>
  <c r="DB393" i="6"/>
  <c r="DB570" i="6"/>
  <c r="DB673" i="6"/>
  <c r="DB757" i="6"/>
  <c r="DB138" i="6"/>
  <c r="DB341" i="6"/>
  <c r="DB533" i="6"/>
  <c r="DB636" i="6"/>
  <c r="DB732" i="6"/>
  <c r="O14" i="3"/>
  <c r="O13" i="3"/>
  <c r="DB85" i="6"/>
  <c r="DC778" i="6"/>
  <c r="O12" i="3" a="1"/>
  <c r="O12" i="3" s="1"/>
  <c r="O11" i="3" a="1"/>
  <c r="O11" i="3" s="1"/>
  <c r="Q14" i="3"/>
  <c r="Q13" i="3"/>
  <c r="A9" i="3"/>
  <c r="I264" i="6"/>
  <c r="H264" i="6"/>
  <c r="G264" i="6"/>
  <c r="F264" i="6"/>
  <c r="E264" i="6"/>
  <c r="D264" i="6"/>
  <c r="DD269" i="6"/>
  <c r="DD277" i="6"/>
  <c r="DD285" i="6"/>
  <c r="DD293" i="6"/>
  <c r="DD301" i="6"/>
  <c r="DD309" i="6"/>
  <c r="DD317" i="6"/>
  <c r="DD325" i="6"/>
  <c r="DD333" i="6"/>
  <c r="DD341" i="6"/>
  <c r="DD349" i="6"/>
  <c r="DD357" i="6"/>
  <c r="DD365" i="6"/>
  <c r="DD373" i="6"/>
  <c r="DD381" i="6"/>
  <c r="DD389" i="6"/>
  <c r="DD397" i="6"/>
  <c r="DD405" i="6"/>
  <c r="DD413" i="6"/>
  <c r="DD421" i="6"/>
  <c r="DD429" i="6"/>
  <c r="DD437" i="6"/>
  <c r="DD445" i="6"/>
  <c r="DD453" i="6"/>
  <c r="DD461" i="6"/>
  <c r="DD469" i="6"/>
  <c r="DD477" i="6"/>
  <c r="DD485" i="6"/>
  <c r="DD493" i="6"/>
  <c r="DD501" i="6"/>
  <c r="DD509" i="6"/>
  <c r="DD517" i="6"/>
  <c r="DD525" i="6"/>
  <c r="DD533" i="6"/>
  <c r="DD541" i="6"/>
  <c r="DD549" i="6"/>
  <c r="DD557" i="6"/>
  <c r="DD565" i="6"/>
  <c r="DD573" i="6"/>
  <c r="DD581" i="6"/>
  <c r="DD589" i="6"/>
  <c r="DD597" i="6"/>
  <c r="DD605" i="6"/>
  <c r="DD613" i="6"/>
  <c r="DD621" i="6"/>
  <c r="DD270" i="6"/>
  <c r="DD278" i="6"/>
  <c r="DD286" i="6"/>
  <c r="DD294" i="6"/>
  <c r="DD302" i="6"/>
  <c r="DD310" i="6"/>
  <c r="DD318" i="6"/>
  <c r="DD326" i="6"/>
  <c r="DD334" i="6"/>
  <c r="DD342" i="6"/>
  <c r="DD350" i="6"/>
  <c r="DD358" i="6"/>
  <c r="DD366" i="6"/>
  <c r="DD374" i="6"/>
  <c r="DD382" i="6"/>
  <c r="DD390" i="6"/>
  <c r="DD398" i="6"/>
  <c r="DD406" i="6"/>
  <c r="DD414" i="6"/>
  <c r="DD422" i="6"/>
  <c r="DD430" i="6"/>
  <c r="DD438" i="6"/>
  <c r="DD446" i="6"/>
  <c r="DD454" i="6"/>
  <c r="DD462" i="6"/>
  <c r="DD470" i="6"/>
  <c r="DD478" i="6"/>
  <c r="DD486" i="6"/>
  <c r="DD494" i="6"/>
  <c r="DD502" i="6"/>
  <c r="DD510" i="6"/>
  <c r="DD518" i="6"/>
  <c r="DD526" i="6"/>
  <c r="DD534" i="6"/>
  <c r="DD542" i="6"/>
  <c r="DD550" i="6"/>
  <c r="DD558" i="6"/>
  <c r="DD566" i="6"/>
  <c r="DD574" i="6"/>
  <c r="DD582" i="6"/>
  <c r="DD590" i="6"/>
  <c r="DD598" i="6"/>
  <c r="DD606" i="6"/>
  <c r="DD614" i="6"/>
  <c r="DD622" i="6"/>
  <c r="DD630" i="6"/>
  <c r="DD271" i="6"/>
  <c r="DD279" i="6"/>
  <c r="DD287" i="6"/>
  <c r="DD295" i="6"/>
  <c r="DD303" i="6"/>
  <c r="DD311" i="6"/>
  <c r="DD319" i="6"/>
  <c r="DD327" i="6"/>
  <c r="DD335" i="6"/>
  <c r="DD343" i="6"/>
  <c r="DD351" i="6"/>
  <c r="DD359" i="6"/>
  <c r="DD367" i="6"/>
  <c r="DD375" i="6"/>
  <c r="DD383" i="6"/>
  <c r="DD391" i="6"/>
  <c r="DD399" i="6"/>
  <c r="DD407" i="6"/>
  <c r="DD415" i="6"/>
  <c r="DD423" i="6"/>
  <c r="DD431" i="6"/>
  <c r="DD439" i="6"/>
  <c r="DD447" i="6"/>
  <c r="DD455" i="6"/>
  <c r="DD463" i="6"/>
  <c r="DD471" i="6"/>
  <c r="DD479" i="6"/>
  <c r="DD487" i="6"/>
  <c r="DD495" i="6"/>
  <c r="DD503" i="6"/>
  <c r="DD511" i="6"/>
  <c r="DD519" i="6"/>
  <c r="DD527" i="6"/>
  <c r="DD535" i="6"/>
  <c r="DD543" i="6"/>
  <c r="DD551" i="6"/>
  <c r="DD559" i="6"/>
  <c r="DD567" i="6"/>
  <c r="DD575" i="6"/>
  <c r="DD583" i="6"/>
  <c r="DD591" i="6"/>
  <c r="DD599" i="6"/>
  <c r="DD607" i="6"/>
  <c r="DD615" i="6"/>
  <c r="DD623" i="6"/>
  <c r="DD631" i="6"/>
  <c r="DD639" i="6"/>
  <c r="DD647" i="6"/>
  <c r="DD655" i="6"/>
  <c r="DD663" i="6"/>
  <c r="DD671" i="6"/>
  <c r="DD679" i="6"/>
  <c r="DD687" i="6"/>
  <c r="DD695" i="6"/>
  <c r="DD703" i="6"/>
  <c r="DD711" i="6"/>
  <c r="DD719" i="6"/>
  <c r="DD727" i="6"/>
  <c r="DD735" i="6"/>
  <c r="DD743" i="6"/>
  <c r="DD751" i="6"/>
  <c r="DD759" i="6"/>
  <c r="DD767" i="6"/>
  <c r="DD775" i="6"/>
  <c r="DD783" i="6"/>
  <c r="DD744" i="6"/>
  <c r="DD760" i="6"/>
  <c r="DD768" i="6"/>
  <c r="DD784" i="6"/>
  <c r="DD283" i="6"/>
  <c r="DD299" i="6"/>
  <c r="DD315" i="6"/>
  <c r="DD331" i="6"/>
  <c r="DD347" i="6"/>
  <c r="DD363" i="6"/>
  <c r="DD395" i="6"/>
  <c r="DD411" i="6"/>
  <c r="DD435" i="6"/>
  <c r="DD467" i="6"/>
  <c r="DD491" i="6"/>
  <c r="DD515" i="6"/>
  <c r="DD555" i="6"/>
  <c r="DD587" i="6"/>
  <c r="DD619" i="6"/>
  <c r="DD651" i="6"/>
  <c r="DD272" i="6"/>
  <c r="DD280" i="6"/>
  <c r="DD288" i="6"/>
  <c r="DD296" i="6"/>
  <c r="DD304" i="6"/>
  <c r="DD312" i="6"/>
  <c r="DD320" i="6"/>
  <c r="DD328" i="6"/>
  <c r="DD336" i="6"/>
  <c r="DD344" i="6"/>
  <c r="DD352" i="6"/>
  <c r="DD360" i="6"/>
  <c r="DD368" i="6"/>
  <c r="DD376" i="6"/>
  <c r="DD384" i="6"/>
  <c r="DD392" i="6"/>
  <c r="DD400" i="6"/>
  <c r="DD408" i="6"/>
  <c r="DD416" i="6"/>
  <c r="DD424" i="6"/>
  <c r="DD432" i="6"/>
  <c r="DD440" i="6"/>
  <c r="DD448" i="6"/>
  <c r="DD456" i="6"/>
  <c r="DD464" i="6"/>
  <c r="DD472" i="6"/>
  <c r="DD480" i="6"/>
  <c r="DD488" i="6"/>
  <c r="DD496" i="6"/>
  <c r="DD504" i="6"/>
  <c r="DD512" i="6"/>
  <c r="DD520" i="6"/>
  <c r="DD528" i="6"/>
  <c r="DD536" i="6"/>
  <c r="DD544" i="6"/>
  <c r="DD552" i="6"/>
  <c r="DD560" i="6"/>
  <c r="DD568" i="6"/>
  <c r="DD576" i="6"/>
  <c r="DD584" i="6"/>
  <c r="DD592" i="6"/>
  <c r="DD600" i="6"/>
  <c r="DD608" i="6"/>
  <c r="DD616" i="6"/>
  <c r="DD624" i="6"/>
  <c r="DD632" i="6"/>
  <c r="DD640" i="6"/>
  <c r="DD648" i="6"/>
  <c r="DD656" i="6"/>
  <c r="DD664" i="6"/>
  <c r="DD672" i="6"/>
  <c r="DD680" i="6"/>
  <c r="DD688" i="6"/>
  <c r="DD696" i="6"/>
  <c r="DD704" i="6"/>
  <c r="DD712" i="6"/>
  <c r="DD720" i="6"/>
  <c r="DD728" i="6"/>
  <c r="DD736" i="6"/>
  <c r="DD752" i="6"/>
  <c r="DD776" i="6"/>
  <c r="DD291" i="6"/>
  <c r="DD379" i="6"/>
  <c r="DD443" i="6"/>
  <c r="DD499" i="6"/>
  <c r="DD531" i="6"/>
  <c r="DD563" i="6"/>
  <c r="DD603" i="6"/>
  <c r="DD643" i="6"/>
  <c r="DD667" i="6"/>
  <c r="DD699" i="6"/>
  <c r="DD265" i="6"/>
  <c r="DD273" i="6"/>
  <c r="DD281" i="6"/>
  <c r="DD289" i="6"/>
  <c r="DD297" i="6"/>
  <c r="DD305" i="6"/>
  <c r="DD313" i="6"/>
  <c r="DD321" i="6"/>
  <c r="DD329" i="6"/>
  <c r="DD337" i="6"/>
  <c r="DD345" i="6"/>
  <c r="DD353" i="6"/>
  <c r="DD361" i="6"/>
  <c r="DD369" i="6"/>
  <c r="DD377" i="6"/>
  <c r="DD385" i="6"/>
  <c r="DD393" i="6"/>
  <c r="DD401" i="6"/>
  <c r="DD409" i="6"/>
  <c r="DD417" i="6"/>
  <c r="DD425" i="6"/>
  <c r="DD433" i="6"/>
  <c r="DD441" i="6"/>
  <c r="DD449" i="6"/>
  <c r="DD457" i="6"/>
  <c r="DD465" i="6"/>
  <c r="DD473" i="6"/>
  <c r="DD481" i="6"/>
  <c r="DD489" i="6"/>
  <c r="DD497" i="6"/>
  <c r="DD505" i="6"/>
  <c r="DD513" i="6"/>
  <c r="DD521" i="6"/>
  <c r="DD529" i="6"/>
  <c r="DD537" i="6"/>
  <c r="DD545" i="6"/>
  <c r="DD553" i="6"/>
  <c r="DD561" i="6"/>
  <c r="DD569" i="6"/>
  <c r="DD577" i="6"/>
  <c r="DD585" i="6"/>
  <c r="DD593" i="6"/>
  <c r="DD601" i="6"/>
  <c r="DD609" i="6"/>
  <c r="DD617" i="6"/>
  <c r="DD625" i="6"/>
  <c r="DD633" i="6"/>
  <c r="DD641" i="6"/>
  <c r="DD649" i="6"/>
  <c r="DD657" i="6"/>
  <c r="DD665" i="6"/>
  <c r="DD673" i="6"/>
  <c r="DD681" i="6"/>
  <c r="DD689" i="6"/>
  <c r="DD697" i="6"/>
  <c r="DD705" i="6"/>
  <c r="DD713" i="6"/>
  <c r="DD721" i="6"/>
  <c r="DD729" i="6"/>
  <c r="DD737" i="6"/>
  <c r="DD745" i="6"/>
  <c r="DD753" i="6"/>
  <c r="DD761" i="6"/>
  <c r="DD769" i="6"/>
  <c r="DD777" i="6"/>
  <c r="DD275" i="6"/>
  <c r="DD387" i="6"/>
  <c r="DD419" i="6"/>
  <c r="DD451" i="6"/>
  <c r="DD483" i="6"/>
  <c r="DD523" i="6"/>
  <c r="DD547" i="6"/>
  <c r="DD571" i="6"/>
  <c r="DD611" i="6"/>
  <c r="DD635" i="6"/>
  <c r="DD675" i="6"/>
  <c r="DD266" i="6"/>
  <c r="DD274" i="6"/>
  <c r="DD282" i="6"/>
  <c r="DD290" i="6"/>
  <c r="DD298" i="6"/>
  <c r="DD306" i="6"/>
  <c r="DD314" i="6"/>
  <c r="DD322" i="6"/>
  <c r="DD330" i="6"/>
  <c r="DD338" i="6"/>
  <c r="DD346" i="6"/>
  <c r="DD354" i="6"/>
  <c r="DD362" i="6"/>
  <c r="DD370" i="6"/>
  <c r="DD378" i="6"/>
  <c r="DD386" i="6"/>
  <c r="DD394" i="6"/>
  <c r="DD402" i="6"/>
  <c r="DD410" i="6"/>
  <c r="DD418" i="6"/>
  <c r="DD426" i="6"/>
  <c r="DD434" i="6"/>
  <c r="DD442" i="6"/>
  <c r="DD450" i="6"/>
  <c r="DD458" i="6"/>
  <c r="DD466" i="6"/>
  <c r="DD474" i="6"/>
  <c r="DD482" i="6"/>
  <c r="DD490" i="6"/>
  <c r="DD498" i="6"/>
  <c r="DD506" i="6"/>
  <c r="DD514" i="6"/>
  <c r="DD522" i="6"/>
  <c r="DD530" i="6"/>
  <c r="DD538" i="6"/>
  <c r="DD546" i="6"/>
  <c r="DD554" i="6"/>
  <c r="DD562" i="6"/>
  <c r="DD570" i="6"/>
  <c r="DD578" i="6"/>
  <c r="DD586" i="6"/>
  <c r="DD594" i="6"/>
  <c r="DD602" i="6"/>
  <c r="DD610" i="6"/>
  <c r="DD618" i="6"/>
  <c r="DD626" i="6"/>
  <c r="DD634" i="6"/>
  <c r="DD642" i="6"/>
  <c r="DD650" i="6"/>
  <c r="DD658" i="6"/>
  <c r="DD666" i="6"/>
  <c r="DD674" i="6"/>
  <c r="DD682" i="6"/>
  <c r="DD690" i="6"/>
  <c r="DD698" i="6"/>
  <c r="DD706" i="6"/>
  <c r="DD714" i="6"/>
  <c r="DD722" i="6"/>
  <c r="DD730" i="6"/>
  <c r="DD738" i="6"/>
  <c r="DD746" i="6"/>
  <c r="DD754" i="6"/>
  <c r="DD762" i="6"/>
  <c r="DD770" i="6"/>
  <c r="DD778" i="6"/>
  <c r="DD267" i="6"/>
  <c r="DD307" i="6"/>
  <c r="DD323" i="6"/>
  <c r="DD339" i="6"/>
  <c r="DD355" i="6"/>
  <c r="DD371" i="6"/>
  <c r="DD403" i="6"/>
  <c r="DD427" i="6"/>
  <c r="DD459" i="6"/>
  <c r="DD475" i="6"/>
  <c r="DD507" i="6"/>
  <c r="DD539" i="6"/>
  <c r="DD579" i="6"/>
  <c r="DD595" i="6"/>
  <c r="DD627" i="6"/>
  <c r="DD659" i="6"/>
  <c r="DD691" i="6"/>
  <c r="DD300" i="6"/>
  <c r="DD364" i="6"/>
  <c r="DD428" i="6"/>
  <c r="DD492" i="6"/>
  <c r="DD556" i="6"/>
  <c r="DD620" i="6"/>
  <c r="DD646" i="6"/>
  <c r="DD669" i="6"/>
  <c r="DD686" i="6"/>
  <c r="DD708" i="6"/>
  <c r="DD724" i="6"/>
  <c r="DD740" i="6"/>
  <c r="DD756" i="6"/>
  <c r="DD772" i="6"/>
  <c r="DD677" i="6"/>
  <c r="DD747" i="6"/>
  <c r="DD700" i="6"/>
  <c r="DD764" i="6"/>
  <c r="DD733" i="6"/>
  <c r="DD604" i="6"/>
  <c r="DD750" i="6"/>
  <c r="DD612" i="6"/>
  <c r="DD723" i="6"/>
  <c r="DD308" i="6"/>
  <c r="DD372" i="6"/>
  <c r="DD436" i="6"/>
  <c r="DD500" i="6"/>
  <c r="DD564" i="6"/>
  <c r="DD628" i="6"/>
  <c r="DD652" i="6"/>
  <c r="DD670" i="6"/>
  <c r="DD692" i="6"/>
  <c r="DD709" i="6"/>
  <c r="DD725" i="6"/>
  <c r="DD741" i="6"/>
  <c r="DD757" i="6"/>
  <c r="DD773" i="6"/>
  <c r="DD774" i="6"/>
  <c r="DD694" i="6"/>
  <c r="DD763" i="6"/>
  <c r="DD748" i="6"/>
  <c r="DD717" i="6"/>
  <c r="DD684" i="6"/>
  <c r="DD782" i="6"/>
  <c r="DD645" i="6"/>
  <c r="DD739" i="6"/>
  <c r="DD316" i="6"/>
  <c r="DD380" i="6"/>
  <c r="DD444" i="6"/>
  <c r="DD508" i="6"/>
  <c r="DD572" i="6"/>
  <c r="DD629" i="6"/>
  <c r="DD653" i="6"/>
  <c r="DD676" i="6"/>
  <c r="DD693" i="6"/>
  <c r="DD710" i="6"/>
  <c r="DD726" i="6"/>
  <c r="DD742" i="6"/>
  <c r="DD758" i="6"/>
  <c r="DD715" i="6"/>
  <c r="DD779" i="6"/>
  <c r="DD732" i="6"/>
  <c r="DD780" i="6"/>
  <c r="DD749" i="6"/>
  <c r="DD662" i="6"/>
  <c r="DD292" i="6"/>
  <c r="DD668" i="6"/>
  <c r="DD324" i="6"/>
  <c r="DD388" i="6"/>
  <c r="DD452" i="6"/>
  <c r="DD516" i="6"/>
  <c r="DD580" i="6"/>
  <c r="DD636" i="6"/>
  <c r="DD654" i="6"/>
  <c r="DD731" i="6"/>
  <c r="DD661" i="6"/>
  <c r="DD765" i="6"/>
  <c r="DD718" i="6"/>
  <c r="DD420" i="6"/>
  <c r="DD771" i="6"/>
  <c r="DD268" i="6"/>
  <c r="DD332" i="6"/>
  <c r="DD396" i="6"/>
  <c r="DD460" i="6"/>
  <c r="DD524" i="6"/>
  <c r="DD588" i="6"/>
  <c r="DD637" i="6"/>
  <c r="DD660" i="6"/>
  <c r="DD678" i="6"/>
  <c r="DD716" i="6"/>
  <c r="DD683" i="6"/>
  <c r="DD702" i="6"/>
  <c r="DD356" i="6"/>
  <c r="DD707" i="6"/>
  <c r="DD276" i="6"/>
  <c r="DD340" i="6"/>
  <c r="DD404" i="6"/>
  <c r="DD468" i="6"/>
  <c r="DD532" i="6"/>
  <c r="DD596" i="6"/>
  <c r="DD638" i="6"/>
  <c r="DD701" i="6"/>
  <c r="DD781" i="6"/>
  <c r="DD734" i="6"/>
  <c r="DD484" i="6"/>
  <c r="DD685" i="6"/>
  <c r="DD284" i="6"/>
  <c r="DD348" i="6"/>
  <c r="DD412" i="6"/>
  <c r="DD476" i="6"/>
  <c r="DD540" i="6"/>
  <c r="DD644" i="6"/>
  <c r="DD766" i="6"/>
  <c r="DD548" i="6"/>
  <c r="DD755" i="6"/>
  <c r="DD150" i="6"/>
  <c r="DD158" i="6"/>
  <c r="DD166" i="6"/>
  <c r="DD174" i="6"/>
  <c r="DD182" i="6"/>
  <c r="DD190" i="6"/>
  <c r="DD198" i="6"/>
  <c r="DD206" i="6"/>
  <c r="DD214" i="6"/>
  <c r="DD222" i="6"/>
  <c r="DD230" i="6"/>
  <c r="DD238" i="6"/>
  <c r="DD246" i="6"/>
  <c r="DD254" i="6"/>
  <c r="DD260" i="6"/>
  <c r="DD122" i="6"/>
  <c r="DD130" i="6"/>
  <c r="DD138" i="6"/>
  <c r="DD146" i="6"/>
  <c r="DD189" i="6"/>
  <c r="DD237" i="6"/>
  <c r="DD121" i="6"/>
  <c r="DD151" i="6"/>
  <c r="DD159" i="6"/>
  <c r="DD167" i="6"/>
  <c r="DD175" i="6"/>
  <c r="DD183" i="6"/>
  <c r="DD191" i="6"/>
  <c r="DD199" i="6"/>
  <c r="DD207" i="6"/>
  <c r="DD215" i="6"/>
  <c r="DD223" i="6"/>
  <c r="DD231" i="6"/>
  <c r="DD239" i="6"/>
  <c r="DD247" i="6"/>
  <c r="DD255" i="6"/>
  <c r="DD261" i="6"/>
  <c r="DD123" i="6"/>
  <c r="DD131" i="6"/>
  <c r="DD139" i="6"/>
  <c r="DD147" i="6"/>
  <c r="DD173" i="6"/>
  <c r="DD245" i="6"/>
  <c r="DD152" i="6"/>
  <c r="DD160" i="6"/>
  <c r="DD168" i="6"/>
  <c r="DD176" i="6"/>
  <c r="DD184" i="6"/>
  <c r="DD192" i="6"/>
  <c r="DD200" i="6"/>
  <c r="DD208" i="6"/>
  <c r="DD216" i="6"/>
  <c r="DD224" i="6"/>
  <c r="DD232" i="6"/>
  <c r="DD240" i="6"/>
  <c r="DD248" i="6"/>
  <c r="DD256" i="6"/>
  <c r="DD262" i="6"/>
  <c r="DD124" i="6"/>
  <c r="DD132" i="6"/>
  <c r="DD140" i="6"/>
  <c r="DD148" i="6"/>
  <c r="DD205" i="6"/>
  <c r="DD153" i="6"/>
  <c r="DD161" i="6"/>
  <c r="DD169" i="6"/>
  <c r="DD177" i="6"/>
  <c r="DD185" i="6"/>
  <c r="DD193" i="6"/>
  <c r="DD201" i="6"/>
  <c r="DD209" i="6"/>
  <c r="DD217" i="6"/>
  <c r="DD225" i="6"/>
  <c r="DD233" i="6"/>
  <c r="DD241" i="6"/>
  <c r="DD249" i="6"/>
  <c r="DD257" i="6"/>
  <c r="DD263" i="6"/>
  <c r="DD125" i="6"/>
  <c r="DD133" i="6"/>
  <c r="DD141" i="6"/>
  <c r="DD149" i="6"/>
  <c r="DD143" i="6"/>
  <c r="DD165" i="6"/>
  <c r="DD129" i="6"/>
  <c r="DD154" i="6"/>
  <c r="DD162" i="6"/>
  <c r="DD170" i="6"/>
  <c r="DD178" i="6"/>
  <c r="DD186" i="6"/>
  <c r="DD194" i="6"/>
  <c r="DD202" i="6"/>
  <c r="DD210" i="6"/>
  <c r="DD218" i="6"/>
  <c r="DD226" i="6"/>
  <c r="DD234" i="6"/>
  <c r="DD242" i="6"/>
  <c r="DD250" i="6"/>
  <c r="DD258" i="6"/>
  <c r="DD264" i="6"/>
  <c r="DD126" i="6"/>
  <c r="DD134" i="6"/>
  <c r="DD142" i="6"/>
  <c r="DD127" i="6"/>
  <c r="DD181" i="6"/>
  <c r="DD259" i="6"/>
  <c r="DD155" i="6"/>
  <c r="DD163" i="6"/>
  <c r="DD171" i="6"/>
  <c r="DD179" i="6"/>
  <c r="DD187" i="6"/>
  <c r="DD195" i="6"/>
  <c r="DD203" i="6"/>
  <c r="DD211" i="6"/>
  <c r="DD219" i="6"/>
  <c r="DD227" i="6"/>
  <c r="DD235" i="6"/>
  <c r="DD243" i="6"/>
  <c r="DD251" i="6"/>
  <c r="DD119" i="6"/>
  <c r="DD135" i="6"/>
  <c r="DD197" i="6"/>
  <c r="DD253" i="6"/>
  <c r="DD145" i="6"/>
  <c r="DD156" i="6"/>
  <c r="DD164" i="6"/>
  <c r="DD172" i="6"/>
  <c r="DD180" i="6"/>
  <c r="DD188" i="6"/>
  <c r="DD196" i="6"/>
  <c r="DD204" i="6"/>
  <c r="DD212" i="6"/>
  <c r="DD220" i="6"/>
  <c r="DD228" i="6"/>
  <c r="DD236" i="6"/>
  <c r="DD244" i="6"/>
  <c r="DD252" i="6"/>
  <c r="DD120" i="6"/>
  <c r="DD128" i="6"/>
  <c r="DD136" i="6"/>
  <c r="DD144" i="6"/>
  <c r="DD157" i="6"/>
  <c r="DD213" i="6"/>
  <c r="DD221" i="6"/>
  <c r="DD229" i="6"/>
  <c r="DD137" i="6"/>
  <c r="D10" i="3"/>
  <c r="DD6" i="6" s="1"/>
  <c r="DC775" i="6"/>
  <c r="DC767" i="6"/>
  <c r="DC759" i="6"/>
  <c r="DC751" i="6"/>
  <c r="DC743" i="6"/>
  <c r="DC735" i="6"/>
  <c r="DC727" i="6"/>
  <c r="DC719" i="6"/>
  <c r="DC711" i="6"/>
  <c r="DC703" i="6"/>
  <c r="DC695" i="6"/>
  <c r="DC687" i="6"/>
  <c r="DC679" i="6"/>
  <c r="DC671" i="6"/>
  <c r="DC663" i="6"/>
  <c r="DC655" i="6"/>
  <c r="DC647" i="6"/>
  <c r="DC639" i="6"/>
  <c r="DC631" i="6"/>
  <c r="DC623" i="6"/>
  <c r="DC615" i="6"/>
  <c r="DC607" i="6"/>
  <c r="DC599" i="6"/>
  <c r="DC591" i="6"/>
  <c r="DC583" i="6"/>
  <c r="DC575" i="6"/>
  <c r="DC567" i="6"/>
  <c r="DC559" i="6"/>
  <c r="DC772" i="6"/>
  <c r="DC764" i="6"/>
  <c r="DC756" i="6"/>
  <c r="DC748" i="6"/>
  <c r="DC740" i="6"/>
  <c r="DC732" i="6"/>
  <c r="DC724" i="6"/>
  <c r="DC716" i="6"/>
  <c r="DC708" i="6"/>
  <c r="DC700" i="6"/>
  <c r="DC692" i="6"/>
  <c r="DC684" i="6"/>
  <c r="DC676" i="6"/>
  <c r="DC668" i="6"/>
  <c r="DC660" i="6"/>
  <c r="DC652" i="6"/>
  <c r="DC644" i="6"/>
  <c r="DC636" i="6"/>
  <c r="DC628" i="6"/>
  <c r="DC620" i="6"/>
  <c r="DC612" i="6"/>
  <c r="DC604" i="6"/>
  <c r="DC596" i="6"/>
  <c r="DC588" i="6"/>
  <c r="DC580" i="6"/>
  <c r="DC572" i="6"/>
  <c r="DC564" i="6"/>
  <c r="DC556" i="6"/>
  <c r="DC777" i="6"/>
  <c r="DC769" i="6"/>
  <c r="DC761" i="6"/>
  <c r="DC753" i="6"/>
  <c r="DC745" i="6"/>
  <c r="DC737" i="6"/>
  <c r="DC729" i="6"/>
  <c r="DC721" i="6"/>
  <c r="DC713" i="6"/>
  <c r="DC705" i="6"/>
  <c r="DC697" i="6"/>
  <c r="DC689" i="6"/>
  <c r="DC681" i="6"/>
  <c r="DC673" i="6"/>
  <c r="DC665" i="6"/>
  <c r="DC657" i="6"/>
  <c r="DC649" i="6"/>
  <c r="DC641" i="6"/>
  <c r="DC633" i="6"/>
  <c r="DC625" i="6"/>
  <c r="DC617" i="6"/>
  <c r="DC609" i="6"/>
  <c r="DC601" i="6"/>
  <c r="DC593" i="6"/>
  <c r="DC585" i="6"/>
  <c r="DC577" i="6"/>
  <c r="DC569" i="6"/>
  <c r="DC561" i="6"/>
  <c r="DC553" i="6"/>
  <c r="DC765" i="6"/>
  <c r="DC752" i="6"/>
  <c r="DC739" i="6"/>
  <c r="DC726" i="6"/>
  <c r="DC714" i="6"/>
  <c r="DC701" i="6"/>
  <c r="DC688" i="6"/>
  <c r="DC675" i="6"/>
  <c r="DC662" i="6"/>
  <c r="DC650" i="6"/>
  <c r="DC637" i="6"/>
  <c r="DC624" i="6"/>
  <c r="DC611" i="6"/>
  <c r="DC598" i="6"/>
  <c r="DC586" i="6"/>
  <c r="DC573" i="6"/>
  <c r="DC560" i="6"/>
  <c r="DC552" i="6"/>
  <c r="DC544" i="6"/>
  <c r="DC536" i="6"/>
  <c r="DC528" i="6"/>
  <c r="DC520" i="6"/>
  <c r="DC512" i="6"/>
  <c r="DC504" i="6"/>
  <c r="DC496" i="6"/>
  <c r="DC488" i="6"/>
  <c r="DC480" i="6"/>
  <c r="DC472" i="6"/>
  <c r="DC773" i="6"/>
  <c r="DC760" i="6"/>
  <c r="DC747" i="6"/>
  <c r="DC734" i="6"/>
  <c r="DC722" i="6"/>
  <c r="DC709" i="6"/>
  <c r="DC696" i="6"/>
  <c r="DC683" i="6"/>
  <c r="DC670" i="6"/>
  <c r="DC658" i="6"/>
  <c r="DC645" i="6"/>
  <c r="DC632" i="6"/>
  <c r="DC619" i="6"/>
  <c r="DC606" i="6"/>
  <c r="DC594" i="6"/>
  <c r="DC581" i="6"/>
  <c r="DC568" i="6"/>
  <c r="DC555" i="6"/>
  <c r="DC549" i="6"/>
  <c r="DC541" i="6"/>
  <c r="DC533" i="6"/>
  <c r="DC525" i="6"/>
  <c r="DC517" i="6"/>
  <c r="DC509" i="6"/>
  <c r="DC501" i="6"/>
  <c r="DC493" i="6"/>
  <c r="DC485" i="6"/>
  <c r="DC477" i="6"/>
  <c r="DC469" i="6"/>
  <c r="DC768" i="6"/>
  <c r="DC755" i="6"/>
  <c r="DC742" i="6"/>
  <c r="DC730" i="6"/>
  <c r="DC717" i="6"/>
  <c r="DC704" i="6"/>
  <c r="DC691" i="6"/>
  <c r="DC678" i="6"/>
  <c r="DC666" i="6"/>
  <c r="DC653" i="6"/>
  <c r="DC640" i="6"/>
  <c r="DC627" i="6"/>
  <c r="DC614" i="6"/>
  <c r="DC602" i="6"/>
  <c r="DC589" i="6"/>
  <c r="DC576" i="6"/>
  <c r="DC563" i="6"/>
  <c r="DC546" i="6"/>
  <c r="DC538" i="6"/>
  <c r="DC530" i="6"/>
  <c r="DC522" i="6"/>
  <c r="DC514" i="6"/>
  <c r="DC506" i="6"/>
  <c r="DC498" i="6"/>
  <c r="DC490" i="6"/>
  <c r="DC763" i="6"/>
  <c r="DC744" i="6"/>
  <c r="DC723" i="6"/>
  <c r="DC702" i="6"/>
  <c r="DC682" i="6"/>
  <c r="DC661" i="6"/>
  <c r="DC642" i="6"/>
  <c r="DC621" i="6"/>
  <c r="DC600" i="6"/>
  <c r="DC579" i="6"/>
  <c r="DC558" i="6"/>
  <c r="DC548" i="6"/>
  <c r="DC535" i="6"/>
  <c r="DC523" i="6"/>
  <c r="DC510" i="6"/>
  <c r="DC497" i="6"/>
  <c r="DC484" i="6"/>
  <c r="DC470" i="6"/>
  <c r="DC466" i="6"/>
  <c r="DC463" i="6"/>
  <c r="DC455" i="6"/>
  <c r="DC447" i="6"/>
  <c r="DC439" i="6"/>
  <c r="DC431" i="6"/>
  <c r="DC423" i="6"/>
  <c r="DC415" i="6"/>
  <c r="DC407" i="6"/>
  <c r="DC399" i="6"/>
  <c r="DC391" i="6"/>
  <c r="DC383" i="6"/>
  <c r="DC375" i="6"/>
  <c r="DC367" i="6"/>
  <c r="DC359" i="6"/>
  <c r="DC351" i="6"/>
  <c r="DC343" i="6"/>
  <c r="DC335" i="6"/>
  <c r="DC327" i="6"/>
  <c r="DC319" i="6"/>
  <c r="DC311" i="6"/>
  <c r="DC303" i="6"/>
  <c r="DC295" i="6"/>
  <c r="DC287" i="6"/>
  <c r="DC279" i="6"/>
  <c r="DC271" i="6"/>
  <c r="DC263" i="6"/>
  <c r="DC257" i="6"/>
  <c r="DC249" i="6"/>
  <c r="DC241" i="6"/>
  <c r="DC233" i="6"/>
  <c r="DC225" i="6"/>
  <c r="DC217" i="6"/>
  <c r="DC209" i="6"/>
  <c r="DC201" i="6"/>
  <c r="DC776" i="6"/>
  <c r="DC757" i="6"/>
  <c r="DC736" i="6"/>
  <c r="DC715" i="6"/>
  <c r="DC694" i="6"/>
  <c r="DC674" i="6"/>
  <c r="DC654" i="6"/>
  <c r="DC634" i="6"/>
  <c r="DC613" i="6"/>
  <c r="DC592" i="6"/>
  <c r="DC571" i="6"/>
  <c r="DC543" i="6"/>
  <c r="DC531" i="6"/>
  <c r="DC518" i="6"/>
  <c r="DC505" i="6"/>
  <c r="DC492" i="6"/>
  <c r="DC473" i="6"/>
  <c r="DC460" i="6"/>
  <c r="DC452" i="6"/>
  <c r="DC444" i="6"/>
  <c r="DC436" i="6"/>
  <c r="DC428" i="6"/>
  <c r="DC420" i="6"/>
  <c r="DC412" i="6"/>
  <c r="DC404" i="6"/>
  <c r="DC396" i="6"/>
  <c r="DC388" i="6"/>
  <c r="DC380" i="6"/>
  <c r="DC372" i="6"/>
  <c r="DC364" i="6"/>
  <c r="DC356" i="6"/>
  <c r="DC348" i="6"/>
  <c r="DC340" i="6"/>
  <c r="DC332" i="6"/>
  <c r="DC324" i="6"/>
  <c r="DC316" i="6"/>
  <c r="DC308" i="6"/>
  <c r="DC300" i="6"/>
  <c r="DC292" i="6"/>
  <c r="DC284" i="6"/>
  <c r="DC276" i="6"/>
  <c r="DC268" i="6"/>
  <c r="DC260" i="6"/>
  <c r="DC254" i="6"/>
  <c r="DC246" i="6"/>
  <c r="DC238" i="6"/>
  <c r="DC230" i="6"/>
  <c r="DC222" i="6"/>
  <c r="DC214" i="6"/>
  <c r="DC206" i="6"/>
  <c r="DC198" i="6"/>
  <c r="DC190" i="6"/>
  <c r="DC182" i="6"/>
  <c r="DC174" i="6"/>
  <c r="DC750" i="6"/>
  <c r="DC741" i="6"/>
  <c r="DC706" i="6"/>
  <c r="DC669" i="6"/>
  <c r="DC659" i="6"/>
  <c r="DC622" i="6"/>
  <c r="DC587" i="6"/>
  <c r="DC578" i="6"/>
  <c r="DC540" i="6"/>
  <c r="DC534" i="6"/>
  <c r="DC511" i="6"/>
  <c r="DC489" i="6"/>
  <c r="DC483" i="6"/>
  <c r="DC450" i="6"/>
  <c r="DC446" i="6"/>
  <c r="DC432" i="6"/>
  <c r="DC418" i="6"/>
  <c r="DC414" i="6"/>
  <c r="DC400" i="6"/>
  <c r="DC386" i="6"/>
  <c r="DC382" i="6"/>
  <c r="DC368" i="6"/>
  <c r="DC354" i="6"/>
  <c r="DC350" i="6"/>
  <c r="DC336" i="6"/>
  <c r="DC322" i="6"/>
  <c r="DC318" i="6"/>
  <c r="DC304" i="6"/>
  <c r="DC290" i="6"/>
  <c r="DC286" i="6"/>
  <c r="DC272" i="6"/>
  <c r="DC250" i="6"/>
  <c r="DC236" i="6"/>
  <c r="DC232" i="6"/>
  <c r="DC218" i="6"/>
  <c r="DC204" i="6"/>
  <c r="DC200" i="6"/>
  <c r="DC476" i="6"/>
  <c r="DC459" i="6"/>
  <c r="DC427" i="6"/>
  <c r="DC395" i="6"/>
  <c r="DC345" i="6"/>
  <c r="DC313" i="6"/>
  <c r="DC281" i="6"/>
  <c r="DC758" i="6"/>
  <c r="DC749" i="6"/>
  <c r="DC712" i="6"/>
  <c r="DC677" i="6"/>
  <c r="DC667" i="6"/>
  <c r="DC630" i="6"/>
  <c r="DC595" i="6"/>
  <c r="DC584" i="6"/>
  <c r="DC545" i="6"/>
  <c r="DC539" i="6"/>
  <c r="DC516" i="6"/>
  <c r="DC494" i="6"/>
  <c r="DC487" i="6"/>
  <c r="DC482" i="6"/>
  <c r="DC478" i="6"/>
  <c r="DC468" i="6"/>
  <c r="DC464" i="6"/>
  <c r="DC453" i="6"/>
  <c r="DC449" i="6"/>
  <c r="DC435" i="6"/>
  <c r="DC421" i="6"/>
  <c r="DC417" i="6"/>
  <c r="DC403" i="6"/>
  <c r="DC389" i="6"/>
  <c r="DC385" i="6"/>
  <c r="DC371" i="6"/>
  <c r="DC357" i="6"/>
  <c r="DC353" i="6"/>
  <c r="DC339" i="6"/>
  <c r="DC325" i="6"/>
  <c r="DC321" i="6"/>
  <c r="DC307" i="6"/>
  <c r="DC293" i="6"/>
  <c r="DC289" i="6"/>
  <c r="DC275" i="6"/>
  <c r="DC261" i="6"/>
  <c r="DC253" i="6"/>
  <c r="DC239" i="6"/>
  <c r="DC235" i="6"/>
  <c r="DC221" i="6"/>
  <c r="DC207" i="6"/>
  <c r="DC203" i="6"/>
  <c r="DC187" i="6"/>
  <c r="DC184" i="6"/>
  <c r="DC181" i="6"/>
  <c r="DC178" i="6"/>
  <c r="DC175" i="6"/>
  <c r="DC172" i="6"/>
  <c r="DC169" i="6"/>
  <c r="DC166" i="6"/>
  <c r="DC728" i="6"/>
  <c r="DC693" i="6"/>
  <c r="DC656" i="6"/>
  <c r="DC574" i="6"/>
  <c r="DC532" i="6"/>
  <c r="DC503" i="6"/>
  <c r="DC445" i="6"/>
  <c r="DC409" i="6"/>
  <c r="DC381" i="6"/>
  <c r="DC349" i="6"/>
  <c r="DC331" i="6"/>
  <c r="DC267" i="6"/>
  <c r="DC245" i="6"/>
  <c r="DC766" i="6"/>
  <c r="DC731" i="6"/>
  <c r="DC720" i="6"/>
  <c r="DC685" i="6"/>
  <c r="DC648" i="6"/>
  <c r="DC638" i="6"/>
  <c r="DC603" i="6"/>
  <c r="DC566" i="6"/>
  <c r="DC557" i="6"/>
  <c r="DC550" i="6"/>
  <c r="DC527" i="6"/>
  <c r="DC521" i="6"/>
  <c r="DC499" i="6"/>
  <c r="DC456" i="6"/>
  <c r="DC442" i="6"/>
  <c r="DC438" i="6"/>
  <c r="DC424" i="6"/>
  <c r="DC410" i="6"/>
  <c r="DC406" i="6"/>
  <c r="DC392" i="6"/>
  <c r="DC378" i="6"/>
  <c r="DC374" i="6"/>
  <c r="DC360" i="6"/>
  <c r="DC346" i="6"/>
  <c r="DC342" i="6"/>
  <c r="DC328" i="6"/>
  <c r="DC314" i="6"/>
  <c r="DC310" i="6"/>
  <c r="DC296" i="6"/>
  <c r="DC282" i="6"/>
  <c r="DC278" i="6"/>
  <c r="DC264" i="6"/>
  <c r="DC256" i="6"/>
  <c r="DC242" i="6"/>
  <c r="DC228" i="6"/>
  <c r="DC224" i="6"/>
  <c r="DC210" i="6"/>
  <c r="DC196" i="6"/>
  <c r="DC193" i="6"/>
  <c r="DC163" i="6"/>
  <c r="DC774" i="6"/>
  <c r="DC738" i="6"/>
  <c r="DC646" i="6"/>
  <c r="DC610" i="6"/>
  <c r="DC565" i="6"/>
  <c r="DC526" i="6"/>
  <c r="DC441" i="6"/>
  <c r="DC413" i="6"/>
  <c r="DC377" i="6"/>
  <c r="DC363" i="6"/>
  <c r="DC317" i="6"/>
  <c r="DC299" i="6"/>
  <c r="DC285" i="6"/>
  <c r="DC686" i="6"/>
  <c r="DC651" i="6"/>
  <c r="DC616" i="6"/>
  <c r="DC500" i="6"/>
  <c r="DC461" i="6"/>
  <c r="DC425" i="6"/>
  <c r="DC411" i="6"/>
  <c r="DC397" i="6"/>
  <c r="DC361" i="6"/>
  <c r="DC347" i="6"/>
  <c r="DC333" i="6"/>
  <c r="DC297" i="6"/>
  <c r="DC283" i="6"/>
  <c r="DC269" i="6"/>
  <c r="DC243" i="6"/>
  <c r="DC237" i="6"/>
  <c r="DC231" i="6"/>
  <c r="DC226" i="6"/>
  <c r="DC220" i="6"/>
  <c r="DC215" i="6"/>
  <c r="DC192" i="6"/>
  <c r="DC188" i="6"/>
  <c r="DC173" i="6"/>
  <c r="DC164" i="6"/>
  <c r="DC330" i="6"/>
  <c r="DC191" i="6"/>
  <c r="DC551" i="6"/>
  <c r="DC247" i="6"/>
  <c r="DC229" i="6"/>
  <c r="DC710" i="6"/>
  <c r="DC618" i="6"/>
  <c r="DC537" i="6"/>
  <c r="DC515" i="6"/>
  <c r="DC481" i="6"/>
  <c r="DC462" i="6"/>
  <c r="DC448" i="6"/>
  <c r="DC398" i="6"/>
  <c r="DC384" i="6"/>
  <c r="DC370" i="6"/>
  <c r="DC334" i="6"/>
  <c r="DC306" i="6"/>
  <c r="DC252" i="6"/>
  <c r="DC216" i="6"/>
  <c r="DC205" i="6"/>
  <c r="DC189" i="6"/>
  <c r="DC707" i="6"/>
  <c r="DC672" i="6"/>
  <c r="DC635" i="6"/>
  <c r="DC419" i="6"/>
  <c r="DC405" i="6"/>
  <c r="DC341" i="6"/>
  <c r="DC305" i="6"/>
  <c r="DC291" i="6"/>
  <c r="DC194" i="6"/>
  <c r="DC690" i="6"/>
  <c r="DC547" i="6"/>
  <c r="DC699" i="6"/>
  <c r="DC664" i="6"/>
  <c r="DC629" i="6"/>
  <c r="DC508" i="6"/>
  <c r="DC486" i="6"/>
  <c r="DC467" i="6"/>
  <c r="DC430" i="6"/>
  <c r="DC416" i="6"/>
  <c r="DC402" i="6"/>
  <c r="DC366" i="6"/>
  <c r="DC352" i="6"/>
  <c r="DC338" i="6"/>
  <c r="DC302" i="6"/>
  <c r="DC288" i="6"/>
  <c r="DC274" i="6"/>
  <c r="DC248" i="6"/>
  <c r="DC219" i="6"/>
  <c r="DC213" i="6"/>
  <c r="DC208" i="6"/>
  <c r="DC202" i="6"/>
  <c r="DC197" i="6"/>
  <c r="DC177" i="6"/>
  <c r="DC280" i="6"/>
  <c r="DC195" i="6"/>
  <c r="DC176" i="6"/>
  <c r="DC770" i="6"/>
  <c r="DC570" i="6"/>
  <c r="DC529" i="6"/>
  <c r="DC474" i="6"/>
  <c r="DC429" i="6"/>
  <c r="DC379" i="6"/>
  <c r="DC365" i="6"/>
  <c r="DC315" i="6"/>
  <c r="DC301" i="6"/>
  <c r="DC265" i="6"/>
  <c r="DC240" i="6"/>
  <c r="DC223" i="6"/>
  <c r="DC212" i="6"/>
  <c r="DC227" i="6"/>
  <c r="DC199" i="6"/>
  <c r="DC185" i="6"/>
  <c r="DC170" i="6"/>
  <c r="DC725" i="6"/>
  <c r="DC562" i="6"/>
  <c r="DC524" i="6"/>
  <c r="DC754" i="6"/>
  <c r="DC718" i="6"/>
  <c r="DC626" i="6"/>
  <c r="DC590" i="6"/>
  <c r="DC554" i="6"/>
  <c r="DC542" i="6"/>
  <c r="DC519" i="6"/>
  <c r="DC451" i="6"/>
  <c r="DC437" i="6"/>
  <c r="DC401" i="6"/>
  <c r="DC387" i="6"/>
  <c r="DC373" i="6"/>
  <c r="DC337" i="6"/>
  <c r="DC323" i="6"/>
  <c r="DC309" i="6"/>
  <c r="DC273" i="6"/>
  <c r="DC255" i="6"/>
  <c r="DC186" i="6"/>
  <c r="DC171" i="6"/>
  <c r="DC167" i="6"/>
  <c r="DC771" i="6"/>
  <c r="DC680" i="6"/>
  <c r="DC643" i="6"/>
  <c r="DC608" i="6"/>
  <c r="DC495" i="6"/>
  <c r="DC475" i="6"/>
  <c r="DC465" i="6"/>
  <c r="DC458" i="6"/>
  <c r="DC422" i="6"/>
  <c r="DC408" i="6"/>
  <c r="DC394" i="6"/>
  <c r="DC358" i="6"/>
  <c r="DC344" i="6"/>
  <c r="DC294" i="6"/>
  <c r="DC266" i="6"/>
  <c r="DC162" i="6"/>
  <c r="DC733" i="6"/>
  <c r="DC698" i="6"/>
  <c r="DC605" i="6"/>
  <c r="DC507" i="6"/>
  <c r="DC457" i="6"/>
  <c r="DC443" i="6"/>
  <c r="DC393" i="6"/>
  <c r="DC329" i="6"/>
  <c r="DC259" i="6"/>
  <c r="DC234" i="6"/>
  <c r="DC180" i="6"/>
  <c r="DC746" i="6"/>
  <c r="DC582" i="6"/>
  <c r="DC471" i="6"/>
  <c r="DC434" i="6"/>
  <c r="DC320" i="6"/>
  <c r="DC270" i="6"/>
  <c r="DC211" i="6"/>
  <c r="DC165" i="6"/>
  <c r="DC513" i="6"/>
  <c r="DC491" i="6"/>
  <c r="DC433" i="6"/>
  <c r="DC369" i="6"/>
  <c r="DC355" i="6"/>
  <c r="DC277" i="6"/>
  <c r="DC251" i="6"/>
  <c r="DC179" i="6"/>
  <c r="DC762" i="6"/>
  <c r="DC597" i="6"/>
  <c r="DC390" i="6"/>
  <c r="DC440" i="6"/>
  <c r="DC326" i="6"/>
  <c r="DC183" i="6"/>
  <c r="DC502" i="6"/>
  <c r="DC376" i="6"/>
  <c r="DC258" i="6"/>
  <c r="DC298" i="6"/>
  <c r="DC262" i="6"/>
  <c r="DC426" i="6"/>
  <c r="DC312" i="6"/>
  <c r="DC362" i="6"/>
  <c r="DC244" i="6"/>
  <c r="DC479" i="6"/>
  <c r="DC168" i="6"/>
  <c r="DC454" i="6"/>
  <c r="DC156" i="6"/>
  <c r="DC152" i="6"/>
  <c r="DC148" i="6"/>
  <c r="DC144" i="6"/>
  <c r="DC140" i="6"/>
  <c r="DC136" i="6"/>
  <c r="DC159" i="6"/>
  <c r="DC147" i="6"/>
  <c r="DC161" i="6"/>
  <c r="DC149" i="6"/>
  <c r="DC137" i="6"/>
  <c r="DC160" i="6"/>
  <c r="DC151" i="6"/>
  <c r="DC139" i="6"/>
  <c r="DC150" i="6"/>
  <c r="DC142" i="6"/>
  <c r="DC138" i="6"/>
  <c r="DC153" i="6"/>
  <c r="DC141" i="6"/>
  <c r="DC155" i="6"/>
  <c r="DC143" i="6"/>
  <c r="DC154" i="6"/>
  <c r="DC146" i="6"/>
  <c r="DC157" i="6"/>
  <c r="DC145" i="6"/>
  <c r="DC158" i="6"/>
  <c r="DC132" i="6"/>
  <c r="DC120" i="6"/>
  <c r="DC116" i="6"/>
  <c r="DC112" i="6"/>
  <c r="DC127" i="6"/>
  <c r="DC123" i="6"/>
  <c r="DC115" i="6"/>
  <c r="DC130" i="6"/>
  <c r="DC122" i="6"/>
  <c r="DC114" i="6"/>
  <c r="DC133" i="6"/>
  <c r="DC129" i="6"/>
  <c r="DC125" i="6"/>
  <c r="DC121" i="6"/>
  <c r="DC117" i="6"/>
  <c r="DC113" i="6"/>
  <c r="DC124" i="6"/>
  <c r="DC128" i="6"/>
  <c r="DC131" i="6"/>
  <c r="DC119" i="6"/>
  <c r="DC111" i="6"/>
  <c r="DC135" i="6"/>
  <c r="DC134" i="6"/>
  <c r="DC126" i="6"/>
  <c r="DC118" i="6"/>
  <c r="DC110" i="6"/>
  <c r="DD118" i="6"/>
  <c r="DD110" i="6"/>
  <c r="DD112" i="6"/>
  <c r="DD117" i="6"/>
  <c r="DD114" i="6"/>
  <c r="DD115" i="6"/>
  <c r="DD111" i="6"/>
  <c r="DD116" i="6"/>
  <c r="DD113" i="6"/>
  <c r="DB83" i="6"/>
  <c r="DB79" i="6"/>
  <c r="DB75" i="6"/>
  <c r="DB71" i="6"/>
  <c r="DB67" i="6"/>
  <c r="DB63" i="6"/>
  <c r="DB59" i="6"/>
  <c r="DB55" i="6"/>
  <c r="DB51" i="6"/>
  <c r="DB47" i="6"/>
  <c r="DB43" i="6"/>
  <c r="DB39" i="6"/>
  <c r="DB35" i="6"/>
  <c r="DC106" i="6"/>
  <c r="DC102" i="6"/>
  <c r="DC98" i="6"/>
  <c r="DC94" i="6"/>
  <c r="DC90" i="6"/>
  <c r="DC86" i="6"/>
  <c r="DC82" i="6"/>
  <c r="DC78" i="6"/>
  <c r="DC74" i="6"/>
  <c r="DC70" i="6"/>
  <c r="DC66" i="6"/>
  <c r="DC62" i="6"/>
  <c r="DC58" i="6"/>
  <c r="DC54" i="6"/>
  <c r="DC50" i="6"/>
  <c r="DC46" i="6"/>
  <c r="DC42" i="6"/>
  <c r="DC38" i="6"/>
  <c r="DC34" i="6"/>
  <c r="DB82" i="6"/>
  <c r="DB78" i="6"/>
  <c r="DB74" i="6"/>
  <c r="DB70" i="6"/>
  <c r="DB66" i="6"/>
  <c r="DB62" i="6"/>
  <c r="DB58" i="6"/>
  <c r="DB54" i="6"/>
  <c r="DB50" i="6"/>
  <c r="DB46" i="6"/>
  <c r="DB42" i="6"/>
  <c r="DB38" i="6"/>
  <c r="DB34" i="6"/>
  <c r="DC109" i="6"/>
  <c r="DC105" i="6"/>
  <c r="DC101" i="6"/>
  <c r="DC97" i="6"/>
  <c r="DC93" i="6"/>
  <c r="DC89" i="6"/>
  <c r="DC85" i="6"/>
  <c r="DC81" i="6"/>
  <c r="DC77" i="6"/>
  <c r="DC73" i="6"/>
  <c r="DC69" i="6"/>
  <c r="DC65" i="6"/>
  <c r="DC61" i="6"/>
  <c r="DC57" i="6"/>
  <c r="DC53" i="6"/>
  <c r="DC49" i="6"/>
  <c r="DC45" i="6"/>
  <c r="DC41" i="6"/>
  <c r="DC37" i="6"/>
  <c r="DC33" i="6"/>
  <c r="DC100" i="6"/>
  <c r="DC91" i="6"/>
  <c r="DC80" i="6"/>
  <c r="DC72" i="6"/>
  <c r="DC64" i="6"/>
  <c r="DC56" i="6"/>
  <c r="DC48" i="6"/>
  <c r="DC40" i="6"/>
  <c r="DC32" i="6"/>
  <c r="DC88" i="6"/>
  <c r="DB80" i="6"/>
  <c r="DB72" i="6"/>
  <c r="DB64" i="6"/>
  <c r="DB56" i="6"/>
  <c r="DB48" i="6"/>
  <c r="DB40" i="6"/>
  <c r="DC99" i="6"/>
  <c r="DC79" i="6"/>
  <c r="DC71" i="6"/>
  <c r="DC63" i="6"/>
  <c r="DC55" i="6"/>
  <c r="DC47" i="6"/>
  <c r="DC39" i="6"/>
  <c r="DC104" i="6"/>
  <c r="DC95" i="6"/>
  <c r="DB84" i="6"/>
  <c r="DB76" i="6"/>
  <c r="DB68" i="6"/>
  <c r="DB60" i="6"/>
  <c r="DB52" i="6"/>
  <c r="DB44" i="6"/>
  <c r="DB36" i="6"/>
  <c r="DC92" i="6"/>
  <c r="DC83" i="6"/>
  <c r="DC75" i="6"/>
  <c r="DC67" i="6"/>
  <c r="DC59" i="6"/>
  <c r="DC51" i="6"/>
  <c r="DC43" i="6"/>
  <c r="DC35" i="6"/>
  <c r="DC103" i="6"/>
  <c r="DB81" i="6"/>
  <c r="DB73" i="6"/>
  <c r="DB65" i="6"/>
  <c r="DB57" i="6"/>
  <c r="DB49" i="6"/>
  <c r="DB41" i="6"/>
  <c r="DB33" i="6"/>
  <c r="DC108" i="6"/>
  <c r="DC96" i="6"/>
  <c r="DC87" i="6"/>
  <c r="DB77" i="6"/>
  <c r="DB69" i="6"/>
  <c r="DB61" i="6"/>
  <c r="DB53" i="6"/>
  <c r="DB45" i="6"/>
  <c r="DB37" i="6"/>
  <c r="DC107" i="6"/>
  <c r="DC84" i="6"/>
  <c r="DC76" i="6"/>
  <c r="DC68" i="6"/>
  <c r="DC60" i="6"/>
  <c r="DC52" i="6"/>
  <c r="DC44" i="6"/>
  <c r="DC36" i="6"/>
  <c r="DD102" i="6"/>
  <c r="DD94" i="6"/>
  <c r="DD86" i="6"/>
  <c r="DD78" i="6"/>
  <c r="DD70" i="6"/>
  <c r="DD62" i="6"/>
  <c r="DD54" i="6"/>
  <c r="DD46" i="6"/>
  <c r="DD38" i="6"/>
  <c r="DD107" i="6"/>
  <c r="DD99" i="6"/>
  <c r="DD91" i="6"/>
  <c r="DD83" i="6"/>
  <c r="DD75" i="6"/>
  <c r="DD67" i="6"/>
  <c r="DD59" i="6"/>
  <c r="DD51" i="6"/>
  <c r="DD43" i="6"/>
  <c r="DD35" i="6"/>
  <c r="DD104" i="6"/>
  <c r="DD96" i="6"/>
  <c r="DD88" i="6"/>
  <c r="DD80" i="6"/>
  <c r="DD72" i="6"/>
  <c r="DD64" i="6"/>
  <c r="DD56" i="6"/>
  <c r="DD48" i="6"/>
  <c r="DD40" i="6"/>
  <c r="DD32" i="6"/>
  <c r="DD109" i="6"/>
  <c r="DD101" i="6"/>
  <c r="DD93" i="6"/>
  <c r="DD85" i="6"/>
  <c r="DD77" i="6"/>
  <c r="DD69" i="6"/>
  <c r="DD61" i="6"/>
  <c r="DD53" i="6"/>
  <c r="DD45" i="6"/>
  <c r="DD37" i="6"/>
  <c r="DD106" i="6"/>
  <c r="DD98" i="6"/>
  <c r="DD90" i="6"/>
  <c r="DD82" i="6"/>
  <c r="DD74" i="6"/>
  <c r="DD66" i="6"/>
  <c r="DD58" i="6"/>
  <c r="DD50" i="6"/>
  <c r="DD42" i="6"/>
  <c r="DD34" i="6"/>
  <c r="DD103" i="6"/>
  <c r="DD95" i="6"/>
  <c r="DD87" i="6"/>
  <c r="DD79" i="6"/>
  <c r="DD71" i="6"/>
  <c r="DD63" i="6"/>
  <c r="DD55" i="6"/>
  <c r="DD47" i="6"/>
  <c r="DD39" i="6"/>
  <c r="DD108" i="6"/>
  <c r="DD100" i="6"/>
  <c r="DD92" i="6"/>
  <c r="DD84" i="6"/>
  <c r="DD76" i="6"/>
  <c r="DD68" i="6"/>
  <c r="DD60" i="6"/>
  <c r="DD52" i="6"/>
  <c r="DD44" i="6"/>
  <c r="DD36" i="6"/>
  <c r="DD105" i="6"/>
  <c r="DD97" i="6"/>
  <c r="DD89" i="6"/>
  <c r="DD81" i="6"/>
  <c r="DD73" i="6"/>
  <c r="DD65" i="6"/>
  <c r="DD57" i="6"/>
  <c r="DD49" i="6"/>
  <c r="DD41" i="6"/>
  <c r="DD33" i="6"/>
  <c r="DD27" i="6"/>
  <c r="DD19" i="6"/>
  <c r="DD11" i="6"/>
  <c r="DD18" i="6"/>
  <c r="DD10" i="6"/>
  <c r="DD31" i="6"/>
  <c r="DD28" i="6"/>
  <c r="DD12" i="6"/>
  <c r="DD25" i="6"/>
  <c r="DD9" i="6"/>
  <c r="DD30" i="6"/>
  <c r="DD24" i="6"/>
  <c r="DD16" i="6"/>
  <c r="DD8" i="6"/>
  <c r="DD26" i="6"/>
  <c r="DD23" i="6"/>
  <c r="DD20" i="6"/>
  <c r="DD14" i="6"/>
  <c r="DD29" i="6"/>
  <c r="DD21" i="6"/>
  <c r="DD13" i="6"/>
  <c r="DD15" i="6"/>
  <c r="DD7" i="6"/>
  <c r="DD17" i="6"/>
  <c r="DD22" i="6"/>
  <c r="DC30" i="6"/>
  <c r="DB25" i="6"/>
  <c r="DC22" i="6"/>
  <c r="DB17" i="6"/>
  <c r="DC14" i="6"/>
  <c r="DB9" i="6"/>
  <c r="DC6" i="6"/>
  <c r="DB6" i="6"/>
  <c r="DB32" i="6"/>
  <c r="DB24" i="6"/>
  <c r="DC26" i="6"/>
  <c r="DB21" i="6"/>
  <c r="DB13" i="6"/>
  <c r="DC23" i="6"/>
  <c r="DC15" i="6"/>
  <c r="DB15" i="6"/>
  <c r="DB20" i="6"/>
  <c r="DB12" i="6"/>
  <c r="DB30" i="6"/>
  <c r="DC27" i="6"/>
  <c r="DB22" i="6"/>
  <c r="DC19" i="6"/>
  <c r="DB14" i="6"/>
  <c r="DC11" i="6"/>
  <c r="DB16" i="6"/>
  <c r="DC10" i="6"/>
  <c r="DC7" i="6"/>
  <c r="DC28" i="6"/>
  <c r="DC20" i="6"/>
  <c r="DC12" i="6"/>
  <c r="DC25" i="6"/>
  <c r="DB27" i="6"/>
  <c r="DC24" i="6"/>
  <c r="DB19" i="6"/>
  <c r="DC16" i="6"/>
  <c r="DB11" i="6"/>
  <c r="DC8" i="6"/>
  <c r="DC29" i="6"/>
  <c r="DC21" i="6"/>
  <c r="DC13" i="6"/>
  <c r="DB8" i="6"/>
  <c r="DB29" i="6"/>
  <c r="DC18" i="6"/>
  <c r="DC31" i="6"/>
  <c r="DB26" i="6"/>
  <c r="DB18" i="6"/>
  <c r="DB10" i="6"/>
  <c r="DB31" i="6"/>
  <c r="DB23" i="6"/>
  <c r="DB7" i="6"/>
  <c r="DB28" i="6"/>
  <c r="DC17" i="6"/>
  <c r="DC9" i="6"/>
  <c r="D4" i="3"/>
  <c r="E790" i="3"/>
  <c r="E782" i="3"/>
  <c r="E774" i="3"/>
  <c r="E766" i="3"/>
  <c r="E758" i="3"/>
  <c r="E750" i="3"/>
  <c r="E742" i="3"/>
  <c r="E734" i="3"/>
  <c r="E726" i="3"/>
  <c r="E718" i="3"/>
  <c r="E710" i="3"/>
  <c r="E702" i="3"/>
  <c r="E694" i="3"/>
  <c r="E686" i="3"/>
  <c r="E678" i="3"/>
  <c r="E670" i="3"/>
  <c r="E662" i="3"/>
  <c r="E654" i="3"/>
  <c r="E646" i="3"/>
  <c r="E786" i="3"/>
  <c r="E778" i="3"/>
  <c r="E770" i="3"/>
  <c r="E762" i="3"/>
  <c r="E754" i="3"/>
  <c r="E746" i="3"/>
  <c r="E738" i="3"/>
  <c r="E730" i="3"/>
  <c r="E722" i="3"/>
  <c r="E714" i="3"/>
  <c r="E706" i="3"/>
  <c r="E698" i="3"/>
  <c r="E690" i="3"/>
  <c r="E682" i="3"/>
  <c r="E674" i="3"/>
  <c r="E666" i="3"/>
  <c r="E658" i="3"/>
  <c r="E650" i="3"/>
  <c r="E791" i="3"/>
  <c r="E783" i="3"/>
  <c r="E775" i="3"/>
  <c r="E767" i="3"/>
  <c r="E759" i="3"/>
  <c r="E751" i="3"/>
  <c r="E743" i="3"/>
  <c r="E735" i="3"/>
  <c r="E727" i="3"/>
  <c r="E719" i="3"/>
  <c r="E711" i="3"/>
  <c r="E703" i="3"/>
  <c r="E695" i="3"/>
  <c r="E687" i="3"/>
  <c r="E679" i="3"/>
  <c r="E671" i="3"/>
  <c r="E663" i="3"/>
  <c r="E655" i="3"/>
  <c r="E647" i="3"/>
  <c r="E639" i="3"/>
  <c r="E631" i="3"/>
  <c r="E623" i="3"/>
  <c r="E615" i="3"/>
  <c r="E607" i="3"/>
  <c r="E599" i="3"/>
  <c r="E591" i="3"/>
  <c r="E583" i="3"/>
  <c r="E575" i="3"/>
  <c r="E567" i="3"/>
  <c r="E785" i="3"/>
  <c r="E777" i="3"/>
  <c r="E769" i="3"/>
  <c r="E761" i="3"/>
  <c r="E753" i="3"/>
  <c r="E745" i="3"/>
  <c r="E737" i="3"/>
  <c r="E729" i="3"/>
  <c r="E721" i="3"/>
  <c r="E713" i="3"/>
  <c r="E705" i="3"/>
  <c r="E697" i="3"/>
  <c r="E689" i="3"/>
  <c r="E681" i="3"/>
  <c r="E673" i="3"/>
  <c r="E665" i="3"/>
  <c r="E657" i="3"/>
  <c r="E649" i="3"/>
  <c r="E641" i="3"/>
  <c r="E633" i="3"/>
  <c r="E625" i="3"/>
  <c r="E617" i="3"/>
  <c r="E609" i="3"/>
  <c r="E601" i="3"/>
  <c r="E593" i="3"/>
  <c r="E780" i="3"/>
  <c r="E764" i="3"/>
  <c r="E748" i="3"/>
  <c r="E732" i="3"/>
  <c r="E716" i="3"/>
  <c r="E700" i="3"/>
  <c r="E684" i="3"/>
  <c r="E668" i="3"/>
  <c r="E652" i="3"/>
  <c r="E642" i="3"/>
  <c r="E638" i="3"/>
  <c r="E624" i="3"/>
  <c r="E610" i="3"/>
  <c r="E606" i="3"/>
  <c r="E592" i="3"/>
  <c r="E589" i="3"/>
  <c r="E586" i="3"/>
  <c r="E562" i="3"/>
  <c r="E554" i="3"/>
  <c r="E546" i="3"/>
  <c r="E538" i="3"/>
  <c r="E530" i="3"/>
  <c r="E522" i="3"/>
  <c r="E514" i="3"/>
  <c r="E506" i="3"/>
  <c r="E498" i="3"/>
  <c r="E490" i="3"/>
  <c r="E482" i="3"/>
  <c r="E779" i="3"/>
  <c r="E763" i="3"/>
  <c r="E747" i="3"/>
  <c r="E731" i="3"/>
  <c r="E715" i="3"/>
  <c r="E699" i="3"/>
  <c r="E683" i="3"/>
  <c r="E667" i="3"/>
  <c r="E651" i="3"/>
  <c r="E627" i="3"/>
  <c r="E620" i="3"/>
  <c r="E613" i="3"/>
  <c r="E595" i="3"/>
  <c r="E559" i="3"/>
  <c r="E551" i="3"/>
  <c r="E543" i="3"/>
  <c r="E535" i="3"/>
  <c r="E527" i="3"/>
  <c r="E519" i="3"/>
  <c r="E784" i="3"/>
  <c r="E768" i="3"/>
  <c r="E752" i="3"/>
  <c r="E736" i="3"/>
  <c r="E720" i="3"/>
  <c r="E704" i="3"/>
  <c r="E688" i="3"/>
  <c r="E672" i="3"/>
  <c r="E656" i="3"/>
  <c r="E634" i="3"/>
  <c r="E630" i="3"/>
  <c r="E616" i="3"/>
  <c r="E602" i="3"/>
  <c r="E598" i="3"/>
  <c r="E588" i="3"/>
  <c r="E585" i="3"/>
  <c r="E582" i="3"/>
  <c r="E579" i="3"/>
  <c r="E576" i="3"/>
  <c r="E573" i="3"/>
  <c r="E570" i="3"/>
  <c r="E564" i="3"/>
  <c r="E556" i="3"/>
  <c r="E548" i="3"/>
  <c r="E540" i="3"/>
  <c r="E532" i="3"/>
  <c r="E524" i="3"/>
  <c r="E788" i="3"/>
  <c r="E772" i="3"/>
  <c r="E756" i="3"/>
  <c r="E740" i="3"/>
  <c r="E724" i="3"/>
  <c r="E708" i="3"/>
  <c r="E692" i="3"/>
  <c r="E676" i="3"/>
  <c r="E660" i="3"/>
  <c r="E644" i="3"/>
  <c r="E640" i="3"/>
  <c r="E626" i="3"/>
  <c r="E622" i="3"/>
  <c r="E608" i="3"/>
  <c r="E594" i="3"/>
  <c r="E572" i="3"/>
  <c r="E569" i="3"/>
  <c r="E566" i="3"/>
  <c r="E558" i="3"/>
  <c r="E550" i="3"/>
  <c r="E542" i="3"/>
  <c r="E534" i="3"/>
  <c r="E526" i="3"/>
  <c r="E518" i="3"/>
  <c r="E510" i="3"/>
  <c r="E787" i="3"/>
  <c r="E771" i="3"/>
  <c r="E755" i="3"/>
  <c r="E739" i="3"/>
  <c r="E723" i="3"/>
  <c r="E707" i="3"/>
  <c r="E691" i="3"/>
  <c r="E675" i="3"/>
  <c r="E659" i="3"/>
  <c r="E643" i="3"/>
  <c r="E636" i="3"/>
  <c r="E629" i="3"/>
  <c r="E611" i="3"/>
  <c r="E604" i="3"/>
  <c r="E597" i="3"/>
  <c r="E590" i="3"/>
  <c r="E587" i="3"/>
  <c r="E584" i="3"/>
  <c r="E581" i="3"/>
  <c r="E578" i="3"/>
  <c r="E563" i="3"/>
  <c r="E776" i="3"/>
  <c r="E760" i="3"/>
  <c r="E744" i="3"/>
  <c r="E728" i="3"/>
  <c r="E712" i="3"/>
  <c r="E696" i="3"/>
  <c r="E680" i="3"/>
  <c r="E664" i="3"/>
  <c r="E648" i="3"/>
  <c r="E632" i="3"/>
  <c r="E618" i="3"/>
  <c r="E614" i="3"/>
  <c r="E600" i="3"/>
  <c r="E789" i="3"/>
  <c r="E725" i="3"/>
  <c r="E661" i="3"/>
  <c r="E612" i="3"/>
  <c r="E561" i="3"/>
  <c r="E545" i="3"/>
  <c r="E529" i="3"/>
  <c r="E511" i="3"/>
  <c r="E504" i="3"/>
  <c r="E501" i="3"/>
  <c r="E471" i="3"/>
  <c r="E463" i="3"/>
  <c r="E455" i="3"/>
  <c r="E447" i="3"/>
  <c r="E439" i="3"/>
  <c r="E431" i="3"/>
  <c r="E423" i="3"/>
  <c r="E415" i="3"/>
  <c r="E407" i="3"/>
  <c r="E399" i="3"/>
  <c r="E391" i="3"/>
  <c r="E383" i="3"/>
  <c r="E375" i="3"/>
  <c r="E367" i="3"/>
  <c r="E359" i="3"/>
  <c r="E351" i="3"/>
  <c r="E343" i="3"/>
  <c r="E335" i="3"/>
  <c r="E327" i="3"/>
  <c r="E319" i="3"/>
  <c r="E311" i="3"/>
  <c r="E765" i="3"/>
  <c r="E701" i="3"/>
  <c r="E596" i="3"/>
  <c r="E571" i="3"/>
  <c r="E555" i="3"/>
  <c r="E539" i="3"/>
  <c r="E523" i="3"/>
  <c r="E507" i="3"/>
  <c r="E479" i="3"/>
  <c r="E476" i="3"/>
  <c r="E468" i="3"/>
  <c r="E460" i="3"/>
  <c r="E452" i="3"/>
  <c r="E444" i="3"/>
  <c r="E436" i="3"/>
  <c r="E428" i="3"/>
  <c r="E420" i="3"/>
  <c r="E412" i="3"/>
  <c r="E404" i="3"/>
  <c r="E396" i="3"/>
  <c r="E388" i="3"/>
  <c r="E380" i="3"/>
  <c r="E372" i="3"/>
  <c r="E364" i="3"/>
  <c r="E356" i="3"/>
  <c r="E348" i="3"/>
  <c r="E741" i="3"/>
  <c r="E677" i="3"/>
  <c r="E637" i="3"/>
  <c r="E560" i="3"/>
  <c r="E544" i="3"/>
  <c r="E528" i="3"/>
  <c r="E503" i="3"/>
  <c r="E500" i="3"/>
  <c r="E497" i="3"/>
  <c r="E494" i="3"/>
  <c r="E491" i="3"/>
  <c r="E488" i="3"/>
  <c r="E485" i="3"/>
  <c r="E473" i="3"/>
  <c r="E465" i="3"/>
  <c r="E457" i="3"/>
  <c r="E449" i="3"/>
  <c r="E441" i="3"/>
  <c r="E433" i="3"/>
  <c r="E425" i="3"/>
  <c r="E417" i="3"/>
  <c r="E409" i="3"/>
  <c r="E401" i="3"/>
  <c r="E393" i="3"/>
  <c r="E385" i="3"/>
  <c r="E377" i="3"/>
  <c r="E369" i="3"/>
  <c r="E361" i="3"/>
  <c r="E353" i="3"/>
  <c r="E345" i="3"/>
  <c r="E757" i="3"/>
  <c r="E693" i="3"/>
  <c r="E619" i="3"/>
  <c r="E605" i="3"/>
  <c r="E553" i="3"/>
  <c r="E537" i="3"/>
  <c r="E521" i="3"/>
  <c r="E513" i="3"/>
  <c r="E487" i="3"/>
  <c r="E484" i="3"/>
  <c r="E481" i="3"/>
  <c r="E478" i="3"/>
  <c r="E475" i="3"/>
  <c r="E467" i="3"/>
  <c r="E459" i="3"/>
  <c r="E451" i="3"/>
  <c r="E443" i="3"/>
  <c r="E435" i="3"/>
  <c r="E427" i="3"/>
  <c r="E419" i="3"/>
  <c r="E411" i="3"/>
  <c r="E403" i="3"/>
  <c r="E395" i="3"/>
  <c r="E387" i="3"/>
  <c r="E379" i="3"/>
  <c r="E371" i="3"/>
  <c r="E363" i="3"/>
  <c r="E355" i="3"/>
  <c r="E347" i="3"/>
  <c r="E339" i="3"/>
  <c r="E331" i="3"/>
  <c r="E323" i="3"/>
  <c r="E315" i="3"/>
  <c r="E733" i="3"/>
  <c r="E669" i="3"/>
  <c r="E603" i="3"/>
  <c r="E577" i="3"/>
  <c r="E565" i="3"/>
  <c r="E547" i="3"/>
  <c r="E531" i="3"/>
  <c r="E516" i="3"/>
  <c r="E509" i="3"/>
  <c r="E502" i="3"/>
  <c r="E499" i="3"/>
  <c r="E496" i="3"/>
  <c r="E493" i="3"/>
  <c r="E472" i="3"/>
  <c r="E464" i="3"/>
  <c r="E456" i="3"/>
  <c r="E448" i="3"/>
  <c r="E440" i="3"/>
  <c r="E432" i="3"/>
  <c r="E424" i="3"/>
  <c r="E416" i="3"/>
  <c r="E408" i="3"/>
  <c r="E400" i="3"/>
  <c r="E392" i="3"/>
  <c r="E384" i="3"/>
  <c r="E376" i="3"/>
  <c r="E368" i="3"/>
  <c r="E360" i="3"/>
  <c r="E352" i="3"/>
  <c r="E344" i="3"/>
  <c r="E773" i="3"/>
  <c r="E709" i="3"/>
  <c r="E645" i="3"/>
  <c r="E552" i="3"/>
  <c r="E536" i="3"/>
  <c r="E520" i="3"/>
  <c r="E512" i="3"/>
  <c r="E505" i="3"/>
  <c r="E469" i="3"/>
  <c r="E461" i="3"/>
  <c r="E453" i="3"/>
  <c r="E445" i="3"/>
  <c r="E437" i="3"/>
  <c r="E429" i="3"/>
  <c r="E421" i="3"/>
  <c r="E413" i="3"/>
  <c r="E405" i="3"/>
  <c r="E397" i="3"/>
  <c r="E389" i="3"/>
  <c r="E381" i="3"/>
  <c r="E373" i="3"/>
  <c r="E365" i="3"/>
  <c r="E357" i="3"/>
  <c r="E349" i="3"/>
  <c r="E341" i="3"/>
  <c r="E243" i="3"/>
  <c r="E781" i="3"/>
  <c r="E621" i="3"/>
  <c r="E568" i="3"/>
  <c r="E470" i="3"/>
  <c r="E438" i="3"/>
  <c r="E406" i="3"/>
  <c r="E374" i="3"/>
  <c r="E342" i="3"/>
  <c r="E334" i="3"/>
  <c r="E316" i="3"/>
  <c r="E304" i="3"/>
  <c r="E296" i="3"/>
  <c r="E288" i="3"/>
  <c r="E280" i="3"/>
  <c r="E272" i="3"/>
  <c r="E264" i="3"/>
  <c r="E256" i="3"/>
  <c r="E248" i="3"/>
  <c r="E240" i="3"/>
  <c r="E232" i="3"/>
  <c r="E224" i="3"/>
  <c r="E749" i="3"/>
  <c r="E557" i="3"/>
  <c r="E515" i="3"/>
  <c r="E489" i="3"/>
  <c r="E434" i="3"/>
  <c r="E402" i="3"/>
  <c r="E336" i="3"/>
  <c r="E329" i="3"/>
  <c r="E322" i="3"/>
  <c r="E685" i="3"/>
  <c r="E541" i="3"/>
  <c r="E492" i="3"/>
  <c r="E480" i="3"/>
  <c r="E458" i="3"/>
  <c r="E426" i="3"/>
  <c r="E394" i="3"/>
  <c r="E362" i="3"/>
  <c r="E337" i="3"/>
  <c r="E330" i="3"/>
  <c r="E312" i="3"/>
  <c r="E309" i="3"/>
  <c r="E301" i="3"/>
  <c r="E293" i="3"/>
  <c r="E285" i="3"/>
  <c r="E277" i="3"/>
  <c r="E269" i="3"/>
  <c r="E261" i="3"/>
  <c r="E253" i="3"/>
  <c r="E245" i="3"/>
  <c r="E237" i="3"/>
  <c r="E229" i="3"/>
  <c r="E287" i="3"/>
  <c r="E279" i="3"/>
  <c r="E223" i="3"/>
  <c r="E517" i="3"/>
  <c r="E446" i="3"/>
  <c r="E414" i="3"/>
  <c r="E382" i="3"/>
  <c r="E350" i="3"/>
  <c r="E340" i="3"/>
  <c r="E333" i="3"/>
  <c r="E326" i="3"/>
  <c r="E306" i="3"/>
  <c r="E298" i="3"/>
  <c r="E290" i="3"/>
  <c r="E282" i="3"/>
  <c r="E274" i="3"/>
  <c r="E266" i="3"/>
  <c r="E258" i="3"/>
  <c r="E250" i="3"/>
  <c r="E242" i="3"/>
  <c r="E234" i="3"/>
  <c r="E226" i="3"/>
  <c r="E477" i="3"/>
  <c r="E466" i="3"/>
  <c r="E370" i="3"/>
  <c r="E303" i="3"/>
  <c r="E295" i="3"/>
  <c r="E271" i="3"/>
  <c r="E263" i="3"/>
  <c r="E255" i="3"/>
  <c r="E247" i="3"/>
  <c r="E239" i="3"/>
  <c r="E231" i="3"/>
  <c r="E653" i="3"/>
  <c r="E533" i="3"/>
  <c r="E454" i="3"/>
  <c r="E422" i="3"/>
  <c r="E390" i="3"/>
  <c r="E358" i="3"/>
  <c r="E332" i="3"/>
  <c r="E325" i="3"/>
  <c r="E318" i="3"/>
  <c r="E308" i="3"/>
  <c r="E300" i="3"/>
  <c r="E292" i="3"/>
  <c r="E284" i="3"/>
  <c r="E276" i="3"/>
  <c r="E268" i="3"/>
  <c r="E260" i="3"/>
  <c r="E252" i="3"/>
  <c r="E244" i="3"/>
  <c r="E236" i="3"/>
  <c r="E228" i="3"/>
  <c r="E265" i="3"/>
  <c r="E249" i="3"/>
  <c r="E233" i="3"/>
  <c r="E222" i="3"/>
  <c r="E230" i="3"/>
  <c r="E792" i="3"/>
  <c r="E574" i="3"/>
  <c r="E525" i="3"/>
  <c r="E483" i="3"/>
  <c r="E450" i="3"/>
  <c r="E338" i="3"/>
  <c r="E291" i="3"/>
  <c r="E283" i="3"/>
  <c r="E275" i="3"/>
  <c r="E267" i="3"/>
  <c r="E259" i="3"/>
  <c r="E251" i="3"/>
  <c r="E486" i="3"/>
  <c r="E474" i="3"/>
  <c r="E442" i="3"/>
  <c r="E410" i="3"/>
  <c r="E378" i="3"/>
  <c r="E346" i="3"/>
  <c r="E328" i="3"/>
  <c r="E321" i="3"/>
  <c r="E314" i="3"/>
  <c r="E305" i="3"/>
  <c r="E297" i="3"/>
  <c r="E289" i="3"/>
  <c r="E281" i="3"/>
  <c r="E273" i="3"/>
  <c r="E257" i="3"/>
  <c r="E241" i="3"/>
  <c r="E225" i="3"/>
  <c r="E495" i="3"/>
  <c r="E418" i="3"/>
  <c r="E386" i="3"/>
  <c r="E354" i="3"/>
  <c r="E307" i="3"/>
  <c r="E299" i="3"/>
  <c r="E227" i="3"/>
  <c r="E717" i="3"/>
  <c r="E635" i="3"/>
  <c r="E580" i="3"/>
  <c r="E549" i="3"/>
  <c r="E462" i="3"/>
  <c r="E430" i="3"/>
  <c r="E398" i="3"/>
  <c r="E366" i="3"/>
  <c r="E324" i="3"/>
  <c r="E317" i="3"/>
  <c r="E310" i="3"/>
  <c r="E302" i="3"/>
  <c r="E294" i="3"/>
  <c r="E286" i="3"/>
  <c r="E278" i="3"/>
  <c r="E270" i="3"/>
  <c r="E262" i="3"/>
  <c r="E254" i="3"/>
  <c r="E246" i="3"/>
  <c r="E238" i="3"/>
  <c r="E628" i="3"/>
  <c r="E508" i="3"/>
  <c r="E320" i="3"/>
  <c r="E313" i="3"/>
  <c r="E235" i="3"/>
  <c r="E221" i="3"/>
  <c r="E205" i="3"/>
  <c r="E189" i="3"/>
  <c r="E173" i="3"/>
  <c r="E157" i="3"/>
  <c r="E210" i="3"/>
  <c r="E194" i="3"/>
  <c r="E106" i="3"/>
  <c r="E86" i="3"/>
  <c r="E70" i="3"/>
  <c r="E54" i="3"/>
  <c r="E38" i="3"/>
  <c r="E22" i="3"/>
  <c r="E156" i="3"/>
  <c r="E133" i="3"/>
  <c r="E137" i="3"/>
  <c r="E14" i="3"/>
  <c r="E98" i="3"/>
  <c r="E81" i="3"/>
  <c r="E65" i="3"/>
  <c r="E49" i="3"/>
  <c r="E33" i="3"/>
  <c r="E17" i="3"/>
  <c r="E166" i="3"/>
  <c r="E141" i="3"/>
  <c r="E145" i="3"/>
  <c r="E134" i="3"/>
  <c r="E171" i="3"/>
  <c r="E84" i="3"/>
  <c r="E219" i="3"/>
  <c r="E203" i="3"/>
  <c r="E187" i="3"/>
  <c r="E155" i="3"/>
  <c r="E208" i="3"/>
  <c r="E192" i="3"/>
  <c r="E147" i="3"/>
  <c r="E52" i="3"/>
  <c r="E217" i="3"/>
  <c r="E201" i="3"/>
  <c r="E185" i="3"/>
  <c r="E169" i="3"/>
  <c r="E153" i="3"/>
  <c r="E206" i="3"/>
  <c r="E190" i="3"/>
  <c r="E122" i="3"/>
  <c r="E82" i="3"/>
  <c r="E66" i="3"/>
  <c r="E50" i="3"/>
  <c r="E34" i="3"/>
  <c r="E18" i="3"/>
  <c r="E180" i="3"/>
  <c r="E119" i="3"/>
  <c r="E114" i="3"/>
  <c r="E77" i="3"/>
  <c r="E61" i="3"/>
  <c r="E45" i="3"/>
  <c r="E29" i="3"/>
  <c r="E158" i="3"/>
  <c r="E93" i="3"/>
  <c r="E127" i="3"/>
  <c r="E113" i="3"/>
  <c r="E172" i="3"/>
  <c r="E215" i="3"/>
  <c r="E199" i="3"/>
  <c r="E183" i="3"/>
  <c r="E167" i="3"/>
  <c r="E151" i="3"/>
  <c r="E220" i="3"/>
  <c r="E204" i="3"/>
  <c r="E188" i="3"/>
  <c r="E99" i="3"/>
  <c r="E80" i="3"/>
  <c r="E64" i="3"/>
  <c r="E48" i="3"/>
  <c r="E32" i="3"/>
  <c r="E16" i="3"/>
  <c r="E176" i="3"/>
  <c r="E124" i="3"/>
  <c r="E94" i="3"/>
  <c r="E152" i="3"/>
  <c r="E13" i="3"/>
  <c r="E128" i="3"/>
  <c r="E91" i="3"/>
  <c r="E75" i="3"/>
  <c r="E59" i="3"/>
  <c r="E43" i="3"/>
  <c r="E27" i="3"/>
  <c r="E154" i="3"/>
  <c r="E132" i="3"/>
  <c r="E118" i="3"/>
  <c r="E95" i="3"/>
  <c r="E11" i="3"/>
  <c r="E104" i="3"/>
  <c r="E129" i="3"/>
  <c r="E101" i="3"/>
  <c r="E213" i="3"/>
  <c r="E197" i="3"/>
  <c r="E181" i="3"/>
  <c r="E165" i="3"/>
  <c r="E149" i="3"/>
  <c r="E218" i="3"/>
  <c r="E202" i="3"/>
  <c r="E186" i="3"/>
  <c r="E138" i="3"/>
  <c r="E78" i="3"/>
  <c r="E62" i="3"/>
  <c r="E46" i="3"/>
  <c r="E30" i="3"/>
  <c r="E211" i="3"/>
  <c r="E195" i="3"/>
  <c r="E179" i="3"/>
  <c r="E163" i="3"/>
  <c r="E216" i="3"/>
  <c r="E200" i="3"/>
  <c r="E184" i="3"/>
  <c r="E115" i="3"/>
  <c r="E209" i="3"/>
  <c r="E193" i="3"/>
  <c r="E177" i="3"/>
  <c r="E161" i="3"/>
  <c r="E214" i="3"/>
  <c r="E198" i="3"/>
  <c r="E182" i="3"/>
  <c r="E90" i="3"/>
  <c r="E74" i="3"/>
  <c r="E58" i="3"/>
  <c r="E42" i="3"/>
  <c r="E26" i="3"/>
  <c r="E164" i="3"/>
  <c r="E117" i="3"/>
  <c r="E142" i="3"/>
  <c r="E121" i="3"/>
  <c r="E146" i="3"/>
  <c r="E85" i="3"/>
  <c r="E69" i="3"/>
  <c r="E53" i="3"/>
  <c r="E37" i="3"/>
  <c r="E21" i="3"/>
  <c r="E174" i="3"/>
  <c r="E125" i="3"/>
  <c r="E150" i="3"/>
  <c r="E207" i="3"/>
  <c r="E68" i="3"/>
  <c r="E20" i="3"/>
  <c r="E103" i="3"/>
  <c r="E105" i="3"/>
  <c r="E130" i="3"/>
  <c r="E89" i="3"/>
  <c r="E57" i="3"/>
  <c r="E25" i="3"/>
  <c r="E120" i="3"/>
  <c r="E191" i="3"/>
  <c r="E212" i="3"/>
  <c r="E60" i="3"/>
  <c r="E144" i="3"/>
  <c r="E87" i="3"/>
  <c r="E55" i="3"/>
  <c r="E23" i="3"/>
  <c r="E178" i="3"/>
  <c r="E175" i="3"/>
  <c r="E196" i="3"/>
  <c r="E131" i="3"/>
  <c r="E56" i="3"/>
  <c r="E96" i="3"/>
  <c r="E123" i="3"/>
  <c r="E83" i="3"/>
  <c r="E51" i="3"/>
  <c r="E19" i="3"/>
  <c r="E170" i="3"/>
  <c r="E143" i="3"/>
  <c r="E97" i="3"/>
  <c r="E71" i="3"/>
  <c r="E148" i="3"/>
  <c r="E72" i="3"/>
  <c r="E24" i="3"/>
  <c r="E140" i="3"/>
  <c r="E12" i="3"/>
  <c r="E139" i="3"/>
  <c r="E63" i="3"/>
  <c r="E159" i="3"/>
  <c r="E44" i="3"/>
  <c r="E135" i="3"/>
  <c r="E79" i="3"/>
  <c r="E47" i="3"/>
  <c r="E15" i="3"/>
  <c r="E162" i="3"/>
  <c r="E116" i="3"/>
  <c r="E136" i="3"/>
  <c r="E88" i="3"/>
  <c r="E160" i="3"/>
  <c r="E39" i="3"/>
  <c r="E112" i="3"/>
  <c r="E40" i="3"/>
  <c r="E168" i="3"/>
  <c r="E108" i="3"/>
  <c r="E126" i="3"/>
  <c r="E73" i="3"/>
  <c r="E41" i="3"/>
  <c r="E109" i="3"/>
  <c r="E36" i="3"/>
  <c r="E107" i="3"/>
  <c r="E76" i="3"/>
  <c r="E28" i="3"/>
  <c r="E92" i="3"/>
  <c r="E67" i="3"/>
  <c r="E35" i="3"/>
  <c r="E100" i="3"/>
  <c r="E102" i="3"/>
  <c r="E110" i="3"/>
  <c r="E31" i="3"/>
  <c r="E111" i="3"/>
  <c r="J529" i="6" l="1"/>
  <c r="J530" i="6" s="1"/>
  <c r="J532" i="6"/>
  <c r="J533" i="6" s="1"/>
  <c r="I523" i="6"/>
  <c r="I524" i="6" s="1"/>
  <c r="I521" i="6"/>
  <c r="I522" i="6" s="1"/>
  <c r="I529" i="6"/>
  <c r="I530" i="6" s="1"/>
  <c r="I532" i="6"/>
  <c r="I533" i="6" s="1"/>
  <c r="H529" i="6"/>
  <c r="H530" i="6" s="1"/>
  <c r="H532" i="6"/>
  <c r="H533" i="6" s="1"/>
  <c r="H521" i="6"/>
  <c r="H522" i="6" s="1"/>
  <c r="H523" i="6"/>
  <c r="H524" i="6" s="1"/>
  <c r="G532" i="6"/>
  <c r="G533" i="6" s="1"/>
  <c r="G529" i="6"/>
  <c r="G530" i="6" s="1"/>
  <c r="G521" i="6"/>
  <c r="G522" i="6" s="1"/>
  <c r="G523" i="6"/>
  <c r="G524" i="6" s="1"/>
  <c r="F521" i="6"/>
  <c r="F522" i="6" s="1"/>
  <c r="F523" i="6"/>
  <c r="F524" i="6" s="1"/>
  <c r="F532" i="6"/>
  <c r="F533" i="6" s="1"/>
  <c r="F529" i="6"/>
  <c r="F530" i="6" s="1"/>
  <c r="E532" i="6"/>
  <c r="E533" i="6" s="1"/>
  <c r="E529" i="6"/>
  <c r="E530" i="6" s="1"/>
  <c r="E521" i="6"/>
  <c r="E522" i="6" s="1"/>
  <c r="E523" i="6"/>
  <c r="E524" i="6" s="1"/>
  <c r="D532" i="6"/>
  <c r="D533" i="6" s="1"/>
  <c r="D529" i="6"/>
  <c r="D530" i="6" s="1"/>
  <c r="D521" i="6"/>
  <c r="D522" i="6" s="1"/>
  <c r="D523" i="6"/>
  <c r="D524" i="6" s="1"/>
  <c r="CP526" i="6"/>
  <c r="CP533" i="6"/>
  <c r="L526" i="6"/>
  <c r="L530" i="6"/>
  <c r="BJ526" i="6"/>
  <c r="BJ530" i="6"/>
  <c r="CG526" i="6"/>
  <c r="CG530" i="6"/>
  <c r="BN526" i="6"/>
  <c r="BN530" i="6"/>
  <c r="AU524" i="6"/>
  <c r="AU530" i="6"/>
  <c r="AS524" i="6"/>
  <c r="AS530" i="6"/>
  <c r="BY526" i="6"/>
  <c r="BY530" i="6"/>
  <c r="V526" i="6"/>
  <c r="V530" i="6"/>
  <c r="CI524" i="6"/>
  <c r="CI530" i="6"/>
  <c r="CQ526" i="6"/>
  <c r="CQ530" i="6"/>
  <c r="S526" i="6"/>
  <c r="S530" i="6"/>
  <c r="AO526" i="6"/>
  <c r="AO530" i="6"/>
  <c r="AC526" i="6"/>
  <c r="AC530" i="6"/>
  <c r="BX526" i="6"/>
  <c r="BX530" i="6"/>
  <c r="BC526" i="6"/>
  <c r="BC530" i="6"/>
  <c r="P526" i="6"/>
  <c r="P530" i="6"/>
  <c r="N526" i="6"/>
  <c r="N530" i="6"/>
  <c r="BM526" i="6"/>
  <c r="BM530" i="6"/>
  <c r="CA526" i="6"/>
  <c r="CA530" i="6"/>
  <c r="AM526" i="6"/>
  <c r="AM530" i="6"/>
  <c r="BW522" i="6"/>
  <c r="BW530" i="6"/>
  <c r="AY522" i="6"/>
  <c r="AY530" i="6"/>
  <c r="BD522" i="6"/>
  <c r="BD530" i="6"/>
  <c r="BB526" i="6"/>
  <c r="BB530" i="6"/>
  <c r="CB526" i="6"/>
  <c r="CB530" i="6"/>
  <c r="CJ526" i="6"/>
  <c r="CJ530" i="6"/>
  <c r="CC526" i="6"/>
  <c r="CC530" i="6"/>
  <c r="CH526" i="6"/>
  <c r="CH530" i="6"/>
  <c r="BO526" i="6"/>
  <c r="BO530" i="6"/>
  <c r="CS526" i="6"/>
  <c r="CS530" i="6"/>
  <c r="BU522" i="6"/>
  <c r="BU530" i="6"/>
  <c r="T524" i="6"/>
  <c r="T530" i="6"/>
  <c r="AR526" i="6"/>
  <c r="AR530" i="6"/>
  <c r="BV526" i="6"/>
  <c r="BV530" i="6"/>
  <c r="AH526" i="6"/>
  <c r="AH530" i="6"/>
  <c r="CL526" i="6"/>
  <c r="CL530" i="6"/>
  <c r="CK524" i="6"/>
  <c r="CK530" i="6"/>
  <c r="BZ526" i="6"/>
  <c r="BZ530" i="6"/>
  <c r="Z526" i="6"/>
  <c r="Z530" i="6"/>
  <c r="AV526" i="6"/>
  <c r="AV530" i="6"/>
  <c r="CD526" i="6"/>
  <c r="CD530" i="6"/>
  <c r="CR526" i="6"/>
  <c r="CR530" i="6"/>
  <c r="BH526" i="6"/>
  <c r="BH530" i="6"/>
  <c r="U526" i="6"/>
  <c r="U530" i="6"/>
  <c r="BF526" i="6"/>
  <c r="BF530" i="6"/>
  <c r="J526" i="6"/>
  <c r="AN526" i="6"/>
  <c r="AN530" i="6"/>
  <c r="W526" i="6"/>
  <c r="W530" i="6"/>
  <c r="AE526" i="6"/>
  <c r="AE530" i="6"/>
  <c r="BS526" i="6"/>
  <c r="BS530" i="6"/>
  <c r="AT526" i="6"/>
  <c r="AT530" i="6"/>
  <c r="AF522" i="6"/>
  <c r="AF530" i="6"/>
  <c r="CX524" i="6"/>
  <c r="CX530" i="6"/>
  <c r="CP522" i="6"/>
  <c r="CP530" i="6"/>
  <c r="BQ526" i="6"/>
  <c r="BQ530" i="6"/>
  <c r="X526" i="6"/>
  <c r="X530" i="6"/>
  <c r="CE526" i="6"/>
  <c r="CE530" i="6"/>
  <c r="BI526" i="6"/>
  <c r="BI530" i="6"/>
  <c r="AD524" i="6"/>
  <c r="AD530" i="6"/>
  <c r="AJ522" i="6"/>
  <c r="AJ530" i="6"/>
  <c r="Y522" i="6"/>
  <c r="Y530" i="6"/>
  <c r="BK526" i="6"/>
  <c r="BK530" i="6"/>
  <c r="AZ522" i="6"/>
  <c r="AZ530" i="6"/>
  <c r="BE526" i="6"/>
  <c r="BE530" i="6"/>
  <c r="CT526" i="6"/>
  <c r="CT530" i="6"/>
  <c r="BT526" i="6"/>
  <c r="BT530" i="6"/>
  <c r="BG524" i="6"/>
  <c r="BG530" i="6"/>
  <c r="AX526" i="6"/>
  <c r="AX530" i="6"/>
  <c r="BP526" i="6"/>
  <c r="BP530" i="6"/>
  <c r="CW526" i="6"/>
  <c r="CW530" i="6"/>
  <c r="CF526" i="6"/>
  <c r="CF530" i="6"/>
  <c r="AI526" i="6"/>
  <c r="AI530" i="6"/>
  <c r="AA526" i="6"/>
  <c r="AA530" i="6"/>
  <c r="CO524" i="6"/>
  <c r="CO530" i="6"/>
  <c r="AP526" i="6"/>
  <c r="AP530" i="6"/>
  <c r="R526" i="6"/>
  <c r="R530" i="6"/>
  <c r="AB522" i="6"/>
  <c r="AB530" i="6"/>
  <c r="Q526" i="6"/>
  <c r="Q530" i="6"/>
  <c r="CM526" i="6"/>
  <c r="CM530" i="6"/>
  <c r="AQ526" i="6"/>
  <c r="AQ530" i="6"/>
  <c r="BR526" i="6"/>
  <c r="BR530" i="6"/>
  <c r="K524" i="6"/>
  <c r="K530" i="6"/>
  <c r="CU526" i="6"/>
  <c r="CU530" i="6"/>
  <c r="M526" i="6"/>
  <c r="M530" i="6"/>
  <c r="BL526" i="6"/>
  <c r="BL530" i="6"/>
  <c r="AK522" i="6"/>
  <c r="AK530" i="6"/>
  <c r="CN524" i="6"/>
  <c r="CN530" i="6"/>
  <c r="CV524" i="6"/>
  <c r="CV530" i="6"/>
  <c r="AW526" i="6"/>
  <c r="AW530" i="6"/>
  <c r="AL522" i="6"/>
  <c r="AL530" i="6"/>
  <c r="O526" i="6"/>
  <c r="O530" i="6"/>
  <c r="AG526" i="6"/>
  <c r="AG530" i="6"/>
  <c r="BA526" i="6"/>
  <c r="BA530" i="6"/>
  <c r="CP524" i="6"/>
  <c r="CB524" i="6"/>
  <c r="CB522" i="6"/>
  <c r="CD522" i="6"/>
  <c r="CD524" i="6"/>
  <c r="Y526" i="6"/>
  <c r="Y524" i="6"/>
  <c r="AH522" i="6"/>
  <c r="AC524" i="6"/>
  <c r="AC522" i="6"/>
  <c r="CK526" i="6"/>
  <c r="BA524" i="6"/>
  <c r="BA522" i="6"/>
  <c r="CX522" i="6"/>
  <c r="CM522" i="6"/>
  <c r="K522" i="6"/>
  <c r="AH524" i="6"/>
  <c r="CM524" i="6"/>
  <c r="K526" i="6"/>
  <c r="BG526" i="6"/>
  <c r="BG522" i="6"/>
  <c r="AF526" i="6"/>
  <c r="AF524" i="6"/>
  <c r="BS524" i="6"/>
  <c r="U522" i="6"/>
  <c r="CI526" i="6"/>
  <c r="AT524" i="6"/>
  <c r="CX526" i="6"/>
  <c r="AT522" i="6"/>
  <c r="AD526" i="6"/>
  <c r="AZ526" i="6"/>
  <c r="AD522" i="6"/>
  <c r="BS522" i="6"/>
  <c r="S524" i="6"/>
  <c r="BB524" i="6"/>
  <c r="S522" i="6"/>
  <c r="V524" i="6"/>
  <c r="BB522" i="6"/>
  <c r="BZ522" i="6"/>
  <c r="CQ524" i="6"/>
  <c r="CI522" i="6"/>
  <c r="CQ522" i="6"/>
  <c r="O524" i="6"/>
  <c r="R522" i="6"/>
  <c r="AL526" i="6"/>
  <c r="AO524" i="6"/>
  <c r="AS522" i="6"/>
  <c r="Q522" i="6"/>
  <c r="AA522" i="6"/>
  <c r="AW522" i="6"/>
  <c r="AG524" i="6"/>
  <c r="AA524" i="6"/>
  <c r="Q524" i="6"/>
  <c r="R524" i="6"/>
  <c r="AB524" i="6"/>
  <c r="AB526" i="6"/>
  <c r="CT522" i="6"/>
  <c r="BI524" i="6"/>
  <c r="T522" i="6"/>
  <c r="AG522" i="6"/>
  <c r="CV522" i="6"/>
  <c r="BI522" i="6"/>
  <c r="AJ526" i="6"/>
  <c r="AM524" i="6"/>
  <c r="BW526" i="6"/>
  <c r="CA524" i="6"/>
  <c r="AO522" i="6"/>
  <c r="O522" i="6"/>
  <c r="V522" i="6"/>
  <c r="CA522" i="6"/>
  <c r="AR524" i="6"/>
  <c r="AM522" i="6"/>
  <c r="BD524" i="6"/>
  <c r="AJ524" i="6"/>
  <c r="BT524" i="6"/>
  <c r="BY524" i="6"/>
  <c r="BV524" i="6"/>
  <c r="AY524" i="6"/>
  <c r="BW524" i="6"/>
  <c r="AR522" i="6"/>
  <c r="AY526" i="6"/>
  <c r="BD526" i="6"/>
  <c r="T526" i="6"/>
  <c r="BT522" i="6"/>
  <c r="BE524" i="6"/>
  <c r="BV522" i="6"/>
  <c r="AV524" i="6"/>
  <c r="CT524" i="6"/>
  <c r="BE522" i="6"/>
  <c r="AV522" i="6"/>
  <c r="AP524" i="6"/>
  <c r="W524" i="6"/>
  <c r="AN524" i="6"/>
  <c r="AP522" i="6"/>
  <c r="AW524" i="6"/>
  <c r="BY522" i="6"/>
  <c r="CV526" i="6"/>
  <c r="CO526" i="6"/>
  <c r="AI522" i="6"/>
  <c r="AL524" i="6"/>
  <c r="CO522" i="6"/>
  <c r="AI524" i="6"/>
  <c r="U524" i="6"/>
  <c r="CS524" i="6"/>
  <c r="CS522" i="6"/>
  <c r="X524" i="6"/>
  <c r="AE524" i="6"/>
  <c r="J524" i="6"/>
  <c r="W522" i="6"/>
  <c r="Z522" i="6"/>
  <c r="CK522" i="6"/>
  <c r="AN522" i="6"/>
  <c r="AE522" i="6"/>
  <c r="J522" i="6"/>
  <c r="CF524" i="6"/>
  <c r="Z524" i="6"/>
  <c r="BO524" i="6"/>
  <c r="BR524" i="6"/>
  <c r="AZ524" i="6"/>
  <c r="BU524" i="6"/>
  <c r="CF522" i="6"/>
  <c r="BU526" i="6"/>
  <c r="BO522" i="6"/>
  <c r="BR522" i="6"/>
  <c r="CE522" i="6"/>
  <c r="BZ524" i="6"/>
  <c r="X522" i="6"/>
  <c r="BM522" i="6"/>
  <c r="AK524" i="6"/>
  <c r="AS526" i="6"/>
  <c r="AU522" i="6"/>
  <c r="AK526" i="6"/>
  <c r="CN522" i="6"/>
  <c r="CH522" i="6"/>
  <c r="AU526" i="6"/>
  <c r="CN526" i="6"/>
  <c r="CH524" i="6"/>
  <c r="BM524" i="6"/>
  <c r="CE524" i="6"/>
  <c r="BL524" i="6"/>
  <c r="BL522" i="6"/>
  <c r="CW522" i="6"/>
  <c r="BF524" i="6"/>
  <c r="BN524" i="6"/>
  <c r="N524" i="6"/>
  <c r="CW524" i="6"/>
  <c r="BF522" i="6"/>
  <c r="BN522" i="6"/>
  <c r="N522" i="6"/>
  <c r="BP522" i="6"/>
  <c r="BP524" i="6"/>
  <c r="M522" i="6"/>
  <c r="M524" i="6"/>
  <c r="L522" i="6"/>
  <c r="L524" i="6"/>
  <c r="CG522" i="6"/>
  <c r="CG524" i="6"/>
  <c r="BX522" i="6"/>
  <c r="BX524" i="6"/>
  <c r="CJ522" i="6"/>
  <c r="CJ524" i="6"/>
  <c r="CC522" i="6"/>
  <c r="CC524" i="6"/>
  <c r="CR522" i="6"/>
  <c r="CR524" i="6"/>
  <c r="P522" i="6"/>
  <c r="P524" i="6"/>
  <c r="BQ522" i="6"/>
  <c r="BQ524" i="6"/>
  <c r="AQ522" i="6"/>
  <c r="AQ524" i="6"/>
  <c r="BH522" i="6"/>
  <c r="BH524" i="6"/>
  <c r="AX522" i="6"/>
  <c r="AX524" i="6"/>
  <c r="CU522" i="6"/>
  <c r="CU524" i="6"/>
  <c r="BJ522" i="6"/>
  <c r="BJ524" i="6"/>
  <c r="BC522" i="6"/>
  <c r="BC524" i="6"/>
  <c r="BK522" i="6"/>
  <c r="BK524" i="6"/>
  <c r="CL522" i="6"/>
  <c r="CL524" i="6"/>
  <c r="D526" i="6"/>
  <c r="O20" i="3"/>
  <c r="O23" i="3"/>
  <c r="O25" i="3" s="1"/>
  <c r="O21" i="3"/>
  <c r="O22" i="3"/>
  <c r="O24" i="3" s="1"/>
  <c r="O16" i="3"/>
  <c r="I526" i="6"/>
  <c r="H526" i="6"/>
  <c r="G526" i="6"/>
  <c r="F526" i="6"/>
  <c r="E526" i="6"/>
  <c r="R3" i="5"/>
  <c r="R4" i="5"/>
  <c r="R2" i="5"/>
  <c r="O15" i="3"/>
  <c r="C534" i="6" l="1"/>
  <c r="L4" i="5" s="1"/>
  <c r="C531" i="6"/>
  <c r="L3" i="5" s="1"/>
  <c r="C537" i="6"/>
  <c r="C538" i="6"/>
  <c r="C536" i="6"/>
  <c r="O4" i="5" l="1"/>
  <c r="O2" i="5"/>
  <c r="O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AACE05-EB96-4B7F-9222-1DC4363D31C9}" keepAlive="1" name="Query - Table 1" description="Connection to the 'Table 1' query in the workbook." type="5" refreshedVersion="0" background="1">
    <dbPr connection="Provider=Microsoft.Mashup.OleDb.1;Data Source=$Workbook$;Location=&quot;Table 1&quot;;Extended Properties=&quot;&quot;" command="SELECT * FROM [Table 1]"/>
  </connection>
  <connection id="2" xr16:uid="{3074C5F3-F228-4BC4-92B5-50B33074ED98}" keepAlive="1" name="Query - Table 1 (2)" description="Connection to the 'Table 1 (2)' query in the workbook." type="5" refreshedVersion="0" background="1">
    <dbPr connection="Provider=Microsoft.Mashup.OleDb.1;Data Source=$Workbook$;Location=&quot;Table 1 (2)&quot;;Extended Properties=&quot;&quot;" command="SELECT * FROM [Table 1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34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  <bk>
      <extLst>
        <ext uri="{3e2802c4-a4d2-4d8b-9148-e3be6c30e623}">
          <xlrd:rvb i="895"/>
        </ext>
      </extLst>
    </bk>
    <bk>
      <extLst>
        <ext uri="{3e2802c4-a4d2-4d8b-9148-e3be6c30e623}">
          <xlrd:rvb i="896"/>
        </ext>
      </extLst>
    </bk>
    <bk>
      <extLst>
        <ext uri="{3e2802c4-a4d2-4d8b-9148-e3be6c30e623}">
          <xlrd:rvb i="897"/>
        </ext>
      </extLst>
    </bk>
    <bk>
      <extLst>
        <ext uri="{3e2802c4-a4d2-4d8b-9148-e3be6c30e623}">
          <xlrd:rvb i="898"/>
        </ext>
      </extLst>
    </bk>
    <bk>
      <extLst>
        <ext uri="{3e2802c4-a4d2-4d8b-9148-e3be6c30e623}">
          <xlrd:rvb i="899"/>
        </ext>
      </extLst>
    </bk>
    <bk>
      <extLst>
        <ext uri="{3e2802c4-a4d2-4d8b-9148-e3be6c30e623}">
          <xlrd:rvb i="900"/>
        </ext>
      </extLst>
    </bk>
    <bk>
      <extLst>
        <ext uri="{3e2802c4-a4d2-4d8b-9148-e3be6c30e623}">
          <xlrd:rvb i="901"/>
        </ext>
      </extLst>
    </bk>
    <bk>
      <extLst>
        <ext uri="{3e2802c4-a4d2-4d8b-9148-e3be6c30e623}">
          <xlrd:rvb i="902"/>
        </ext>
      </extLst>
    </bk>
    <bk>
      <extLst>
        <ext uri="{3e2802c4-a4d2-4d8b-9148-e3be6c30e623}">
          <xlrd:rvb i="903"/>
        </ext>
      </extLst>
    </bk>
    <bk>
      <extLst>
        <ext uri="{3e2802c4-a4d2-4d8b-9148-e3be6c30e623}">
          <xlrd:rvb i="904"/>
        </ext>
      </extLst>
    </bk>
    <bk>
      <extLst>
        <ext uri="{3e2802c4-a4d2-4d8b-9148-e3be6c30e623}">
          <xlrd:rvb i="905"/>
        </ext>
      </extLst>
    </bk>
    <bk>
      <extLst>
        <ext uri="{3e2802c4-a4d2-4d8b-9148-e3be6c30e623}">
          <xlrd:rvb i="906"/>
        </ext>
      </extLst>
    </bk>
    <bk>
      <extLst>
        <ext uri="{3e2802c4-a4d2-4d8b-9148-e3be6c30e623}">
          <xlrd:rvb i="907"/>
        </ext>
      </extLst>
    </bk>
    <bk>
      <extLst>
        <ext uri="{3e2802c4-a4d2-4d8b-9148-e3be6c30e623}">
          <xlrd:rvb i="908"/>
        </ext>
      </extLst>
    </bk>
    <bk>
      <extLst>
        <ext uri="{3e2802c4-a4d2-4d8b-9148-e3be6c30e623}">
          <xlrd:rvb i="909"/>
        </ext>
      </extLst>
    </bk>
    <bk>
      <extLst>
        <ext uri="{3e2802c4-a4d2-4d8b-9148-e3be6c30e623}">
          <xlrd:rvb i="910"/>
        </ext>
      </extLst>
    </bk>
    <bk>
      <extLst>
        <ext uri="{3e2802c4-a4d2-4d8b-9148-e3be6c30e623}">
          <xlrd:rvb i="911"/>
        </ext>
      </extLst>
    </bk>
    <bk>
      <extLst>
        <ext uri="{3e2802c4-a4d2-4d8b-9148-e3be6c30e623}">
          <xlrd:rvb i="912"/>
        </ext>
      </extLst>
    </bk>
    <bk>
      <extLst>
        <ext uri="{3e2802c4-a4d2-4d8b-9148-e3be6c30e623}">
          <xlrd:rvb i="913"/>
        </ext>
      </extLst>
    </bk>
    <bk>
      <extLst>
        <ext uri="{3e2802c4-a4d2-4d8b-9148-e3be6c30e623}">
          <xlrd:rvb i="914"/>
        </ext>
      </extLst>
    </bk>
    <bk>
      <extLst>
        <ext uri="{3e2802c4-a4d2-4d8b-9148-e3be6c30e623}">
          <xlrd:rvb i="915"/>
        </ext>
      </extLst>
    </bk>
    <bk>
      <extLst>
        <ext uri="{3e2802c4-a4d2-4d8b-9148-e3be6c30e623}">
          <xlrd:rvb i="916"/>
        </ext>
      </extLst>
    </bk>
    <bk>
      <extLst>
        <ext uri="{3e2802c4-a4d2-4d8b-9148-e3be6c30e623}">
          <xlrd:rvb i="917"/>
        </ext>
      </extLst>
    </bk>
    <bk>
      <extLst>
        <ext uri="{3e2802c4-a4d2-4d8b-9148-e3be6c30e623}">
          <xlrd:rvb i="918"/>
        </ext>
      </extLst>
    </bk>
    <bk>
      <extLst>
        <ext uri="{3e2802c4-a4d2-4d8b-9148-e3be6c30e623}">
          <xlrd:rvb i="919"/>
        </ext>
      </extLst>
    </bk>
    <bk>
      <extLst>
        <ext uri="{3e2802c4-a4d2-4d8b-9148-e3be6c30e623}">
          <xlrd:rvb i="920"/>
        </ext>
      </extLst>
    </bk>
    <bk>
      <extLst>
        <ext uri="{3e2802c4-a4d2-4d8b-9148-e3be6c30e623}">
          <xlrd:rvb i="921"/>
        </ext>
      </extLst>
    </bk>
    <bk>
      <extLst>
        <ext uri="{3e2802c4-a4d2-4d8b-9148-e3be6c30e623}">
          <xlrd:rvb i="922"/>
        </ext>
      </extLst>
    </bk>
    <bk>
      <extLst>
        <ext uri="{3e2802c4-a4d2-4d8b-9148-e3be6c30e623}">
          <xlrd:rvb i="923"/>
        </ext>
      </extLst>
    </bk>
    <bk>
      <extLst>
        <ext uri="{3e2802c4-a4d2-4d8b-9148-e3be6c30e623}">
          <xlrd:rvb i="924"/>
        </ext>
      </extLst>
    </bk>
    <bk>
      <extLst>
        <ext uri="{3e2802c4-a4d2-4d8b-9148-e3be6c30e623}">
          <xlrd:rvb i="925"/>
        </ext>
      </extLst>
    </bk>
    <bk>
      <extLst>
        <ext uri="{3e2802c4-a4d2-4d8b-9148-e3be6c30e623}">
          <xlrd:rvb i="926"/>
        </ext>
      </extLst>
    </bk>
    <bk>
      <extLst>
        <ext uri="{3e2802c4-a4d2-4d8b-9148-e3be6c30e623}">
          <xlrd:rvb i="927"/>
        </ext>
      </extLst>
    </bk>
    <bk>
      <extLst>
        <ext uri="{3e2802c4-a4d2-4d8b-9148-e3be6c30e623}">
          <xlrd:rvb i="928"/>
        </ext>
      </extLst>
    </bk>
    <bk>
      <extLst>
        <ext uri="{3e2802c4-a4d2-4d8b-9148-e3be6c30e623}">
          <xlrd:rvb i="929"/>
        </ext>
      </extLst>
    </bk>
    <bk>
      <extLst>
        <ext uri="{3e2802c4-a4d2-4d8b-9148-e3be6c30e623}">
          <xlrd:rvb i="930"/>
        </ext>
      </extLst>
    </bk>
    <bk>
      <extLst>
        <ext uri="{3e2802c4-a4d2-4d8b-9148-e3be6c30e623}">
          <xlrd:rvb i="931"/>
        </ext>
      </extLst>
    </bk>
    <bk>
      <extLst>
        <ext uri="{3e2802c4-a4d2-4d8b-9148-e3be6c30e623}">
          <xlrd:rvb i="932"/>
        </ext>
      </extLst>
    </bk>
    <bk>
      <extLst>
        <ext uri="{3e2802c4-a4d2-4d8b-9148-e3be6c30e623}">
          <xlrd:rvb i="933"/>
        </ext>
      </extLst>
    </bk>
    <bk>
      <extLst>
        <ext uri="{3e2802c4-a4d2-4d8b-9148-e3be6c30e623}">
          <xlrd:rvb i="934"/>
        </ext>
      </extLst>
    </bk>
    <bk>
      <extLst>
        <ext uri="{3e2802c4-a4d2-4d8b-9148-e3be6c30e623}">
          <xlrd:rvb i="935"/>
        </ext>
      </extLst>
    </bk>
    <bk>
      <extLst>
        <ext uri="{3e2802c4-a4d2-4d8b-9148-e3be6c30e623}">
          <xlrd:rvb i="936"/>
        </ext>
      </extLst>
    </bk>
    <bk>
      <extLst>
        <ext uri="{3e2802c4-a4d2-4d8b-9148-e3be6c30e623}">
          <xlrd:rvb i="937"/>
        </ext>
      </extLst>
    </bk>
    <bk>
      <extLst>
        <ext uri="{3e2802c4-a4d2-4d8b-9148-e3be6c30e623}">
          <xlrd:rvb i="938"/>
        </ext>
      </extLst>
    </bk>
    <bk>
      <extLst>
        <ext uri="{3e2802c4-a4d2-4d8b-9148-e3be6c30e623}">
          <xlrd:rvb i="939"/>
        </ext>
      </extLst>
    </bk>
    <bk>
      <extLst>
        <ext uri="{3e2802c4-a4d2-4d8b-9148-e3be6c30e623}">
          <xlrd:rvb i="940"/>
        </ext>
      </extLst>
    </bk>
    <bk>
      <extLst>
        <ext uri="{3e2802c4-a4d2-4d8b-9148-e3be6c30e623}">
          <xlrd:rvb i="941"/>
        </ext>
      </extLst>
    </bk>
    <bk>
      <extLst>
        <ext uri="{3e2802c4-a4d2-4d8b-9148-e3be6c30e623}">
          <xlrd:rvb i="942"/>
        </ext>
      </extLst>
    </bk>
    <bk>
      <extLst>
        <ext uri="{3e2802c4-a4d2-4d8b-9148-e3be6c30e623}">
          <xlrd:rvb i="943"/>
        </ext>
      </extLst>
    </bk>
    <bk>
      <extLst>
        <ext uri="{3e2802c4-a4d2-4d8b-9148-e3be6c30e623}">
          <xlrd:rvb i="944"/>
        </ext>
      </extLst>
    </bk>
    <bk>
      <extLst>
        <ext uri="{3e2802c4-a4d2-4d8b-9148-e3be6c30e623}">
          <xlrd:rvb i="945"/>
        </ext>
      </extLst>
    </bk>
    <bk>
      <extLst>
        <ext uri="{3e2802c4-a4d2-4d8b-9148-e3be6c30e623}">
          <xlrd:rvb i="946"/>
        </ext>
      </extLst>
    </bk>
    <bk>
      <extLst>
        <ext uri="{3e2802c4-a4d2-4d8b-9148-e3be6c30e623}">
          <xlrd:rvb i="947"/>
        </ext>
      </extLst>
    </bk>
    <bk>
      <extLst>
        <ext uri="{3e2802c4-a4d2-4d8b-9148-e3be6c30e623}">
          <xlrd:rvb i="948"/>
        </ext>
      </extLst>
    </bk>
    <bk>
      <extLst>
        <ext uri="{3e2802c4-a4d2-4d8b-9148-e3be6c30e623}">
          <xlrd:rvb i="949"/>
        </ext>
      </extLst>
    </bk>
    <bk>
      <extLst>
        <ext uri="{3e2802c4-a4d2-4d8b-9148-e3be6c30e623}">
          <xlrd:rvb i="950"/>
        </ext>
      </extLst>
    </bk>
    <bk>
      <extLst>
        <ext uri="{3e2802c4-a4d2-4d8b-9148-e3be6c30e623}">
          <xlrd:rvb i="951"/>
        </ext>
      </extLst>
    </bk>
    <bk>
      <extLst>
        <ext uri="{3e2802c4-a4d2-4d8b-9148-e3be6c30e623}">
          <xlrd:rvb i="952"/>
        </ext>
      </extLst>
    </bk>
    <bk>
      <extLst>
        <ext uri="{3e2802c4-a4d2-4d8b-9148-e3be6c30e623}">
          <xlrd:rvb i="953"/>
        </ext>
      </extLst>
    </bk>
    <bk>
      <extLst>
        <ext uri="{3e2802c4-a4d2-4d8b-9148-e3be6c30e623}">
          <xlrd:rvb i="954"/>
        </ext>
      </extLst>
    </bk>
    <bk>
      <extLst>
        <ext uri="{3e2802c4-a4d2-4d8b-9148-e3be6c30e623}">
          <xlrd:rvb i="955"/>
        </ext>
      </extLst>
    </bk>
    <bk>
      <extLst>
        <ext uri="{3e2802c4-a4d2-4d8b-9148-e3be6c30e623}">
          <xlrd:rvb i="956"/>
        </ext>
      </extLst>
    </bk>
    <bk>
      <extLst>
        <ext uri="{3e2802c4-a4d2-4d8b-9148-e3be6c30e623}">
          <xlrd:rvb i="957"/>
        </ext>
      </extLst>
    </bk>
    <bk>
      <extLst>
        <ext uri="{3e2802c4-a4d2-4d8b-9148-e3be6c30e623}">
          <xlrd:rvb i="958"/>
        </ext>
      </extLst>
    </bk>
    <bk>
      <extLst>
        <ext uri="{3e2802c4-a4d2-4d8b-9148-e3be6c30e623}">
          <xlrd:rvb i="959"/>
        </ext>
      </extLst>
    </bk>
    <bk>
      <extLst>
        <ext uri="{3e2802c4-a4d2-4d8b-9148-e3be6c30e623}">
          <xlrd:rvb i="960"/>
        </ext>
      </extLst>
    </bk>
    <bk>
      <extLst>
        <ext uri="{3e2802c4-a4d2-4d8b-9148-e3be6c30e623}">
          <xlrd:rvb i="961"/>
        </ext>
      </extLst>
    </bk>
    <bk>
      <extLst>
        <ext uri="{3e2802c4-a4d2-4d8b-9148-e3be6c30e623}">
          <xlrd:rvb i="962"/>
        </ext>
      </extLst>
    </bk>
    <bk>
      <extLst>
        <ext uri="{3e2802c4-a4d2-4d8b-9148-e3be6c30e623}">
          <xlrd:rvb i="963"/>
        </ext>
      </extLst>
    </bk>
    <bk>
      <extLst>
        <ext uri="{3e2802c4-a4d2-4d8b-9148-e3be6c30e623}">
          <xlrd:rvb i="964"/>
        </ext>
      </extLst>
    </bk>
    <bk>
      <extLst>
        <ext uri="{3e2802c4-a4d2-4d8b-9148-e3be6c30e623}">
          <xlrd:rvb i="965"/>
        </ext>
      </extLst>
    </bk>
    <bk>
      <extLst>
        <ext uri="{3e2802c4-a4d2-4d8b-9148-e3be6c30e623}">
          <xlrd:rvb i="966"/>
        </ext>
      </extLst>
    </bk>
    <bk>
      <extLst>
        <ext uri="{3e2802c4-a4d2-4d8b-9148-e3be6c30e623}">
          <xlrd:rvb i="967"/>
        </ext>
      </extLst>
    </bk>
    <bk>
      <extLst>
        <ext uri="{3e2802c4-a4d2-4d8b-9148-e3be6c30e623}">
          <xlrd:rvb i="968"/>
        </ext>
      </extLst>
    </bk>
    <bk>
      <extLst>
        <ext uri="{3e2802c4-a4d2-4d8b-9148-e3be6c30e623}">
          <xlrd:rvb i="969"/>
        </ext>
      </extLst>
    </bk>
    <bk>
      <extLst>
        <ext uri="{3e2802c4-a4d2-4d8b-9148-e3be6c30e623}">
          <xlrd:rvb i="970"/>
        </ext>
      </extLst>
    </bk>
    <bk>
      <extLst>
        <ext uri="{3e2802c4-a4d2-4d8b-9148-e3be6c30e623}">
          <xlrd:rvb i="971"/>
        </ext>
      </extLst>
    </bk>
    <bk>
      <extLst>
        <ext uri="{3e2802c4-a4d2-4d8b-9148-e3be6c30e623}">
          <xlrd:rvb i="972"/>
        </ext>
      </extLst>
    </bk>
    <bk>
      <extLst>
        <ext uri="{3e2802c4-a4d2-4d8b-9148-e3be6c30e623}">
          <xlrd:rvb i="973"/>
        </ext>
      </extLst>
    </bk>
    <bk>
      <extLst>
        <ext uri="{3e2802c4-a4d2-4d8b-9148-e3be6c30e623}">
          <xlrd:rvb i="974"/>
        </ext>
      </extLst>
    </bk>
    <bk>
      <extLst>
        <ext uri="{3e2802c4-a4d2-4d8b-9148-e3be6c30e623}">
          <xlrd:rvb i="975"/>
        </ext>
      </extLst>
    </bk>
    <bk>
      <extLst>
        <ext uri="{3e2802c4-a4d2-4d8b-9148-e3be6c30e623}">
          <xlrd:rvb i="976"/>
        </ext>
      </extLst>
    </bk>
    <bk>
      <extLst>
        <ext uri="{3e2802c4-a4d2-4d8b-9148-e3be6c30e623}">
          <xlrd:rvb i="977"/>
        </ext>
      </extLst>
    </bk>
    <bk>
      <extLst>
        <ext uri="{3e2802c4-a4d2-4d8b-9148-e3be6c30e623}">
          <xlrd:rvb i="978"/>
        </ext>
      </extLst>
    </bk>
    <bk>
      <extLst>
        <ext uri="{3e2802c4-a4d2-4d8b-9148-e3be6c30e623}">
          <xlrd:rvb i="979"/>
        </ext>
      </extLst>
    </bk>
    <bk>
      <extLst>
        <ext uri="{3e2802c4-a4d2-4d8b-9148-e3be6c30e623}">
          <xlrd:rvb i="980"/>
        </ext>
      </extLst>
    </bk>
    <bk>
      <extLst>
        <ext uri="{3e2802c4-a4d2-4d8b-9148-e3be6c30e623}">
          <xlrd:rvb i="981"/>
        </ext>
      </extLst>
    </bk>
    <bk>
      <extLst>
        <ext uri="{3e2802c4-a4d2-4d8b-9148-e3be6c30e623}">
          <xlrd:rvb i="982"/>
        </ext>
      </extLst>
    </bk>
    <bk>
      <extLst>
        <ext uri="{3e2802c4-a4d2-4d8b-9148-e3be6c30e623}">
          <xlrd:rvb i="983"/>
        </ext>
      </extLst>
    </bk>
    <bk>
      <extLst>
        <ext uri="{3e2802c4-a4d2-4d8b-9148-e3be6c30e623}">
          <xlrd:rvb i="984"/>
        </ext>
      </extLst>
    </bk>
    <bk>
      <extLst>
        <ext uri="{3e2802c4-a4d2-4d8b-9148-e3be6c30e623}">
          <xlrd:rvb i="985"/>
        </ext>
      </extLst>
    </bk>
    <bk>
      <extLst>
        <ext uri="{3e2802c4-a4d2-4d8b-9148-e3be6c30e623}">
          <xlrd:rvb i="986"/>
        </ext>
      </extLst>
    </bk>
    <bk>
      <extLst>
        <ext uri="{3e2802c4-a4d2-4d8b-9148-e3be6c30e623}">
          <xlrd:rvb i="987"/>
        </ext>
      </extLst>
    </bk>
    <bk>
      <extLst>
        <ext uri="{3e2802c4-a4d2-4d8b-9148-e3be6c30e623}">
          <xlrd:rvb i="988"/>
        </ext>
      </extLst>
    </bk>
    <bk>
      <extLst>
        <ext uri="{3e2802c4-a4d2-4d8b-9148-e3be6c30e623}">
          <xlrd:rvb i="989"/>
        </ext>
      </extLst>
    </bk>
    <bk>
      <extLst>
        <ext uri="{3e2802c4-a4d2-4d8b-9148-e3be6c30e623}">
          <xlrd:rvb i="990"/>
        </ext>
      </extLst>
    </bk>
    <bk>
      <extLst>
        <ext uri="{3e2802c4-a4d2-4d8b-9148-e3be6c30e623}">
          <xlrd:rvb i="991"/>
        </ext>
      </extLst>
    </bk>
    <bk>
      <extLst>
        <ext uri="{3e2802c4-a4d2-4d8b-9148-e3be6c30e623}">
          <xlrd:rvb i="992"/>
        </ext>
      </extLst>
    </bk>
    <bk>
      <extLst>
        <ext uri="{3e2802c4-a4d2-4d8b-9148-e3be6c30e623}">
          <xlrd:rvb i="993"/>
        </ext>
      </extLst>
    </bk>
    <bk>
      <extLst>
        <ext uri="{3e2802c4-a4d2-4d8b-9148-e3be6c30e623}">
          <xlrd:rvb i="994"/>
        </ext>
      </extLst>
    </bk>
    <bk>
      <extLst>
        <ext uri="{3e2802c4-a4d2-4d8b-9148-e3be6c30e623}">
          <xlrd:rvb i="995"/>
        </ext>
      </extLst>
    </bk>
    <bk>
      <extLst>
        <ext uri="{3e2802c4-a4d2-4d8b-9148-e3be6c30e623}">
          <xlrd:rvb i="996"/>
        </ext>
      </extLst>
    </bk>
    <bk>
      <extLst>
        <ext uri="{3e2802c4-a4d2-4d8b-9148-e3be6c30e623}">
          <xlrd:rvb i="997"/>
        </ext>
      </extLst>
    </bk>
    <bk>
      <extLst>
        <ext uri="{3e2802c4-a4d2-4d8b-9148-e3be6c30e623}">
          <xlrd:rvb i="998"/>
        </ext>
      </extLst>
    </bk>
    <bk>
      <extLst>
        <ext uri="{3e2802c4-a4d2-4d8b-9148-e3be6c30e623}">
          <xlrd:rvb i="999"/>
        </ext>
      </extLst>
    </bk>
    <bk>
      <extLst>
        <ext uri="{3e2802c4-a4d2-4d8b-9148-e3be6c30e623}">
          <xlrd:rvb i="1000"/>
        </ext>
      </extLst>
    </bk>
    <bk>
      <extLst>
        <ext uri="{3e2802c4-a4d2-4d8b-9148-e3be6c30e623}">
          <xlrd:rvb i="1001"/>
        </ext>
      </extLst>
    </bk>
    <bk>
      <extLst>
        <ext uri="{3e2802c4-a4d2-4d8b-9148-e3be6c30e623}">
          <xlrd:rvb i="1002"/>
        </ext>
      </extLst>
    </bk>
    <bk>
      <extLst>
        <ext uri="{3e2802c4-a4d2-4d8b-9148-e3be6c30e623}">
          <xlrd:rvb i="1003"/>
        </ext>
      </extLst>
    </bk>
    <bk>
      <extLst>
        <ext uri="{3e2802c4-a4d2-4d8b-9148-e3be6c30e623}">
          <xlrd:rvb i="1004"/>
        </ext>
      </extLst>
    </bk>
    <bk>
      <extLst>
        <ext uri="{3e2802c4-a4d2-4d8b-9148-e3be6c30e623}">
          <xlrd:rvb i="1005"/>
        </ext>
      </extLst>
    </bk>
    <bk>
      <extLst>
        <ext uri="{3e2802c4-a4d2-4d8b-9148-e3be6c30e623}">
          <xlrd:rvb i="1006"/>
        </ext>
      </extLst>
    </bk>
    <bk>
      <extLst>
        <ext uri="{3e2802c4-a4d2-4d8b-9148-e3be6c30e623}">
          <xlrd:rvb i="1007"/>
        </ext>
      </extLst>
    </bk>
    <bk>
      <extLst>
        <ext uri="{3e2802c4-a4d2-4d8b-9148-e3be6c30e623}">
          <xlrd:rvb i="1008"/>
        </ext>
      </extLst>
    </bk>
    <bk>
      <extLst>
        <ext uri="{3e2802c4-a4d2-4d8b-9148-e3be6c30e623}">
          <xlrd:rvb i="1009"/>
        </ext>
      </extLst>
    </bk>
    <bk>
      <extLst>
        <ext uri="{3e2802c4-a4d2-4d8b-9148-e3be6c30e623}">
          <xlrd:rvb i="1010"/>
        </ext>
      </extLst>
    </bk>
    <bk>
      <extLst>
        <ext uri="{3e2802c4-a4d2-4d8b-9148-e3be6c30e623}">
          <xlrd:rvb i="1011"/>
        </ext>
      </extLst>
    </bk>
    <bk>
      <extLst>
        <ext uri="{3e2802c4-a4d2-4d8b-9148-e3be6c30e623}">
          <xlrd:rvb i="1012"/>
        </ext>
      </extLst>
    </bk>
    <bk>
      <extLst>
        <ext uri="{3e2802c4-a4d2-4d8b-9148-e3be6c30e623}">
          <xlrd:rvb i="1013"/>
        </ext>
      </extLst>
    </bk>
    <bk>
      <extLst>
        <ext uri="{3e2802c4-a4d2-4d8b-9148-e3be6c30e623}">
          <xlrd:rvb i="1014"/>
        </ext>
      </extLst>
    </bk>
    <bk>
      <extLst>
        <ext uri="{3e2802c4-a4d2-4d8b-9148-e3be6c30e623}">
          <xlrd:rvb i="1015"/>
        </ext>
      </extLst>
    </bk>
    <bk>
      <extLst>
        <ext uri="{3e2802c4-a4d2-4d8b-9148-e3be6c30e623}">
          <xlrd:rvb i="1016"/>
        </ext>
      </extLst>
    </bk>
    <bk>
      <extLst>
        <ext uri="{3e2802c4-a4d2-4d8b-9148-e3be6c30e623}">
          <xlrd:rvb i="1017"/>
        </ext>
      </extLst>
    </bk>
    <bk>
      <extLst>
        <ext uri="{3e2802c4-a4d2-4d8b-9148-e3be6c30e623}">
          <xlrd:rvb i="1018"/>
        </ext>
      </extLst>
    </bk>
    <bk>
      <extLst>
        <ext uri="{3e2802c4-a4d2-4d8b-9148-e3be6c30e623}">
          <xlrd:rvb i="1019"/>
        </ext>
      </extLst>
    </bk>
    <bk>
      <extLst>
        <ext uri="{3e2802c4-a4d2-4d8b-9148-e3be6c30e623}">
          <xlrd:rvb i="1020"/>
        </ext>
      </extLst>
    </bk>
    <bk>
      <extLst>
        <ext uri="{3e2802c4-a4d2-4d8b-9148-e3be6c30e623}">
          <xlrd:rvb i="1021"/>
        </ext>
      </extLst>
    </bk>
    <bk>
      <extLst>
        <ext uri="{3e2802c4-a4d2-4d8b-9148-e3be6c30e623}">
          <xlrd:rvb i="1022"/>
        </ext>
      </extLst>
    </bk>
    <bk>
      <extLst>
        <ext uri="{3e2802c4-a4d2-4d8b-9148-e3be6c30e623}">
          <xlrd:rvb i="1023"/>
        </ext>
      </extLst>
    </bk>
    <bk>
      <extLst>
        <ext uri="{3e2802c4-a4d2-4d8b-9148-e3be6c30e623}">
          <xlrd:rvb i="1024"/>
        </ext>
      </extLst>
    </bk>
    <bk>
      <extLst>
        <ext uri="{3e2802c4-a4d2-4d8b-9148-e3be6c30e623}">
          <xlrd:rvb i="1025"/>
        </ext>
      </extLst>
    </bk>
    <bk>
      <extLst>
        <ext uri="{3e2802c4-a4d2-4d8b-9148-e3be6c30e623}">
          <xlrd:rvb i="1026"/>
        </ext>
      </extLst>
    </bk>
    <bk>
      <extLst>
        <ext uri="{3e2802c4-a4d2-4d8b-9148-e3be6c30e623}">
          <xlrd:rvb i="1027"/>
        </ext>
      </extLst>
    </bk>
    <bk>
      <extLst>
        <ext uri="{3e2802c4-a4d2-4d8b-9148-e3be6c30e623}">
          <xlrd:rvb i="1028"/>
        </ext>
      </extLst>
    </bk>
    <bk>
      <extLst>
        <ext uri="{3e2802c4-a4d2-4d8b-9148-e3be6c30e623}">
          <xlrd:rvb i="1029"/>
        </ext>
      </extLst>
    </bk>
    <bk>
      <extLst>
        <ext uri="{3e2802c4-a4d2-4d8b-9148-e3be6c30e623}">
          <xlrd:rvb i="1030"/>
        </ext>
      </extLst>
    </bk>
    <bk>
      <extLst>
        <ext uri="{3e2802c4-a4d2-4d8b-9148-e3be6c30e623}">
          <xlrd:rvb i="1031"/>
        </ext>
      </extLst>
    </bk>
    <bk>
      <extLst>
        <ext uri="{3e2802c4-a4d2-4d8b-9148-e3be6c30e623}">
          <xlrd:rvb i="1032"/>
        </ext>
      </extLst>
    </bk>
    <bk>
      <extLst>
        <ext uri="{3e2802c4-a4d2-4d8b-9148-e3be6c30e623}">
          <xlrd:rvb i="1033"/>
        </ext>
      </extLst>
    </bk>
    <bk>
      <extLst>
        <ext uri="{3e2802c4-a4d2-4d8b-9148-e3be6c30e623}">
          <xlrd:rvb i="1034"/>
        </ext>
      </extLst>
    </bk>
    <bk>
      <extLst>
        <ext uri="{3e2802c4-a4d2-4d8b-9148-e3be6c30e623}">
          <xlrd:rvb i="1035"/>
        </ext>
      </extLst>
    </bk>
    <bk>
      <extLst>
        <ext uri="{3e2802c4-a4d2-4d8b-9148-e3be6c30e623}">
          <xlrd:rvb i="1036"/>
        </ext>
      </extLst>
    </bk>
    <bk>
      <extLst>
        <ext uri="{3e2802c4-a4d2-4d8b-9148-e3be6c30e623}">
          <xlrd:rvb i="1037"/>
        </ext>
      </extLst>
    </bk>
    <bk>
      <extLst>
        <ext uri="{3e2802c4-a4d2-4d8b-9148-e3be6c30e623}">
          <xlrd:rvb i="1038"/>
        </ext>
      </extLst>
    </bk>
    <bk>
      <extLst>
        <ext uri="{3e2802c4-a4d2-4d8b-9148-e3be6c30e623}">
          <xlrd:rvb i="1039"/>
        </ext>
      </extLst>
    </bk>
    <bk>
      <extLst>
        <ext uri="{3e2802c4-a4d2-4d8b-9148-e3be6c30e623}">
          <xlrd:rvb i="1040"/>
        </ext>
      </extLst>
    </bk>
    <bk>
      <extLst>
        <ext uri="{3e2802c4-a4d2-4d8b-9148-e3be6c30e623}">
          <xlrd:rvb i="1041"/>
        </ext>
      </extLst>
    </bk>
    <bk>
      <extLst>
        <ext uri="{3e2802c4-a4d2-4d8b-9148-e3be6c30e623}">
          <xlrd:rvb i="1042"/>
        </ext>
      </extLst>
    </bk>
    <bk>
      <extLst>
        <ext uri="{3e2802c4-a4d2-4d8b-9148-e3be6c30e623}">
          <xlrd:rvb i="1043"/>
        </ext>
      </extLst>
    </bk>
    <bk>
      <extLst>
        <ext uri="{3e2802c4-a4d2-4d8b-9148-e3be6c30e623}">
          <xlrd:rvb i="1044"/>
        </ext>
      </extLst>
    </bk>
    <bk>
      <extLst>
        <ext uri="{3e2802c4-a4d2-4d8b-9148-e3be6c30e623}">
          <xlrd:rvb i="1045"/>
        </ext>
      </extLst>
    </bk>
    <bk>
      <extLst>
        <ext uri="{3e2802c4-a4d2-4d8b-9148-e3be6c30e623}">
          <xlrd:rvb i="1046"/>
        </ext>
      </extLst>
    </bk>
    <bk>
      <extLst>
        <ext uri="{3e2802c4-a4d2-4d8b-9148-e3be6c30e623}">
          <xlrd:rvb i="1047"/>
        </ext>
      </extLst>
    </bk>
    <bk>
      <extLst>
        <ext uri="{3e2802c4-a4d2-4d8b-9148-e3be6c30e623}">
          <xlrd:rvb i="1048"/>
        </ext>
      </extLst>
    </bk>
    <bk>
      <extLst>
        <ext uri="{3e2802c4-a4d2-4d8b-9148-e3be6c30e623}">
          <xlrd:rvb i="1049"/>
        </ext>
      </extLst>
    </bk>
    <bk>
      <extLst>
        <ext uri="{3e2802c4-a4d2-4d8b-9148-e3be6c30e623}">
          <xlrd:rvb i="1050"/>
        </ext>
      </extLst>
    </bk>
    <bk>
      <extLst>
        <ext uri="{3e2802c4-a4d2-4d8b-9148-e3be6c30e623}">
          <xlrd:rvb i="1051"/>
        </ext>
      </extLst>
    </bk>
    <bk>
      <extLst>
        <ext uri="{3e2802c4-a4d2-4d8b-9148-e3be6c30e623}">
          <xlrd:rvb i="1052"/>
        </ext>
      </extLst>
    </bk>
    <bk>
      <extLst>
        <ext uri="{3e2802c4-a4d2-4d8b-9148-e3be6c30e623}">
          <xlrd:rvb i="1053"/>
        </ext>
      </extLst>
    </bk>
    <bk>
      <extLst>
        <ext uri="{3e2802c4-a4d2-4d8b-9148-e3be6c30e623}">
          <xlrd:rvb i="1054"/>
        </ext>
      </extLst>
    </bk>
    <bk>
      <extLst>
        <ext uri="{3e2802c4-a4d2-4d8b-9148-e3be6c30e623}">
          <xlrd:rvb i="1055"/>
        </ext>
      </extLst>
    </bk>
    <bk>
      <extLst>
        <ext uri="{3e2802c4-a4d2-4d8b-9148-e3be6c30e623}">
          <xlrd:rvb i="1056"/>
        </ext>
      </extLst>
    </bk>
    <bk>
      <extLst>
        <ext uri="{3e2802c4-a4d2-4d8b-9148-e3be6c30e623}">
          <xlrd:rvb i="1057"/>
        </ext>
      </extLst>
    </bk>
    <bk>
      <extLst>
        <ext uri="{3e2802c4-a4d2-4d8b-9148-e3be6c30e623}">
          <xlrd:rvb i="1058"/>
        </ext>
      </extLst>
    </bk>
    <bk>
      <extLst>
        <ext uri="{3e2802c4-a4d2-4d8b-9148-e3be6c30e623}">
          <xlrd:rvb i="1059"/>
        </ext>
      </extLst>
    </bk>
    <bk>
      <extLst>
        <ext uri="{3e2802c4-a4d2-4d8b-9148-e3be6c30e623}">
          <xlrd:rvb i="1060"/>
        </ext>
      </extLst>
    </bk>
    <bk>
      <extLst>
        <ext uri="{3e2802c4-a4d2-4d8b-9148-e3be6c30e623}">
          <xlrd:rvb i="1061"/>
        </ext>
      </extLst>
    </bk>
    <bk>
      <extLst>
        <ext uri="{3e2802c4-a4d2-4d8b-9148-e3be6c30e623}">
          <xlrd:rvb i="1062"/>
        </ext>
      </extLst>
    </bk>
    <bk>
      <extLst>
        <ext uri="{3e2802c4-a4d2-4d8b-9148-e3be6c30e623}">
          <xlrd:rvb i="1063"/>
        </ext>
      </extLst>
    </bk>
    <bk>
      <extLst>
        <ext uri="{3e2802c4-a4d2-4d8b-9148-e3be6c30e623}">
          <xlrd:rvb i="1064"/>
        </ext>
      </extLst>
    </bk>
    <bk>
      <extLst>
        <ext uri="{3e2802c4-a4d2-4d8b-9148-e3be6c30e623}">
          <xlrd:rvb i="1065"/>
        </ext>
      </extLst>
    </bk>
    <bk>
      <extLst>
        <ext uri="{3e2802c4-a4d2-4d8b-9148-e3be6c30e623}">
          <xlrd:rvb i="1066"/>
        </ext>
      </extLst>
    </bk>
    <bk>
      <extLst>
        <ext uri="{3e2802c4-a4d2-4d8b-9148-e3be6c30e623}">
          <xlrd:rvb i="1067"/>
        </ext>
      </extLst>
    </bk>
    <bk>
      <extLst>
        <ext uri="{3e2802c4-a4d2-4d8b-9148-e3be6c30e623}">
          <xlrd:rvb i="1068"/>
        </ext>
      </extLst>
    </bk>
    <bk>
      <extLst>
        <ext uri="{3e2802c4-a4d2-4d8b-9148-e3be6c30e623}">
          <xlrd:rvb i="1069"/>
        </ext>
      </extLst>
    </bk>
    <bk>
      <extLst>
        <ext uri="{3e2802c4-a4d2-4d8b-9148-e3be6c30e623}">
          <xlrd:rvb i="1070"/>
        </ext>
      </extLst>
    </bk>
    <bk>
      <extLst>
        <ext uri="{3e2802c4-a4d2-4d8b-9148-e3be6c30e623}">
          <xlrd:rvb i="1071"/>
        </ext>
      </extLst>
    </bk>
    <bk>
      <extLst>
        <ext uri="{3e2802c4-a4d2-4d8b-9148-e3be6c30e623}">
          <xlrd:rvb i="1072"/>
        </ext>
      </extLst>
    </bk>
    <bk>
      <extLst>
        <ext uri="{3e2802c4-a4d2-4d8b-9148-e3be6c30e623}">
          <xlrd:rvb i="1073"/>
        </ext>
      </extLst>
    </bk>
    <bk>
      <extLst>
        <ext uri="{3e2802c4-a4d2-4d8b-9148-e3be6c30e623}">
          <xlrd:rvb i="1074"/>
        </ext>
      </extLst>
    </bk>
    <bk>
      <extLst>
        <ext uri="{3e2802c4-a4d2-4d8b-9148-e3be6c30e623}">
          <xlrd:rvb i="1075"/>
        </ext>
      </extLst>
    </bk>
    <bk>
      <extLst>
        <ext uri="{3e2802c4-a4d2-4d8b-9148-e3be6c30e623}">
          <xlrd:rvb i="1076"/>
        </ext>
      </extLst>
    </bk>
    <bk>
      <extLst>
        <ext uri="{3e2802c4-a4d2-4d8b-9148-e3be6c30e623}">
          <xlrd:rvb i="1077"/>
        </ext>
      </extLst>
    </bk>
    <bk>
      <extLst>
        <ext uri="{3e2802c4-a4d2-4d8b-9148-e3be6c30e623}">
          <xlrd:rvb i="1078"/>
        </ext>
      </extLst>
    </bk>
    <bk>
      <extLst>
        <ext uri="{3e2802c4-a4d2-4d8b-9148-e3be6c30e623}">
          <xlrd:rvb i="1079"/>
        </ext>
      </extLst>
    </bk>
    <bk>
      <extLst>
        <ext uri="{3e2802c4-a4d2-4d8b-9148-e3be6c30e623}">
          <xlrd:rvb i="1080"/>
        </ext>
      </extLst>
    </bk>
    <bk>
      <extLst>
        <ext uri="{3e2802c4-a4d2-4d8b-9148-e3be6c30e623}">
          <xlrd:rvb i="1081"/>
        </ext>
      </extLst>
    </bk>
    <bk>
      <extLst>
        <ext uri="{3e2802c4-a4d2-4d8b-9148-e3be6c30e623}">
          <xlrd:rvb i="1082"/>
        </ext>
      </extLst>
    </bk>
    <bk>
      <extLst>
        <ext uri="{3e2802c4-a4d2-4d8b-9148-e3be6c30e623}">
          <xlrd:rvb i="1083"/>
        </ext>
      </extLst>
    </bk>
    <bk>
      <extLst>
        <ext uri="{3e2802c4-a4d2-4d8b-9148-e3be6c30e623}">
          <xlrd:rvb i="1084"/>
        </ext>
      </extLst>
    </bk>
    <bk>
      <extLst>
        <ext uri="{3e2802c4-a4d2-4d8b-9148-e3be6c30e623}">
          <xlrd:rvb i="1085"/>
        </ext>
      </extLst>
    </bk>
    <bk>
      <extLst>
        <ext uri="{3e2802c4-a4d2-4d8b-9148-e3be6c30e623}">
          <xlrd:rvb i="1086"/>
        </ext>
      </extLst>
    </bk>
    <bk>
      <extLst>
        <ext uri="{3e2802c4-a4d2-4d8b-9148-e3be6c30e623}">
          <xlrd:rvb i="1087"/>
        </ext>
      </extLst>
    </bk>
    <bk>
      <extLst>
        <ext uri="{3e2802c4-a4d2-4d8b-9148-e3be6c30e623}">
          <xlrd:rvb i="1088"/>
        </ext>
      </extLst>
    </bk>
    <bk>
      <extLst>
        <ext uri="{3e2802c4-a4d2-4d8b-9148-e3be6c30e623}">
          <xlrd:rvb i="1089"/>
        </ext>
      </extLst>
    </bk>
    <bk>
      <extLst>
        <ext uri="{3e2802c4-a4d2-4d8b-9148-e3be6c30e623}">
          <xlrd:rvb i="1090"/>
        </ext>
      </extLst>
    </bk>
    <bk>
      <extLst>
        <ext uri="{3e2802c4-a4d2-4d8b-9148-e3be6c30e623}">
          <xlrd:rvb i="1091"/>
        </ext>
      </extLst>
    </bk>
    <bk>
      <extLst>
        <ext uri="{3e2802c4-a4d2-4d8b-9148-e3be6c30e623}">
          <xlrd:rvb i="1092"/>
        </ext>
      </extLst>
    </bk>
    <bk>
      <extLst>
        <ext uri="{3e2802c4-a4d2-4d8b-9148-e3be6c30e623}">
          <xlrd:rvb i="1093"/>
        </ext>
      </extLst>
    </bk>
    <bk>
      <extLst>
        <ext uri="{3e2802c4-a4d2-4d8b-9148-e3be6c30e623}">
          <xlrd:rvb i="1094"/>
        </ext>
      </extLst>
    </bk>
    <bk>
      <extLst>
        <ext uri="{3e2802c4-a4d2-4d8b-9148-e3be6c30e623}">
          <xlrd:rvb i="1095"/>
        </ext>
      </extLst>
    </bk>
    <bk>
      <extLst>
        <ext uri="{3e2802c4-a4d2-4d8b-9148-e3be6c30e623}">
          <xlrd:rvb i="1096"/>
        </ext>
      </extLst>
    </bk>
    <bk>
      <extLst>
        <ext uri="{3e2802c4-a4d2-4d8b-9148-e3be6c30e623}">
          <xlrd:rvb i="1097"/>
        </ext>
      </extLst>
    </bk>
    <bk>
      <extLst>
        <ext uri="{3e2802c4-a4d2-4d8b-9148-e3be6c30e623}">
          <xlrd:rvb i="1098"/>
        </ext>
      </extLst>
    </bk>
    <bk>
      <extLst>
        <ext uri="{3e2802c4-a4d2-4d8b-9148-e3be6c30e623}">
          <xlrd:rvb i="1099"/>
        </ext>
      </extLst>
    </bk>
    <bk>
      <extLst>
        <ext uri="{3e2802c4-a4d2-4d8b-9148-e3be6c30e623}">
          <xlrd:rvb i="1100"/>
        </ext>
      </extLst>
    </bk>
    <bk>
      <extLst>
        <ext uri="{3e2802c4-a4d2-4d8b-9148-e3be6c30e623}">
          <xlrd:rvb i="1101"/>
        </ext>
      </extLst>
    </bk>
    <bk>
      <extLst>
        <ext uri="{3e2802c4-a4d2-4d8b-9148-e3be6c30e623}">
          <xlrd:rvb i="1102"/>
        </ext>
      </extLst>
    </bk>
    <bk>
      <extLst>
        <ext uri="{3e2802c4-a4d2-4d8b-9148-e3be6c30e623}">
          <xlrd:rvb i="1103"/>
        </ext>
      </extLst>
    </bk>
    <bk>
      <extLst>
        <ext uri="{3e2802c4-a4d2-4d8b-9148-e3be6c30e623}">
          <xlrd:rvb i="1104"/>
        </ext>
      </extLst>
    </bk>
    <bk>
      <extLst>
        <ext uri="{3e2802c4-a4d2-4d8b-9148-e3be6c30e623}">
          <xlrd:rvb i="1105"/>
        </ext>
      </extLst>
    </bk>
    <bk>
      <extLst>
        <ext uri="{3e2802c4-a4d2-4d8b-9148-e3be6c30e623}">
          <xlrd:rvb i="1106"/>
        </ext>
      </extLst>
    </bk>
    <bk>
      <extLst>
        <ext uri="{3e2802c4-a4d2-4d8b-9148-e3be6c30e623}">
          <xlrd:rvb i="1107"/>
        </ext>
      </extLst>
    </bk>
    <bk>
      <extLst>
        <ext uri="{3e2802c4-a4d2-4d8b-9148-e3be6c30e623}">
          <xlrd:rvb i="1108"/>
        </ext>
      </extLst>
    </bk>
    <bk>
      <extLst>
        <ext uri="{3e2802c4-a4d2-4d8b-9148-e3be6c30e623}">
          <xlrd:rvb i="1109"/>
        </ext>
      </extLst>
    </bk>
    <bk>
      <extLst>
        <ext uri="{3e2802c4-a4d2-4d8b-9148-e3be6c30e623}">
          <xlrd:rvb i="1110"/>
        </ext>
      </extLst>
    </bk>
    <bk>
      <extLst>
        <ext uri="{3e2802c4-a4d2-4d8b-9148-e3be6c30e623}">
          <xlrd:rvb i="1111"/>
        </ext>
      </extLst>
    </bk>
    <bk>
      <extLst>
        <ext uri="{3e2802c4-a4d2-4d8b-9148-e3be6c30e623}">
          <xlrd:rvb i="1112"/>
        </ext>
      </extLst>
    </bk>
    <bk>
      <extLst>
        <ext uri="{3e2802c4-a4d2-4d8b-9148-e3be6c30e623}">
          <xlrd:rvb i="1113"/>
        </ext>
      </extLst>
    </bk>
    <bk>
      <extLst>
        <ext uri="{3e2802c4-a4d2-4d8b-9148-e3be6c30e623}">
          <xlrd:rvb i="1114"/>
        </ext>
      </extLst>
    </bk>
    <bk>
      <extLst>
        <ext uri="{3e2802c4-a4d2-4d8b-9148-e3be6c30e623}">
          <xlrd:rvb i="1115"/>
        </ext>
      </extLst>
    </bk>
    <bk>
      <extLst>
        <ext uri="{3e2802c4-a4d2-4d8b-9148-e3be6c30e623}">
          <xlrd:rvb i="1116"/>
        </ext>
      </extLst>
    </bk>
    <bk>
      <extLst>
        <ext uri="{3e2802c4-a4d2-4d8b-9148-e3be6c30e623}">
          <xlrd:rvb i="1117"/>
        </ext>
      </extLst>
    </bk>
    <bk>
      <extLst>
        <ext uri="{3e2802c4-a4d2-4d8b-9148-e3be6c30e623}">
          <xlrd:rvb i="1118"/>
        </ext>
      </extLst>
    </bk>
    <bk>
      <extLst>
        <ext uri="{3e2802c4-a4d2-4d8b-9148-e3be6c30e623}">
          <xlrd:rvb i="1119"/>
        </ext>
      </extLst>
    </bk>
    <bk>
      <extLst>
        <ext uri="{3e2802c4-a4d2-4d8b-9148-e3be6c30e623}">
          <xlrd:rvb i="1120"/>
        </ext>
      </extLst>
    </bk>
    <bk>
      <extLst>
        <ext uri="{3e2802c4-a4d2-4d8b-9148-e3be6c30e623}">
          <xlrd:rvb i="1121"/>
        </ext>
      </extLst>
    </bk>
    <bk>
      <extLst>
        <ext uri="{3e2802c4-a4d2-4d8b-9148-e3be6c30e623}">
          <xlrd:rvb i="1122"/>
        </ext>
      </extLst>
    </bk>
    <bk>
      <extLst>
        <ext uri="{3e2802c4-a4d2-4d8b-9148-e3be6c30e623}">
          <xlrd:rvb i="1123"/>
        </ext>
      </extLst>
    </bk>
    <bk>
      <extLst>
        <ext uri="{3e2802c4-a4d2-4d8b-9148-e3be6c30e623}">
          <xlrd:rvb i="1124"/>
        </ext>
      </extLst>
    </bk>
    <bk>
      <extLst>
        <ext uri="{3e2802c4-a4d2-4d8b-9148-e3be6c30e623}">
          <xlrd:rvb i="1125"/>
        </ext>
      </extLst>
    </bk>
    <bk>
      <extLst>
        <ext uri="{3e2802c4-a4d2-4d8b-9148-e3be6c30e623}">
          <xlrd:rvb i="1126"/>
        </ext>
      </extLst>
    </bk>
    <bk>
      <extLst>
        <ext uri="{3e2802c4-a4d2-4d8b-9148-e3be6c30e623}">
          <xlrd:rvb i="1127"/>
        </ext>
      </extLst>
    </bk>
    <bk>
      <extLst>
        <ext uri="{3e2802c4-a4d2-4d8b-9148-e3be6c30e623}">
          <xlrd:rvb i="1128"/>
        </ext>
      </extLst>
    </bk>
    <bk>
      <extLst>
        <ext uri="{3e2802c4-a4d2-4d8b-9148-e3be6c30e623}">
          <xlrd:rvb i="1129"/>
        </ext>
      </extLst>
    </bk>
    <bk>
      <extLst>
        <ext uri="{3e2802c4-a4d2-4d8b-9148-e3be6c30e623}">
          <xlrd:rvb i="1130"/>
        </ext>
      </extLst>
    </bk>
    <bk>
      <extLst>
        <ext uri="{3e2802c4-a4d2-4d8b-9148-e3be6c30e623}">
          <xlrd:rvb i="1131"/>
        </ext>
      </extLst>
    </bk>
    <bk>
      <extLst>
        <ext uri="{3e2802c4-a4d2-4d8b-9148-e3be6c30e623}">
          <xlrd:rvb i="1132"/>
        </ext>
      </extLst>
    </bk>
    <bk>
      <extLst>
        <ext uri="{3e2802c4-a4d2-4d8b-9148-e3be6c30e623}">
          <xlrd:rvb i="1133"/>
        </ext>
      </extLst>
    </bk>
    <bk>
      <extLst>
        <ext uri="{3e2802c4-a4d2-4d8b-9148-e3be6c30e623}">
          <xlrd:rvb i="1134"/>
        </ext>
      </extLst>
    </bk>
    <bk>
      <extLst>
        <ext uri="{3e2802c4-a4d2-4d8b-9148-e3be6c30e623}">
          <xlrd:rvb i="1135"/>
        </ext>
      </extLst>
    </bk>
    <bk>
      <extLst>
        <ext uri="{3e2802c4-a4d2-4d8b-9148-e3be6c30e623}">
          <xlrd:rvb i="1136"/>
        </ext>
      </extLst>
    </bk>
    <bk>
      <extLst>
        <ext uri="{3e2802c4-a4d2-4d8b-9148-e3be6c30e623}">
          <xlrd:rvb i="1137"/>
        </ext>
      </extLst>
    </bk>
    <bk>
      <extLst>
        <ext uri="{3e2802c4-a4d2-4d8b-9148-e3be6c30e623}">
          <xlrd:rvb i="1138"/>
        </ext>
      </extLst>
    </bk>
    <bk>
      <extLst>
        <ext uri="{3e2802c4-a4d2-4d8b-9148-e3be6c30e623}">
          <xlrd:rvb i="1139"/>
        </ext>
      </extLst>
    </bk>
    <bk>
      <extLst>
        <ext uri="{3e2802c4-a4d2-4d8b-9148-e3be6c30e623}">
          <xlrd:rvb i="1140"/>
        </ext>
      </extLst>
    </bk>
    <bk>
      <extLst>
        <ext uri="{3e2802c4-a4d2-4d8b-9148-e3be6c30e623}">
          <xlrd:rvb i="1141"/>
        </ext>
      </extLst>
    </bk>
    <bk>
      <extLst>
        <ext uri="{3e2802c4-a4d2-4d8b-9148-e3be6c30e623}">
          <xlrd:rvb i="1142"/>
        </ext>
      </extLst>
    </bk>
    <bk>
      <extLst>
        <ext uri="{3e2802c4-a4d2-4d8b-9148-e3be6c30e623}">
          <xlrd:rvb i="1143"/>
        </ext>
      </extLst>
    </bk>
    <bk>
      <extLst>
        <ext uri="{3e2802c4-a4d2-4d8b-9148-e3be6c30e623}">
          <xlrd:rvb i="1144"/>
        </ext>
      </extLst>
    </bk>
    <bk>
      <extLst>
        <ext uri="{3e2802c4-a4d2-4d8b-9148-e3be6c30e623}">
          <xlrd:rvb i="1145"/>
        </ext>
      </extLst>
    </bk>
    <bk>
      <extLst>
        <ext uri="{3e2802c4-a4d2-4d8b-9148-e3be6c30e623}">
          <xlrd:rvb i="1146"/>
        </ext>
      </extLst>
    </bk>
    <bk>
      <extLst>
        <ext uri="{3e2802c4-a4d2-4d8b-9148-e3be6c30e623}">
          <xlrd:rvb i="1147"/>
        </ext>
      </extLst>
    </bk>
    <bk>
      <extLst>
        <ext uri="{3e2802c4-a4d2-4d8b-9148-e3be6c30e623}">
          <xlrd:rvb i="1148"/>
        </ext>
      </extLst>
    </bk>
    <bk>
      <extLst>
        <ext uri="{3e2802c4-a4d2-4d8b-9148-e3be6c30e623}">
          <xlrd:rvb i="1149"/>
        </ext>
      </extLst>
    </bk>
    <bk>
      <extLst>
        <ext uri="{3e2802c4-a4d2-4d8b-9148-e3be6c30e623}">
          <xlrd:rvb i="1150"/>
        </ext>
      </extLst>
    </bk>
    <bk>
      <extLst>
        <ext uri="{3e2802c4-a4d2-4d8b-9148-e3be6c30e623}">
          <xlrd:rvb i="1151"/>
        </ext>
      </extLst>
    </bk>
    <bk>
      <extLst>
        <ext uri="{3e2802c4-a4d2-4d8b-9148-e3be6c30e623}">
          <xlrd:rvb i="1152"/>
        </ext>
      </extLst>
    </bk>
    <bk>
      <extLst>
        <ext uri="{3e2802c4-a4d2-4d8b-9148-e3be6c30e623}">
          <xlrd:rvb i="1153"/>
        </ext>
      </extLst>
    </bk>
    <bk>
      <extLst>
        <ext uri="{3e2802c4-a4d2-4d8b-9148-e3be6c30e623}">
          <xlrd:rvb i="1154"/>
        </ext>
      </extLst>
    </bk>
    <bk>
      <extLst>
        <ext uri="{3e2802c4-a4d2-4d8b-9148-e3be6c30e623}">
          <xlrd:rvb i="1155"/>
        </ext>
      </extLst>
    </bk>
    <bk>
      <extLst>
        <ext uri="{3e2802c4-a4d2-4d8b-9148-e3be6c30e623}">
          <xlrd:rvb i="1156"/>
        </ext>
      </extLst>
    </bk>
    <bk>
      <extLst>
        <ext uri="{3e2802c4-a4d2-4d8b-9148-e3be6c30e623}">
          <xlrd:rvb i="1157"/>
        </ext>
      </extLst>
    </bk>
    <bk>
      <extLst>
        <ext uri="{3e2802c4-a4d2-4d8b-9148-e3be6c30e623}">
          <xlrd:rvb i="1158"/>
        </ext>
      </extLst>
    </bk>
    <bk>
      <extLst>
        <ext uri="{3e2802c4-a4d2-4d8b-9148-e3be6c30e623}">
          <xlrd:rvb i="1159"/>
        </ext>
      </extLst>
    </bk>
    <bk>
      <extLst>
        <ext uri="{3e2802c4-a4d2-4d8b-9148-e3be6c30e623}">
          <xlrd:rvb i="1160"/>
        </ext>
      </extLst>
    </bk>
    <bk>
      <extLst>
        <ext uri="{3e2802c4-a4d2-4d8b-9148-e3be6c30e623}">
          <xlrd:rvb i="1161"/>
        </ext>
      </extLst>
    </bk>
    <bk>
      <extLst>
        <ext uri="{3e2802c4-a4d2-4d8b-9148-e3be6c30e623}">
          <xlrd:rvb i="1162"/>
        </ext>
      </extLst>
    </bk>
    <bk>
      <extLst>
        <ext uri="{3e2802c4-a4d2-4d8b-9148-e3be6c30e623}">
          <xlrd:rvb i="1163"/>
        </ext>
      </extLst>
    </bk>
    <bk>
      <extLst>
        <ext uri="{3e2802c4-a4d2-4d8b-9148-e3be6c30e623}">
          <xlrd:rvb i="1164"/>
        </ext>
      </extLst>
    </bk>
    <bk>
      <extLst>
        <ext uri="{3e2802c4-a4d2-4d8b-9148-e3be6c30e623}">
          <xlrd:rvb i="1165"/>
        </ext>
      </extLst>
    </bk>
    <bk>
      <extLst>
        <ext uri="{3e2802c4-a4d2-4d8b-9148-e3be6c30e623}">
          <xlrd:rvb i="1166"/>
        </ext>
      </extLst>
    </bk>
    <bk>
      <extLst>
        <ext uri="{3e2802c4-a4d2-4d8b-9148-e3be6c30e623}">
          <xlrd:rvb i="1167"/>
        </ext>
      </extLst>
    </bk>
    <bk>
      <extLst>
        <ext uri="{3e2802c4-a4d2-4d8b-9148-e3be6c30e623}">
          <xlrd:rvb i="1168"/>
        </ext>
      </extLst>
    </bk>
    <bk>
      <extLst>
        <ext uri="{3e2802c4-a4d2-4d8b-9148-e3be6c30e623}">
          <xlrd:rvb i="1169"/>
        </ext>
      </extLst>
    </bk>
    <bk>
      <extLst>
        <ext uri="{3e2802c4-a4d2-4d8b-9148-e3be6c30e623}">
          <xlrd:rvb i="1170"/>
        </ext>
      </extLst>
    </bk>
    <bk>
      <extLst>
        <ext uri="{3e2802c4-a4d2-4d8b-9148-e3be6c30e623}">
          <xlrd:rvb i="1171"/>
        </ext>
      </extLst>
    </bk>
    <bk>
      <extLst>
        <ext uri="{3e2802c4-a4d2-4d8b-9148-e3be6c30e623}">
          <xlrd:rvb i="1172"/>
        </ext>
      </extLst>
    </bk>
    <bk>
      <extLst>
        <ext uri="{3e2802c4-a4d2-4d8b-9148-e3be6c30e623}">
          <xlrd:rvb i="1173"/>
        </ext>
      </extLst>
    </bk>
    <bk>
      <extLst>
        <ext uri="{3e2802c4-a4d2-4d8b-9148-e3be6c30e623}">
          <xlrd:rvb i="1174"/>
        </ext>
      </extLst>
    </bk>
    <bk>
      <extLst>
        <ext uri="{3e2802c4-a4d2-4d8b-9148-e3be6c30e623}">
          <xlrd:rvb i="1175"/>
        </ext>
      </extLst>
    </bk>
    <bk>
      <extLst>
        <ext uri="{3e2802c4-a4d2-4d8b-9148-e3be6c30e623}">
          <xlrd:rvb i="1176"/>
        </ext>
      </extLst>
    </bk>
    <bk>
      <extLst>
        <ext uri="{3e2802c4-a4d2-4d8b-9148-e3be6c30e623}">
          <xlrd:rvb i="1177"/>
        </ext>
      </extLst>
    </bk>
    <bk>
      <extLst>
        <ext uri="{3e2802c4-a4d2-4d8b-9148-e3be6c30e623}">
          <xlrd:rvb i="1178"/>
        </ext>
      </extLst>
    </bk>
    <bk>
      <extLst>
        <ext uri="{3e2802c4-a4d2-4d8b-9148-e3be6c30e623}">
          <xlrd:rvb i="1179"/>
        </ext>
      </extLst>
    </bk>
    <bk>
      <extLst>
        <ext uri="{3e2802c4-a4d2-4d8b-9148-e3be6c30e623}">
          <xlrd:rvb i="1180"/>
        </ext>
      </extLst>
    </bk>
    <bk>
      <extLst>
        <ext uri="{3e2802c4-a4d2-4d8b-9148-e3be6c30e623}">
          <xlrd:rvb i="1181"/>
        </ext>
      </extLst>
    </bk>
    <bk>
      <extLst>
        <ext uri="{3e2802c4-a4d2-4d8b-9148-e3be6c30e623}">
          <xlrd:rvb i="1182"/>
        </ext>
      </extLst>
    </bk>
    <bk>
      <extLst>
        <ext uri="{3e2802c4-a4d2-4d8b-9148-e3be6c30e623}">
          <xlrd:rvb i="1183"/>
        </ext>
      </extLst>
    </bk>
    <bk>
      <extLst>
        <ext uri="{3e2802c4-a4d2-4d8b-9148-e3be6c30e623}">
          <xlrd:rvb i="1184"/>
        </ext>
      </extLst>
    </bk>
    <bk>
      <extLst>
        <ext uri="{3e2802c4-a4d2-4d8b-9148-e3be6c30e623}">
          <xlrd:rvb i="1185"/>
        </ext>
      </extLst>
    </bk>
    <bk>
      <extLst>
        <ext uri="{3e2802c4-a4d2-4d8b-9148-e3be6c30e623}">
          <xlrd:rvb i="1186"/>
        </ext>
      </extLst>
    </bk>
    <bk>
      <extLst>
        <ext uri="{3e2802c4-a4d2-4d8b-9148-e3be6c30e623}">
          <xlrd:rvb i="1187"/>
        </ext>
      </extLst>
    </bk>
    <bk>
      <extLst>
        <ext uri="{3e2802c4-a4d2-4d8b-9148-e3be6c30e623}">
          <xlrd:rvb i="1188"/>
        </ext>
      </extLst>
    </bk>
    <bk>
      <extLst>
        <ext uri="{3e2802c4-a4d2-4d8b-9148-e3be6c30e623}">
          <xlrd:rvb i="1189"/>
        </ext>
      </extLst>
    </bk>
    <bk>
      <extLst>
        <ext uri="{3e2802c4-a4d2-4d8b-9148-e3be6c30e623}">
          <xlrd:rvb i="1190"/>
        </ext>
      </extLst>
    </bk>
    <bk>
      <extLst>
        <ext uri="{3e2802c4-a4d2-4d8b-9148-e3be6c30e623}">
          <xlrd:rvb i="1191"/>
        </ext>
      </extLst>
    </bk>
    <bk>
      <extLst>
        <ext uri="{3e2802c4-a4d2-4d8b-9148-e3be6c30e623}">
          <xlrd:rvb i="1192"/>
        </ext>
      </extLst>
    </bk>
    <bk>
      <extLst>
        <ext uri="{3e2802c4-a4d2-4d8b-9148-e3be6c30e623}">
          <xlrd:rvb i="1193"/>
        </ext>
      </extLst>
    </bk>
    <bk>
      <extLst>
        <ext uri="{3e2802c4-a4d2-4d8b-9148-e3be6c30e623}">
          <xlrd:rvb i="1194"/>
        </ext>
      </extLst>
    </bk>
    <bk>
      <extLst>
        <ext uri="{3e2802c4-a4d2-4d8b-9148-e3be6c30e623}">
          <xlrd:rvb i="1195"/>
        </ext>
      </extLst>
    </bk>
    <bk>
      <extLst>
        <ext uri="{3e2802c4-a4d2-4d8b-9148-e3be6c30e623}">
          <xlrd:rvb i="1196"/>
        </ext>
      </extLst>
    </bk>
    <bk>
      <extLst>
        <ext uri="{3e2802c4-a4d2-4d8b-9148-e3be6c30e623}">
          <xlrd:rvb i="1197"/>
        </ext>
      </extLst>
    </bk>
    <bk>
      <extLst>
        <ext uri="{3e2802c4-a4d2-4d8b-9148-e3be6c30e623}">
          <xlrd:rvb i="1198"/>
        </ext>
      </extLst>
    </bk>
    <bk>
      <extLst>
        <ext uri="{3e2802c4-a4d2-4d8b-9148-e3be6c30e623}">
          <xlrd:rvb i="1199"/>
        </ext>
      </extLst>
    </bk>
    <bk>
      <extLst>
        <ext uri="{3e2802c4-a4d2-4d8b-9148-e3be6c30e623}">
          <xlrd:rvb i="1200"/>
        </ext>
      </extLst>
    </bk>
    <bk>
      <extLst>
        <ext uri="{3e2802c4-a4d2-4d8b-9148-e3be6c30e623}">
          <xlrd:rvb i="1201"/>
        </ext>
      </extLst>
    </bk>
    <bk>
      <extLst>
        <ext uri="{3e2802c4-a4d2-4d8b-9148-e3be6c30e623}">
          <xlrd:rvb i="1202"/>
        </ext>
      </extLst>
    </bk>
    <bk>
      <extLst>
        <ext uri="{3e2802c4-a4d2-4d8b-9148-e3be6c30e623}">
          <xlrd:rvb i="1203"/>
        </ext>
      </extLst>
    </bk>
    <bk>
      <extLst>
        <ext uri="{3e2802c4-a4d2-4d8b-9148-e3be6c30e623}">
          <xlrd:rvb i="1204"/>
        </ext>
      </extLst>
    </bk>
    <bk>
      <extLst>
        <ext uri="{3e2802c4-a4d2-4d8b-9148-e3be6c30e623}">
          <xlrd:rvb i="1205"/>
        </ext>
      </extLst>
    </bk>
    <bk>
      <extLst>
        <ext uri="{3e2802c4-a4d2-4d8b-9148-e3be6c30e623}">
          <xlrd:rvb i="1206"/>
        </ext>
      </extLst>
    </bk>
    <bk>
      <extLst>
        <ext uri="{3e2802c4-a4d2-4d8b-9148-e3be6c30e623}">
          <xlrd:rvb i="1207"/>
        </ext>
      </extLst>
    </bk>
    <bk>
      <extLst>
        <ext uri="{3e2802c4-a4d2-4d8b-9148-e3be6c30e623}">
          <xlrd:rvb i="1208"/>
        </ext>
      </extLst>
    </bk>
    <bk>
      <extLst>
        <ext uri="{3e2802c4-a4d2-4d8b-9148-e3be6c30e623}">
          <xlrd:rvb i="1209"/>
        </ext>
      </extLst>
    </bk>
    <bk>
      <extLst>
        <ext uri="{3e2802c4-a4d2-4d8b-9148-e3be6c30e623}">
          <xlrd:rvb i="1210"/>
        </ext>
      </extLst>
    </bk>
    <bk>
      <extLst>
        <ext uri="{3e2802c4-a4d2-4d8b-9148-e3be6c30e623}">
          <xlrd:rvb i="1211"/>
        </ext>
      </extLst>
    </bk>
    <bk>
      <extLst>
        <ext uri="{3e2802c4-a4d2-4d8b-9148-e3be6c30e623}">
          <xlrd:rvb i="1212"/>
        </ext>
      </extLst>
    </bk>
    <bk>
      <extLst>
        <ext uri="{3e2802c4-a4d2-4d8b-9148-e3be6c30e623}">
          <xlrd:rvb i="1213"/>
        </ext>
      </extLst>
    </bk>
    <bk>
      <extLst>
        <ext uri="{3e2802c4-a4d2-4d8b-9148-e3be6c30e623}">
          <xlrd:rvb i="1214"/>
        </ext>
      </extLst>
    </bk>
    <bk>
      <extLst>
        <ext uri="{3e2802c4-a4d2-4d8b-9148-e3be6c30e623}">
          <xlrd:rvb i="1215"/>
        </ext>
      </extLst>
    </bk>
    <bk>
      <extLst>
        <ext uri="{3e2802c4-a4d2-4d8b-9148-e3be6c30e623}">
          <xlrd:rvb i="1216"/>
        </ext>
      </extLst>
    </bk>
    <bk>
      <extLst>
        <ext uri="{3e2802c4-a4d2-4d8b-9148-e3be6c30e623}">
          <xlrd:rvb i="1217"/>
        </ext>
      </extLst>
    </bk>
    <bk>
      <extLst>
        <ext uri="{3e2802c4-a4d2-4d8b-9148-e3be6c30e623}">
          <xlrd:rvb i="1218"/>
        </ext>
      </extLst>
    </bk>
    <bk>
      <extLst>
        <ext uri="{3e2802c4-a4d2-4d8b-9148-e3be6c30e623}">
          <xlrd:rvb i="1219"/>
        </ext>
      </extLst>
    </bk>
    <bk>
      <extLst>
        <ext uri="{3e2802c4-a4d2-4d8b-9148-e3be6c30e623}">
          <xlrd:rvb i="1220"/>
        </ext>
      </extLst>
    </bk>
    <bk>
      <extLst>
        <ext uri="{3e2802c4-a4d2-4d8b-9148-e3be6c30e623}">
          <xlrd:rvb i="1221"/>
        </ext>
      </extLst>
    </bk>
    <bk>
      <extLst>
        <ext uri="{3e2802c4-a4d2-4d8b-9148-e3be6c30e623}">
          <xlrd:rvb i="1222"/>
        </ext>
      </extLst>
    </bk>
    <bk>
      <extLst>
        <ext uri="{3e2802c4-a4d2-4d8b-9148-e3be6c30e623}">
          <xlrd:rvb i="1223"/>
        </ext>
      </extLst>
    </bk>
    <bk>
      <extLst>
        <ext uri="{3e2802c4-a4d2-4d8b-9148-e3be6c30e623}">
          <xlrd:rvb i="1224"/>
        </ext>
      </extLst>
    </bk>
    <bk>
      <extLst>
        <ext uri="{3e2802c4-a4d2-4d8b-9148-e3be6c30e623}">
          <xlrd:rvb i="1225"/>
        </ext>
      </extLst>
    </bk>
    <bk>
      <extLst>
        <ext uri="{3e2802c4-a4d2-4d8b-9148-e3be6c30e623}">
          <xlrd:rvb i="1226"/>
        </ext>
      </extLst>
    </bk>
    <bk>
      <extLst>
        <ext uri="{3e2802c4-a4d2-4d8b-9148-e3be6c30e623}">
          <xlrd:rvb i="1227"/>
        </ext>
      </extLst>
    </bk>
    <bk>
      <extLst>
        <ext uri="{3e2802c4-a4d2-4d8b-9148-e3be6c30e623}">
          <xlrd:rvb i="1228"/>
        </ext>
      </extLst>
    </bk>
    <bk>
      <extLst>
        <ext uri="{3e2802c4-a4d2-4d8b-9148-e3be6c30e623}">
          <xlrd:rvb i="1229"/>
        </ext>
      </extLst>
    </bk>
    <bk>
      <extLst>
        <ext uri="{3e2802c4-a4d2-4d8b-9148-e3be6c30e623}">
          <xlrd:rvb i="1230"/>
        </ext>
      </extLst>
    </bk>
    <bk>
      <extLst>
        <ext uri="{3e2802c4-a4d2-4d8b-9148-e3be6c30e623}">
          <xlrd:rvb i="1231"/>
        </ext>
      </extLst>
    </bk>
    <bk>
      <extLst>
        <ext uri="{3e2802c4-a4d2-4d8b-9148-e3be6c30e623}">
          <xlrd:rvb i="1232"/>
        </ext>
      </extLst>
    </bk>
    <bk>
      <extLst>
        <ext uri="{3e2802c4-a4d2-4d8b-9148-e3be6c30e623}">
          <xlrd:rvb i="1233"/>
        </ext>
      </extLst>
    </bk>
    <bk>
      <extLst>
        <ext uri="{3e2802c4-a4d2-4d8b-9148-e3be6c30e623}">
          <xlrd:rvb i="1234"/>
        </ext>
      </extLst>
    </bk>
    <bk>
      <extLst>
        <ext uri="{3e2802c4-a4d2-4d8b-9148-e3be6c30e623}">
          <xlrd:rvb i="1235"/>
        </ext>
      </extLst>
    </bk>
    <bk>
      <extLst>
        <ext uri="{3e2802c4-a4d2-4d8b-9148-e3be6c30e623}">
          <xlrd:rvb i="1236"/>
        </ext>
      </extLst>
    </bk>
    <bk>
      <extLst>
        <ext uri="{3e2802c4-a4d2-4d8b-9148-e3be6c30e623}">
          <xlrd:rvb i="1237"/>
        </ext>
      </extLst>
    </bk>
    <bk>
      <extLst>
        <ext uri="{3e2802c4-a4d2-4d8b-9148-e3be6c30e623}">
          <xlrd:rvb i="1238"/>
        </ext>
      </extLst>
    </bk>
    <bk>
      <extLst>
        <ext uri="{3e2802c4-a4d2-4d8b-9148-e3be6c30e623}">
          <xlrd:rvb i="1239"/>
        </ext>
      </extLst>
    </bk>
    <bk>
      <extLst>
        <ext uri="{3e2802c4-a4d2-4d8b-9148-e3be6c30e623}">
          <xlrd:rvb i="1240"/>
        </ext>
      </extLst>
    </bk>
    <bk>
      <extLst>
        <ext uri="{3e2802c4-a4d2-4d8b-9148-e3be6c30e623}">
          <xlrd:rvb i="1241"/>
        </ext>
      </extLst>
    </bk>
    <bk>
      <extLst>
        <ext uri="{3e2802c4-a4d2-4d8b-9148-e3be6c30e623}">
          <xlrd:rvb i="1242"/>
        </ext>
      </extLst>
    </bk>
    <bk>
      <extLst>
        <ext uri="{3e2802c4-a4d2-4d8b-9148-e3be6c30e623}">
          <xlrd:rvb i="1243"/>
        </ext>
      </extLst>
    </bk>
    <bk>
      <extLst>
        <ext uri="{3e2802c4-a4d2-4d8b-9148-e3be6c30e623}">
          <xlrd:rvb i="1244"/>
        </ext>
      </extLst>
    </bk>
    <bk>
      <extLst>
        <ext uri="{3e2802c4-a4d2-4d8b-9148-e3be6c30e623}">
          <xlrd:rvb i="1245"/>
        </ext>
      </extLst>
    </bk>
    <bk>
      <extLst>
        <ext uri="{3e2802c4-a4d2-4d8b-9148-e3be6c30e623}">
          <xlrd:rvb i="1246"/>
        </ext>
      </extLst>
    </bk>
    <bk>
      <extLst>
        <ext uri="{3e2802c4-a4d2-4d8b-9148-e3be6c30e623}">
          <xlrd:rvb i="1247"/>
        </ext>
      </extLst>
    </bk>
    <bk>
      <extLst>
        <ext uri="{3e2802c4-a4d2-4d8b-9148-e3be6c30e623}">
          <xlrd:rvb i="1248"/>
        </ext>
      </extLst>
    </bk>
    <bk>
      <extLst>
        <ext uri="{3e2802c4-a4d2-4d8b-9148-e3be6c30e623}">
          <xlrd:rvb i="1249"/>
        </ext>
      </extLst>
    </bk>
    <bk>
      <extLst>
        <ext uri="{3e2802c4-a4d2-4d8b-9148-e3be6c30e623}">
          <xlrd:rvb i="1250"/>
        </ext>
      </extLst>
    </bk>
    <bk>
      <extLst>
        <ext uri="{3e2802c4-a4d2-4d8b-9148-e3be6c30e623}">
          <xlrd:rvb i="1251"/>
        </ext>
      </extLst>
    </bk>
    <bk>
      <extLst>
        <ext uri="{3e2802c4-a4d2-4d8b-9148-e3be6c30e623}">
          <xlrd:rvb i="1252"/>
        </ext>
      </extLst>
    </bk>
    <bk>
      <extLst>
        <ext uri="{3e2802c4-a4d2-4d8b-9148-e3be6c30e623}">
          <xlrd:rvb i="1253"/>
        </ext>
      </extLst>
    </bk>
    <bk>
      <extLst>
        <ext uri="{3e2802c4-a4d2-4d8b-9148-e3be6c30e623}">
          <xlrd:rvb i="1254"/>
        </ext>
      </extLst>
    </bk>
    <bk>
      <extLst>
        <ext uri="{3e2802c4-a4d2-4d8b-9148-e3be6c30e623}">
          <xlrd:rvb i="1255"/>
        </ext>
      </extLst>
    </bk>
    <bk>
      <extLst>
        <ext uri="{3e2802c4-a4d2-4d8b-9148-e3be6c30e623}">
          <xlrd:rvb i="1256"/>
        </ext>
      </extLst>
    </bk>
    <bk>
      <extLst>
        <ext uri="{3e2802c4-a4d2-4d8b-9148-e3be6c30e623}">
          <xlrd:rvb i="1257"/>
        </ext>
      </extLst>
    </bk>
    <bk>
      <extLst>
        <ext uri="{3e2802c4-a4d2-4d8b-9148-e3be6c30e623}">
          <xlrd:rvb i="1258"/>
        </ext>
      </extLst>
    </bk>
    <bk>
      <extLst>
        <ext uri="{3e2802c4-a4d2-4d8b-9148-e3be6c30e623}">
          <xlrd:rvb i="1259"/>
        </ext>
      </extLst>
    </bk>
    <bk>
      <extLst>
        <ext uri="{3e2802c4-a4d2-4d8b-9148-e3be6c30e623}">
          <xlrd:rvb i="1260"/>
        </ext>
      </extLst>
    </bk>
    <bk>
      <extLst>
        <ext uri="{3e2802c4-a4d2-4d8b-9148-e3be6c30e623}">
          <xlrd:rvb i="1261"/>
        </ext>
      </extLst>
    </bk>
    <bk>
      <extLst>
        <ext uri="{3e2802c4-a4d2-4d8b-9148-e3be6c30e623}">
          <xlrd:rvb i="1262"/>
        </ext>
      </extLst>
    </bk>
    <bk>
      <extLst>
        <ext uri="{3e2802c4-a4d2-4d8b-9148-e3be6c30e623}">
          <xlrd:rvb i="1263"/>
        </ext>
      </extLst>
    </bk>
    <bk>
      <extLst>
        <ext uri="{3e2802c4-a4d2-4d8b-9148-e3be6c30e623}">
          <xlrd:rvb i="1264"/>
        </ext>
      </extLst>
    </bk>
    <bk>
      <extLst>
        <ext uri="{3e2802c4-a4d2-4d8b-9148-e3be6c30e623}">
          <xlrd:rvb i="1265"/>
        </ext>
      </extLst>
    </bk>
    <bk>
      <extLst>
        <ext uri="{3e2802c4-a4d2-4d8b-9148-e3be6c30e623}">
          <xlrd:rvb i="1266"/>
        </ext>
      </extLst>
    </bk>
    <bk>
      <extLst>
        <ext uri="{3e2802c4-a4d2-4d8b-9148-e3be6c30e623}">
          <xlrd:rvb i="1267"/>
        </ext>
      </extLst>
    </bk>
    <bk>
      <extLst>
        <ext uri="{3e2802c4-a4d2-4d8b-9148-e3be6c30e623}">
          <xlrd:rvb i="1268"/>
        </ext>
      </extLst>
    </bk>
    <bk>
      <extLst>
        <ext uri="{3e2802c4-a4d2-4d8b-9148-e3be6c30e623}">
          <xlrd:rvb i="1269"/>
        </ext>
      </extLst>
    </bk>
    <bk>
      <extLst>
        <ext uri="{3e2802c4-a4d2-4d8b-9148-e3be6c30e623}">
          <xlrd:rvb i="1270"/>
        </ext>
      </extLst>
    </bk>
    <bk>
      <extLst>
        <ext uri="{3e2802c4-a4d2-4d8b-9148-e3be6c30e623}">
          <xlrd:rvb i="1271"/>
        </ext>
      </extLst>
    </bk>
    <bk>
      <extLst>
        <ext uri="{3e2802c4-a4d2-4d8b-9148-e3be6c30e623}">
          <xlrd:rvb i="1272"/>
        </ext>
      </extLst>
    </bk>
    <bk>
      <extLst>
        <ext uri="{3e2802c4-a4d2-4d8b-9148-e3be6c30e623}">
          <xlrd:rvb i="1273"/>
        </ext>
      </extLst>
    </bk>
    <bk>
      <extLst>
        <ext uri="{3e2802c4-a4d2-4d8b-9148-e3be6c30e623}">
          <xlrd:rvb i="1274"/>
        </ext>
      </extLst>
    </bk>
    <bk>
      <extLst>
        <ext uri="{3e2802c4-a4d2-4d8b-9148-e3be6c30e623}">
          <xlrd:rvb i="1275"/>
        </ext>
      </extLst>
    </bk>
    <bk>
      <extLst>
        <ext uri="{3e2802c4-a4d2-4d8b-9148-e3be6c30e623}">
          <xlrd:rvb i="1276"/>
        </ext>
      </extLst>
    </bk>
    <bk>
      <extLst>
        <ext uri="{3e2802c4-a4d2-4d8b-9148-e3be6c30e623}">
          <xlrd:rvb i="1277"/>
        </ext>
      </extLst>
    </bk>
    <bk>
      <extLst>
        <ext uri="{3e2802c4-a4d2-4d8b-9148-e3be6c30e623}">
          <xlrd:rvb i="1278"/>
        </ext>
      </extLst>
    </bk>
    <bk>
      <extLst>
        <ext uri="{3e2802c4-a4d2-4d8b-9148-e3be6c30e623}">
          <xlrd:rvb i="1279"/>
        </ext>
      </extLst>
    </bk>
    <bk>
      <extLst>
        <ext uri="{3e2802c4-a4d2-4d8b-9148-e3be6c30e623}">
          <xlrd:rvb i="1280"/>
        </ext>
      </extLst>
    </bk>
    <bk>
      <extLst>
        <ext uri="{3e2802c4-a4d2-4d8b-9148-e3be6c30e623}">
          <xlrd:rvb i="1281"/>
        </ext>
      </extLst>
    </bk>
    <bk>
      <extLst>
        <ext uri="{3e2802c4-a4d2-4d8b-9148-e3be6c30e623}">
          <xlrd:rvb i="1282"/>
        </ext>
      </extLst>
    </bk>
    <bk>
      <extLst>
        <ext uri="{3e2802c4-a4d2-4d8b-9148-e3be6c30e623}">
          <xlrd:rvb i="1283"/>
        </ext>
      </extLst>
    </bk>
    <bk>
      <extLst>
        <ext uri="{3e2802c4-a4d2-4d8b-9148-e3be6c30e623}">
          <xlrd:rvb i="1284"/>
        </ext>
      </extLst>
    </bk>
    <bk>
      <extLst>
        <ext uri="{3e2802c4-a4d2-4d8b-9148-e3be6c30e623}">
          <xlrd:rvb i="1285"/>
        </ext>
      </extLst>
    </bk>
    <bk>
      <extLst>
        <ext uri="{3e2802c4-a4d2-4d8b-9148-e3be6c30e623}">
          <xlrd:rvb i="1286"/>
        </ext>
      </extLst>
    </bk>
    <bk>
      <extLst>
        <ext uri="{3e2802c4-a4d2-4d8b-9148-e3be6c30e623}">
          <xlrd:rvb i="1287"/>
        </ext>
      </extLst>
    </bk>
    <bk>
      <extLst>
        <ext uri="{3e2802c4-a4d2-4d8b-9148-e3be6c30e623}">
          <xlrd:rvb i="1288"/>
        </ext>
      </extLst>
    </bk>
    <bk>
      <extLst>
        <ext uri="{3e2802c4-a4d2-4d8b-9148-e3be6c30e623}">
          <xlrd:rvb i="1289"/>
        </ext>
      </extLst>
    </bk>
    <bk>
      <extLst>
        <ext uri="{3e2802c4-a4d2-4d8b-9148-e3be6c30e623}">
          <xlrd:rvb i="1290"/>
        </ext>
      </extLst>
    </bk>
    <bk>
      <extLst>
        <ext uri="{3e2802c4-a4d2-4d8b-9148-e3be6c30e623}">
          <xlrd:rvb i="1291"/>
        </ext>
      </extLst>
    </bk>
    <bk>
      <extLst>
        <ext uri="{3e2802c4-a4d2-4d8b-9148-e3be6c30e623}">
          <xlrd:rvb i="1292"/>
        </ext>
      </extLst>
    </bk>
    <bk>
      <extLst>
        <ext uri="{3e2802c4-a4d2-4d8b-9148-e3be6c30e623}">
          <xlrd:rvb i="1293"/>
        </ext>
      </extLst>
    </bk>
    <bk>
      <extLst>
        <ext uri="{3e2802c4-a4d2-4d8b-9148-e3be6c30e623}">
          <xlrd:rvb i="1294"/>
        </ext>
      </extLst>
    </bk>
    <bk>
      <extLst>
        <ext uri="{3e2802c4-a4d2-4d8b-9148-e3be6c30e623}">
          <xlrd:rvb i="1295"/>
        </ext>
      </extLst>
    </bk>
    <bk>
      <extLst>
        <ext uri="{3e2802c4-a4d2-4d8b-9148-e3be6c30e623}">
          <xlrd:rvb i="1296"/>
        </ext>
      </extLst>
    </bk>
    <bk>
      <extLst>
        <ext uri="{3e2802c4-a4d2-4d8b-9148-e3be6c30e623}">
          <xlrd:rvb i="1297"/>
        </ext>
      </extLst>
    </bk>
    <bk>
      <extLst>
        <ext uri="{3e2802c4-a4d2-4d8b-9148-e3be6c30e623}">
          <xlrd:rvb i="1298"/>
        </ext>
      </extLst>
    </bk>
    <bk>
      <extLst>
        <ext uri="{3e2802c4-a4d2-4d8b-9148-e3be6c30e623}">
          <xlrd:rvb i="1299"/>
        </ext>
      </extLst>
    </bk>
    <bk>
      <extLst>
        <ext uri="{3e2802c4-a4d2-4d8b-9148-e3be6c30e623}">
          <xlrd:rvb i="1300"/>
        </ext>
      </extLst>
    </bk>
    <bk>
      <extLst>
        <ext uri="{3e2802c4-a4d2-4d8b-9148-e3be6c30e623}">
          <xlrd:rvb i="1301"/>
        </ext>
      </extLst>
    </bk>
    <bk>
      <extLst>
        <ext uri="{3e2802c4-a4d2-4d8b-9148-e3be6c30e623}">
          <xlrd:rvb i="1302"/>
        </ext>
      </extLst>
    </bk>
    <bk>
      <extLst>
        <ext uri="{3e2802c4-a4d2-4d8b-9148-e3be6c30e623}">
          <xlrd:rvb i="1303"/>
        </ext>
      </extLst>
    </bk>
    <bk>
      <extLst>
        <ext uri="{3e2802c4-a4d2-4d8b-9148-e3be6c30e623}">
          <xlrd:rvb i="1304"/>
        </ext>
      </extLst>
    </bk>
    <bk>
      <extLst>
        <ext uri="{3e2802c4-a4d2-4d8b-9148-e3be6c30e623}">
          <xlrd:rvb i="1305"/>
        </ext>
      </extLst>
    </bk>
    <bk>
      <extLst>
        <ext uri="{3e2802c4-a4d2-4d8b-9148-e3be6c30e623}">
          <xlrd:rvb i="1306"/>
        </ext>
      </extLst>
    </bk>
    <bk>
      <extLst>
        <ext uri="{3e2802c4-a4d2-4d8b-9148-e3be6c30e623}">
          <xlrd:rvb i="1307"/>
        </ext>
      </extLst>
    </bk>
    <bk>
      <extLst>
        <ext uri="{3e2802c4-a4d2-4d8b-9148-e3be6c30e623}">
          <xlrd:rvb i="1308"/>
        </ext>
      </extLst>
    </bk>
    <bk>
      <extLst>
        <ext uri="{3e2802c4-a4d2-4d8b-9148-e3be6c30e623}">
          <xlrd:rvb i="1309"/>
        </ext>
      </extLst>
    </bk>
    <bk>
      <extLst>
        <ext uri="{3e2802c4-a4d2-4d8b-9148-e3be6c30e623}">
          <xlrd:rvb i="1310"/>
        </ext>
      </extLst>
    </bk>
    <bk>
      <extLst>
        <ext uri="{3e2802c4-a4d2-4d8b-9148-e3be6c30e623}">
          <xlrd:rvb i="1311"/>
        </ext>
      </extLst>
    </bk>
    <bk>
      <extLst>
        <ext uri="{3e2802c4-a4d2-4d8b-9148-e3be6c30e623}">
          <xlrd:rvb i="1312"/>
        </ext>
      </extLst>
    </bk>
    <bk>
      <extLst>
        <ext uri="{3e2802c4-a4d2-4d8b-9148-e3be6c30e623}">
          <xlrd:rvb i="1313"/>
        </ext>
      </extLst>
    </bk>
    <bk>
      <extLst>
        <ext uri="{3e2802c4-a4d2-4d8b-9148-e3be6c30e623}">
          <xlrd:rvb i="1314"/>
        </ext>
      </extLst>
    </bk>
    <bk>
      <extLst>
        <ext uri="{3e2802c4-a4d2-4d8b-9148-e3be6c30e623}">
          <xlrd:rvb i="1315"/>
        </ext>
      </extLst>
    </bk>
    <bk>
      <extLst>
        <ext uri="{3e2802c4-a4d2-4d8b-9148-e3be6c30e623}">
          <xlrd:rvb i="1316"/>
        </ext>
      </extLst>
    </bk>
    <bk>
      <extLst>
        <ext uri="{3e2802c4-a4d2-4d8b-9148-e3be6c30e623}">
          <xlrd:rvb i="1317"/>
        </ext>
      </extLst>
    </bk>
    <bk>
      <extLst>
        <ext uri="{3e2802c4-a4d2-4d8b-9148-e3be6c30e623}">
          <xlrd:rvb i="1318"/>
        </ext>
      </extLst>
    </bk>
    <bk>
      <extLst>
        <ext uri="{3e2802c4-a4d2-4d8b-9148-e3be6c30e623}">
          <xlrd:rvb i="1319"/>
        </ext>
      </extLst>
    </bk>
    <bk>
      <extLst>
        <ext uri="{3e2802c4-a4d2-4d8b-9148-e3be6c30e623}">
          <xlrd:rvb i="1320"/>
        </ext>
      </extLst>
    </bk>
    <bk>
      <extLst>
        <ext uri="{3e2802c4-a4d2-4d8b-9148-e3be6c30e623}">
          <xlrd:rvb i="1321"/>
        </ext>
      </extLst>
    </bk>
    <bk>
      <extLst>
        <ext uri="{3e2802c4-a4d2-4d8b-9148-e3be6c30e623}">
          <xlrd:rvb i="1322"/>
        </ext>
      </extLst>
    </bk>
    <bk>
      <extLst>
        <ext uri="{3e2802c4-a4d2-4d8b-9148-e3be6c30e623}">
          <xlrd:rvb i="1323"/>
        </ext>
      </extLst>
    </bk>
    <bk>
      <extLst>
        <ext uri="{3e2802c4-a4d2-4d8b-9148-e3be6c30e623}">
          <xlrd:rvb i="1324"/>
        </ext>
      </extLst>
    </bk>
    <bk>
      <extLst>
        <ext uri="{3e2802c4-a4d2-4d8b-9148-e3be6c30e623}">
          <xlrd:rvb i="1325"/>
        </ext>
      </extLst>
    </bk>
    <bk>
      <extLst>
        <ext uri="{3e2802c4-a4d2-4d8b-9148-e3be6c30e623}">
          <xlrd:rvb i="1326"/>
        </ext>
      </extLst>
    </bk>
    <bk>
      <extLst>
        <ext uri="{3e2802c4-a4d2-4d8b-9148-e3be6c30e623}">
          <xlrd:rvb i="1327"/>
        </ext>
      </extLst>
    </bk>
    <bk>
      <extLst>
        <ext uri="{3e2802c4-a4d2-4d8b-9148-e3be6c30e623}">
          <xlrd:rvb i="1328"/>
        </ext>
      </extLst>
    </bk>
    <bk>
      <extLst>
        <ext uri="{3e2802c4-a4d2-4d8b-9148-e3be6c30e623}">
          <xlrd:rvb i="1329"/>
        </ext>
      </extLst>
    </bk>
    <bk>
      <extLst>
        <ext uri="{3e2802c4-a4d2-4d8b-9148-e3be6c30e623}">
          <xlrd:rvb i="1330"/>
        </ext>
      </extLst>
    </bk>
    <bk>
      <extLst>
        <ext uri="{3e2802c4-a4d2-4d8b-9148-e3be6c30e623}">
          <xlrd:rvb i="1331"/>
        </ext>
      </extLst>
    </bk>
    <bk>
      <extLst>
        <ext uri="{3e2802c4-a4d2-4d8b-9148-e3be6c30e623}">
          <xlrd:rvb i="1332"/>
        </ext>
      </extLst>
    </bk>
    <bk>
      <extLst>
        <ext uri="{3e2802c4-a4d2-4d8b-9148-e3be6c30e623}">
          <xlrd:rvb i="1333"/>
        </ext>
      </extLst>
    </bk>
    <bk>
      <extLst>
        <ext uri="{3e2802c4-a4d2-4d8b-9148-e3be6c30e623}">
          <xlrd:rvb i="1334"/>
        </ext>
      </extLst>
    </bk>
    <bk>
      <extLst>
        <ext uri="{3e2802c4-a4d2-4d8b-9148-e3be6c30e623}">
          <xlrd:rvb i="1335"/>
        </ext>
      </extLst>
    </bk>
    <bk>
      <extLst>
        <ext uri="{3e2802c4-a4d2-4d8b-9148-e3be6c30e623}">
          <xlrd:rvb i="1336"/>
        </ext>
      </extLst>
    </bk>
    <bk>
      <extLst>
        <ext uri="{3e2802c4-a4d2-4d8b-9148-e3be6c30e623}">
          <xlrd:rvb i="1337"/>
        </ext>
      </extLst>
    </bk>
    <bk>
      <extLst>
        <ext uri="{3e2802c4-a4d2-4d8b-9148-e3be6c30e623}">
          <xlrd:rvb i="1338"/>
        </ext>
      </extLst>
    </bk>
    <bk>
      <extLst>
        <ext uri="{3e2802c4-a4d2-4d8b-9148-e3be6c30e623}">
          <xlrd:rvb i="1339"/>
        </ext>
      </extLst>
    </bk>
    <bk>
      <extLst>
        <ext uri="{3e2802c4-a4d2-4d8b-9148-e3be6c30e623}">
          <xlrd:rvb i="1340"/>
        </ext>
      </extLst>
    </bk>
    <bk>
      <extLst>
        <ext uri="{3e2802c4-a4d2-4d8b-9148-e3be6c30e623}">
          <xlrd:rvb i="1341"/>
        </ext>
      </extLst>
    </bk>
    <bk>
      <extLst>
        <ext uri="{3e2802c4-a4d2-4d8b-9148-e3be6c30e623}">
          <xlrd:rvb i="1342"/>
        </ext>
      </extLst>
    </bk>
    <bk>
      <extLst>
        <ext uri="{3e2802c4-a4d2-4d8b-9148-e3be6c30e623}">
          <xlrd:rvb i="1343"/>
        </ext>
      </extLst>
    </bk>
    <bk>
      <extLst>
        <ext uri="{3e2802c4-a4d2-4d8b-9148-e3be6c30e623}">
          <xlrd:rvb i="1344"/>
        </ext>
      </extLst>
    </bk>
    <bk>
      <extLst>
        <ext uri="{3e2802c4-a4d2-4d8b-9148-e3be6c30e623}">
          <xlrd:rvb i="1345"/>
        </ext>
      </extLst>
    </bk>
    <bk>
      <extLst>
        <ext uri="{3e2802c4-a4d2-4d8b-9148-e3be6c30e623}">
          <xlrd:rvb i="1346"/>
        </ext>
      </extLst>
    </bk>
    <bk>
      <extLst>
        <ext uri="{3e2802c4-a4d2-4d8b-9148-e3be6c30e623}">
          <xlrd:rvb i="1347"/>
        </ext>
      </extLst>
    </bk>
    <bk>
      <extLst>
        <ext uri="{3e2802c4-a4d2-4d8b-9148-e3be6c30e623}">
          <xlrd:rvb i="1348"/>
        </ext>
      </extLst>
    </bk>
    <bk>
      <extLst>
        <ext uri="{3e2802c4-a4d2-4d8b-9148-e3be6c30e623}">
          <xlrd:rvb i="1349"/>
        </ext>
      </extLst>
    </bk>
    <bk>
      <extLst>
        <ext uri="{3e2802c4-a4d2-4d8b-9148-e3be6c30e623}">
          <xlrd:rvb i="1350"/>
        </ext>
      </extLst>
    </bk>
    <bk>
      <extLst>
        <ext uri="{3e2802c4-a4d2-4d8b-9148-e3be6c30e623}">
          <xlrd:rvb i="1351"/>
        </ext>
      </extLst>
    </bk>
    <bk>
      <extLst>
        <ext uri="{3e2802c4-a4d2-4d8b-9148-e3be6c30e623}">
          <xlrd:rvb i="1352"/>
        </ext>
      </extLst>
    </bk>
    <bk>
      <extLst>
        <ext uri="{3e2802c4-a4d2-4d8b-9148-e3be6c30e623}">
          <xlrd:rvb i="1353"/>
        </ext>
      </extLst>
    </bk>
    <bk>
      <extLst>
        <ext uri="{3e2802c4-a4d2-4d8b-9148-e3be6c30e623}">
          <xlrd:rvb i="1354"/>
        </ext>
      </extLst>
    </bk>
    <bk>
      <extLst>
        <ext uri="{3e2802c4-a4d2-4d8b-9148-e3be6c30e623}">
          <xlrd:rvb i="1355"/>
        </ext>
      </extLst>
    </bk>
    <bk>
      <extLst>
        <ext uri="{3e2802c4-a4d2-4d8b-9148-e3be6c30e623}">
          <xlrd:rvb i="1356"/>
        </ext>
      </extLst>
    </bk>
    <bk>
      <extLst>
        <ext uri="{3e2802c4-a4d2-4d8b-9148-e3be6c30e623}">
          <xlrd:rvb i="1357"/>
        </ext>
      </extLst>
    </bk>
    <bk>
      <extLst>
        <ext uri="{3e2802c4-a4d2-4d8b-9148-e3be6c30e623}">
          <xlrd:rvb i="1358"/>
        </ext>
      </extLst>
    </bk>
    <bk>
      <extLst>
        <ext uri="{3e2802c4-a4d2-4d8b-9148-e3be6c30e623}">
          <xlrd:rvb i="1359"/>
        </ext>
      </extLst>
    </bk>
    <bk>
      <extLst>
        <ext uri="{3e2802c4-a4d2-4d8b-9148-e3be6c30e623}">
          <xlrd:rvb i="1360"/>
        </ext>
      </extLst>
    </bk>
    <bk>
      <extLst>
        <ext uri="{3e2802c4-a4d2-4d8b-9148-e3be6c30e623}">
          <xlrd:rvb i="1361"/>
        </ext>
      </extLst>
    </bk>
    <bk>
      <extLst>
        <ext uri="{3e2802c4-a4d2-4d8b-9148-e3be6c30e623}">
          <xlrd:rvb i="1362"/>
        </ext>
      </extLst>
    </bk>
    <bk>
      <extLst>
        <ext uri="{3e2802c4-a4d2-4d8b-9148-e3be6c30e623}">
          <xlrd:rvb i="1363"/>
        </ext>
      </extLst>
    </bk>
    <bk>
      <extLst>
        <ext uri="{3e2802c4-a4d2-4d8b-9148-e3be6c30e623}">
          <xlrd:rvb i="1364"/>
        </ext>
      </extLst>
    </bk>
    <bk>
      <extLst>
        <ext uri="{3e2802c4-a4d2-4d8b-9148-e3be6c30e623}">
          <xlrd:rvb i="1365"/>
        </ext>
      </extLst>
    </bk>
    <bk>
      <extLst>
        <ext uri="{3e2802c4-a4d2-4d8b-9148-e3be6c30e623}">
          <xlrd:rvb i="1366"/>
        </ext>
      </extLst>
    </bk>
    <bk>
      <extLst>
        <ext uri="{3e2802c4-a4d2-4d8b-9148-e3be6c30e623}">
          <xlrd:rvb i="1367"/>
        </ext>
      </extLst>
    </bk>
    <bk>
      <extLst>
        <ext uri="{3e2802c4-a4d2-4d8b-9148-e3be6c30e623}">
          <xlrd:rvb i="1368"/>
        </ext>
      </extLst>
    </bk>
    <bk>
      <extLst>
        <ext uri="{3e2802c4-a4d2-4d8b-9148-e3be6c30e623}">
          <xlrd:rvb i="1369"/>
        </ext>
      </extLst>
    </bk>
    <bk>
      <extLst>
        <ext uri="{3e2802c4-a4d2-4d8b-9148-e3be6c30e623}">
          <xlrd:rvb i="1370"/>
        </ext>
      </extLst>
    </bk>
    <bk>
      <extLst>
        <ext uri="{3e2802c4-a4d2-4d8b-9148-e3be6c30e623}">
          <xlrd:rvb i="1371"/>
        </ext>
      </extLst>
    </bk>
    <bk>
      <extLst>
        <ext uri="{3e2802c4-a4d2-4d8b-9148-e3be6c30e623}">
          <xlrd:rvb i="1372"/>
        </ext>
      </extLst>
    </bk>
    <bk>
      <extLst>
        <ext uri="{3e2802c4-a4d2-4d8b-9148-e3be6c30e623}">
          <xlrd:rvb i="1373"/>
        </ext>
      </extLst>
    </bk>
    <bk>
      <extLst>
        <ext uri="{3e2802c4-a4d2-4d8b-9148-e3be6c30e623}">
          <xlrd:rvb i="1374"/>
        </ext>
      </extLst>
    </bk>
    <bk>
      <extLst>
        <ext uri="{3e2802c4-a4d2-4d8b-9148-e3be6c30e623}">
          <xlrd:rvb i="1375"/>
        </ext>
      </extLst>
    </bk>
    <bk>
      <extLst>
        <ext uri="{3e2802c4-a4d2-4d8b-9148-e3be6c30e623}">
          <xlrd:rvb i="1376"/>
        </ext>
      </extLst>
    </bk>
    <bk>
      <extLst>
        <ext uri="{3e2802c4-a4d2-4d8b-9148-e3be6c30e623}">
          <xlrd:rvb i="1377"/>
        </ext>
      </extLst>
    </bk>
    <bk>
      <extLst>
        <ext uri="{3e2802c4-a4d2-4d8b-9148-e3be6c30e623}">
          <xlrd:rvb i="1378"/>
        </ext>
      </extLst>
    </bk>
    <bk>
      <extLst>
        <ext uri="{3e2802c4-a4d2-4d8b-9148-e3be6c30e623}">
          <xlrd:rvb i="1379"/>
        </ext>
      </extLst>
    </bk>
    <bk>
      <extLst>
        <ext uri="{3e2802c4-a4d2-4d8b-9148-e3be6c30e623}">
          <xlrd:rvb i="1380"/>
        </ext>
      </extLst>
    </bk>
    <bk>
      <extLst>
        <ext uri="{3e2802c4-a4d2-4d8b-9148-e3be6c30e623}">
          <xlrd:rvb i="1381"/>
        </ext>
      </extLst>
    </bk>
    <bk>
      <extLst>
        <ext uri="{3e2802c4-a4d2-4d8b-9148-e3be6c30e623}">
          <xlrd:rvb i="1382"/>
        </ext>
      </extLst>
    </bk>
    <bk>
      <extLst>
        <ext uri="{3e2802c4-a4d2-4d8b-9148-e3be6c30e623}">
          <xlrd:rvb i="1383"/>
        </ext>
      </extLst>
    </bk>
    <bk>
      <extLst>
        <ext uri="{3e2802c4-a4d2-4d8b-9148-e3be6c30e623}">
          <xlrd:rvb i="1384"/>
        </ext>
      </extLst>
    </bk>
    <bk>
      <extLst>
        <ext uri="{3e2802c4-a4d2-4d8b-9148-e3be6c30e623}">
          <xlrd:rvb i="1385"/>
        </ext>
      </extLst>
    </bk>
    <bk>
      <extLst>
        <ext uri="{3e2802c4-a4d2-4d8b-9148-e3be6c30e623}">
          <xlrd:rvb i="1386"/>
        </ext>
      </extLst>
    </bk>
    <bk>
      <extLst>
        <ext uri="{3e2802c4-a4d2-4d8b-9148-e3be6c30e623}">
          <xlrd:rvb i="1387"/>
        </ext>
      </extLst>
    </bk>
    <bk>
      <extLst>
        <ext uri="{3e2802c4-a4d2-4d8b-9148-e3be6c30e623}">
          <xlrd:rvb i="1388"/>
        </ext>
      </extLst>
    </bk>
    <bk>
      <extLst>
        <ext uri="{3e2802c4-a4d2-4d8b-9148-e3be6c30e623}">
          <xlrd:rvb i="1389"/>
        </ext>
      </extLst>
    </bk>
    <bk>
      <extLst>
        <ext uri="{3e2802c4-a4d2-4d8b-9148-e3be6c30e623}">
          <xlrd:rvb i="1390"/>
        </ext>
      </extLst>
    </bk>
    <bk>
      <extLst>
        <ext uri="{3e2802c4-a4d2-4d8b-9148-e3be6c30e623}">
          <xlrd:rvb i="1391"/>
        </ext>
      </extLst>
    </bk>
    <bk>
      <extLst>
        <ext uri="{3e2802c4-a4d2-4d8b-9148-e3be6c30e623}">
          <xlrd:rvb i="1392"/>
        </ext>
      </extLst>
    </bk>
    <bk>
      <extLst>
        <ext uri="{3e2802c4-a4d2-4d8b-9148-e3be6c30e623}">
          <xlrd:rvb i="1393"/>
        </ext>
      </extLst>
    </bk>
    <bk>
      <extLst>
        <ext uri="{3e2802c4-a4d2-4d8b-9148-e3be6c30e623}">
          <xlrd:rvb i="1394"/>
        </ext>
      </extLst>
    </bk>
    <bk>
      <extLst>
        <ext uri="{3e2802c4-a4d2-4d8b-9148-e3be6c30e623}">
          <xlrd:rvb i="1395"/>
        </ext>
      </extLst>
    </bk>
    <bk>
      <extLst>
        <ext uri="{3e2802c4-a4d2-4d8b-9148-e3be6c30e623}">
          <xlrd:rvb i="1396"/>
        </ext>
      </extLst>
    </bk>
    <bk>
      <extLst>
        <ext uri="{3e2802c4-a4d2-4d8b-9148-e3be6c30e623}">
          <xlrd:rvb i="1397"/>
        </ext>
      </extLst>
    </bk>
    <bk>
      <extLst>
        <ext uri="{3e2802c4-a4d2-4d8b-9148-e3be6c30e623}">
          <xlrd:rvb i="1398"/>
        </ext>
      </extLst>
    </bk>
    <bk>
      <extLst>
        <ext uri="{3e2802c4-a4d2-4d8b-9148-e3be6c30e623}">
          <xlrd:rvb i="1399"/>
        </ext>
      </extLst>
    </bk>
    <bk>
      <extLst>
        <ext uri="{3e2802c4-a4d2-4d8b-9148-e3be6c30e623}">
          <xlrd:rvb i="1400"/>
        </ext>
      </extLst>
    </bk>
    <bk>
      <extLst>
        <ext uri="{3e2802c4-a4d2-4d8b-9148-e3be6c30e623}">
          <xlrd:rvb i="1401"/>
        </ext>
      </extLst>
    </bk>
    <bk>
      <extLst>
        <ext uri="{3e2802c4-a4d2-4d8b-9148-e3be6c30e623}">
          <xlrd:rvb i="1402"/>
        </ext>
      </extLst>
    </bk>
    <bk>
      <extLst>
        <ext uri="{3e2802c4-a4d2-4d8b-9148-e3be6c30e623}">
          <xlrd:rvb i="1403"/>
        </ext>
      </extLst>
    </bk>
    <bk>
      <extLst>
        <ext uri="{3e2802c4-a4d2-4d8b-9148-e3be6c30e623}">
          <xlrd:rvb i="1404"/>
        </ext>
      </extLst>
    </bk>
    <bk>
      <extLst>
        <ext uri="{3e2802c4-a4d2-4d8b-9148-e3be6c30e623}">
          <xlrd:rvb i="1405"/>
        </ext>
      </extLst>
    </bk>
    <bk>
      <extLst>
        <ext uri="{3e2802c4-a4d2-4d8b-9148-e3be6c30e623}">
          <xlrd:rvb i="1406"/>
        </ext>
      </extLst>
    </bk>
    <bk>
      <extLst>
        <ext uri="{3e2802c4-a4d2-4d8b-9148-e3be6c30e623}">
          <xlrd:rvb i="1407"/>
        </ext>
      </extLst>
    </bk>
    <bk>
      <extLst>
        <ext uri="{3e2802c4-a4d2-4d8b-9148-e3be6c30e623}">
          <xlrd:rvb i="1408"/>
        </ext>
      </extLst>
    </bk>
    <bk>
      <extLst>
        <ext uri="{3e2802c4-a4d2-4d8b-9148-e3be6c30e623}">
          <xlrd:rvb i="1409"/>
        </ext>
      </extLst>
    </bk>
    <bk>
      <extLst>
        <ext uri="{3e2802c4-a4d2-4d8b-9148-e3be6c30e623}">
          <xlrd:rvb i="1410"/>
        </ext>
      </extLst>
    </bk>
    <bk>
      <extLst>
        <ext uri="{3e2802c4-a4d2-4d8b-9148-e3be6c30e623}">
          <xlrd:rvb i="1411"/>
        </ext>
      </extLst>
    </bk>
    <bk>
      <extLst>
        <ext uri="{3e2802c4-a4d2-4d8b-9148-e3be6c30e623}">
          <xlrd:rvb i="1412"/>
        </ext>
      </extLst>
    </bk>
    <bk>
      <extLst>
        <ext uri="{3e2802c4-a4d2-4d8b-9148-e3be6c30e623}">
          <xlrd:rvb i="1413"/>
        </ext>
      </extLst>
    </bk>
    <bk>
      <extLst>
        <ext uri="{3e2802c4-a4d2-4d8b-9148-e3be6c30e623}">
          <xlrd:rvb i="1414"/>
        </ext>
      </extLst>
    </bk>
    <bk>
      <extLst>
        <ext uri="{3e2802c4-a4d2-4d8b-9148-e3be6c30e623}">
          <xlrd:rvb i="1415"/>
        </ext>
      </extLst>
    </bk>
    <bk>
      <extLst>
        <ext uri="{3e2802c4-a4d2-4d8b-9148-e3be6c30e623}">
          <xlrd:rvb i="1416"/>
        </ext>
      </extLst>
    </bk>
    <bk>
      <extLst>
        <ext uri="{3e2802c4-a4d2-4d8b-9148-e3be6c30e623}">
          <xlrd:rvb i="1417"/>
        </ext>
      </extLst>
    </bk>
    <bk>
      <extLst>
        <ext uri="{3e2802c4-a4d2-4d8b-9148-e3be6c30e623}">
          <xlrd:rvb i="1418"/>
        </ext>
      </extLst>
    </bk>
    <bk>
      <extLst>
        <ext uri="{3e2802c4-a4d2-4d8b-9148-e3be6c30e623}">
          <xlrd:rvb i="1419"/>
        </ext>
      </extLst>
    </bk>
    <bk>
      <extLst>
        <ext uri="{3e2802c4-a4d2-4d8b-9148-e3be6c30e623}">
          <xlrd:rvb i="1420"/>
        </ext>
      </extLst>
    </bk>
    <bk>
      <extLst>
        <ext uri="{3e2802c4-a4d2-4d8b-9148-e3be6c30e623}">
          <xlrd:rvb i="1421"/>
        </ext>
      </extLst>
    </bk>
    <bk>
      <extLst>
        <ext uri="{3e2802c4-a4d2-4d8b-9148-e3be6c30e623}">
          <xlrd:rvb i="1422"/>
        </ext>
      </extLst>
    </bk>
    <bk>
      <extLst>
        <ext uri="{3e2802c4-a4d2-4d8b-9148-e3be6c30e623}">
          <xlrd:rvb i="1423"/>
        </ext>
      </extLst>
    </bk>
    <bk>
      <extLst>
        <ext uri="{3e2802c4-a4d2-4d8b-9148-e3be6c30e623}">
          <xlrd:rvb i="1424"/>
        </ext>
      </extLst>
    </bk>
    <bk>
      <extLst>
        <ext uri="{3e2802c4-a4d2-4d8b-9148-e3be6c30e623}">
          <xlrd:rvb i="1425"/>
        </ext>
      </extLst>
    </bk>
    <bk>
      <extLst>
        <ext uri="{3e2802c4-a4d2-4d8b-9148-e3be6c30e623}">
          <xlrd:rvb i="1426"/>
        </ext>
      </extLst>
    </bk>
    <bk>
      <extLst>
        <ext uri="{3e2802c4-a4d2-4d8b-9148-e3be6c30e623}">
          <xlrd:rvb i="1427"/>
        </ext>
      </extLst>
    </bk>
    <bk>
      <extLst>
        <ext uri="{3e2802c4-a4d2-4d8b-9148-e3be6c30e623}">
          <xlrd:rvb i="1428"/>
        </ext>
      </extLst>
    </bk>
    <bk>
      <extLst>
        <ext uri="{3e2802c4-a4d2-4d8b-9148-e3be6c30e623}">
          <xlrd:rvb i="1429"/>
        </ext>
      </extLst>
    </bk>
    <bk>
      <extLst>
        <ext uri="{3e2802c4-a4d2-4d8b-9148-e3be6c30e623}">
          <xlrd:rvb i="1430"/>
        </ext>
      </extLst>
    </bk>
    <bk>
      <extLst>
        <ext uri="{3e2802c4-a4d2-4d8b-9148-e3be6c30e623}">
          <xlrd:rvb i="1431"/>
        </ext>
      </extLst>
    </bk>
    <bk>
      <extLst>
        <ext uri="{3e2802c4-a4d2-4d8b-9148-e3be6c30e623}">
          <xlrd:rvb i="1432"/>
        </ext>
      </extLst>
    </bk>
    <bk>
      <extLst>
        <ext uri="{3e2802c4-a4d2-4d8b-9148-e3be6c30e623}">
          <xlrd:rvb i="1433"/>
        </ext>
      </extLst>
    </bk>
    <bk>
      <extLst>
        <ext uri="{3e2802c4-a4d2-4d8b-9148-e3be6c30e623}">
          <xlrd:rvb i="1434"/>
        </ext>
      </extLst>
    </bk>
    <bk>
      <extLst>
        <ext uri="{3e2802c4-a4d2-4d8b-9148-e3be6c30e623}">
          <xlrd:rvb i="1435"/>
        </ext>
      </extLst>
    </bk>
    <bk>
      <extLst>
        <ext uri="{3e2802c4-a4d2-4d8b-9148-e3be6c30e623}">
          <xlrd:rvb i="1436"/>
        </ext>
      </extLst>
    </bk>
    <bk>
      <extLst>
        <ext uri="{3e2802c4-a4d2-4d8b-9148-e3be6c30e623}">
          <xlrd:rvb i="1437"/>
        </ext>
      </extLst>
    </bk>
    <bk>
      <extLst>
        <ext uri="{3e2802c4-a4d2-4d8b-9148-e3be6c30e623}">
          <xlrd:rvb i="1438"/>
        </ext>
      </extLst>
    </bk>
    <bk>
      <extLst>
        <ext uri="{3e2802c4-a4d2-4d8b-9148-e3be6c30e623}">
          <xlrd:rvb i="1439"/>
        </ext>
      </extLst>
    </bk>
    <bk>
      <extLst>
        <ext uri="{3e2802c4-a4d2-4d8b-9148-e3be6c30e623}">
          <xlrd:rvb i="1440"/>
        </ext>
      </extLst>
    </bk>
    <bk>
      <extLst>
        <ext uri="{3e2802c4-a4d2-4d8b-9148-e3be6c30e623}">
          <xlrd:rvb i="1441"/>
        </ext>
      </extLst>
    </bk>
    <bk>
      <extLst>
        <ext uri="{3e2802c4-a4d2-4d8b-9148-e3be6c30e623}">
          <xlrd:rvb i="1442"/>
        </ext>
      </extLst>
    </bk>
    <bk>
      <extLst>
        <ext uri="{3e2802c4-a4d2-4d8b-9148-e3be6c30e623}">
          <xlrd:rvb i="1443"/>
        </ext>
      </extLst>
    </bk>
    <bk>
      <extLst>
        <ext uri="{3e2802c4-a4d2-4d8b-9148-e3be6c30e623}">
          <xlrd:rvb i="1444"/>
        </ext>
      </extLst>
    </bk>
    <bk>
      <extLst>
        <ext uri="{3e2802c4-a4d2-4d8b-9148-e3be6c30e623}">
          <xlrd:rvb i="1445"/>
        </ext>
      </extLst>
    </bk>
    <bk>
      <extLst>
        <ext uri="{3e2802c4-a4d2-4d8b-9148-e3be6c30e623}">
          <xlrd:rvb i="1446"/>
        </ext>
      </extLst>
    </bk>
    <bk>
      <extLst>
        <ext uri="{3e2802c4-a4d2-4d8b-9148-e3be6c30e623}">
          <xlrd:rvb i="1447"/>
        </ext>
      </extLst>
    </bk>
    <bk>
      <extLst>
        <ext uri="{3e2802c4-a4d2-4d8b-9148-e3be6c30e623}">
          <xlrd:rvb i="1448"/>
        </ext>
      </extLst>
    </bk>
    <bk>
      <extLst>
        <ext uri="{3e2802c4-a4d2-4d8b-9148-e3be6c30e623}">
          <xlrd:rvb i="1449"/>
        </ext>
      </extLst>
    </bk>
    <bk>
      <extLst>
        <ext uri="{3e2802c4-a4d2-4d8b-9148-e3be6c30e623}">
          <xlrd:rvb i="1450"/>
        </ext>
      </extLst>
    </bk>
    <bk>
      <extLst>
        <ext uri="{3e2802c4-a4d2-4d8b-9148-e3be6c30e623}">
          <xlrd:rvb i="1451"/>
        </ext>
      </extLst>
    </bk>
    <bk>
      <extLst>
        <ext uri="{3e2802c4-a4d2-4d8b-9148-e3be6c30e623}">
          <xlrd:rvb i="1452"/>
        </ext>
      </extLst>
    </bk>
    <bk>
      <extLst>
        <ext uri="{3e2802c4-a4d2-4d8b-9148-e3be6c30e623}">
          <xlrd:rvb i="1453"/>
        </ext>
      </extLst>
    </bk>
    <bk>
      <extLst>
        <ext uri="{3e2802c4-a4d2-4d8b-9148-e3be6c30e623}">
          <xlrd:rvb i="1454"/>
        </ext>
      </extLst>
    </bk>
    <bk>
      <extLst>
        <ext uri="{3e2802c4-a4d2-4d8b-9148-e3be6c30e623}">
          <xlrd:rvb i="1455"/>
        </ext>
      </extLst>
    </bk>
    <bk>
      <extLst>
        <ext uri="{3e2802c4-a4d2-4d8b-9148-e3be6c30e623}">
          <xlrd:rvb i="1456"/>
        </ext>
      </extLst>
    </bk>
    <bk>
      <extLst>
        <ext uri="{3e2802c4-a4d2-4d8b-9148-e3be6c30e623}">
          <xlrd:rvb i="1457"/>
        </ext>
      </extLst>
    </bk>
    <bk>
      <extLst>
        <ext uri="{3e2802c4-a4d2-4d8b-9148-e3be6c30e623}">
          <xlrd:rvb i="1458"/>
        </ext>
      </extLst>
    </bk>
    <bk>
      <extLst>
        <ext uri="{3e2802c4-a4d2-4d8b-9148-e3be6c30e623}">
          <xlrd:rvb i="1459"/>
        </ext>
      </extLst>
    </bk>
    <bk>
      <extLst>
        <ext uri="{3e2802c4-a4d2-4d8b-9148-e3be6c30e623}">
          <xlrd:rvb i="1460"/>
        </ext>
      </extLst>
    </bk>
    <bk>
      <extLst>
        <ext uri="{3e2802c4-a4d2-4d8b-9148-e3be6c30e623}">
          <xlrd:rvb i="1461"/>
        </ext>
      </extLst>
    </bk>
    <bk>
      <extLst>
        <ext uri="{3e2802c4-a4d2-4d8b-9148-e3be6c30e623}">
          <xlrd:rvb i="1462"/>
        </ext>
      </extLst>
    </bk>
    <bk>
      <extLst>
        <ext uri="{3e2802c4-a4d2-4d8b-9148-e3be6c30e623}">
          <xlrd:rvb i="1463"/>
        </ext>
      </extLst>
    </bk>
    <bk>
      <extLst>
        <ext uri="{3e2802c4-a4d2-4d8b-9148-e3be6c30e623}">
          <xlrd:rvb i="1464"/>
        </ext>
      </extLst>
    </bk>
    <bk>
      <extLst>
        <ext uri="{3e2802c4-a4d2-4d8b-9148-e3be6c30e623}">
          <xlrd:rvb i="1465"/>
        </ext>
      </extLst>
    </bk>
    <bk>
      <extLst>
        <ext uri="{3e2802c4-a4d2-4d8b-9148-e3be6c30e623}">
          <xlrd:rvb i="1466"/>
        </ext>
      </extLst>
    </bk>
    <bk>
      <extLst>
        <ext uri="{3e2802c4-a4d2-4d8b-9148-e3be6c30e623}">
          <xlrd:rvb i="1467"/>
        </ext>
      </extLst>
    </bk>
    <bk>
      <extLst>
        <ext uri="{3e2802c4-a4d2-4d8b-9148-e3be6c30e623}">
          <xlrd:rvb i="1468"/>
        </ext>
      </extLst>
    </bk>
    <bk>
      <extLst>
        <ext uri="{3e2802c4-a4d2-4d8b-9148-e3be6c30e623}">
          <xlrd:rvb i="1469"/>
        </ext>
      </extLst>
    </bk>
    <bk>
      <extLst>
        <ext uri="{3e2802c4-a4d2-4d8b-9148-e3be6c30e623}">
          <xlrd:rvb i="1470"/>
        </ext>
      </extLst>
    </bk>
    <bk>
      <extLst>
        <ext uri="{3e2802c4-a4d2-4d8b-9148-e3be6c30e623}">
          <xlrd:rvb i="1471"/>
        </ext>
      </extLst>
    </bk>
    <bk>
      <extLst>
        <ext uri="{3e2802c4-a4d2-4d8b-9148-e3be6c30e623}">
          <xlrd:rvb i="1472"/>
        </ext>
      </extLst>
    </bk>
    <bk>
      <extLst>
        <ext uri="{3e2802c4-a4d2-4d8b-9148-e3be6c30e623}">
          <xlrd:rvb i="1473"/>
        </ext>
      </extLst>
    </bk>
    <bk>
      <extLst>
        <ext uri="{3e2802c4-a4d2-4d8b-9148-e3be6c30e623}">
          <xlrd:rvb i="1474"/>
        </ext>
      </extLst>
    </bk>
    <bk>
      <extLst>
        <ext uri="{3e2802c4-a4d2-4d8b-9148-e3be6c30e623}">
          <xlrd:rvb i="1475"/>
        </ext>
      </extLst>
    </bk>
    <bk>
      <extLst>
        <ext uri="{3e2802c4-a4d2-4d8b-9148-e3be6c30e623}">
          <xlrd:rvb i="1476"/>
        </ext>
      </extLst>
    </bk>
    <bk>
      <extLst>
        <ext uri="{3e2802c4-a4d2-4d8b-9148-e3be6c30e623}">
          <xlrd:rvb i="1477"/>
        </ext>
      </extLst>
    </bk>
    <bk>
      <extLst>
        <ext uri="{3e2802c4-a4d2-4d8b-9148-e3be6c30e623}">
          <xlrd:rvb i="1478"/>
        </ext>
      </extLst>
    </bk>
    <bk>
      <extLst>
        <ext uri="{3e2802c4-a4d2-4d8b-9148-e3be6c30e623}">
          <xlrd:rvb i="1479"/>
        </ext>
      </extLst>
    </bk>
    <bk>
      <extLst>
        <ext uri="{3e2802c4-a4d2-4d8b-9148-e3be6c30e623}">
          <xlrd:rvb i="1480"/>
        </ext>
      </extLst>
    </bk>
    <bk>
      <extLst>
        <ext uri="{3e2802c4-a4d2-4d8b-9148-e3be6c30e623}">
          <xlrd:rvb i="1481"/>
        </ext>
      </extLst>
    </bk>
    <bk>
      <extLst>
        <ext uri="{3e2802c4-a4d2-4d8b-9148-e3be6c30e623}">
          <xlrd:rvb i="1482"/>
        </ext>
      </extLst>
    </bk>
    <bk>
      <extLst>
        <ext uri="{3e2802c4-a4d2-4d8b-9148-e3be6c30e623}">
          <xlrd:rvb i="1483"/>
        </ext>
      </extLst>
    </bk>
    <bk>
      <extLst>
        <ext uri="{3e2802c4-a4d2-4d8b-9148-e3be6c30e623}">
          <xlrd:rvb i="1484"/>
        </ext>
      </extLst>
    </bk>
    <bk>
      <extLst>
        <ext uri="{3e2802c4-a4d2-4d8b-9148-e3be6c30e623}">
          <xlrd:rvb i="1485"/>
        </ext>
      </extLst>
    </bk>
    <bk>
      <extLst>
        <ext uri="{3e2802c4-a4d2-4d8b-9148-e3be6c30e623}">
          <xlrd:rvb i="1486"/>
        </ext>
      </extLst>
    </bk>
    <bk>
      <extLst>
        <ext uri="{3e2802c4-a4d2-4d8b-9148-e3be6c30e623}">
          <xlrd:rvb i="1487"/>
        </ext>
      </extLst>
    </bk>
    <bk>
      <extLst>
        <ext uri="{3e2802c4-a4d2-4d8b-9148-e3be6c30e623}">
          <xlrd:rvb i="1488"/>
        </ext>
      </extLst>
    </bk>
    <bk>
      <extLst>
        <ext uri="{3e2802c4-a4d2-4d8b-9148-e3be6c30e623}">
          <xlrd:rvb i="1489"/>
        </ext>
      </extLst>
    </bk>
    <bk>
      <extLst>
        <ext uri="{3e2802c4-a4d2-4d8b-9148-e3be6c30e623}">
          <xlrd:rvb i="1490"/>
        </ext>
      </extLst>
    </bk>
    <bk>
      <extLst>
        <ext uri="{3e2802c4-a4d2-4d8b-9148-e3be6c30e623}">
          <xlrd:rvb i="1491"/>
        </ext>
      </extLst>
    </bk>
    <bk>
      <extLst>
        <ext uri="{3e2802c4-a4d2-4d8b-9148-e3be6c30e623}">
          <xlrd:rvb i="1492"/>
        </ext>
      </extLst>
    </bk>
    <bk>
      <extLst>
        <ext uri="{3e2802c4-a4d2-4d8b-9148-e3be6c30e623}">
          <xlrd:rvb i="1493"/>
        </ext>
      </extLst>
    </bk>
    <bk>
      <extLst>
        <ext uri="{3e2802c4-a4d2-4d8b-9148-e3be6c30e623}">
          <xlrd:rvb i="1494"/>
        </ext>
      </extLst>
    </bk>
    <bk>
      <extLst>
        <ext uri="{3e2802c4-a4d2-4d8b-9148-e3be6c30e623}">
          <xlrd:rvb i="1495"/>
        </ext>
      </extLst>
    </bk>
    <bk>
      <extLst>
        <ext uri="{3e2802c4-a4d2-4d8b-9148-e3be6c30e623}">
          <xlrd:rvb i="1496"/>
        </ext>
      </extLst>
    </bk>
    <bk>
      <extLst>
        <ext uri="{3e2802c4-a4d2-4d8b-9148-e3be6c30e623}">
          <xlrd:rvb i="1497"/>
        </ext>
      </extLst>
    </bk>
    <bk>
      <extLst>
        <ext uri="{3e2802c4-a4d2-4d8b-9148-e3be6c30e623}">
          <xlrd:rvb i="1498"/>
        </ext>
      </extLst>
    </bk>
    <bk>
      <extLst>
        <ext uri="{3e2802c4-a4d2-4d8b-9148-e3be6c30e623}">
          <xlrd:rvb i="1499"/>
        </ext>
      </extLst>
    </bk>
    <bk>
      <extLst>
        <ext uri="{3e2802c4-a4d2-4d8b-9148-e3be6c30e623}">
          <xlrd:rvb i="1500"/>
        </ext>
      </extLst>
    </bk>
    <bk>
      <extLst>
        <ext uri="{3e2802c4-a4d2-4d8b-9148-e3be6c30e623}">
          <xlrd:rvb i="1501"/>
        </ext>
      </extLst>
    </bk>
    <bk>
      <extLst>
        <ext uri="{3e2802c4-a4d2-4d8b-9148-e3be6c30e623}">
          <xlrd:rvb i="1502"/>
        </ext>
      </extLst>
    </bk>
    <bk>
      <extLst>
        <ext uri="{3e2802c4-a4d2-4d8b-9148-e3be6c30e623}">
          <xlrd:rvb i="1503"/>
        </ext>
      </extLst>
    </bk>
    <bk>
      <extLst>
        <ext uri="{3e2802c4-a4d2-4d8b-9148-e3be6c30e623}">
          <xlrd:rvb i="1504"/>
        </ext>
      </extLst>
    </bk>
    <bk>
      <extLst>
        <ext uri="{3e2802c4-a4d2-4d8b-9148-e3be6c30e623}">
          <xlrd:rvb i="1505"/>
        </ext>
      </extLst>
    </bk>
    <bk>
      <extLst>
        <ext uri="{3e2802c4-a4d2-4d8b-9148-e3be6c30e623}">
          <xlrd:rvb i="1506"/>
        </ext>
      </extLst>
    </bk>
    <bk>
      <extLst>
        <ext uri="{3e2802c4-a4d2-4d8b-9148-e3be6c30e623}">
          <xlrd:rvb i="1507"/>
        </ext>
      </extLst>
    </bk>
    <bk>
      <extLst>
        <ext uri="{3e2802c4-a4d2-4d8b-9148-e3be6c30e623}">
          <xlrd:rvb i="1508"/>
        </ext>
      </extLst>
    </bk>
    <bk>
      <extLst>
        <ext uri="{3e2802c4-a4d2-4d8b-9148-e3be6c30e623}">
          <xlrd:rvb i="1509"/>
        </ext>
      </extLst>
    </bk>
    <bk>
      <extLst>
        <ext uri="{3e2802c4-a4d2-4d8b-9148-e3be6c30e623}">
          <xlrd:rvb i="1510"/>
        </ext>
      </extLst>
    </bk>
    <bk>
      <extLst>
        <ext uri="{3e2802c4-a4d2-4d8b-9148-e3be6c30e623}">
          <xlrd:rvb i="1511"/>
        </ext>
      </extLst>
    </bk>
    <bk>
      <extLst>
        <ext uri="{3e2802c4-a4d2-4d8b-9148-e3be6c30e623}">
          <xlrd:rvb i="1512"/>
        </ext>
      </extLst>
    </bk>
    <bk>
      <extLst>
        <ext uri="{3e2802c4-a4d2-4d8b-9148-e3be6c30e623}">
          <xlrd:rvb i="1513"/>
        </ext>
      </extLst>
    </bk>
    <bk>
      <extLst>
        <ext uri="{3e2802c4-a4d2-4d8b-9148-e3be6c30e623}">
          <xlrd:rvb i="1514"/>
        </ext>
      </extLst>
    </bk>
    <bk>
      <extLst>
        <ext uri="{3e2802c4-a4d2-4d8b-9148-e3be6c30e623}">
          <xlrd:rvb i="1515"/>
        </ext>
      </extLst>
    </bk>
    <bk>
      <extLst>
        <ext uri="{3e2802c4-a4d2-4d8b-9148-e3be6c30e623}">
          <xlrd:rvb i="1516"/>
        </ext>
      </extLst>
    </bk>
    <bk>
      <extLst>
        <ext uri="{3e2802c4-a4d2-4d8b-9148-e3be6c30e623}">
          <xlrd:rvb i="1517"/>
        </ext>
      </extLst>
    </bk>
    <bk>
      <extLst>
        <ext uri="{3e2802c4-a4d2-4d8b-9148-e3be6c30e623}">
          <xlrd:rvb i="1518"/>
        </ext>
      </extLst>
    </bk>
    <bk>
      <extLst>
        <ext uri="{3e2802c4-a4d2-4d8b-9148-e3be6c30e623}">
          <xlrd:rvb i="1519"/>
        </ext>
      </extLst>
    </bk>
    <bk>
      <extLst>
        <ext uri="{3e2802c4-a4d2-4d8b-9148-e3be6c30e623}">
          <xlrd:rvb i="1520"/>
        </ext>
      </extLst>
    </bk>
    <bk>
      <extLst>
        <ext uri="{3e2802c4-a4d2-4d8b-9148-e3be6c30e623}">
          <xlrd:rvb i="1521"/>
        </ext>
      </extLst>
    </bk>
    <bk>
      <extLst>
        <ext uri="{3e2802c4-a4d2-4d8b-9148-e3be6c30e623}">
          <xlrd:rvb i="1522"/>
        </ext>
      </extLst>
    </bk>
    <bk>
      <extLst>
        <ext uri="{3e2802c4-a4d2-4d8b-9148-e3be6c30e623}">
          <xlrd:rvb i="1523"/>
        </ext>
      </extLst>
    </bk>
    <bk>
      <extLst>
        <ext uri="{3e2802c4-a4d2-4d8b-9148-e3be6c30e623}">
          <xlrd:rvb i="1524"/>
        </ext>
      </extLst>
    </bk>
    <bk>
      <extLst>
        <ext uri="{3e2802c4-a4d2-4d8b-9148-e3be6c30e623}">
          <xlrd:rvb i="1525"/>
        </ext>
      </extLst>
    </bk>
    <bk>
      <extLst>
        <ext uri="{3e2802c4-a4d2-4d8b-9148-e3be6c30e623}">
          <xlrd:rvb i="1526"/>
        </ext>
      </extLst>
    </bk>
    <bk>
      <extLst>
        <ext uri="{3e2802c4-a4d2-4d8b-9148-e3be6c30e623}">
          <xlrd:rvb i="1527"/>
        </ext>
      </extLst>
    </bk>
    <bk>
      <extLst>
        <ext uri="{3e2802c4-a4d2-4d8b-9148-e3be6c30e623}">
          <xlrd:rvb i="1528"/>
        </ext>
      </extLst>
    </bk>
    <bk>
      <extLst>
        <ext uri="{3e2802c4-a4d2-4d8b-9148-e3be6c30e623}">
          <xlrd:rvb i="1529"/>
        </ext>
      </extLst>
    </bk>
    <bk>
      <extLst>
        <ext uri="{3e2802c4-a4d2-4d8b-9148-e3be6c30e623}">
          <xlrd:rvb i="1530"/>
        </ext>
      </extLst>
    </bk>
    <bk>
      <extLst>
        <ext uri="{3e2802c4-a4d2-4d8b-9148-e3be6c30e623}">
          <xlrd:rvb i="1531"/>
        </ext>
      </extLst>
    </bk>
    <bk>
      <extLst>
        <ext uri="{3e2802c4-a4d2-4d8b-9148-e3be6c30e623}">
          <xlrd:rvb i="1532"/>
        </ext>
      </extLst>
    </bk>
    <bk>
      <extLst>
        <ext uri="{3e2802c4-a4d2-4d8b-9148-e3be6c30e623}">
          <xlrd:rvb i="1533"/>
        </ext>
      </extLst>
    </bk>
    <bk>
      <extLst>
        <ext uri="{3e2802c4-a4d2-4d8b-9148-e3be6c30e623}">
          <xlrd:rvb i="1534"/>
        </ext>
      </extLst>
    </bk>
    <bk>
      <extLst>
        <ext uri="{3e2802c4-a4d2-4d8b-9148-e3be6c30e623}">
          <xlrd:rvb i="1535"/>
        </ext>
      </extLst>
    </bk>
    <bk>
      <extLst>
        <ext uri="{3e2802c4-a4d2-4d8b-9148-e3be6c30e623}">
          <xlrd:rvb i="1536"/>
        </ext>
      </extLst>
    </bk>
    <bk>
      <extLst>
        <ext uri="{3e2802c4-a4d2-4d8b-9148-e3be6c30e623}">
          <xlrd:rvb i="1537"/>
        </ext>
      </extLst>
    </bk>
    <bk>
      <extLst>
        <ext uri="{3e2802c4-a4d2-4d8b-9148-e3be6c30e623}">
          <xlrd:rvb i="1538"/>
        </ext>
      </extLst>
    </bk>
    <bk>
      <extLst>
        <ext uri="{3e2802c4-a4d2-4d8b-9148-e3be6c30e623}">
          <xlrd:rvb i="1539"/>
        </ext>
      </extLst>
    </bk>
    <bk>
      <extLst>
        <ext uri="{3e2802c4-a4d2-4d8b-9148-e3be6c30e623}">
          <xlrd:rvb i="1540"/>
        </ext>
      </extLst>
    </bk>
    <bk>
      <extLst>
        <ext uri="{3e2802c4-a4d2-4d8b-9148-e3be6c30e623}">
          <xlrd:rvb i="1541"/>
        </ext>
      </extLst>
    </bk>
    <bk>
      <extLst>
        <ext uri="{3e2802c4-a4d2-4d8b-9148-e3be6c30e623}">
          <xlrd:rvb i="1542"/>
        </ext>
      </extLst>
    </bk>
    <bk>
      <extLst>
        <ext uri="{3e2802c4-a4d2-4d8b-9148-e3be6c30e623}">
          <xlrd:rvb i="1543"/>
        </ext>
      </extLst>
    </bk>
    <bk>
      <extLst>
        <ext uri="{3e2802c4-a4d2-4d8b-9148-e3be6c30e623}">
          <xlrd:rvb i="1544"/>
        </ext>
      </extLst>
    </bk>
    <bk>
      <extLst>
        <ext uri="{3e2802c4-a4d2-4d8b-9148-e3be6c30e623}">
          <xlrd:rvb i="1545"/>
        </ext>
      </extLst>
    </bk>
    <bk>
      <extLst>
        <ext uri="{3e2802c4-a4d2-4d8b-9148-e3be6c30e623}">
          <xlrd:rvb i="1546"/>
        </ext>
      </extLst>
    </bk>
    <bk>
      <extLst>
        <ext uri="{3e2802c4-a4d2-4d8b-9148-e3be6c30e623}">
          <xlrd:rvb i="1547"/>
        </ext>
      </extLst>
    </bk>
    <bk>
      <extLst>
        <ext uri="{3e2802c4-a4d2-4d8b-9148-e3be6c30e623}">
          <xlrd:rvb i="1548"/>
        </ext>
      </extLst>
    </bk>
    <bk>
      <extLst>
        <ext uri="{3e2802c4-a4d2-4d8b-9148-e3be6c30e623}">
          <xlrd:rvb i="1549"/>
        </ext>
      </extLst>
    </bk>
    <bk>
      <extLst>
        <ext uri="{3e2802c4-a4d2-4d8b-9148-e3be6c30e623}">
          <xlrd:rvb i="1550"/>
        </ext>
      </extLst>
    </bk>
    <bk>
      <extLst>
        <ext uri="{3e2802c4-a4d2-4d8b-9148-e3be6c30e623}">
          <xlrd:rvb i="1551"/>
        </ext>
      </extLst>
    </bk>
    <bk>
      <extLst>
        <ext uri="{3e2802c4-a4d2-4d8b-9148-e3be6c30e623}">
          <xlrd:rvb i="1552"/>
        </ext>
      </extLst>
    </bk>
    <bk>
      <extLst>
        <ext uri="{3e2802c4-a4d2-4d8b-9148-e3be6c30e623}">
          <xlrd:rvb i="1553"/>
        </ext>
      </extLst>
    </bk>
    <bk>
      <extLst>
        <ext uri="{3e2802c4-a4d2-4d8b-9148-e3be6c30e623}">
          <xlrd:rvb i="1554"/>
        </ext>
      </extLst>
    </bk>
    <bk>
      <extLst>
        <ext uri="{3e2802c4-a4d2-4d8b-9148-e3be6c30e623}">
          <xlrd:rvb i="1555"/>
        </ext>
      </extLst>
    </bk>
    <bk>
      <extLst>
        <ext uri="{3e2802c4-a4d2-4d8b-9148-e3be6c30e623}">
          <xlrd:rvb i="1556"/>
        </ext>
      </extLst>
    </bk>
    <bk>
      <extLst>
        <ext uri="{3e2802c4-a4d2-4d8b-9148-e3be6c30e623}">
          <xlrd:rvb i="1557"/>
        </ext>
      </extLst>
    </bk>
    <bk>
      <extLst>
        <ext uri="{3e2802c4-a4d2-4d8b-9148-e3be6c30e623}">
          <xlrd:rvb i="1558"/>
        </ext>
      </extLst>
    </bk>
    <bk>
      <extLst>
        <ext uri="{3e2802c4-a4d2-4d8b-9148-e3be6c30e623}">
          <xlrd:rvb i="1559"/>
        </ext>
      </extLst>
    </bk>
    <bk>
      <extLst>
        <ext uri="{3e2802c4-a4d2-4d8b-9148-e3be6c30e623}">
          <xlrd:rvb i="1560"/>
        </ext>
      </extLst>
    </bk>
    <bk>
      <extLst>
        <ext uri="{3e2802c4-a4d2-4d8b-9148-e3be6c30e623}">
          <xlrd:rvb i="1561"/>
        </ext>
      </extLst>
    </bk>
    <bk>
      <extLst>
        <ext uri="{3e2802c4-a4d2-4d8b-9148-e3be6c30e623}">
          <xlrd:rvb i="1562"/>
        </ext>
      </extLst>
    </bk>
    <bk>
      <extLst>
        <ext uri="{3e2802c4-a4d2-4d8b-9148-e3be6c30e623}">
          <xlrd:rvb i="1563"/>
        </ext>
      </extLst>
    </bk>
    <bk>
      <extLst>
        <ext uri="{3e2802c4-a4d2-4d8b-9148-e3be6c30e623}">
          <xlrd:rvb i="1564"/>
        </ext>
      </extLst>
    </bk>
    <bk>
      <extLst>
        <ext uri="{3e2802c4-a4d2-4d8b-9148-e3be6c30e623}">
          <xlrd:rvb i="1565"/>
        </ext>
      </extLst>
    </bk>
    <bk>
      <extLst>
        <ext uri="{3e2802c4-a4d2-4d8b-9148-e3be6c30e623}">
          <xlrd:rvb i="1566"/>
        </ext>
      </extLst>
    </bk>
    <bk>
      <extLst>
        <ext uri="{3e2802c4-a4d2-4d8b-9148-e3be6c30e623}">
          <xlrd:rvb i="1567"/>
        </ext>
      </extLst>
    </bk>
    <bk>
      <extLst>
        <ext uri="{3e2802c4-a4d2-4d8b-9148-e3be6c30e623}">
          <xlrd:rvb i="1568"/>
        </ext>
      </extLst>
    </bk>
    <bk>
      <extLst>
        <ext uri="{3e2802c4-a4d2-4d8b-9148-e3be6c30e623}">
          <xlrd:rvb i="1569"/>
        </ext>
      </extLst>
    </bk>
    <bk>
      <extLst>
        <ext uri="{3e2802c4-a4d2-4d8b-9148-e3be6c30e623}">
          <xlrd:rvb i="1570"/>
        </ext>
      </extLst>
    </bk>
    <bk>
      <extLst>
        <ext uri="{3e2802c4-a4d2-4d8b-9148-e3be6c30e623}">
          <xlrd:rvb i="1571"/>
        </ext>
      </extLst>
    </bk>
    <bk>
      <extLst>
        <ext uri="{3e2802c4-a4d2-4d8b-9148-e3be6c30e623}">
          <xlrd:rvb i="1572"/>
        </ext>
      </extLst>
    </bk>
    <bk>
      <extLst>
        <ext uri="{3e2802c4-a4d2-4d8b-9148-e3be6c30e623}">
          <xlrd:rvb i="1573"/>
        </ext>
      </extLst>
    </bk>
    <bk>
      <extLst>
        <ext uri="{3e2802c4-a4d2-4d8b-9148-e3be6c30e623}">
          <xlrd:rvb i="1574"/>
        </ext>
      </extLst>
    </bk>
    <bk>
      <extLst>
        <ext uri="{3e2802c4-a4d2-4d8b-9148-e3be6c30e623}">
          <xlrd:rvb i="1575"/>
        </ext>
      </extLst>
    </bk>
    <bk>
      <extLst>
        <ext uri="{3e2802c4-a4d2-4d8b-9148-e3be6c30e623}">
          <xlrd:rvb i="1576"/>
        </ext>
      </extLst>
    </bk>
    <bk>
      <extLst>
        <ext uri="{3e2802c4-a4d2-4d8b-9148-e3be6c30e623}">
          <xlrd:rvb i="1577"/>
        </ext>
      </extLst>
    </bk>
    <bk>
      <extLst>
        <ext uri="{3e2802c4-a4d2-4d8b-9148-e3be6c30e623}">
          <xlrd:rvb i="1578"/>
        </ext>
      </extLst>
    </bk>
    <bk>
      <extLst>
        <ext uri="{3e2802c4-a4d2-4d8b-9148-e3be6c30e623}">
          <xlrd:rvb i="1579"/>
        </ext>
      </extLst>
    </bk>
    <bk>
      <extLst>
        <ext uri="{3e2802c4-a4d2-4d8b-9148-e3be6c30e623}">
          <xlrd:rvb i="1580"/>
        </ext>
      </extLst>
    </bk>
    <bk>
      <extLst>
        <ext uri="{3e2802c4-a4d2-4d8b-9148-e3be6c30e623}">
          <xlrd:rvb i="1581"/>
        </ext>
      </extLst>
    </bk>
    <bk>
      <extLst>
        <ext uri="{3e2802c4-a4d2-4d8b-9148-e3be6c30e623}">
          <xlrd:rvb i="1582"/>
        </ext>
      </extLst>
    </bk>
    <bk>
      <extLst>
        <ext uri="{3e2802c4-a4d2-4d8b-9148-e3be6c30e623}">
          <xlrd:rvb i="1583"/>
        </ext>
      </extLst>
    </bk>
    <bk>
      <extLst>
        <ext uri="{3e2802c4-a4d2-4d8b-9148-e3be6c30e623}">
          <xlrd:rvb i="1584"/>
        </ext>
      </extLst>
    </bk>
    <bk>
      <extLst>
        <ext uri="{3e2802c4-a4d2-4d8b-9148-e3be6c30e623}">
          <xlrd:rvb i="1585"/>
        </ext>
      </extLst>
    </bk>
    <bk>
      <extLst>
        <ext uri="{3e2802c4-a4d2-4d8b-9148-e3be6c30e623}">
          <xlrd:rvb i="1586"/>
        </ext>
      </extLst>
    </bk>
    <bk>
      <extLst>
        <ext uri="{3e2802c4-a4d2-4d8b-9148-e3be6c30e623}">
          <xlrd:rvb i="1587"/>
        </ext>
      </extLst>
    </bk>
    <bk>
      <extLst>
        <ext uri="{3e2802c4-a4d2-4d8b-9148-e3be6c30e623}">
          <xlrd:rvb i="1588"/>
        </ext>
      </extLst>
    </bk>
    <bk>
      <extLst>
        <ext uri="{3e2802c4-a4d2-4d8b-9148-e3be6c30e623}">
          <xlrd:rvb i="1589"/>
        </ext>
      </extLst>
    </bk>
    <bk>
      <extLst>
        <ext uri="{3e2802c4-a4d2-4d8b-9148-e3be6c30e623}">
          <xlrd:rvb i="1590"/>
        </ext>
      </extLst>
    </bk>
    <bk>
      <extLst>
        <ext uri="{3e2802c4-a4d2-4d8b-9148-e3be6c30e623}">
          <xlrd:rvb i="1591"/>
        </ext>
      </extLst>
    </bk>
    <bk>
      <extLst>
        <ext uri="{3e2802c4-a4d2-4d8b-9148-e3be6c30e623}">
          <xlrd:rvb i="1592"/>
        </ext>
      </extLst>
    </bk>
    <bk>
      <extLst>
        <ext uri="{3e2802c4-a4d2-4d8b-9148-e3be6c30e623}">
          <xlrd:rvb i="1593"/>
        </ext>
      </extLst>
    </bk>
    <bk>
      <extLst>
        <ext uri="{3e2802c4-a4d2-4d8b-9148-e3be6c30e623}">
          <xlrd:rvb i="1594"/>
        </ext>
      </extLst>
    </bk>
    <bk>
      <extLst>
        <ext uri="{3e2802c4-a4d2-4d8b-9148-e3be6c30e623}">
          <xlrd:rvb i="1595"/>
        </ext>
      </extLst>
    </bk>
    <bk>
      <extLst>
        <ext uri="{3e2802c4-a4d2-4d8b-9148-e3be6c30e623}">
          <xlrd:rvb i="1596"/>
        </ext>
      </extLst>
    </bk>
    <bk>
      <extLst>
        <ext uri="{3e2802c4-a4d2-4d8b-9148-e3be6c30e623}">
          <xlrd:rvb i="1597"/>
        </ext>
      </extLst>
    </bk>
    <bk>
      <extLst>
        <ext uri="{3e2802c4-a4d2-4d8b-9148-e3be6c30e623}">
          <xlrd:rvb i="1598"/>
        </ext>
      </extLst>
    </bk>
    <bk>
      <extLst>
        <ext uri="{3e2802c4-a4d2-4d8b-9148-e3be6c30e623}">
          <xlrd:rvb i="1599"/>
        </ext>
      </extLst>
    </bk>
    <bk>
      <extLst>
        <ext uri="{3e2802c4-a4d2-4d8b-9148-e3be6c30e623}">
          <xlrd:rvb i="1600"/>
        </ext>
      </extLst>
    </bk>
    <bk>
      <extLst>
        <ext uri="{3e2802c4-a4d2-4d8b-9148-e3be6c30e623}">
          <xlrd:rvb i="1601"/>
        </ext>
      </extLst>
    </bk>
    <bk>
      <extLst>
        <ext uri="{3e2802c4-a4d2-4d8b-9148-e3be6c30e623}">
          <xlrd:rvb i="1602"/>
        </ext>
      </extLst>
    </bk>
    <bk>
      <extLst>
        <ext uri="{3e2802c4-a4d2-4d8b-9148-e3be6c30e623}">
          <xlrd:rvb i="1603"/>
        </ext>
      </extLst>
    </bk>
    <bk>
      <extLst>
        <ext uri="{3e2802c4-a4d2-4d8b-9148-e3be6c30e623}">
          <xlrd:rvb i="1604"/>
        </ext>
      </extLst>
    </bk>
    <bk>
      <extLst>
        <ext uri="{3e2802c4-a4d2-4d8b-9148-e3be6c30e623}">
          <xlrd:rvb i="1605"/>
        </ext>
      </extLst>
    </bk>
    <bk>
      <extLst>
        <ext uri="{3e2802c4-a4d2-4d8b-9148-e3be6c30e623}">
          <xlrd:rvb i="1606"/>
        </ext>
      </extLst>
    </bk>
    <bk>
      <extLst>
        <ext uri="{3e2802c4-a4d2-4d8b-9148-e3be6c30e623}">
          <xlrd:rvb i="1607"/>
        </ext>
      </extLst>
    </bk>
    <bk>
      <extLst>
        <ext uri="{3e2802c4-a4d2-4d8b-9148-e3be6c30e623}">
          <xlrd:rvb i="1608"/>
        </ext>
      </extLst>
    </bk>
    <bk>
      <extLst>
        <ext uri="{3e2802c4-a4d2-4d8b-9148-e3be6c30e623}">
          <xlrd:rvb i="1609"/>
        </ext>
      </extLst>
    </bk>
    <bk>
      <extLst>
        <ext uri="{3e2802c4-a4d2-4d8b-9148-e3be6c30e623}">
          <xlrd:rvb i="1610"/>
        </ext>
      </extLst>
    </bk>
    <bk>
      <extLst>
        <ext uri="{3e2802c4-a4d2-4d8b-9148-e3be6c30e623}">
          <xlrd:rvb i="1611"/>
        </ext>
      </extLst>
    </bk>
    <bk>
      <extLst>
        <ext uri="{3e2802c4-a4d2-4d8b-9148-e3be6c30e623}">
          <xlrd:rvb i="1612"/>
        </ext>
      </extLst>
    </bk>
    <bk>
      <extLst>
        <ext uri="{3e2802c4-a4d2-4d8b-9148-e3be6c30e623}">
          <xlrd:rvb i="1613"/>
        </ext>
      </extLst>
    </bk>
    <bk>
      <extLst>
        <ext uri="{3e2802c4-a4d2-4d8b-9148-e3be6c30e623}">
          <xlrd:rvb i="1614"/>
        </ext>
      </extLst>
    </bk>
    <bk>
      <extLst>
        <ext uri="{3e2802c4-a4d2-4d8b-9148-e3be6c30e623}">
          <xlrd:rvb i="1615"/>
        </ext>
      </extLst>
    </bk>
    <bk>
      <extLst>
        <ext uri="{3e2802c4-a4d2-4d8b-9148-e3be6c30e623}">
          <xlrd:rvb i="1616"/>
        </ext>
      </extLst>
    </bk>
    <bk>
      <extLst>
        <ext uri="{3e2802c4-a4d2-4d8b-9148-e3be6c30e623}">
          <xlrd:rvb i="1617"/>
        </ext>
      </extLst>
    </bk>
    <bk>
      <extLst>
        <ext uri="{3e2802c4-a4d2-4d8b-9148-e3be6c30e623}">
          <xlrd:rvb i="1618"/>
        </ext>
      </extLst>
    </bk>
    <bk>
      <extLst>
        <ext uri="{3e2802c4-a4d2-4d8b-9148-e3be6c30e623}">
          <xlrd:rvb i="1619"/>
        </ext>
      </extLst>
    </bk>
    <bk>
      <extLst>
        <ext uri="{3e2802c4-a4d2-4d8b-9148-e3be6c30e623}">
          <xlrd:rvb i="1620"/>
        </ext>
      </extLst>
    </bk>
    <bk>
      <extLst>
        <ext uri="{3e2802c4-a4d2-4d8b-9148-e3be6c30e623}">
          <xlrd:rvb i="1621"/>
        </ext>
      </extLst>
    </bk>
    <bk>
      <extLst>
        <ext uri="{3e2802c4-a4d2-4d8b-9148-e3be6c30e623}">
          <xlrd:rvb i="1622"/>
        </ext>
      </extLst>
    </bk>
    <bk>
      <extLst>
        <ext uri="{3e2802c4-a4d2-4d8b-9148-e3be6c30e623}">
          <xlrd:rvb i="1623"/>
        </ext>
      </extLst>
    </bk>
    <bk>
      <extLst>
        <ext uri="{3e2802c4-a4d2-4d8b-9148-e3be6c30e623}">
          <xlrd:rvb i="1624"/>
        </ext>
      </extLst>
    </bk>
    <bk>
      <extLst>
        <ext uri="{3e2802c4-a4d2-4d8b-9148-e3be6c30e623}">
          <xlrd:rvb i="1625"/>
        </ext>
      </extLst>
    </bk>
    <bk>
      <extLst>
        <ext uri="{3e2802c4-a4d2-4d8b-9148-e3be6c30e623}">
          <xlrd:rvb i="1626"/>
        </ext>
      </extLst>
    </bk>
    <bk>
      <extLst>
        <ext uri="{3e2802c4-a4d2-4d8b-9148-e3be6c30e623}">
          <xlrd:rvb i="1627"/>
        </ext>
      </extLst>
    </bk>
    <bk>
      <extLst>
        <ext uri="{3e2802c4-a4d2-4d8b-9148-e3be6c30e623}">
          <xlrd:rvb i="1628"/>
        </ext>
      </extLst>
    </bk>
    <bk>
      <extLst>
        <ext uri="{3e2802c4-a4d2-4d8b-9148-e3be6c30e623}">
          <xlrd:rvb i="1629"/>
        </ext>
      </extLst>
    </bk>
    <bk>
      <extLst>
        <ext uri="{3e2802c4-a4d2-4d8b-9148-e3be6c30e623}">
          <xlrd:rvb i="1630"/>
        </ext>
      </extLst>
    </bk>
    <bk>
      <extLst>
        <ext uri="{3e2802c4-a4d2-4d8b-9148-e3be6c30e623}">
          <xlrd:rvb i="1631"/>
        </ext>
      </extLst>
    </bk>
    <bk>
      <extLst>
        <ext uri="{3e2802c4-a4d2-4d8b-9148-e3be6c30e623}">
          <xlrd:rvb i="1632"/>
        </ext>
      </extLst>
    </bk>
    <bk>
      <extLst>
        <ext uri="{3e2802c4-a4d2-4d8b-9148-e3be6c30e623}">
          <xlrd:rvb i="1633"/>
        </ext>
      </extLst>
    </bk>
    <bk>
      <extLst>
        <ext uri="{3e2802c4-a4d2-4d8b-9148-e3be6c30e623}">
          <xlrd:rvb i="1634"/>
        </ext>
      </extLst>
    </bk>
    <bk>
      <extLst>
        <ext uri="{3e2802c4-a4d2-4d8b-9148-e3be6c30e623}">
          <xlrd:rvb i="1635"/>
        </ext>
      </extLst>
    </bk>
    <bk>
      <extLst>
        <ext uri="{3e2802c4-a4d2-4d8b-9148-e3be6c30e623}">
          <xlrd:rvb i="1636"/>
        </ext>
      </extLst>
    </bk>
    <bk>
      <extLst>
        <ext uri="{3e2802c4-a4d2-4d8b-9148-e3be6c30e623}">
          <xlrd:rvb i="1637"/>
        </ext>
      </extLst>
    </bk>
    <bk>
      <extLst>
        <ext uri="{3e2802c4-a4d2-4d8b-9148-e3be6c30e623}">
          <xlrd:rvb i="1638"/>
        </ext>
      </extLst>
    </bk>
    <bk>
      <extLst>
        <ext uri="{3e2802c4-a4d2-4d8b-9148-e3be6c30e623}">
          <xlrd:rvb i="1639"/>
        </ext>
      </extLst>
    </bk>
    <bk>
      <extLst>
        <ext uri="{3e2802c4-a4d2-4d8b-9148-e3be6c30e623}">
          <xlrd:rvb i="1640"/>
        </ext>
      </extLst>
    </bk>
    <bk>
      <extLst>
        <ext uri="{3e2802c4-a4d2-4d8b-9148-e3be6c30e623}">
          <xlrd:rvb i="1641"/>
        </ext>
      </extLst>
    </bk>
    <bk>
      <extLst>
        <ext uri="{3e2802c4-a4d2-4d8b-9148-e3be6c30e623}">
          <xlrd:rvb i="1642"/>
        </ext>
      </extLst>
    </bk>
    <bk>
      <extLst>
        <ext uri="{3e2802c4-a4d2-4d8b-9148-e3be6c30e623}">
          <xlrd:rvb i="1643"/>
        </ext>
      </extLst>
    </bk>
    <bk>
      <extLst>
        <ext uri="{3e2802c4-a4d2-4d8b-9148-e3be6c30e623}">
          <xlrd:rvb i="1644"/>
        </ext>
      </extLst>
    </bk>
    <bk>
      <extLst>
        <ext uri="{3e2802c4-a4d2-4d8b-9148-e3be6c30e623}">
          <xlrd:rvb i="1645"/>
        </ext>
      </extLst>
    </bk>
    <bk>
      <extLst>
        <ext uri="{3e2802c4-a4d2-4d8b-9148-e3be6c30e623}">
          <xlrd:rvb i="1646"/>
        </ext>
      </extLst>
    </bk>
    <bk>
      <extLst>
        <ext uri="{3e2802c4-a4d2-4d8b-9148-e3be6c30e623}">
          <xlrd:rvb i="1647"/>
        </ext>
      </extLst>
    </bk>
    <bk>
      <extLst>
        <ext uri="{3e2802c4-a4d2-4d8b-9148-e3be6c30e623}">
          <xlrd:rvb i="1648"/>
        </ext>
      </extLst>
    </bk>
    <bk>
      <extLst>
        <ext uri="{3e2802c4-a4d2-4d8b-9148-e3be6c30e623}">
          <xlrd:rvb i="1649"/>
        </ext>
      </extLst>
    </bk>
    <bk>
      <extLst>
        <ext uri="{3e2802c4-a4d2-4d8b-9148-e3be6c30e623}">
          <xlrd:rvb i="1650"/>
        </ext>
      </extLst>
    </bk>
    <bk>
      <extLst>
        <ext uri="{3e2802c4-a4d2-4d8b-9148-e3be6c30e623}">
          <xlrd:rvb i="1651"/>
        </ext>
      </extLst>
    </bk>
    <bk>
      <extLst>
        <ext uri="{3e2802c4-a4d2-4d8b-9148-e3be6c30e623}">
          <xlrd:rvb i="1652"/>
        </ext>
      </extLst>
    </bk>
    <bk>
      <extLst>
        <ext uri="{3e2802c4-a4d2-4d8b-9148-e3be6c30e623}">
          <xlrd:rvb i="1653"/>
        </ext>
      </extLst>
    </bk>
    <bk>
      <extLst>
        <ext uri="{3e2802c4-a4d2-4d8b-9148-e3be6c30e623}">
          <xlrd:rvb i="1654"/>
        </ext>
      </extLst>
    </bk>
    <bk>
      <extLst>
        <ext uri="{3e2802c4-a4d2-4d8b-9148-e3be6c30e623}">
          <xlrd:rvb i="1655"/>
        </ext>
      </extLst>
    </bk>
    <bk>
      <extLst>
        <ext uri="{3e2802c4-a4d2-4d8b-9148-e3be6c30e623}">
          <xlrd:rvb i="1656"/>
        </ext>
      </extLst>
    </bk>
    <bk>
      <extLst>
        <ext uri="{3e2802c4-a4d2-4d8b-9148-e3be6c30e623}">
          <xlrd:rvb i="1657"/>
        </ext>
      </extLst>
    </bk>
    <bk>
      <extLst>
        <ext uri="{3e2802c4-a4d2-4d8b-9148-e3be6c30e623}">
          <xlrd:rvb i="1658"/>
        </ext>
      </extLst>
    </bk>
    <bk>
      <extLst>
        <ext uri="{3e2802c4-a4d2-4d8b-9148-e3be6c30e623}">
          <xlrd:rvb i="1659"/>
        </ext>
      </extLst>
    </bk>
    <bk>
      <extLst>
        <ext uri="{3e2802c4-a4d2-4d8b-9148-e3be6c30e623}">
          <xlrd:rvb i="1660"/>
        </ext>
      </extLst>
    </bk>
    <bk>
      <extLst>
        <ext uri="{3e2802c4-a4d2-4d8b-9148-e3be6c30e623}">
          <xlrd:rvb i="1661"/>
        </ext>
      </extLst>
    </bk>
    <bk>
      <extLst>
        <ext uri="{3e2802c4-a4d2-4d8b-9148-e3be6c30e623}">
          <xlrd:rvb i="1662"/>
        </ext>
      </extLst>
    </bk>
    <bk>
      <extLst>
        <ext uri="{3e2802c4-a4d2-4d8b-9148-e3be6c30e623}">
          <xlrd:rvb i="1663"/>
        </ext>
      </extLst>
    </bk>
    <bk>
      <extLst>
        <ext uri="{3e2802c4-a4d2-4d8b-9148-e3be6c30e623}">
          <xlrd:rvb i="1664"/>
        </ext>
      </extLst>
    </bk>
    <bk>
      <extLst>
        <ext uri="{3e2802c4-a4d2-4d8b-9148-e3be6c30e623}">
          <xlrd:rvb i="1665"/>
        </ext>
      </extLst>
    </bk>
    <bk>
      <extLst>
        <ext uri="{3e2802c4-a4d2-4d8b-9148-e3be6c30e623}">
          <xlrd:rvb i="1666"/>
        </ext>
      </extLst>
    </bk>
    <bk>
      <extLst>
        <ext uri="{3e2802c4-a4d2-4d8b-9148-e3be6c30e623}">
          <xlrd:rvb i="1667"/>
        </ext>
      </extLst>
    </bk>
    <bk>
      <extLst>
        <ext uri="{3e2802c4-a4d2-4d8b-9148-e3be6c30e623}">
          <xlrd:rvb i="1668"/>
        </ext>
      </extLst>
    </bk>
    <bk>
      <extLst>
        <ext uri="{3e2802c4-a4d2-4d8b-9148-e3be6c30e623}">
          <xlrd:rvb i="1669"/>
        </ext>
      </extLst>
    </bk>
    <bk>
      <extLst>
        <ext uri="{3e2802c4-a4d2-4d8b-9148-e3be6c30e623}">
          <xlrd:rvb i="1670"/>
        </ext>
      </extLst>
    </bk>
    <bk>
      <extLst>
        <ext uri="{3e2802c4-a4d2-4d8b-9148-e3be6c30e623}">
          <xlrd:rvb i="1671"/>
        </ext>
      </extLst>
    </bk>
    <bk>
      <extLst>
        <ext uri="{3e2802c4-a4d2-4d8b-9148-e3be6c30e623}">
          <xlrd:rvb i="1672"/>
        </ext>
      </extLst>
    </bk>
    <bk>
      <extLst>
        <ext uri="{3e2802c4-a4d2-4d8b-9148-e3be6c30e623}">
          <xlrd:rvb i="1673"/>
        </ext>
      </extLst>
    </bk>
    <bk>
      <extLst>
        <ext uri="{3e2802c4-a4d2-4d8b-9148-e3be6c30e623}">
          <xlrd:rvb i="1674"/>
        </ext>
      </extLst>
    </bk>
    <bk>
      <extLst>
        <ext uri="{3e2802c4-a4d2-4d8b-9148-e3be6c30e623}">
          <xlrd:rvb i="1675"/>
        </ext>
      </extLst>
    </bk>
    <bk>
      <extLst>
        <ext uri="{3e2802c4-a4d2-4d8b-9148-e3be6c30e623}">
          <xlrd:rvb i="1676"/>
        </ext>
      </extLst>
    </bk>
    <bk>
      <extLst>
        <ext uri="{3e2802c4-a4d2-4d8b-9148-e3be6c30e623}">
          <xlrd:rvb i="1677"/>
        </ext>
      </extLst>
    </bk>
    <bk>
      <extLst>
        <ext uri="{3e2802c4-a4d2-4d8b-9148-e3be6c30e623}">
          <xlrd:rvb i="1678"/>
        </ext>
      </extLst>
    </bk>
    <bk>
      <extLst>
        <ext uri="{3e2802c4-a4d2-4d8b-9148-e3be6c30e623}">
          <xlrd:rvb i="1679"/>
        </ext>
      </extLst>
    </bk>
    <bk>
      <extLst>
        <ext uri="{3e2802c4-a4d2-4d8b-9148-e3be6c30e623}">
          <xlrd:rvb i="1680"/>
        </ext>
      </extLst>
    </bk>
    <bk>
      <extLst>
        <ext uri="{3e2802c4-a4d2-4d8b-9148-e3be6c30e623}">
          <xlrd:rvb i="1681"/>
        </ext>
      </extLst>
    </bk>
    <bk>
      <extLst>
        <ext uri="{3e2802c4-a4d2-4d8b-9148-e3be6c30e623}">
          <xlrd:rvb i="1682"/>
        </ext>
      </extLst>
    </bk>
    <bk>
      <extLst>
        <ext uri="{3e2802c4-a4d2-4d8b-9148-e3be6c30e623}">
          <xlrd:rvb i="1683"/>
        </ext>
      </extLst>
    </bk>
    <bk>
      <extLst>
        <ext uri="{3e2802c4-a4d2-4d8b-9148-e3be6c30e623}">
          <xlrd:rvb i="1684"/>
        </ext>
      </extLst>
    </bk>
    <bk>
      <extLst>
        <ext uri="{3e2802c4-a4d2-4d8b-9148-e3be6c30e623}">
          <xlrd:rvb i="1685"/>
        </ext>
      </extLst>
    </bk>
    <bk>
      <extLst>
        <ext uri="{3e2802c4-a4d2-4d8b-9148-e3be6c30e623}">
          <xlrd:rvb i="1686"/>
        </ext>
      </extLst>
    </bk>
    <bk>
      <extLst>
        <ext uri="{3e2802c4-a4d2-4d8b-9148-e3be6c30e623}">
          <xlrd:rvb i="1687"/>
        </ext>
      </extLst>
    </bk>
    <bk>
      <extLst>
        <ext uri="{3e2802c4-a4d2-4d8b-9148-e3be6c30e623}">
          <xlrd:rvb i="1688"/>
        </ext>
      </extLst>
    </bk>
    <bk>
      <extLst>
        <ext uri="{3e2802c4-a4d2-4d8b-9148-e3be6c30e623}">
          <xlrd:rvb i="1689"/>
        </ext>
      </extLst>
    </bk>
    <bk>
      <extLst>
        <ext uri="{3e2802c4-a4d2-4d8b-9148-e3be6c30e623}">
          <xlrd:rvb i="1690"/>
        </ext>
      </extLst>
    </bk>
    <bk>
      <extLst>
        <ext uri="{3e2802c4-a4d2-4d8b-9148-e3be6c30e623}">
          <xlrd:rvb i="1691"/>
        </ext>
      </extLst>
    </bk>
    <bk>
      <extLst>
        <ext uri="{3e2802c4-a4d2-4d8b-9148-e3be6c30e623}">
          <xlrd:rvb i="1692"/>
        </ext>
      </extLst>
    </bk>
    <bk>
      <extLst>
        <ext uri="{3e2802c4-a4d2-4d8b-9148-e3be6c30e623}">
          <xlrd:rvb i="1693"/>
        </ext>
      </extLst>
    </bk>
    <bk>
      <extLst>
        <ext uri="{3e2802c4-a4d2-4d8b-9148-e3be6c30e623}">
          <xlrd:rvb i="1694"/>
        </ext>
      </extLst>
    </bk>
    <bk>
      <extLst>
        <ext uri="{3e2802c4-a4d2-4d8b-9148-e3be6c30e623}">
          <xlrd:rvb i="1695"/>
        </ext>
      </extLst>
    </bk>
    <bk>
      <extLst>
        <ext uri="{3e2802c4-a4d2-4d8b-9148-e3be6c30e623}">
          <xlrd:rvb i="1696"/>
        </ext>
      </extLst>
    </bk>
    <bk>
      <extLst>
        <ext uri="{3e2802c4-a4d2-4d8b-9148-e3be6c30e623}">
          <xlrd:rvb i="1697"/>
        </ext>
      </extLst>
    </bk>
    <bk>
      <extLst>
        <ext uri="{3e2802c4-a4d2-4d8b-9148-e3be6c30e623}">
          <xlrd:rvb i="1698"/>
        </ext>
      </extLst>
    </bk>
    <bk>
      <extLst>
        <ext uri="{3e2802c4-a4d2-4d8b-9148-e3be6c30e623}">
          <xlrd:rvb i="1699"/>
        </ext>
      </extLst>
    </bk>
    <bk>
      <extLst>
        <ext uri="{3e2802c4-a4d2-4d8b-9148-e3be6c30e623}">
          <xlrd:rvb i="1700"/>
        </ext>
      </extLst>
    </bk>
    <bk>
      <extLst>
        <ext uri="{3e2802c4-a4d2-4d8b-9148-e3be6c30e623}">
          <xlrd:rvb i="1701"/>
        </ext>
      </extLst>
    </bk>
    <bk>
      <extLst>
        <ext uri="{3e2802c4-a4d2-4d8b-9148-e3be6c30e623}">
          <xlrd:rvb i="1702"/>
        </ext>
      </extLst>
    </bk>
    <bk>
      <extLst>
        <ext uri="{3e2802c4-a4d2-4d8b-9148-e3be6c30e623}">
          <xlrd:rvb i="1703"/>
        </ext>
      </extLst>
    </bk>
    <bk>
      <extLst>
        <ext uri="{3e2802c4-a4d2-4d8b-9148-e3be6c30e623}">
          <xlrd:rvb i="1704"/>
        </ext>
      </extLst>
    </bk>
    <bk>
      <extLst>
        <ext uri="{3e2802c4-a4d2-4d8b-9148-e3be6c30e623}">
          <xlrd:rvb i="1705"/>
        </ext>
      </extLst>
    </bk>
    <bk>
      <extLst>
        <ext uri="{3e2802c4-a4d2-4d8b-9148-e3be6c30e623}">
          <xlrd:rvb i="1706"/>
        </ext>
      </extLst>
    </bk>
    <bk>
      <extLst>
        <ext uri="{3e2802c4-a4d2-4d8b-9148-e3be6c30e623}">
          <xlrd:rvb i="1707"/>
        </ext>
      </extLst>
    </bk>
    <bk>
      <extLst>
        <ext uri="{3e2802c4-a4d2-4d8b-9148-e3be6c30e623}">
          <xlrd:rvb i="1708"/>
        </ext>
      </extLst>
    </bk>
    <bk>
      <extLst>
        <ext uri="{3e2802c4-a4d2-4d8b-9148-e3be6c30e623}">
          <xlrd:rvb i="1709"/>
        </ext>
      </extLst>
    </bk>
    <bk>
      <extLst>
        <ext uri="{3e2802c4-a4d2-4d8b-9148-e3be6c30e623}">
          <xlrd:rvb i="1710"/>
        </ext>
      </extLst>
    </bk>
    <bk>
      <extLst>
        <ext uri="{3e2802c4-a4d2-4d8b-9148-e3be6c30e623}">
          <xlrd:rvb i="1711"/>
        </ext>
      </extLst>
    </bk>
    <bk>
      <extLst>
        <ext uri="{3e2802c4-a4d2-4d8b-9148-e3be6c30e623}">
          <xlrd:rvb i="1712"/>
        </ext>
      </extLst>
    </bk>
    <bk>
      <extLst>
        <ext uri="{3e2802c4-a4d2-4d8b-9148-e3be6c30e623}">
          <xlrd:rvb i="1713"/>
        </ext>
      </extLst>
    </bk>
    <bk>
      <extLst>
        <ext uri="{3e2802c4-a4d2-4d8b-9148-e3be6c30e623}">
          <xlrd:rvb i="1714"/>
        </ext>
      </extLst>
    </bk>
    <bk>
      <extLst>
        <ext uri="{3e2802c4-a4d2-4d8b-9148-e3be6c30e623}">
          <xlrd:rvb i="1715"/>
        </ext>
      </extLst>
    </bk>
    <bk>
      <extLst>
        <ext uri="{3e2802c4-a4d2-4d8b-9148-e3be6c30e623}">
          <xlrd:rvb i="1716"/>
        </ext>
      </extLst>
    </bk>
    <bk>
      <extLst>
        <ext uri="{3e2802c4-a4d2-4d8b-9148-e3be6c30e623}">
          <xlrd:rvb i="1717"/>
        </ext>
      </extLst>
    </bk>
    <bk>
      <extLst>
        <ext uri="{3e2802c4-a4d2-4d8b-9148-e3be6c30e623}">
          <xlrd:rvb i="1718"/>
        </ext>
      </extLst>
    </bk>
    <bk>
      <extLst>
        <ext uri="{3e2802c4-a4d2-4d8b-9148-e3be6c30e623}">
          <xlrd:rvb i="1719"/>
        </ext>
      </extLst>
    </bk>
    <bk>
      <extLst>
        <ext uri="{3e2802c4-a4d2-4d8b-9148-e3be6c30e623}">
          <xlrd:rvb i="1720"/>
        </ext>
      </extLst>
    </bk>
    <bk>
      <extLst>
        <ext uri="{3e2802c4-a4d2-4d8b-9148-e3be6c30e623}">
          <xlrd:rvb i="1721"/>
        </ext>
      </extLst>
    </bk>
    <bk>
      <extLst>
        <ext uri="{3e2802c4-a4d2-4d8b-9148-e3be6c30e623}">
          <xlrd:rvb i="1722"/>
        </ext>
      </extLst>
    </bk>
    <bk>
      <extLst>
        <ext uri="{3e2802c4-a4d2-4d8b-9148-e3be6c30e623}">
          <xlrd:rvb i="1723"/>
        </ext>
      </extLst>
    </bk>
    <bk>
      <extLst>
        <ext uri="{3e2802c4-a4d2-4d8b-9148-e3be6c30e623}">
          <xlrd:rvb i="1724"/>
        </ext>
      </extLst>
    </bk>
    <bk>
      <extLst>
        <ext uri="{3e2802c4-a4d2-4d8b-9148-e3be6c30e623}">
          <xlrd:rvb i="1725"/>
        </ext>
      </extLst>
    </bk>
    <bk>
      <extLst>
        <ext uri="{3e2802c4-a4d2-4d8b-9148-e3be6c30e623}">
          <xlrd:rvb i="1726"/>
        </ext>
      </extLst>
    </bk>
    <bk>
      <extLst>
        <ext uri="{3e2802c4-a4d2-4d8b-9148-e3be6c30e623}">
          <xlrd:rvb i="1727"/>
        </ext>
      </extLst>
    </bk>
    <bk>
      <extLst>
        <ext uri="{3e2802c4-a4d2-4d8b-9148-e3be6c30e623}">
          <xlrd:rvb i="1728"/>
        </ext>
      </extLst>
    </bk>
    <bk>
      <extLst>
        <ext uri="{3e2802c4-a4d2-4d8b-9148-e3be6c30e623}">
          <xlrd:rvb i="1729"/>
        </ext>
      </extLst>
    </bk>
    <bk>
      <extLst>
        <ext uri="{3e2802c4-a4d2-4d8b-9148-e3be6c30e623}">
          <xlrd:rvb i="1730"/>
        </ext>
      </extLst>
    </bk>
    <bk>
      <extLst>
        <ext uri="{3e2802c4-a4d2-4d8b-9148-e3be6c30e623}">
          <xlrd:rvb i="1731"/>
        </ext>
      </extLst>
    </bk>
    <bk>
      <extLst>
        <ext uri="{3e2802c4-a4d2-4d8b-9148-e3be6c30e623}">
          <xlrd:rvb i="1732"/>
        </ext>
      </extLst>
    </bk>
    <bk>
      <extLst>
        <ext uri="{3e2802c4-a4d2-4d8b-9148-e3be6c30e623}">
          <xlrd:rvb i="1733"/>
        </ext>
      </extLst>
    </bk>
    <bk>
      <extLst>
        <ext uri="{3e2802c4-a4d2-4d8b-9148-e3be6c30e623}">
          <xlrd:rvb i="1734"/>
        </ext>
      </extLst>
    </bk>
    <bk>
      <extLst>
        <ext uri="{3e2802c4-a4d2-4d8b-9148-e3be6c30e623}">
          <xlrd:rvb i="1735"/>
        </ext>
      </extLst>
    </bk>
    <bk>
      <extLst>
        <ext uri="{3e2802c4-a4d2-4d8b-9148-e3be6c30e623}">
          <xlrd:rvb i="1736"/>
        </ext>
      </extLst>
    </bk>
    <bk>
      <extLst>
        <ext uri="{3e2802c4-a4d2-4d8b-9148-e3be6c30e623}">
          <xlrd:rvb i="1737"/>
        </ext>
      </extLst>
    </bk>
    <bk>
      <extLst>
        <ext uri="{3e2802c4-a4d2-4d8b-9148-e3be6c30e623}">
          <xlrd:rvb i="1738"/>
        </ext>
      </extLst>
    </bk>
    <bk>
      <extLst>
        <ext uri="{3e2802c4-a4d2-4d8b-9148-e3be6c30e623}">
          <xlrd:rvb i="1739"/>
        </ext>
      </extLst>
    </bk>
    <bk>
      <extLst>
        <ext uri="{3e2802c4-a4d2-4d8b-9148-e3be6c30e623}">
          <xlrd:rvb i="1740"/>
        </ext>
      </extLst>
    </bk>
    <bk>
      <extLst>
        <ext uri="{3e2802c4-a4d2-4d8b-9148-e3be6c30e623}">
          <xlrd:rvb i="1741"/>
        </ext>
      </extLst>
    </bk>
    <bk>
      <extLst>
        <ext uri="{3e2802c4-a4d2-4d8b-9148-e3be6c30e623}">
          <xlrd:rvb i="1742"/>
        </ext>
      </extLst>
    </bk>
    <bk>
      <extLst>
        <ext uri="{3e2802c4-a4d2-4d8b-9148-e3be6c30e623}">
          <xlrd:rvb i="1743"/>
        </ext>
      </extLst>
    </bk>
    <bk>
      <extLst>
        <ext uri="{3e2802c4-a4d2-4d8b-9148-e3be6c30e623}">
          <xlrd:rvb i="1744"/>
        </ext>
      </extLst>
    </bk>
    <bk>
      <extLst>
        <ext uri="{3e2802c4-a4d2-4d8b-9148-e3be6c30e623}">
          <xlrd:rvb i="1745"/>
        </ext>
      </extLst>
    </bk>
    <bk>
      <extLst>
        <ext uri="{3e2802c4-a4d2-4d8b-9148-e3be6c30e623}">
          <xlrd:rvb i="1746"/>
        </ext>
      </extLst>
    </bk>
    <bk>
      <extLst>
        <ext uri="{3e2802c4-a4d2-4d8b-9148-e3be6c30e623}">
          <xlrd:rvb i="1747"/>
        </ext>
      </extLst>
    </bk>
    <bk>
      <extLst>
        <ext uri="{3e2802c4-a4d2-4d8b-9148-e3be6c30e623}">
          <xlrd:rvb i="1748"/>
        </ext>
      </extLst>
    </bk>
    <bk>
      <extLst>
        <ext uri="{3e2802c4-a4d2-4d8b-9148-e3be6c30e623}">
          <xlrd:rvb i="1749"/>
        </ext>
      </extLst>
    </bk>
    <bk>
      <extLst>
        <ext uri="{3e2802c4-a4d2-4d8b-9148-e3be6c30e623}">
          <xlrd:rvb i="1750"/>
        </ext>
      </extLst>
    </bk>
    <bk>
      <extLst>
        <ext uri="{3e2802c4-a4d2-4d8b-9148-e3be6c30e623}">
          <xlrd:rvb i="1751"/>
        </ext>
      </extLst>
    </bk>
    <bk>
      <extLst>
        <ext uri="{3e2802c4-a4d2-4d8b-9148-e3be6c30e623}">
          <xlrd:rvb i="1752"/>
        </ext>
      </extLst>
    </bk>
    <bk>
      <extLst>
        <ext uri="{3e2802c4-a4d2-4d8b-9148-e3be6c30e623}">
          <xlrd:rvb i="1753"/>
        </ext>
      </extLst>
    </bk>
    <bk>
      <extLst>
        <ext uri="{3e2802c4-a4d2-4d8b-9148-e3be6c30e623}">
          <xlrd:rvb i="1754"/>
        </ext>
      </extLst>
    </bk>
    <bk>
      <extLst>
        <ext uri="{3e2802c4-a4d2-4d8b-9148-e3be6c30e623}">
          <xlrd:rvb i="1755"/>
        </ext>
      </extLst>
    </bk>
    <bk>
      <extLst>
        <ext uri="{3e2802c4-a4d2-4d8b-9148-e3be6c30e623}">
          <xlrd:rvb i="1756"/>
        </ext>
      </extLst>
    </bk>
    <bk>
      <extLst>
        <ext uri="{3e2802c4-a4d2-4d8b-9148-e3be6c30e623}">
          <xlrd:rvb i="1757"/>
        </ext>
      </extLst>
    </bk>
    <bk>
      <extLst>
        <ext uri="{3e2802c4-a4d2-4d8b-9148-e3be6c30e623}">
          <xlrd:rvb i="1758"/>
        </ext>
      </extLst>
    </bk>
    <bk>
      <extLst>
        <ext uri="{3e2802c4-a4d2-4d8b-9148-e3be6c30e623}">
          <xlrd:rvb i="1759"/>
        </ext>
      </extLst>
    </bk>
    <bk>
      <extLst>
        <ext uri="{3e2802c4-a4d2-4d8b-9148-e3be6c30e623}">
          <xlrd:rvb i="1760"/>
        </ext>
      </extLst>
    </bk>
    <bk>
      <extLst>
        <ext uri="{3e2802c4-a4d2-4d8b-9148-e3be6c30e623}">
          <xlrd:rvb i="1761"/>
        </ext>
      </extLst>
    </bk>
    <bk>
      <extLst>
        <ext uri="{3e2802c4-a4d2-4d8b-9148-e3be6c30e623}">
          <xlrd:rvb i="1762"/>
        </ext>
      </extLst>
    </bk>
    <bk>
      <extLst>
        <ext uri="{3e2802c4-a4d2-4d8b-9148-e3be6c30e623}">
          <xlrd:rvb i="1763"/>
        </ext>
      </extLst>
    </bk>
    <bk>
      <extLst>
        <ext uri="{3e2802c4-a4d2-4d8b-9148-e3be6c30e623}">
          <xlrd:rvb i="1764"/>
        </ext>
      </extLst>
    </bk>
    <bk>
      <extLst>
        <ext uri="{3e2802c4-a4d2-4d8b-9148-e3be6c30e623}">
          <xlrd:rvb i="1765"/>
        </ext>
      </extLst>
    </bk>
    <bk>
      <extLst>
        <ext uri="{3e2802c4-a4d2-4d8b-9148-e3be6c30e623}">
          <xlrd:rvb i="1766"/>
        </ext>
      </extLst>
    </bk>
    <bk>
      <extLst>
        <ext uri="{3e2802c4-a4d2-4d8b-9148-e3be6c30e623}">
          <xlrd:rvb i="1767"/>
        </ext>
      </extLst>
    </bk>
    <bk>
      <extLst>
        <ext uri="{3e2802c4-a4d2-4d8b-9148-e3be6c30e623}">
          <xlrd:rvb i="1768"/>
        </ext>
      </extLst>
    </bk>
    <bk>
      <extLst>
        <ext uri="{3e2802c4-a4d2-4d8b-9148-e3be6c30e623}">
          <xlrd:rvb i="1769"/>
        </ext>
      </extLst>
    </bk>
    <bk>
      <extLst>
        <ext uri="{3e2802c4-a4d2-4d8b-9148-e3be6c30e623}">
          <xlrd:rvb i="1770"/>
        </ext>
      </extLst>
    </bk>
    <bk>
      <extLst>
        <ext uri="{3e2802c4-a4d2-4d8b-9148-e3be6c30e623}">
          <xlrd:rvb i="1771"/>
        </ext>
      </extLst>
    </bk>
    <bk>
      <extLst>
        <ext uri="{3e2802c4-a4d2-4d8b-9148-e3be6c30e623}">
          <xlrd:rvb i="1772"/>
        </ext>
      </extLst>
    </bk>
    <bk>
      <extLst>
        <ext uri="{3e2802c4-a4d2-4d8b-9148-e3be6c30e623}">
          <xlrd:rvb i="1773"/>
        </ext>
      </extLst>
    </bk>
    <bk>
      <extLst>
        <ext uri="{3e2802c4-a4d2-4d8b-9148-e3be6c30e623}">
          <xlrd:rvb i="1774"/>
        </ext>
      </extLst>
    </bk>
    <bk>
      <extLst>
        <ext uri="{3e2802c4-a4d2-4d8b-9148-e3be6c30e623}">
          <xlrd:rvb i="1775"/>
        </ext>
      </extLst>
    </bk>
    <bk>
      <extLst>
        <ext uri="{3e2802c4-a4d2-4d8b-9148-e3be6c30e623}">
          <xlrd:rvb i="1776"/>
        </ext>
      </extLst>
    </bk>
    <bk>
      <extLst>
        <ext uri="{3e2802c4-a4d2-4d8b-9148-e3be6c30e623}">
          <xlrd:rvb i="1777"/>
        </ext>
      </extLst>
    </bk>
    <bk>
      <extLst>
        <ext uri="{3e2802c4-a4d2-4d8b-9148-e3be6c30e623}">
          <xlrd:rvb i="1778"/>
        </ext>
      </extLst>
    </bk>
    <bk>
      <extLst>
        <ext uri="{3e2802c4-a4d2-4d8b-9148-e3be6c30e623}">
          <xlrd:rvb i="1779"/>
        </ext>
      </extLst>
    </bk>
    <bk>
      <extLst>
        <ext uri="{3e2802c4-a4d2-4d8b-9148-e3be6c30e623}">
          <xlrd:rvb i="1780"/>
        </ext>
      </extLst>
    </bk>
    <bk>
      <extLst>
        <ext uri="{3e2802c4-a4d2-4d8b-9148-e3be6c30e623}">
          <xlrd:rvb i="1781"/>
        </ext>
      </extLst>
    </bk>
    <bk>
      <extLst>
        <ext uri="{3e2802c4-a4d2-4d8b-9148-e3be6c30e623}">
          <xlrd:rvb i="1782"/>
        </ext>
      </extLst>
    </bk>
    <bk>
      <extLst>
        <ext uri="{3e2802c4-a4d2-4d8b-9148-e3be6c30e623}">
          <xlrd:rvb i="1783"/>
        </ext>
      </extLst>
    </bk>
    <bk>
      <extLst>
        <ext uri="{3e2802c4-a4d2-4d8b-9148-e3be6c30e623}">
          <xlrd:rvb i="1784"/>
        </ext>
      </extLst>
    </bk>
    <bk>
      <extLst>
        <ext uri="{3e2802c4-a4d2-4d8b-9148-e3be6c30e623}">
          <xlrd:rvb i="1785"/>
        </ext>
      </extLst>
    </bk>
    <bk>
      <extLst>
        <ext uri="{3e2802c4-a4d2-4d8b-9148-e3be6c30e623}">
          <xlrd:rvb i="1786"/>
        </ext>
      </extLst>
    </bk>
    <bk>
      <extLst>
        <ext uri="{3e2802c4-a4d2-4d8b-9148-e3be6c30e623}">
          <xlrd:rvb i="1787"/>
        </ext>
      </extLst>
    </bk>
    <bk>
      <extLst>
        <ext uri="{3e2802c4-a4d2-4d8b-9148-e3be6c30e623}">
          <xlrd:rvb i="1788"/>
        </ext>
      </extLst>
    </bk>
    <bk>
      <extLst>
        <ext uri="{3e2802c4-a4d2-4d8b-9148-e3be6c30e623}">
          <xlrd:rvb i="1789"/>
        </ext>
      </extLst>
    </bk>
    <bk>
      <extLst>
        <ext uri="{3e2802c4-a4d2-4d8b-9148-e3be6c30e623}">
          <xlrd:rvb i="1790"/>
        </ext>
      </extLst>
    </bk>
    <bk>
      <extLst>
        <ext uri="{3e2802c4-a4d2-4d8b-9148-e3be6c30e623}">
          <xlrd:rvb i="1791"/>
        </ext>
      </extLst>
    </bk>
    <bk>
      <extLst>
        <ext uri="{3e2802c4-a4d2-4d8b-9148-e3be6c30e623}">
          <xlrd:rvb i="1792"/>
        </ext>
      </extLst>
    </bk>
    <bk>
      <extLst>
        <ext uri="{3e2802c4-a4d2-4d8b-9148-e3be6c30e623}">
          <xlrd:rvb i="1793"/>
        </ext>
      </extLst>
    </bk>
    <bk>
      <extLst>
        <ext uri="{3e2802c4-a4d2-4d8b-9148-e3be6c30e623}">
          <xlrd:rvb i="1794"/>
        </ext>
      </extLst>
    </bk>
    <bk>
      <extLst>
        <ext uri="{3e2802c4-a4d2-4d8b-9148-e3be6c30e623}">
          <xlrd:rvb i="1795"/>
        </ext>
      </extLst>
    </bk>
    <bk>
      <extLst>
        <ext uri="{3e2802c4-a4d2-4d8b-9148-e3be6c30e623}">
          <xlrd:rvb i="1796"/>
        </ext>
      </extLst>
    </bk>
    <bk>
      <extLst>
        <ext uri="{3e2802c4-a4d2-4d8b-9148-e3be6c30e623}">
          <xlrd:rvb i="1797"/>
        </ext>
      </extLst>
    </bk>
    <bk>
      <extLst>
        <ext uri="{3e2802c4-a4d2-4d8b-9148-e3be6c30e623}">
          <xlrd:rvb i="1798"/>
        </ext>
      </extLst>
    </bk>
    <bk>
      <extLst>
        <ext uri="{3e2802c4-a4d2-4d8b-9148-e3be6c30e623}">
          <xlrd:rvb i="1799"/>
        </ext>
      </extLst>
    </bk>
    <bk>
      <extLst>
        <ext uri="{3e2802c4-a4d2-4d8b-9148-e3be6c30e623}">
          <xlrd:rvb i="1800"/>
        </ext>
      </extLst>
    </bk>
    <bk>
      <extLst>
        <ext uri="{3e2802c4-a4d2-4d8b-9148-e3be6c30e623}">
          <xlrd:rvb i="1801"/>
        </ext>
      </extLst>
    </bk>
    <bk>
      <extLst>
        <ext uri="{3e2802c4-a4d2-4d8b-9148-e3be6c30e623}">
          <xlrd:rvb i="1802"/>
        </ext>
      </extLst>
    </bk>
    <bk>
      <extLst>
        <ext uri="{3e2802c4-a4d2-4d8b-9148-e3be6c30e623}">
          <xlrd:rvb i="1803"/>
        </ext>
      </extLst>
    </bk>
    <bk>
      <extLst>
        <ext uri="{3e2802c4-a4d2-4d8b-9148-e3be6c30e623}">
          <xlrd:rvb i="1804"/>
        </ext>
      </extLst>
    </bk>
    <bk>
      <extLst>
        <ext uri="{3e2802c4-a4d2-4d8b-9148-e3be6c30e623}">
          <xlrd:rvb i="1805"/>
        </ext>
      </extLst>
    </bk>
    <bk>
      <extLst>
        <ext uri="{3e2802c4-a4d2-4d8b-9148-e3be6c30e623}">
          <xlrd:rvb i="1806"/>
        </ext>
      </extLst>
    </bk>
    <bk>
      <extLst>
        <ext uri="{3e2802c4-a4d2-4d8b-9148-e3be6c30e623}">
          <xlrd:rvb i="1807"/>
        </ext>
      </extLst>
    </bk>
    <bk>
      <extLst>
        <ext uri="{3e2802c4-a4d2-4d8b-9148-e3be6c30e623}">
          <xlrd:rvb i="1808"/>
        </ext>
      </extLst>
    </bk>
    <bk>
      <extLst>
        <ext uri="{3e2802c4-a4d2-4d8b-9148-e3be6c30e623}">
          <xlrd:rvb i="1809"/>
        </ext>
      </extLst>
    </bk>
    <bk>
      <extLst>
        <ext uri="{3e2802c4-a4d2-4d8b-9148-e3be6c30e623}">
          <xlrd:rvb i="1810"/>
        </ext>
      </extLst>
    </bk>
    <bk>
      <extLst>
        <ext uri="{3e2802c4-a4d2-4d8b-9148-e3be6c30e623}">
          <xlrd:rvb i="1811"/>
        </ext>
      </extLst>
    </bk>
    <bk>
      <extLst>
        <ext uri="{3e2802c4-a4d2-4d8b-9148-e3be6c30e623}">
          <xlrd:rvb i="1812"/>
        </ext>
      </extLst>
    </bk>
    <bk>
      <extLst>
        <ext uri="{3e2802c4-a4d2-4d8b-9148-e3be6c30e623}">
          <xlrd:rvb i="1813"/>
        </ext>
      </extLst>
    </bk>
    <bk>
      <extLst>
        <ext uri="{3e2802c4-a4d2-4d8b-9148-e3be6c30e623}">
          <xlrd:rvb i="1814"/>
        </ext>
      </extLst>
    </bk>
    <bk>
      <extLst>
        <ext uri="{3e2802c4-a4d2-4d8b-9148-e3be6c30e623}">
          <xlrd:rvb i="1815"/>
        </ext>
      </extLst>
    </bk>
    <bk>
      <extLst>
        <ext uri="{3e2802c4-a4d2-4d8b-9148-e3be6c30e623}">
          <xlrd:rvb i="1816"/>
        </ext>
      </extLst>
    </bk>
    <bk>
      <extLst>
        <ext uri="{3e2802c4-a4d2-4d8b-9148-e3be6c30e623}">
          <xlrd:rvb i="1817"/>
        </ext>
      </extLst>
    </bk>
    <bk>
      <extLst>
        <ext uri="{3e2802c4-a4d2-4d8b-9148-e3be6c30e623}">
          <xlrd:rvb i="1818"/>
        </ext>
      </extLst>
    </bk>
    <bk>
      <extLst>
        <ext uri="{3e2802c4-a4d2-4d8b-9148-e3be6c30e623}">
          <xlrd:rvb i="1819"/>
        </ext>
      </extLst>
    </bk>
    <bk>
      <extLst>
        <ext uri="{3e2802c4-a4d2-4d8b-9148-e3be6c30e623}">
          <xlrd:rvb i="1820"/>
        </ext>
      </extLst>
    </bk>
    <bk>
      <extLst>
        <ext uri="{3e2802c4-a4d2-4d8b-9148-e3be6c30e623}">
          <xlrd:rvb i="1821"/>
        </ext>
      </extLst>
    </bk>
    <bk>
      <extLst>
        <ext uri="{3e2802c4-a4d2-4d8b-9148-e3be6c30e623}">
          <xlrd:rvb i="1822"/>
        </ext>
      </extLst>
    </bk>
    <bk>
      <extLst>
        <ext uri="{3e2802c4-a4d2-4d8b-9148-e3be6c30e623}">
          <xlrd:rvb i="1823"/>
        </ext>
      </extLst>
    </bk>
    <bk>
      <extLst>
        <ext uri="{3e2802c4-a4d2-4d8b-9148-e3be6c30e623}">
          <xlrd:rvb i="1824"/>
        </ext>
      </extLst>
    </bk>
    <bk>
      <extLst>
        <ext uri="{3e2802c4-a4d2-4d8b-9148-e3be6c30e623}">
          <xlrd:rvb i="1825"/>
        </ext>
      </extLst>
    </bk>
    <bk>
      <extLst>
        <ext uri="{3e2802c4-a4d2-4d8b-9148-e3be6c30e623}">
          <xlrd:rvb i="1826"/>
        </ext>
      </extLst>
    </bk>
    <bk>
      <extLst>
        <ext uri="{3e2802c4-a4d2-4d8b-9148-e3be6c30e623}">
          <xlrd:rvb i="1827"/>
        </ext>
      </extLst>
    </bk>
    <bk>
      <extLst>
        <ext uri="{3e2802c4-a4d2-4d8b-9148-e3be6c30e623}">
          <xlrd:rvb i="1828"/>
        </ext>
      </extLst>
    </bk>
    <bk>
      <extLst>
        <ext uri="{3e2802c4-a4d2-4d8b-9148-e3be6c30e623}">
          <xlrd:rvb i="1829"/>
        </ext>
      </extLst>
    </bk>
    <bk>
      <extLst>
        <ext uri="{3e2802c4-a4d2-4d8b-9148-e3be6c30e623}">
          <xlrd:rvb i="1830"/>
        </ext>
      </extLst>
    </bk>
    <bk>
      <extLst>
        <ext uri="{3e2802c4-a4d2-4d8b-9148-e3be6c30e623}">
          <xlrd:rvb i="1831"/>
        </ext>
      </extLst>
    </bk>
    <bk>
      <extLst>
        <ext uri="{3e2802c4-a4d2-4d8b-9148-e3be6c30e623}">
          <xlrd:rvb i="1832"/>
        </ext>
      </extLst>
    </bk>
    <bk>
      <extLst>
        <ext uri="{3e2802c4-a4d2-4d8b-9148-e3be6c30e623}">
          <xlrd:rvb i="1833"/>
        </ext>
      </extLst>
    </bk>
    <bk>
      <extLst>
        <ext uri="{3e2802c4-a4d2-4d8b-9148-e3be6c30e623}">
          <xlrd:rvb i="1834"/>
        </ext>
      </extLst>
    </bk>
    <bk>
      <extLst>
        <ext uri="{3e2802c4-a4d2-4d8b-9148-e3be6c30e623}">
          <xlrd:rvb i="1835"/>
        </ext>
      </extLst>
    </bk>
    <bk>
      <extLst>
        <ext uri="{3e2802c4-a4d2-4d8b-9148-e3be6c30e623}">
          <xlrd:rvb i="1836"/>
        </ext>
      </extLst>
    </bk>
    <bk>
      <extLst>
        <ext uri="{3e2802c4-a4d2-4d8b-9148-e3be6c30e623}">
          <xlrd:rvb i="1837"/>
        </ext>
      </extLst>
    </bk>
    <bk>
      <extLst>
        <ext uri="{3e2802c4-a4d2-4d8b-9148-e3be6c30e623}">
          <xlrd:rvb i="1838"/>
        </ext>
      </extLst>
    </bk>
    <bk>
      <extLst>
        <ext uri="{3e2802c4-a4d2-4d8b-9148-e3be6c30e623}">
          <xlrd:rvb i="1839"/>
        </ext>
      </extLst>
    </bk>
    <bk>
      <extLst>
        <ext uri="{3e2802c4-a4d2-4d8b-9148-e3be6c30e623}">
          <xlrd:rvb i="1840"/>
        </ext>
      </extLst>
    </bk>
    <bk>
      <extLst>
        <ext uri="{3e2802c4-a4d2-4d8b-9148-e3be6c30e623}">
          <xlrd:rvb i="1841"/>
        </ext>
      </extLst>
    </bk>
    <bk>
      <extLst>
        <ext uri="{3e2802c4-a4d2-4d8b-9148-e3be6c30e623}">
          <xlrd:rvb i="1842"/>
        </ext>
      </extLst>
    </bk>
    <bk>
      <extLst>
        <ext uri="{3e2802c4-a4d2-4d8b-9148-e3be6c30e623}">
          <xlrd:rvb i="1843"/>
        </ext>
      </extLst>
    </bk>
    <bk>
      <extLst>
        <ext uri="{3e2802c4-a4d2-4d8b-9148-e3be6c30e623}">
          <xlrd:rvb i="1844"/>
        </ext>
      </extLst>
    </bk>
    <bk>
      <extLst>
        <ext uri="{3e2802c4-a4d2-4d8b-9148-e3be6c30e623}">
          <xlrd:rvb i="1845"/>
        </ext>
      </extLst>
    </bk>
    <bk>
      <extLst>
        <ext uri="{3e2802c4-a4d2-4d8b-9148-e3be6c30e623}">
          <xlrd:rvb i="1846"/>
        </ext>
      </extLst>
    </bk>
    <bk>
      <extLst>
        <ext uri="{3e2802c4-a4d2-4d8b-9148-e3be6c30e623}">
          <xlrd:rvb i="1847"/>
        </ext>
      </extLst>
    </bk>
    <bk>
      <extLst>
        <ext uri="{3e2802c4-a4d2-4d8b-9148-e3be6c30e623}">
          <xlrd:rvb i="1848"/>
        </ext>
      </extLst>
    </bk>
    <bk>
      <extLst>
        <ext uri="{3e2802c4-a4d2-4d8b-9148-e3be6c30e623}">
          <xlrd:rvb i="1849"/>
        </ext>
      </extLst>
    </bk>
    <bk>
      <extLst>
        <ext uri="{3e2802c4-a4d2-4d8b-9148-e3be6c30e623}">
          <xlrd:rvb i="1850"/>
        </ext>
      </extLst>
    </bk>
    <bk>
      <extLst>
        <ext uri="{3e2802c4-a4d2-4d8b-9148-e3be6c30e623}">
          <xlrd:rvb i="1851"/>
        </ext>
      </extLst>
    </bk>
    <bk>
      <extLst>
        <ext uri="{3e2802c4-a4d2-4d8b-9148-e3be6c30e623}">
          <xlrd:rvb i="1852"/>
        </ext>
      </extLst>
    </bk>
    <bk>
      <extLst>
        <ext uri="{3e2802c4-a4d2-4d8b-9148-e3be6c30e623}">
          <xlrd:rvb i="1853"/>
        </ext>
      </extLst>
    </bk>
    <bk>
      <extLst>
        <ext uri="{3e2802c4-a4d2-4d8b-9148-e3be6c30e623}">
          <xlrd:rvb i="1854"/>
        </ext>
      </extLst>
    </bk>
    <bk>
      <extLst>
        <ext uri="{3e2802c4-a4d2-4d8b-9148-e3be6c30e623}">
          <xlrd:rvb i="1855"/>
        </ext>
      </extLst>
    </bk>
    <bk>
      <extLst>
        <ext uri="{3e2802c4-a4d2-4d8b-9148-e3be6c30e623}">
          <xlrd:rvb i="1856"/>
        </ext>
      </extLst>
    </bk>
    <bk>
      <extLst>
        <ext uri="{3e2802c4-a4d2-4d8b-9148-e3be6c30e623}">
          <xlrd:rvb i="1857"/>
        </ext>
      </extLst>
    </bk>
    <bk>
      <extLst>
        <ext uri="{3e2802c4-a4d2-4d8b-9148-e3be6c30e623}">
          <xlrd:rvb i="1858"/>
        </ext>
      </extLst>
    </bk>
    <bk>
      <extLst>
        <ext uri="{3e2802c4-a4d2-4d8b-9148-e3be6c30e623}">
          <xlrd:rvb i="1859"/>
        </ext>
      </extLst>
    </bk>
    <bk>
      <extLst>
        <ext uri="{3e2802c4-a4d2-4d8b-9148-e3be6c30e623}">
          <xlrd:rvb i="1860"/>
        </ext>
      </extLst>
    </bk>
    <bk>
      <extLst>
        <ext uri="{3e2802c4-a4d2-4d8b-9148-e3be6c30e623}">
          <xlrd:rvb i="1861"/>
        </ext>
      </extLst>
    </bk>
    <bk>
      <extLst>
        <ext uri="{3e2802c4-a4d2-4d8b-9148-e3be6c30e623}">
          <xlrd:rvb i="1862"/>
        </ext>
      </extLst>
    </bk>
    <bk>
      <extLst>
        <ext uri="{3e2802c4-a4d2-4d8b-9148-e3be6c30e623}">
          <xlrd:rvb i="1863"/>
        </ext>
      </extLst>
    </bk>
    <bk>
      <extLst>
        <ext uri="{3e2802c4-a4d2-4d8b-9148-e3be6c30e623}">
          <xlrd:rvb i="1864"/>
        </ext>
      </extLst>
    </bk>
    <bk>
      <extLst>
        <ext uri="{3e2802c4-a4d2-4d8b-9148-e3be6c30e623}">
          <xlrd:rvb i="1865"/>
        </ext>
      </extLst>
    </bk>
    <bk>
      <extLst>
        <ext uri="{3e2802c4-a4d2-4d8b-9148-e3be6c30e623}">
          <xlrd:rvb i="1866"/>
        </ext>
      </extLst>
    </bk>
    <bk>
      <extLst>
        <ext uri="{3e2802c4-a4d2-4d8b-9148-e3be6c30e623}">
          <xlrd:rvb i="1867"/>
        </ext>
      </extLst>
    </bk>
    <bk>
      <extLst>
        <ext uri="{3e2802c4-a4d2-4d8b-9148-e3be6c30e623}">
          <xlrd:rvb i="1868"/>
        </ext>
      </extLst>
    </bk>
    <bk>
      <extLst>
        <ext uri="{3e2802c4-a4d2-4d8b-9148-e3be6c30e623}">
          <xlrd:rvb i="1869"/>
        </ext>
      </extLst>
    </bk>
    <bk>
      <extLst>
        <ext uri="{3e2802c4-a4d2-4d8b-9148-e3be6c30e623}">
          <xlrd:rvb i="1870"/>
        </ext>
      </extLst>
    </bk>
    <bk>
      <extLst>
        <ext uri="{3e2802c4-a4d2-4d8b-9148-e3be6c30e623}">
          <xlrd:rvb i="1871"/>
        </ext>
      </extLst>
    </bk>
    <bk>
      <extLst>
        <ext uri="{3e2802c4-a4d2-4d8b-9148-e3be6c30e623}">
          <xlrd:rvb i="1872"/>
        </ext>
      </extLst>
    </bk>
    <bk>
      <extLst>
        <ext uri="{3e2802c4-a4d2-4d8b-9148-e3be6c30e623}">
          <xlrd:rvb i="1873"/>
        </ext>
      </extLst>
    </bk>
    <bk>
      <extLst>
        <ext uri="{3e2802c4-a4d2-4d8b-9148-e3be6c30e623}">
          <xlrd:rvb i="1874"/>
        </ext>
      </extLst>
    </bk>
    <bk>
      <extLst>
        <ext uri="{3e2802c4-a4d2-4d8b-9148-e3be6c30e623}">
          <xlrd:rvb i="1875"/>
        </ext>
      </extLst>
    </bk>
    <bk>
      <extLst>
        <ext uri="{3e2802c4-a4d2-4d8b-9148-e3be6c30e623}">
          <xlrd:rvb i="1876"/>
        </ext>
      </extLst>
    </bk>
    <bk>
      <extLst>
        <ext uri="{3e2802c4-a4d2-4d8b-9148-e3be6c30e623}">
          <xlrd:rvb i="1877"/>
        </ext>
      </extLst>
    </bk>
    <bk>
      <extLst>
        <ext uri="{3e2802c4-a4d2-4d8b-9148-e3be6c30e623}">
          <xlrd:rvb i="1878"/>
        </ext>
      </extLst>
    </bk>
    <bk>
      <extLst>
        <ext uri="{3e2802c4-a4d2-4d8b-9148-e3be6c30e623}">
          <xlrd:rvb i="1879"/>
        </ext>
      </extLst>
    </bk>
    <bk>
      <extLst>
        <ext uri="{3e2802c4-a4d2-4d8b-9148-e3be6c30e623}">
          <xlrd:rvb i="1880"/>
        </ext>
      </extLst>
    </bk>
    <bk>
      <extLst>
        <ext uri="{3e2802c4-a4d2-4d8b-9148-e3be6c30e623}">
          <xlrd:rvb i="1881"/>
        </ext>
      </extLst>
    </bk>
    <bk>
      <extLst>
        <ext uri="{3e2802c4-a4d2-4d8b-9148-e3be6c30e623}">
          <xlrd:rvb i="1882"/>
        </ext>
      </extLst>
    </bk>
    <bk>
      <extLst>
        <ext uri="{3e2802c4-a4d2-4d8b-9148-e3be6c30e623}">
          <xlrd:rvb i="1883"/>
        </ext>
      </extLst>
    </bk>
    <bk>
      <extLst>
        <ext uri="{3e2802c4-a4d2-4d8b-9148-e3be6c30e623}">
          <xlrd:rvb i="1884"/>
        </ext>
      </extLst>
    </bk>
    <bk>
      <extLst>
        <ext uri="{3e2802c4-a4d2-4d8b-9148-e3be6c30e623}">
          <xlrd:rvb i="1885"/>
        </ext>
      </extLst>
    </bk>
    <bk>
      <extLst>
        <ext uri="{3e2802c4-a4d2-4d8b-9148-e3be6c30e623}">
          <xlrd:rvb i="1886"/>
        </ext>
      </extLst>
    </bk>
    <bk>
      <extLst>
        <ext uri="{3e2802c4-a4d2-4d8b-9148-e3be6c30e623}">
          <xlrd:rvb i="1887"/>
        </ext>
      </extLst>
    </bk>
    <bk>
      <extLst>
        <ext uri="{3e2802c4-a4d2-4d8b-9148-e3be6c30e623}">
          <xlrd:rvb i="1888"/>
        </ext>
      </extLst>
    </bk>
    <bk>
      <extLst>
        <ext uri="{3e2802c4-a4d2-4d8b-9148-e3be6c30e623}">
          <xlrd:rvb i="1889"/>
        </ext>
      </extLst>
    </bk>
    <bk>
      <extLst>
        <ext uri="{3e2802c4-a4d2-4d8b-9148-e3be6c30e623}">
          <xlrd:rvb i="1890"/>
        </ext>
      </extLst>
    </bk>
    <bk>
      <extLst>
        <ext uri="{3e2802c4-a4d2-4d8b-9148-e3be6c30e623}">
          <xlrd:rvb i="1891"/>
        </ext>
      </extLst>
    </bk>
    <bk>
      <extLst>
        <ext uri="{3e2802c4-a4d2-4d8b-9148-e3be6c30e623}">
          <xlrd:rvb i="1892"/>
        </ext>
      </extLst>
    </bk>
    <bk>
      <extLst>
        <ext uri="{3e2802c4-a4d2-4d8b-9148-e3be6c30e623}">
          <xlrd:rvb i="1893"/>
        </ext>
      </extLst>
    </bk>
    <bk>
      <extLst>
        <ext uri="{3e2802c4-a4d2-4d8b-9148-e3be6c30e623}">
          <xlrd:rvb i="1894"/>
        </ext>
      </extLst>
    </bk>
    <bk>
      <extLst>
        <ext uri="{3e2802c4-a4d2-4d8b-9148-e3be6c30e623}">
          <xlrd:rvb i="1895"/>
        </ext>
      </extLst>
    </bk>
    <bk>
      <extLst>
        <ext uri="{3e2802c4-a4d2-4d8b-9148-e3be6c30e623}">
          <xlrd:rvb i="1896"/>
        </ext>
      </extLst>
    </bk>
    <bk>
      <extLst>
        <ext uri="{3e2802c4-a4d2-4d8b-9148-e3be6c30e623}">
          <xlrd:rvb i="1897"/>
        </ext>
      </extLst>
    </bk>
    <bk>
      <extLst>
        <ext uri="{3e2802c4-a4d2-4d8b-9148-e3be6c30e623}">
          <xlrd:rvb i="1898"/>
        </ext>
      </extLst>
    </bk>
    <bk>
      <extLst>
        <ext uri="{3e2802c4-a4d2-4d8b-9148-e3be6c30e623}">
          <xlrd:rvb i="1899"/>
        </ext>
      </extLst>
    </bk>
    <bk>
      <extLst>
        <ext uri="{3e2802c4-a4d2-4d8b-9148-e3be6c30e623}">
          <xlrd:rvb i="1900"/>
        </ext>
      </extLst>
    </bk>
    <bk>
      <extLst>
        <ext uri="{3e2802c4-a4d2-4d8b-9148-e3be6c30e623}">
          <xlrd:rvb i="1901"/>
        </ext>
      </extLst>
    </bk>
    <bk>
      <extLst>
        <ext uri="{3e2802c4-a4d2-4d8b-9148-e3be6c30e623}">
          <xlrd:rvb i="1902"/>
        </ext>
      </extLst>
    </bk>
    <bk>
      <extLst>
        <ext uri="{3e2802c4-a4d2-4d8b-9148-e3be6c30e623}">
          <xlrd:rvb i="1903"/>
        </ext>
      </extLst>
    </bk>
    <bk>
      <extLst>
        <ext uri="{3e2802c4-a4d2-4d8b-9148-e3be6c30e623}">
          <xlrd:rvb i="1904"/>
        </ext>
      </extLst>
    </bk>
    <bk>
      <extLst>
        <ext uri="{3e2802c4-a4d2-4d8b-9148-e3be6c30e623}">
          <xlrd:rvb i="1905"/>
        </ext>
      </extLst>
    </bk>
    <bk>
      <extLst>
        <ext uri="{3e2802c4-a4d2-4d8b-9148-e3be6c30e623}">
          <xlrd:rvb i="1906"/>
        </ext>
      </extLst>
    </bk>
    <bk>
      <extLst>
        <ext uri="{3e2802c4-a4d2-4d8b-9148-e3be6c30e623}">
          <xlrd:rvb i="1907"/>
        </ext>
      </extLst>
    </bk>
    <bk>
      <extLst>
        <ext uri="{3e2802c4-a4d2-4d8b-9148-e3be6c30e623}">
          <xlrd:rvb i="1908"/>
        </ext>
      </extLst>
    </bk>
    <bk>
      <extLst>
        <ext uri="{3e2802c4-a4d2-4d8b-9148-e3be6c30e623}">
          <xlrd:rvb i="1909"/>
        </ext>
      </extLst>
    </bk>
    <bk>
      <extLst>
        <ext uri="{3e2802c4-a4d2-4d8b-9148-e3be6c30e623}">
          <xlrd:rvb i="1910"/>
        </ext>
      </extLst>
    </bk>
    <bk>
      <extLst>
        <ext uri="{3e2802c4-a4d2-4d8b-9148-e3be6c30e623}">
          <xlrd:rvb i="1911"/>
        </ext>
      </extLst>
    </bk>
    <bk>
      <extLst>
        <ext uri="{3e2802c4-a4d2-4d8b-9148-e3be6c30e623}">
          <xlrd:rvb i="1912"/>
        </ext>
      </extLst>
    </bk>
    <bk>
      <extLst>
        <ext uri="{3e2802c4-a4d2-4d8b-9148-e3be6c30e623}">
          <xlrd:rvb i="1913"/>
        </ext>
      </extLst>
    </bk>
    <bk>
      <extLst>
        <ext uri="{3e2802c4-a4d2-4d8b-9148-e3be6c30e623}">
          <xlrd:rvb i="1914"/>
        </ext>
      </extLst>
    </bk>
    <bk>
      <extLst>
        <ext uri="{3e2802c4-a4d2-4d8b-9148-e3be6c30e623}">
          <xlrd:rvb i="1915"/>
        </ext>
      </extLst>
    </bk>
    <bk>
      <extLst>
        <ext uri="{3e2802c4-a4d2-4d8b-9148-e3be6c30e623}">
          <xlrd:rvb i="1916"/>
        </ext>
      </extLst>
    </bk>
    <bk>
      <extLst>
        <ext uri="{3e2802c4-a4d2-4d8b-9148-e3be6c30e623}">
          <xlrd:rvb i="1917"/>
        </ext>
      </extLst>
    </bk>
    <bk>
      <extLst>
        <ext uri="{3e2802c4-a4d2-4d8b-9148-e3be6c30e623}">
          <xlrd:rvb i="1918"/>
        </ext>
      </extLst>
    </bk>
    <bk>
      <extLst>
        <ext uri="{3e2802c4-a4d2-4d8b-9148-e3be6c30e623}">
          <xlrd:rvb i="1919"/>
        </ext>
      </extLst>
    </bk>
    <bk>
      <extLst>
        <ext uri="{3e2802c4-a4d2-4d8b-9148-e3be6c30e623}">
          <xlrd:rvb i="1920"/>
        </ext>
      </extLst>
    </bk>
    <bk>
      <extLst>
        <ext uri="{3e2802c4-a4d2-4d8b-9148-e3be6c30e623}">
          <xlrd:rvb i="1921"/>
        </ext>
      </extLst>
    </bk>
    <bk>
      <extLst>
        <ext uri="{3e2802c4-a4d2-4d8b-9148-e3be6c30e623}">
          <xlrd:rvb i="1922"/>
        </ext>
      </extLst>
    </bk>
    <bk>
      <extLst>
        <ext uri="{3e2802c4-a4d2-4d8b-9148-e3be6c30e623}">
          <xlrd:rvb i="1923"/>
        </ext>
      </extLst>
    </bk>
    <bk>
      <extLst>
        <ext uri="{3e2802c4-a4d2-4d8b-9148-e3be6c30e623}">
          <xlrd:rvb i="1924"/>
        </ext>
      </extLst>
    </bk>
    <bk>
      <extLst>
        <ext uri="{3e2802c4-a4d2-4d8b-9148-e3be6c30e623}">
          <xlrd:rvb i="1925"/>
        </ext>
      </extLst>
    </bk>
    <bk>
      <extLst>
        <ext uri="{3e2802c4-a4d2-4d8b-9148-e3be6c30e623}">
          <xlrd:rvb i="1926"/>
        </ext>
      </extLst>
    </bk>
    <bk>
      <extLst>
        <ext uri="{3e2802c4-a4d2-4d8b-9148-e3be6c30e623}">
          <xlrd:rvb i="1927"/>
        </ext>
      </extLst>
    </bk>
    <bk>
      <extLst>
        <ext uri="{3e2802c4-a4d2-4d8b-9148-e3be6c30e623}">
          <xlrd:rvb i="1928"/>
        </ext>
      </extLst>
    </bk>
    <bk>
      <extLst>
        <ext uri="{3e2802c4-a4d2-4d8b-9148-e3be6c30e623}">
          <xlrd:rvb i="1929"/>
        </ext>
      </extLst>
    </bk>
    <bk>
      <extLst>
        <ext uri="{3e2802c4-a4d2-4d8b-9148-e3be6c30e623}">
          <xlrd:rvb i="1930"/>
        </ext>
      </extLst>
    </bk>
    <bk>
      <extLst>
        <ext uri="{3e2802c4-a4d2-4d8b-9148-e3be6c30e623}">
          <xlrd:rvb i="1931"/>
        </ext>
      </extLst>
    </bk>
    <bk>
      <extLst>
        <ext uri="{3e2802c4-a4d2-4d8b-9148-e3be6c30e623}">
          <xlrd:rvb i="1932"/>
        </ext>
      </extLst>
    </bk>
    <bk>
      <extLst>
        <ext uri="{3e2802c4-a4d2-4d8b-9148-e3be6c30e623}">
          <xlrd:rvb i="1933"/>
        </ext>
      </extLst>
    </bk>
    <bk>
      <extLst>
        <ext uri="{3e2802c4-a4d2-4d8b-9148-e3be6c30e623}">
          <xlrd:rvb i="1934"/>
        </ext>
      </extLst>
    </bk>
    <bk>
      <extLst>
        <ext uri="{3e2802c4-a4d2-4d8b-9148-e3be6c30e623}">
          <xlrd:rvb i="1935"/>
        </ext>
      </extLst>
    </bk>
    <bk>
      <extLst>
        <ext uri="{3e2802c4-a4d2-4d8b-9148-e3be6c30e623}">
          <xlrd:rvb i="1936"/>
        </ext>
      </extLst>
    </bk>
    <bk>
      <extLst>
        <ext uri="{3e2802c4-a4d2-4d8b-9148-e3be6c30e623}">
          <xlrd:rvb i="1937"/>
        </ext>
      </extLst>
    </bk>
    <bk>
      <extLst>
        <ext uri="{3e2802c4-a4d2-4d8b-9148-e3be6c30e623}">
          <xlrd:rvb i="1938"/>
        </ext>
      </extLst>
    </bk>
    <bk>
      <extLst>
        <ext uri="{3e2802c4-a4d2-4d8b-9148-e3be6c30e623}">
          <xlrd:rvb i="1939"/>
        </ext>
      </extLst>
    </bk>
    <bk>
      <extLst>
        <ext uri="{3e2802c4-a4d2-4d8b-9148-e3be6c30e623}">
          <xlrd:rvb i="1940"/>
        </ext>
      </extLst>
    </bk>
    <bk>
      <extLst>
        <ext uri="{3e2802c4-a4d2-4d8b-9148-e3be6c30e623}">
          <xlrd:rvb i="1941"/>
        </ext>
      </extLst>
    </bk>
    <bk>
      <extLst>
        <ext uri="{3e2802c4-a4d2-4d8b-9148-e3be6c30e623}">
          <xlrd:rvb i="1942"/>
        </ext>
      </extLst>
    </bk>
    <bk>
      <extLst>
        <ext uri="{3e2802c4-a4d2-4d8b-9148-e3be6c30e623}">
          <xlrd:rvb i="1943"/>
        </ext>
      </extLst>
    </bk>
    <bk>
      <extLst>
        <ext uri="{3e2802c4-a4d2-4d8b-9148-e3be6c30e623}">
          <xlrd:rvb i="1944"/>
        </ext>
      </extLst>
    </bk>
    <bk>
      <extLst>
        <ext uri="{3e2802c4-a4d2-4d8b-9148-e3be6c30e623}">
          <xlrd:rvb i="1945"/>
        </ext>
      </extLst>
    </bk>
    <bk>
      <extLst>
        <ext uri="{3e2802c4-a4d2-4d8b-9148-e3be6c30e623}">
          <xlrd:rvb i="1946"/>
        </ext>
      </extLst>
    </bk>
    <bk>
      <extLst>
        <ext uri="{3e2802c4-a4d2-4d8b-9148-e3be6c30e623}">
          <xlrd:rvb i="1947"/>
        </ext>
      </extLst>
    </bk>
    <bk>
      <extLst>
        <ext uri="{3e2802c4-a4d2-4d8b-9148-e3be6c30e623}">
          <xlrd:rvb i="1948"/>
        </ext>
      </extLst>
    </bk>
    <bk>
      <extLst>
        <ext uri="{3e2802c4-a4d2-4d8b-9148-e3be6c30e623}">
          <xlrd:rvb i="1949"/>
        </ext>
      </extLst>
    </bk>
    <bk>
      <extLst>
        <ext uri="{3e2802c4-a4d2-4d8b-9148-e3be6c30e623}">
          <xlrd:rvb i="1950"/>
        </ext>
      </extLst>
    </bk>
    <bk>
      <extLst>
        <ext uri="{3e2802c4-a4d2-4d8b-9148-e3be6c30e623}">
          <xlrd:rvb i="1951"/>
        </ext>
      </extLst>
    </bk>
    <bk>
      <extLst>
        <ext uri="{3e2802c4-a4d2-4d8b-9148-e3be6c30e623}">
          <xlrd:rvb i="1952"/>
        </ext>
      </extLst>
    </bk>
    <bk>
      <extLst>
        <ext uri="{3e2802c4-a4d2-4d8b-9148-e3be6c30e623}">
          <xlrd:rvb i="1953"/>
        </ext>
      </extLst>
    </bk>
    <bk>
      <extLst>
        <ext uri="{3e2802c4-a4d2-4d8b-9148-e3be6c30e623}">
          <xlrd:rvb i="1954"/>
        </ext>
      </extLst>
    </bk>
    <bk>
      <extLst>
        <ext uri="{3e2802c4-a4d2-4d8b-9148-e3be6c30e623}">
          <xlrd:rvb i="1955"/>
        </ext>
      </extLst>
    </bk>
    <bk>
      <extLst>
        <ext uri="{3e2802c4-a4d2-4d8b-9148-e3be6c30e623}">
          <xlrd:rvb i="1956"/>
        </ext>
      </extLst>
    </bk>
    <bk>
      <extLst>
        <ext uri="{3e2802c4-a4d2-4d8b-9148-e3be6c30e623}">
          <xlrd:rvb i="1957"/>
        </ext>
      </extLst>
    </bk>
    <bk>
      <extLst>
        <ext uri="{3e2802c4-a4d2-4d8b-9148-e3be6c30e623}">
          <xlrd:rvb i="1958"/>
        </ext>
      </extLst>
    </bk>
    <bk>
      <extLst>
        <ext uri="{3e2802c4-a4d2-4d8b-9148-e3be6c30e623}">
          <xlrd:rvb i="1959"/>
        </ext>
      </extLst>
    </bk>
    <bk>
      <extLst>
        <ext uri="{3e2802c4-a4d2-4d8b-9148-e3be6c30e623}">
          <xlrd:rvb i="1960"/>
        </ext>
      </extLst>
    </bk>
    <bk>
      <extLst>
        <ext uri="{3e2802c4-a4d2-4d8b-9148-e3be6c30e623}">
          <xlrd:rvb i="1961"/>
        </ext>
      </extLst>
    </bk>
    <bk>
      <extLst>
        <ext uri="{3e2802c4-a4d2-4d8b-9148-e3be6c30e623}">
          <xlrd:rvb i="1962"/>
        </ext>
      </extLst>
    </bk>
    <bk>
      <extLst>
        <ext uri="{3e2802c4-a4d2-4d8b-9148-e3be6c30e623}">
          <xlrd:rvb i="1963"/>
        </ext>
      </extLst>
    </bk>
    <bk>
      <extLst>
        <ext uri="{3e2802c4-a4d2-4d8b-9148-e3be6c30e623}">
          <xlrd:rvb i="1964"/>
        </ext>
      </extLst>
    </bk>
    <bk>
      <extLst>
        <ext uri="{3e2802c4-a4d2-4d8b-9148-e3be6c30e623}">
          <xlrd:rvb i="1965"/>
        </ext>
      </extLst>
    </bk>
    <bk>
      <extLst>
        <ext uri="{3e2802c4-a4d2-4d8b-9148-e3be6c30e623}">
          <xlrd:rvb i="1966"/>
        </ext>
      </extLst>
    </bk>
    <bk>
      <extLst>
        <ext uri="{3e2802c4-a4d2-4d8b-9148-e3be6c30e623}">
          <xlrd:rvb i="1967"/>
        </ext>
      </extLst>
    </bk>
    <bk>
      <extLst>
        <ext uri="{3e2802c4-a4d2-4d8b-9148-e3be6c30e623}">
          <xlrd:rvb i="1968"/>
        </ext>
      </extLst>
    </bk>
    <bk>
      <extLst>
        <ext uri="{3e2802c4-a4d2-4d8b-9148-e3be6c30e623}">
          <xlrd:rvb i="1969"/>
        </ext>
      </extLst>
    </bk>
    <bk>
      <extLst>
        <ext uri="{3e2802c4-a4d2-4d8b-9148-e3be6c30e623}">
          <xlrd:rvb i="1970"/>
        </ext>
      </extLst>
    </bk>
    <bk>
      <extLst>
        <ext uri="{3e2802c4-a4d2-4d8b-9148-e3be6c30e623}">
          <xlrd:rvb i="1971"/>
        </ext>
      </extLst>
    </bk>
    <bk>
      <extLst>
        <ext uri="{3e2802c4-a4d2-4d8b-9148-e3be6c30e623}">
          <xlrd:rvb i="1972"/>
        </ext>
      </extLst>
    </bk>
    <bk>
      <extLst>
        <ext uri="{3e2802c4-a4d2-4d8b-9148-e3be6c30e623}">
          <xlrd:rvb i="1973"/>
        </ext>
      </extLst>
    </bk>
    <bk>
      <extLst>
        <ext uri="{3e2802c4-a4d2-4d8b-9148-e3be6c30e623}">
          <xlrd:rvb i="1974"/>
        </ext>
      </extLst>
    </bk>
    <bk>
      <extLst>
        <ext uri="{3e2802c4-a4d2-4d8b-9148-e3be6c30e623}">
          <xlrd:rvb i="1975"/>
        </ext>
      </extLst>
    </bk>
    <bk>
      <extLst>
        <ext uri="{3e2802c4-a4d2-4d8b-9148-e3be6c30e623}">
          <xlrd:rvb i="1976"/>
        </ext>
      </extLst>
    </bk>
    <bk>
      <extLst>
        <ext uri="{3e2802c4-a4d2-4d8b-9148-e3be6c30e623}">
          <xlrd:rvb i="1977"/>
        </ext>
      </extLst>
    </bk>
    <bk>
      <extLst>
        <ext uri="{3e2802c4-a4d2-4d8b-9148-e3be6c30e623}">
          <xlrd:rvb i="1978"/>
        </ext>
      </extLst>
    </bk>
    <bk>
      <extLst>
        <ext uri="{3e2802c4-a4d2-4d8b-9148-e3be6c30e623}">
          <xlrd:rvb i="1979"/>
        </ext>
      </extLst>
    </bk>
    <bk>
      <extLst>
        <ext uri="{3e2802c4-a4d2-4d8b-9148-e3be6c30e623}">
          <xlrd:rvb i="1980"/>
        </ext>
      </extLst>
    </bk>
    <bk>
      <extLst>
        <ext uri="{3e2802c4-a4d2-4d8b-9148-e3be6c30e623}">
          <xlrd:rvb i="1981"/>
        </ext>
      </extLst>
    </bk>
    <bk>
      <extLst>
        <ext uri="{3e2802c4-a4d2-4d8b-9148-e3be6c30e623}">
          <xlrd:rvb i="1982"/>
        </ext>
      </extLst>
    </bk>
    <bk>
      <extLst>
        <ext uri="{3e2802c4-a4d2-4d8b-9148-e3be6c30e623}">
          <xlrd:rvb i="1983"/>
        </ext>
      </extLst>
    </bk>
    <bk>
      <extLst>
        <ext uri="{3e2802c4-a4d2-4d8b-9148-e3be6c30e623}">
          <xlrd:rvb i="1984"/>
        </ext>
      </extLst>
    </bk>
    <bk>
      <extLst>
        <ext uri="{3e2802c4-a4d2-4d8b-9148-e3be6c30e623}">
          <xlrd:rvb i="1985"/>
        </ext>
      </extLst>
    </bk>
    <bk>
      <extLst>
        <ext uri="{3e2802c4-a4d2-4d8b-9148-e3be6c30e623}">
          <xlrd:rvb i="1986"/>
        </ext>
      </extLst>
    </bk>
    <bk>
      <extLst>
        <ext uri="{3e2802c4-a4d2-4d8b-9148-e3be6c30e623}">
          <xlrd:rvb i="1987"/>
        </ext>
      </extLst>
    </bk>
    <bk>
      <extLst>
        <ext uri="{3e2802c4-a4d2-4d8b-9148-e3be6c30e623}">
          <xlrd:rvb i="1988"/>
        </ext>
      </extLst>
    </bk>
    <bk>
      <extLst>
        <ext uri="{3e2802c4-a4d2-4d8b-9148-e3be6c30e623}">
          <xlrd:rvb i="1989"/>
        </ext>
      </extLst>
    </bk>
    <bk>
      <extLst>
        <ext uri="{3e2802c4-a4d2-4d8b-9148-e3be6c30e623}">
          <xlrd:rvb i="1990"/>
        </ext>
      </extLst>
    </bk>
    <bk>
      <extLst>
        <ext uri="{3e2802c4-a4d2-4d8b-9148-e3be6c30e623}">
          <xlrd:rvb i="1991"/>
        </ext>
      </extLst>
    </bk>
    <bk>
      <extLst>
        <ext uri="{3e2802c4-a4d2-4d8b-9148-e3be6c30e623}">
          <xlrd:rvb i="1992"/>
        </ext>
      </extLst>
    </bk>
    <bk>
      <extLst>
        <ext uri="{3e2802c4-a4d2-4d8b-9148-e3be6c30e623}">
          <xlrd:rvb i="1993"/>
        </ext>
      </extLst>
    </bk>
    <bk>
      <extLst>
        <ext uri="{3e2802c4-a4d2-4d8b-9148-e3be6c30e623}">
          <xlrd:rvb i="1994"/>
        </ext>
      </extLst>
    </bk>
    <bk>
      <extLst>
        <ext uri="{3e2802c4-a4d2-4d8b-9148-e3be6c30e623}">
          <xlrd:rvb i="1995"/>
        </ext>
      </extLst>
    </bk>
    <bk>
      <extLst>
        <ext uri="{3e2802c4-a4d2-4d8b-9148-e3be6c30e623}">
          <xlrd:rvb i="1996"/>
        </ext>
      </extLst>
    </bk>
    <bk>
      <extLst>
        <ext uri="{3e2802c4-a4d2-4d8b-9148-e3be6c30e623}">
          <xlrd:rvb i="1997"/>
        </ext>
      </extLst>
    </bk>
    <bk>
      <extLst>
        <ext uri="{3e2802c4-a4d2-4d8b-9148-e3be6c30e623}">
          <xlrd:rvb i="1998"/>
        </ext>
      </extLst>
    </bk>
    <bk>
      <extLst>
        <ext uri="{3e2802c4-a4d2-4d8b-9148-e3be6c30e623}">
          <xlrd:rvb i="1999"/>
        </ext>
      </extLst>
    </bk>
    <bk>
      <extLst>
        <ext uri="{3e2802c4-a4d2-4d8b-9148-e3be6c30e623}">
          <xlrd:rvb i="2000"/>
        </ext>
      </extLst>
    </bk>
    <bk>
      <extLst>
        <ext uri="{3e2802c4-a4d2-4d8b-9148-e3be6c30e623}">
          <xlrd:rvb i="2001"/>
        </ext>
      </extLst>
    </bk>
    <bk>
      <extLst>
        <ext uri="{3e2802c4-a4d2-4d8b-9148-e3be6c30e623}">
          <xlrd:rvb i="2002"/>
        </ext>
      </extLst>
    </bk>
    <bk>
      <extLst>
        <ext uri="{3e2802c4-a4d2-4d8b-9148-e3be6c30e623}">
          <xlrd:rvb i="2003"/>
        </ext>
      </extLst>
    </bk>
    <bk>
      <extLst>
        <ext uri="{3e2802c4-a4d2-4d8b-9148-e3be6c30e623}">
          <xlrd:rvb i="2004"/>
        </ext>
      </extLst>
    </bk>
    <bk>
      <extLst>
        <ext uri="{3e2802c4-a4d2-4d8b-9148-e3be6c30e623}">
          <xlrd:rvb i="2005"/>
        </ext>
      </extLst>
    </bk>
    <bk>
      <extLst>
        <ext uri="{3e2802c4-a4d2-4d8b-9148-e3be6c30e623}">
          <xlrd:rvb i="2006"/>
        </ext>
      </extLst>
    </bk>
    <bk>
      <extLst>
        <ext uri="{3e2802c4-a4d2-4d8b-9148-e3be6c30e623}">
          <xlrd:rvb i="2007"/>
        </ext>
      </extLst>
    </bk>
    <bk>
      <extLst>
        <ext uri="{3e2802c4-a4d2-4d8b-9148-e3be6c30e623}">
          <xlrd:rvb i="2008"/>
        </ext>
      </extLst>
    </bk>
    <bk>
      <extLst>
        <ext uri="{3e2802c4-a4d2-4d8b-9148-e3be6c30e623}">
          <xlrd:rvb i="2009"/>
        </ext>
      </extLst>
    </bk>
    <bk>
      <extLst>
        <ext uri="{3e2802c4-a4d2-4d8b-9148-e3be6c30e623}">
          <xlrd:rvb i="2010"/>
        </ext>
      </extLst>
    </bk>
    <bk>
      <extLst>
        <ext uri="{3e2802c4-a4d2-4d8b-9148-e3be6c30e623}">
          <xlrd:rvb i="2011"/>
        </ext>
      </extLst>
    </bk>
    <bk>
      <extLst>
        <ext uri="{3e2802c4-a4d2-4d8b-9148-e3be6c30e623}">
          <xlrd:rvb i="2012"/>
        </ext>
      </extLst>
    </bk>
    <bk>
      <extLst>
        <ext uri="{3e2802c4-a4d2-4d8b-9148-e3be6c30e623}">
          <xlrd:rvb i="2013"/>
        </ext>
      </extLst>
    </bk>
    <bk>
      <extLst>
        <ext uri="{3e2802c4-a4d2-4d8b-9148-e3be6c30e623}">
          <xlrd:rvb i="2014"/>
        </ext>
      </extLst>
    </bk>
    <bk>
      <extLst>
        <ext uri="{3e2802c4-a4d2-4d8b-9148-e3be6c30e623}">
          <xlrd:rvb i="2015"/>
        </ext>
      </extLst>
    </bk>
    <bk>
      <extLst>
        <ext uri="{3e2802c4-a4d2-4d8b-9148-e3be6c30e623}">
          <xlrd:rvb i="2016"/>
        </ext>
      </extLst>
    </bk>
    <bk>
      <extLst>
        <ext uri="{3e2802c4-a4d2-4d8b-9148-e3be6c30e623}">
          <xlrd:rvb i="2017"/>
        </ext>
      </extLst>
    </bk>
    <bk>
      <extLst>
        <ext uri="{3e2802c4-a4d2-4d8b-9148-e3be6c30e623}">
          <xlrd:rvb i="2018"/>
        </ext>
      </extLst>
    </bk>
    <bk>
      <extLst>
        <ext uri="{3e2802c4-a4d2-4d8b-9148-e3be6c30e623}">
          <xlrd:rvb i="2019"/>
        </ext>
      </extLst>
    </bk>
    <bk>
      <extLst>
        <ext uri="{3e2802c4-a4d2-4d8b-9148-e3be6c30e623}">
          <xlrd:rvb i="2020"/>
        </ext>
      </extLst>
    </bk>
    <bk>
      <extLst>
        <ext uri="{3e2802c4-a4d2-4d8b-9148-e3be6c30e623}">
          <xlrd:rvb i="2021"/>
        </ext>
      </extLst>
    </bk>
    <bk>
      <extLst>
        <ext uri="{3e2802c4-a4d2-4d8b-9148-e3be6c30e623}">
          <xlrd:rvb i="2022"/>
        </ext>
      </extLst>
    </bk>
    <bk>
      <extLst>
        <ext uri="{3e2802c4-a4d2-4d8b-9148-e3be6c30e623}">
          <xlrd:rvb i="2023"/>
        </ext>
      </extLst>
    </bk>
    <bk>
      <extLst>
        <ext uri="{3e2802c4-a4d2-4d8b-9148-e3be6c30e623}">
          <xlrd:rvb i="2024"/>
        </ext>
      </extLst>
    </bk>
    <bk>
      <extLst>
        <ext uri="{3e2802c4-a4d2-4d8b-9148-e3be6c30e623}">
          <xlrd:rvb i="2025"/>
        </ext>
      </extLst>
    </bk>
    <bk>
      <extLst>
        <ext uri="{3e2802c4-a4d2-4d8b-9148-e3be6c30e623}">
          <xlrd:rvb i="2026"/>
        </ext>
      </extLst>
    </bk>
    <bk>
      <extLst>
        <ext uri="{3e2802c4-a4d2-4d8b-9148-e3be6c30e623}">
          <xlrd:rvb i="2027"/>
        </ext>
      </extLst>
    </bk>
    <bk>
      <extLst>
        <ext uri="{3e2802c4-a4d2-4d8b-9148-e3be6c30e623}">
          <xlrd:rvb i="2028"/>
        </ext>
      </extLst>
    </bk>
    <bk>
      <extLst>
        <ext uri="{3e2802c4-a4d2-4d8b-9148-e3be6c30e623}">
          <xlrd:rvb i="2029"/>
        </ext>
      </extLst>
    </bk>
    <bk>
      <extLst>
        <ext uri="{3e2802c4-a4d2-4d8b-9148-e3be6c30e623}">
          <xlrd:rvb i="2030"/>
        </ext>
      </extLst>
    </bk>
    <bk>
      <extLst>
        <ext uri="{3e2802c4-a4d2-4d8b-9148-e3be6c30e623}">
          <xlrd:rvb i="2031"/>
        </ext>
      </extLst>
    </bk>
    <bk>
      <extLst>
        <ext uri="{3e2802c4-a4d2-4d8b-9148-e3be6c30e623}">
          <xlrd:rvb i="2032"/>
        </ext>
      </extLst>
    </bk>
    <bk>
      <extLst>
        <ext uri="{3e2802c4-a4d2-4d8b-9148-e3be6c30e623}">
          <xlrd:rvb i="2033"/>
        </ext>
      </extLst>
    </bk>
    <bk>
      <extLst>
        <ext uri="{3e2802c4-a4d2-4d8b-9148-e3be6c30e623}">
          <xlrd:rvb i="2034"/>
        </ext>
      </extLst>
    </bk>
    <bk>
      <extLst>
        <ext uri="{3e2802c4-a4d2-4d8b-9148-e3be6c30e623}">
          <xlrd:rvb i="2035"/>
        </ext>
      </extLst>
    </bk>
    <bk>
      <extLst>
        <ext uri="{3e2802c4-a4d2-4d8b-9148-e3be6c30e623}">
          <xlrd:rvb i="2036"/>
        </ext>
      </extLst>
    </bk>
    <bk>
      <extLst>
        <ext uri="{3e2802c4-a4d2-4d8b-9148-e3be6c30e623}">
          <xlrd:rvb i="2037"/>
        </ext>
      </extLst>
    </bk>
    <bk>
      <extLst>
        <ext uri="{3e2802c4-a4d2-4d8b-9148-e3be6c30e623}">
          <xlrd:rvb i="2038"/>
        </ext>
      </extLst>
    </bk>
    <bk>
      <extLst>
        <ext uri="{3e2802c4-a4d2-4d8b-9148-e3be6c30e623}">
          <xlrd:rvb i="2039"/>
        </ext>
      </extLst>
    </bk>
    <bk>
      <extLst>
        <ext uri="{3e2802c4-a4d2-4d8b-9148-e3be6c30e623}">
          <xlrd:rvb i="2040"/>
        </ext>
      </extLst>
    </bk>
    <bk>
      <extLst>
        <ext uri="{3e2802c4-a4d2-4d8b-9148-e3be6c30e623}">
          <xlrd:rvb i="2041"/>
        </ext>
      </extLst>
    </bk>
    <bk>
      <extLst>
        <ext uri="{3e2802c4-a4d2-4d8b-9148-e3be6c30e623}">
          <xlrd:rvb i="2042"/>
        </ext>
      </extLst>
    </bk>
    <bk>
      <extLst>
        <ext uri="{3e2802c4-a4d2-4d8b-9148-e3be6c30e623}">
          <xlrd:rvb i="2043"/>
        </ext>
      </extLst>
    </bk>
    <bk>
      <extLst>
        <ext uri="{3e2802c4-a4d2-4d8b-9148-e3be6c30e623}">
          <xlrd:rvb i="2044"/>
        </ext>
      </extLst>
    </bk>
    <bk>
      <extLst>
        <ext uri="{3e2802c4-a4d2-4d8b-9148-e3be6c30e623}">
          <xlrd:rvb i="2045"/>
        </ext>
      </extLst>
    </bk>
    <bk>
      <extLst>
        <ext uri="{3e2802c4-a4d2-4d8b-9148-e3be6c30e623}">
          <xlrd:rvb i="2046"/>
        </ext>
      </extLst>
    </bk>
    <bk>
      <extLst>
        <ext uri="{3e2802c4-a4d2-4d8b-9148-e3be6c30e623}">
          <xlrd:rvb i="2047"/>
        </ext>
      </extLst>
    </bk>
    <bk>
      <extLst>
        <ext uri="{3e2802c4-a4d2-4d8b-9148-e3be6c30e623}">
          <xlrd:rvb i="2048"/>
        </ext>
      </extLst>
    </bk>
    <bk>
      <extLst>
        <ext uri="{3e2802c4-a4d2-4d8b-9148-e3be6c30e623}">
          <xlrd:rvb i="2049"/>
        </ext>
      </extLst>
    </bk>
    <bk>
      <extLst>
        <ext uri="{3e2802c4-a4d2-4d8b-9148-e3be6c30e623}">
          <xlrd:rvb i="2050"/>
        </ext>
      </extLst>
    </bk>
    <bk>
      <extLst>
        <ext uri="{3e2802c4-a4d2-4d8b-9148-e3be6c30e623}">
          <xlrd:rvb i="2051"/>
        </ext>
      </extLst>
    </bk>
    <bk>
      <extLst>
        <ext uri="{3e2802c4-a4d2-4d8b-9148-e3be6c30e623}">
          <xlrd:rvb i="2052"/>
        </ext>
      </extLst>
    </bk>
    <bk>
      <extLst>
        <ext uri="{3e2802c4-a4d2-4d8b-9148-e3be6c30e623}">
          <xlrd:rvb i="2053"/>
        </ext>
      </extLst>
    </bk>
    <bk>
      <extLst>
        <ext uri="{3e2802c4-a4d2-4d8b-9148-e3be6c30e623}">
          <xlrd:rvb i="2054"/>
        </ext>
      </extLst>
    </bk>
    <bk>
      <extLst>
        <ext uri="{3e2802c4-a4d2-4d8b-9148-e3be6c30e623}">
          <xlrd:rvb i="2055"/>
        </ext>
      </extLst>
    </bk>
    <bk>
      <extLst>
        <ext uri="{3e2802c4-a4d2-4d8b-9148-e3be6c30e623}">
          <xlrd:rvb i="2056"/>
        </ext>
      </extLst>
    </bk>
    <bk>
      <extLst>
        <ext uri="{3e2802c4-a4d2-4d8b-9148-e3be6c30e623}">
          <xlrd:rvb i="2057"/>
        </ext>
      </extLst>
    </bk>
    <bk>
      <extLst>
        <ext uri="{3e2802c4-a4d2-4d8b-9148-e3be6c30e623}">
          <xlrd:rvb i="2058"/>
        </ext>
      </extLst>
    </bk>
    <bk>
      <extLst>
        <ext uri="{3e2802c4-a4d2-4d8b-9148-e3be6c30e623}">
          <xlrd:rvb i="2059"/>
        </ext>
      </extLst>
    </bk>
    <bk>
      <extLst>
        <ext uri="{3e2802c4-a4d2-4d8b-9148-e3be6c30e623}">
          <xlrd:rvb i="2060"/>
        </ext>
      </extLst>
    </bk>
    <bk>
      <extLst>
        <ext uri="{3e2802c4-a4d2-4d8b-9148-e3be6c30e623}">
          <xlrd:rvb i="2061"/>
        </ext>
      </extLst>
    </bk>
    <bk>
      <extLst>
        <ext uri="{3e2802c4-a4d2-4d8b-9148-e3be6c30e623}">
          <xlrd:rvb i="2062"/>
        </ext>
      </extLst>
    </bk>
    <bk>
      <extLst>
        <ext uri="{3e2802c4-a4d2-4d8b-9148-e3be6c30e623}">
          <xlrd:rvb i="2063"/>
        </ext>
      </extLst>
    </bk>
    <bk>
      <extLst>
        <ext uri="{3e2802c4-a4d2-4d8b-9148-e3be6c30e623}">
          <xlrd:rvb i="2064"/>
        </ext>
      </extLst>
    </bk>
    <bk>
      <extLst>
        <ext uri="{3e2802c4-a4d2-4d8b-9148-e3be6c30e623}">
          <xlrd:rvb i="2065"/>
        </ext>
      </extLst>
    </bk>
    <bk>
      <extLst>
        <ext uri="{3e2802c4-a4d2-4d8b-9148-e3be6c30e623}">
          <xlrd:rvb i="2066"/>
        </ext>
      </extLst>
    </bk>
    <bk>
      <extLst>
        <ext uri="{3e2802c4-a4d2-4d8b-9148-e3be6c30e623}">
          <xlrd:rvb i="2067"/>
        </ext>
      </extLst>
    </bk>
    <bk>
      <extLst>
        <ext uri="{3e2802c4-a4d2-4d8b-9148-e3be6c30e623}">
          <xlrd:rvb i="2068"/>
        </ext>
      </extLst>
    </bk>
    <bk>
      <extLst>
        <ext uri="{3e2802c4-a4d2-4d8b-9148-e3be6c30e623}">
          <xlrd:rvb i="2069"/>
        </ext>
      </extLst>
    </bk>
    <bk>
      <extLst>
        <ext uri="{3e2802c4-a4d2-4d8b-9148-e3be6c30e623}">
          <xlrd:rvb i="2070"/>
        </ext>
      </extLst>
    </bk>
    <bk>
      <extLst>
        <ext uri="{3e2802c4-a4d2-4d8b-9148-e3be6c30e623}">
          <xlrd:rvb i="2071"/>
        </ext>
      </extLst>
    </bk>
    <bk>
      <extLst>
        <ext uri="{3e2802c4-a4d2-4d8b-9148-e3be6c30e623}">
          <xlrd:rvb i="2072"/>
        </ext>
      </extLst>
    </bk>
    <bk>
      <extLst>
        <ext uri="{3e2802c4-a4d2-4d8b-9148-e3be6c30e623}">
          <xlrd:rvb i="2073"/>
        </ext>
      </extLst>
    </bk>
    <bk>
      <extLst>
        <ext uri="{3e2802c4-a4d2-4d8b-9148-e3be6c30e623}">
          <xlrd:rvb i="2074"/>
        </ext>
      </extLst>
    </bk>
    <bk>
      <extLst>
        <ext uri="{3e2802c4-a4d2-4d8b-9148-e3be6c30e623}">
          <xlrd:rvb i="2075"/>
        </ext>
      </extLst>
    </bk>
    <bk>
      <extLst>
        <ext uri="{3e2802c4-a4d2-4d8b-9148-e3be6c30e623}">
          <xlrd:rvb i="2076"/>
        </ext>
      </extLst>
    </bk>
    <bk>
      <extLst>
        <ext uri="{3e2802c4-a4d2-4d8b-9148-e3be6c30e623}">
          <xlrd:rvb i="2077"/>
        </ext>
      </extLst>
    </bk>
    <bk>
      <extLst>
        <ext uri="{3e2802c4-a4d2-4d8b-9148-e3be6c30e623}">
          <xlrd:rvb i="2078"/>
        </ext>
      </extLst>
    </bk>
    <bk>
      <extLst>
        <ext uri="{3e2802c4-a4d2-4d8b-9148-e3be6c30e623}">
          <xlrd:rvb i="2079"/>
        </ext>
      </extLst>
    </bk>
    <bk>
      <extLst>
        <ext uri="{3e2802c4-a4d2-4d8b-9148-e3be6c30e623}">
          <xlrd:rvb i="2080"/>
        </ext>
      </extLst>
    </bk>
    <bk>
      <extLst>
        <ext uri="{3e2802c4-a4d2-4d8b-9148-e3be6c30e623}">
          <xlrd:rvb i="2081"/>
        </ext>
      </extLst>
    </bk>
    <bk>
      <extLst>
        <ext uri="{3e2802c4-a4d2-4d8b-9148-e3be6c30e623}">
          <xlrd:rvb i="2082"/>
        </ext>
      </extLst>
    </bk>
    <bk>
      <extLst>
        <ext uri="{3e2802c4-a4d2-4d8b-9148-e3be6c30e623}">
          <xlrd:rvb i="2083"/>
        </ext>
      </extLst>
    </bk>
    <bk>
      <extLst>
        <ext uri="{3e2802c4-a4d2-4d8b-9148-e3be6c30e623}">
          <xlrd:rvb i="2084"/>
        </ext>
      </extLst>
    </bk>
    <bk>
      <extLst>
        <ext uri="{3e2802c4-a4d2-4d8b-9148-e3be6c30e623}">
          <xlrd:rvb i="2085"/>
        </ext>
      </extLst>
    </bk>
    <bk>
      <extLst>
        <ext uri="{3e2802c4-a4d2-4d8b-9148-e3be6c30e623}">
          <xlrd:rvb i="2086"/>
        </ext>
      </extLst>
    </bk>
    <bk>
      <extLst>
        <ext uri="{3e2802c4-a4d2-4d8b-9148-e3be6c30e623}">
          <xlrd:rvb i="2087"/>
        </ext>
      </extLst>
    </bk>
    <bk>
      <extLst>
        <ext uri="{3e2802c4-a4d2-4d8b-9148-e3be6c30e623}">
          <xlrd:rvb i="2088"/>
        </ext>
      </extLst>
    </bk>
    <bk>
      <extLst>
        <ext uri="{3e2802c4-a4d2-4d8b-9148-e3be6c30e623}">
          <xlrd:rvb i="2089"/>
        </ext>
      </extLst>
    </bk>
    <bk>
      <extLst>
        <ext uri="{3e2802c4-a4d2-4d8b-9148-e3be6c30e623}">
          <xlrd:rvb i="2090"/>
        </ext>
      </extLst>
    </bk>
    <bk>
      <extLst>
        <ext uri="{3e2802c4-a4d2-4d8b-9148-e3be6c30e623}">
          <xlrd:rvb i="2091"/>
        </ext>
      </extLst>
    </bk>
    <bk>
      <extLst>
        <ext uri="{3e2802c4-a4d2-4d8b-9148-e3be6c30e623}">
          <xlrd:rvb i="2092"/>
        </ext>
      </extLst>
    </bk>
    <bk>
      <extLst>
        <ext uri="{3e2802c4-a4d2-4d8b-9148-e3be6c30e623}">
          <xlrd:rvb i="2093"/>
        </ext>
      </extLst>
    </bk>
    <bk>
      <extLst>
        <ext uri="{3e2802c4-a4d2-4d8b-9148-e3be6c30e623}">
          <xlrd:rvb i="2094"/>
        </ext>
      </extLst>
    </bk>
    <bk>
      <extLst>
        <ext uri="{3e2802c4-a4d2-4d8b-9148-e3be6c30e623}">
          <xlrd:rvb i="2095"/>
        </ext>
      </extLst>
    </bk>
    <bk>
      <extLst>
        <ext uri="{3e2802c4-a4d2-4d8b-9148-e3be6c30e623}">
          <xlrd:rvb i="2096"/>
        </ext>
      </extLst>
    </bk>
    <bk>
      <extLst>
        <ext uri="{3e2802c4-a4d2-4d8b-9148-e3be6c30e623}">
          <xlrd:rvb i="2097"/>
        </ext>
      </extLst>
    </bk>
    <bk>
      <extLst>
        <ext uri="{3e2802c4-a4d2-4d8b-9148-e3be6c30e623}">
          <xlrd:rvb i="2098"/>
        </ext>
      </extLst>
    </bk>
    <bk>
      <extLst>
        <ext uri="{3e2802c4-a4d2-4d8b-9148-e3be6c30e623}">
          <xlrd:rvb i="2099"/>
        </ext>
      </extLst>
    </bk>
    <bk>
      <extLst>
        <ext uri="{3e2802c4-a4d2-4d8b-9148-e3be6c30e623}">
          <xlrd:rvb i="2100"/>
        </ext>
      </extLst>
    </bk>
    <bk>
      <extLst>
        <ext uri="{3e2802c4-a4d2-4d8b-9148-e3be6c30e623}">
          <xlrd:rvb i="2101"/>
        </ext>
      </extLst>
    </bk>
    <bk>
      <extLst>
        <ext uri="{3e2802c4-a4d2-4d8b-9148-e3be6c30e623}">
          <xlrd:rvb i="2102"/>
        </ext>
      </extLst>
    </bk>
    <bk>
      <extLst>
        <ext uri="{3e2802c4-a4d2-4d8b-9148-e3be6c30e623}">
          <xlrd:rvb i="2103"/>
        </ext>
      </extLst>
    </bk>
    <bk>
      <extLst>
        <ext uri="{3e2802c4-a4d2-4d8b-9148-e3be6c30e623}">
          <xlrd:rvb i="2104"/>
        </ext>
      </extLst>
    </bk>
    <bk>
      <extLst>
        <ext uri="{3e2802c4-a4d2-4d8b-9148-e3be6c30e623}">
          <xlrd:rvb i="2105"/>
        </ext>
      </extLst>
    </bk>
    <bk>
      <extLst>
        <ext uri="{3e2802c4-a4d2-4d8b-9148-e3be6c30e623}">
          <xlrd:rvb i="2106"/>
        </ext>
      </extLst>
    </bk>
    <bk>
      <extLst>
        <ext uri="{3e2802c4-a4d2-4d8b-9148-e3be6c30e623}">
          <xlrd:rvb i="2107"/>
        </ext>
      </extLst>
    </bk>
    <bk>
      <extLst>
        <ext uri="{3e2802c4-a4d2-4d8b-9148-e3be6c30e623}">
          <xlrd:rvb i="2108"/>
        </ext>
      </extLst>
    </bk>
    <bk>
      <extLst>
        <ext uri="{3e2802c4-a4d2-4d8b-9148-e3be6c30e623}">
          <xlrd:rvb i="2109"/>
        </ext>
      </extLst>
    </bk>
    <bk>
      <extLst>
        <ext uri="{3e2802c4-a4d2-4d8b-9148-e3be6c30e623}">
          <xlrd:rvb i="2110"/>
        </ext>
      </extLst>
    </bk>
    <bk>
      <extLst>
        <ext uri="{3e2802c4-a4d2-4d8b-9148-e3be6c30e623}">
          <xlrd:rvb i="2111"/>
        </ext>
      </extLst>
    </bk>
    <bk>
      <extLst>
        <ext uri="{3e2802c4-a4d2-4d8b-9148-e3be6c30e623}">
          <xlrd:rvb i="2112"/>
        </ext>
      </extLst>
    </bk>
    <bk>
      <extLst>
        <ext uri="{3e2802c4-a4d2-4d8b-9148-e3be6c30e623}">
          <xlrd:rvb i="2113"/>
        </ext>
      </extLst>
    </bk>
    <bk>
      <extLst>
        <ext uri="{3e2802c4-a4d2-4d8b-9148-e3be6c30e623}">
          <xlrd:rvb i="2114"/>
        </ext>
      </extLst>
    </bk>
    <bk>
      <extLst>
        <ext uri="{3e2802c4-a4d2-4d8b-9148-e3be6c30e623}">
          <xlrd:rvb i="2115"/>
        </ext>
      </extLst>
    </bk>
    <bk>
      <extLst>
        <ext uri="{3e2802c4-a4d2-4d8b-9148-e3be6c30e623}">
          <xlrd:rvb i="2116"/>
        </ext>
      </extLst>
    </bk>
    <bk>
      <extLst>
        <ext uri="{3e2802c4-a4d2-4d8b-9148-e3be6c30e623}">
          <xlrd:rvb i="2117"/>
        </ext>
      </extLst>
    </bk>
    <bk>
      <extLst>
        <ext uri="{3e2802c4-a4d2-4d8b-9148-e3be6c30e623}">
          <xlrd:rvb i="2118"/>
        </ext>
      </extLst>
    </bk>
    <bk>
      <extLst>
        <ext uri="{3e2802c4-a4d2-4d8b-9148-e3be6c30e623}">
          <xlrd:rvb i="2119"/>
        </ext>
      </extLst>
    </bk>
    <bk>
      <extLst>
        <ext uri="{3e2802c4-a4d2-4d8b-9148-e3be6c30e623}">
          <xlrd:rvb i="2120"/>
        </ext>
      </extLst>
    </bk>
    <bk>
      <extLst>
        <ext uri="{3e2802c4-a4d2-4d8b-9148-e3be6c30e623}">
          <xlrd:rvb i="2121"/>
        </ext>
      </extLst>
    </bk>
    <bk>
      <extLst>
        <ext uri="{3e2802c4-a4d2-4d8b-9148-e3be6c30e623}">
          <xlrd:rvb i="2122"/>
        </ext>
      </extLst>
    </bk>
    <bk>
      <extLst>
        <ext uri="{3e2802c4-a4d2-4d8b-9148-e3be6c30e623}">
          <xlrd:rvb i="2123"/>
        </ext>
      </extLst>
    </bk>
    <bk>
      <extLst>
        <ext uri="{3e2802c4-a4d2-4d8b-9148-e3be6c30e623}">
          <xlrd:rvb i="2124"/>
        </ext>
      </extLst>
    </bk>
    <bk>
      <extLst>
        <ext uri="{3e2802c4-a4d2-4d8b-9148-e3be6c30e623}">
          <xlrd:rvb i="2125"/>
        </ext>
      </extLst>
    </bk>
    <bk>
      <extLst>
        <ext uri="{3e2802c4-a4d2-4d8b-9148-e3be6c30e623}">
          <xlrd:rvb i="2126"/>
        </ext>
      </extLst>
    </bk>
    <bk>
      <extLst>
        <ext uri="{3e2802c4-a4d2-4d8b-9148-e3be6c30e623}">
          <xlrd:rvb i="2127"/>
        </ext>
      </extLst>
    </bk>
    <bk>
      <extLst>
        <ext uri="{3e2802c4-a4d2-4d8b-9148-e3be6c30e623}">
          <xlrd:rvb i="2128"/>
        </ext>
      </extLst>
    </bk>
    <bk>
      <extLst>
        <ext uri="{3e2802c4-a4d2-4d8b-9148-e3be6c30e623}">
          <xlrd:rvb i="2129"/>
        </ext>
      </extLst>
    </bk>
    <bk>
      <extLst>
        <ext uri="{3e2802c4-a4d2-4d8b-9148-e3be6c30e623}">
          <xlrd:rvb i="2130"/>
        </ext>
      </extLst>
    </bk>
    <bk>
      <extLst>
        <ext uri="{3e2802c4-a4d2-4d8b-9148-e3be6c30e623}">
          <xlrd:rvb i="2131"/>
        </ext>
      </extLst>
    </bk>
    <bk>
      <extLst>
        <ext uri="{3e2802c4-a4d2-4d8b-9148-e3be6c30e623}">
          <xlrd:rvb i="2132"/>
        </ext>
      </extLst>
    </bk>
    <bk>
      <extLst>
        <ext uri="{3e2802c4-a4d2-4d8b-9148-e3be6c30e623}">
          <xlrd:rvb i="2133"/>
        </ext>
      </extLst>
    </bk>
    <bk>
      <extLst>
        <ext uri="{3e2802c4-a4d2-4d8b-9148-e3be6c30e623}">
          <xlrd:rvb i="2134"/>
        </ext>
      </extLst>
    </bk>
    <bk>
      <extLst>
        <ext uri="{3e2802c4-a4d2-4d8b-9148-e3be6c30e623}">
          <xlrd:rvb i="2135"/>
        </ext>
      </extLst>
    </bk>
    <bk>
      <extLst>
        <ext uri="{3e2802c4-a4d2-4d8b-9148-e3be6c30e623}">
          <xlrd:rvb i="2136"/>
        </ext>
      </extLst>
    </bk>
    <bk>
      <extLst>
        <ext uri="{3e2802c4-a4d2-4d8b-9148-e3be6c30e623}">
          <xlrd:rvb i="2137"/>
        </ext>
      </extLst>
    </bk>
    <bk>
      <extLst>
        <ext uri="{3e2802c4-a4d2-4d8b-9148-e3be6c30e623}">
          <xlrd:rvb i="2138"/>
        </ext>
      </extLst>
    </bk>
    <bk>
      <extLst>
        <ext uri="{3e2802c4-a4d2-4d8b-9148-e3be6c30e623}">
          <xlrd:rvb i="2139"/>
        </ext>
      </extLst>
    </bk>
    <bk>
      <extLst>
        <ext uri="{3e2802c4-a4d2-4d8b-9148-e3be6c30e623}">
          <xlrd:rvb i="2140"/>
        </ext>
      </extLst>
    </bk>
    <bk>
      <extLst>
        <ext uri="{3e2802c4-a4d2-4d8b-9148-e3be6c30e623}">
          <xlrd:rvb i="2141"/>
        </ext>
      </extLst>
    </bk>
    <bk>
      <extLst>
        <ext uri="{3e2802c4-a4d2-4d8b-9148-e3be6c30e623}">
          <xlrd:rvb i="2142"/>
        </ext>
      </extLst>
    </bk>
    <bk>
      <extLst>
        <ext uri="{3e2802c4-a4d2-4d8b-9148-e3be6c30e623}">
          <xlrd:rvb i="2143"/>
        </ext>
      </extLst>
    </bk>
    <bk>
      <extLst>
        <ext uri="{3e2802c4-a4d2-4d8b-9148-e3be6c30e623}">
          <xlrd:rvb i="2144"/>
        </ext>
      </extLst>
    </bk>
    <bk>
      <extLst>
        <ext uri="{3e2802c4-a4d2-4d8b-9148-e3be6c30e623}">
          <xlrd:rvb i="2145"/>
        </ext>
      </extLst>
    </bk>
    <bk>
      <extLst>
        <ext uri="{3e2802c4-a4d2-4d8b-9148-e3be6c30e623}">
          <xlrd:rvb i="2146"/>
        </ext>
      </extLst>
    </bk>
    <bk>
      <extLst>
        <ext uri="{3e2802c4-a4d2-4d8b-9148-e3be6c30e623}">
          <xlrd:rvb i="2147"/>
        </ext>
      </extLst>
    </bk>
    <bk>
      <extLst>
        <ext uri="{3e2802c4-a4d2-4d8b-9148-e3be6c30e623}">
          <xlrd:rvb i="2148"/>
        </ext>
      </extLst>
    </bk>
    <bk>
      <extLst>
        <ext uri="{3e2802c4-a4d2-4d8b-9148-e3be6c30e623}">
          <xlrd:rvb i="2149"/>
        </ext>
      </extLst>
    </bk>
    <bk>
      <extLst>
        <ext uri="{3e2802c4-a4d2-4d8b-9148-e3be6c30e623}">
          <xlrd:rvb i="2150"/>
        </ext>
      </extLst>
    </bk>
    <bk>
      <extLst>
        <ext uri="{3e2802c4-a4d2-4d8b-9148-e3be6c30e623}">
          <xlrd:rvb i="2151"/>
        </ext>
      </extLst>
    </bk>
    <bk>
      <extLst>
        <ext uri="{3e2802c4-a4d2-4d8b-9148-e3be6c30e623}">
          <xlrd:rvb i="2152"/>
        </ext>
      </extLst>
    </bk>
    <bk>
      <extLst>
        <ext uri="{3e2802c4-a4d2-4d8b-9148-e3be6c30e623}">
          <xlrd:rvb i="2153"/>
        </ext>
      </extLst>
    </bk>
    <bk>
      <extLst>
        <ext uri="{3e2802c4-a4d2-4d8b-9148-e3be6c30e623}">
          <xlrd:rvb i="2154"/>
        </ext>
      </extLst>
    </bk>
    <bk>
      <extLst>
        <ext uri="{3e2802c4-a4d2-4d8b-9148-e3be6c30e623}">
          <xlrd:rvb i="2155"/>
        </ext>
      </extLst>
    </bk>
    <bk>
      <extLst>
        <ext uri="{3e2802c4-a4d2-4d8b-9148-e3be6c30e623}">
          <xlrd:rvb i="2156"/>
        </ext>
      </extLst>
    </bk>
    <bk>
      <extLst>
        <ext uri="{3e2802c4-a4d2-4d8b-9148-e3be6c30e623}">
          <xlrd:rvb i="2157"/>
        </ext>
      </extLst>
    </bk>
    <bk>
      <extLst>
        <ext uri="{3e2802c4-a4d2-4d8b-9148-e3be6c30e623}">
          <xlrd:rvb i="2158"/>
        </ext>
      </extLst>
    </bk>
    <bk>
      <extLst>
        <ext uri="{3e2802c4-a4d2-4d8b-9148-e3be6c30e623}">
          <xlrd:rvb i="2159"/>
        </ext>
      </extLst>
    </bk>
    <bk>
      <extLst>
        <ext uri="{3e2802c4-a4d2-4d8b-9148-e3be6c30e623}">
          <xlrd:rvb i="2160"/>
        </ext>
      </extLst>
    </bk>
    <bk>
      <extLst>
        <ext uri="{3e2802c4-a4d2-4d8b-9148-e3be6c30e623}">
          <xlrd:rvb i="2161"/>
        </ext>
      </extLst>
    </bk>
    <bk>
      <extLst>
        <ext uri="{3e2802c4-a4d2-4d8b-9148-e3be6c30e623}">
          <xlrd:rvb i="2162"/>
        </ext>
      </extLst>
    </bk>
    <bk>
      <extLst>
        <ext uri="{3e2802c4-a4d2-4d8b-9148-e3be6c30e623}">
          <xlrd:rvb i="2163"/>
        </ext>
      </extLst>
    </bk>
    <bk>
      <extLst>
        <ext uri="{3e2802c4-a4d2-4d8b-9148-e3be6c30e623}">
          <xlrd:rvb i="2164"/>
        </ext>
      </extLst>
    </bk>
    <bk>
      <extLst>
        <ext uri="{3e2802c4-a4d2-4d8b-9148-e3be6c30e623}">
          <xlrd:rvb i="2165"/>
        </ext>
      </extLst>
    </bk>
    <bk>
      <extLst>
        <ext uri="{3e2802c4-a4d2-4d8b-9148-e3be6c30e623}">
          <xlrd:rvb i="2166"/>
        </ext>
      </extLst>
    </bk>
    <bk>
      <extLst>
        <ext uri="{3e2802c4-a4d2-4d8b-9148-e3be6c30e623}">
          <xlrd:rvb i="2167"/>
        </ext>
      </extLst>
    </bk>
    <bk>
      <extLst>
        <ext uri="{3e2802c4-a4d2-4d8b-9148-e3be6c30e623}">
          <xlrd:rvb i="2168"/>
        </ext>
      </extLst>
    </bk>
    <bk>
      <extLst>
        <ext uri="{3e2802c4-a4d2-4d8b-9148-e3be6c30e623}">
          <xlrd:rvb i="2169"/>
        </ext>
      </extLst>
    </bk>
    <bk>
      <extLst>
        <ext uri="{3e2802c4-a4d2-4d8b-9148-e3be6c30e623}">
          <xlrd:rvb i="2170"/>
        </ext>
      </extLst>
    </bk>
    <bk>
      <extLst>
        <ext uri="{3e2802c4-a4d2-4d8b-9148-e3be6c30e623}">
          <xlrd:rvb i="2171"/>
        </ext>
      </extLst>
    </bk>
    <bk>
      <extLst>
        <ext uri="{3e2802c4-a4d2-4d8b-9148-e3be6c30e623}">
          <xlrd:rvb i="2172"/>
        </ext>
      </extLst>
    </bk>
    <bk>
      <extLst>
        <ext uri="{3e2802c4-a4d2-4d8b-9148-e3be6c30e623}">
          <xlrd:rvb i="2173"/>
        </ext>
      </extLst>
    </bk>
    <bk>
      <extLst>
        <ext uri="{3e2802c4-a4d2-4d8b-9148-e3be6c30e623}">
          <xlrd:rvb i="2174"/>
        </ext>
      </extLst>
    </bk>
    <bk>
      <extLst>
        <ext uri="{3e2802c4-a4d2-4d8b-9148-e3be6c30e623}">
          <xlrd:rvb i="2175"/>
        </ext>
      </extLst>
    </bk>
    <bk>
      <extLst>
        <ext uri="{3e2802c4-a4d2-4d8b-9148-e3be6c30e623}">
          <xlrd:rvb i="2176"/>
        </ext>
      </extLst>
    </bk>
    <bk>
      <extLst>
        <ext uri="{3e2802c4-a4d2-4d8b-9148-e3be6c30e623}">
          <xlrd:rvb i="2177"/>
        </ext>
      </extLst>
    </bk>
    <bk>
      <extLst>
        <ext uri="{3e2802c4-a4d2-4d8b-9148-e3be6c30e623}">
          <xlrd:rvb i="2178"/>
        </ext>
      </extLst>
    </bk>
    <bk>
      <extLst>
        <ext uri="{3e2802c4-a4d2-4d8b-9148-e3be6c30e623}">
          <xlrd:rvb i="2179"/>
        </ext>
      </extLst>
    </bk>
    <bk>
      <extLst>
        <ext uri="{3e2802c4-a4d2-4d8b-9148-e3be6c30e623}">
          <xlrd:rvb i="2180"/>
        </ext>
      </extLst>
    </bk>
    <bk>
      <extLst>
        <ext uri="{3e2802c4-a4d2-4d8b-9148-e3be6c30e623}">
          <xlrd:rvb i="2181"/>
        </ext>
      </extLst>
    </bk>
    <bk>
      <extLst>
        <ext uri="{3e2802c4-a4d2-4d8b-9148-e3be6c30e623}">
          <xlrd:rvb i="2182"/>
        </ext>
      </extLst>
    </bk>
    <bk>
      <extLst>
        <ext uri="{3e2802c4-a4d2-4d8b-9148-e3be6c30e623}">
          <xlrd:rvb i="2183"/>
        </ext>
      </extLst>
    </bk>
    <bk>
      <extLst>
        <ext uri="{3e2802c4-a4d2-4d8b-9148-e3be6c30e623}">
          <xlrd:rvb i="2184"/>
        </ext>
      </extLst>
    </bk>
    <bk>
      <extLst>
        <ext uri="{3e2802c4-a4d2-4d8b-9148-e3be6c30e623}">
          <xlrd:rvb i="2185"/>
        </ext>
      </extLst>
    </bk>
    <bk>
      <extLst>
        <ext uri="{3e2802c4-a4d2-4d8b-9148-e3be6c30e623}">
          <xlrd:rvb i="2186"/>
        </ext>
      </extLst>
    </bk>
    <bk>
      <extLst>
        <ext uri="{3e2802c4-a4d2-4d8b-9148-e3be6c30e623}">
          <xlrd:rvb i="2187"/>
        </ext>
      </extLst>
    </bk>
    <bk>
      <extLst>
        <ext uri="{3e2802c4-a4d2-4d8b-9148-e3be6c30e623}">
          <xlrd:rvb i="2188"/>
        </ext>
      </extLst>
    </bk>
    <bk>
      <extLst>
        <ext uri="{3e2802c4-a4d2-4d8b-9148-e3be6c30e623}">
          <xlrd:rvb i="2189"/>
        </ext>
      </extLst>
    </bk>
    <bk>
      <extLst>
        <ext uri="{3e2802c4-a4d2-4d8b-9148-e3be6c30e623}">
          <xlrd:rvb i="2190"/>
        </ext>
      </extLst>
    </bk>
    <bk>
      <extLst>
        <ext uri="{3e2802c4-a4d2-4d8b-9148-e3be6c30e623}">
          <xlrd:rvb i="2191"/>
        </ext>
      </extLst>
    </bk>
    <bk>
      <extLst>
        <ext uri="{3e2802c4-a4d2-4d8b-9148-e3be6c30e623}">
          <xlrd:rvb i="2192"/>
        </ext>
      </extLst>
    </bk>
    <bk>
      <extLst>
        <ext uri="{3e2802c4-a4d2-4d8b-9148-e3be6c30e623}">
          <xlrd:rvb i="2193"/>
        </ext>
      </extLst>
    </bk>
    <bk>
      <extLst>
        <ext uri="{3e2802c4-a4d2-4d8b-9148-e3be6c30e623}">
          <xlrd:rvb i="2194"/>
        </ext>
      </extLst>
    </bk>
    <bk>
      <extLst>
        <ext uri="{3e2802c4-a4d2-4d8b-9148-e3be6c30e623}">
          <xlrd:rvb i="2195"/>
        </ext>
      </extLst>
    </bk>
    <bk>
      <extLst>
        <ext uri="{3e2802c4-a4d2-4d8b-9148-e3be6c30e623}">
          <xlrd:rvb i="2196"/>
        </ext>
      </extLst>
    </bk>
    <bk>
      <extLst>
        <ext uri="{3e2802c4-a4d2-4d8b-9148-e3be6c30e623}">
          <xlrd:rvb i="2197"/>
        </ext>
      </extLst>
    </bk>
    <bk>
      <extLst>
        <ext uri="{3e2802c4-a4d2-4d8b-9148-e3be6c30e623}">
          <xlrd:rvb i="2198"/>
        </ext>
      </extLst>
    </bk>
    <bk>
      <extLst>
        <ext uri="{3e2802c4-a4d2-4d8b-9148-e3be6c30e623}">
          <xlrd:rvb i="2199"/>
        </ext>
      </extLst>
    </bk>
    <bk>
      <extLst>
        <ext uri="{3e2802c4-a4d2-4d8b-9148-e3be6c30e623}">
          <xlrd:rvb i="2200"/>
        </ext>
      </extLst>
    </bk>
    <bk>
      <extLst>
        <ext uri="{3e2802c4-a4d2-4d8b-9148-e3be6c30e623}">
          <xlrd:rvb i="2201"/>
        </ext>
      </extLst>
    </bk>
    <bk>
      <extLst>
        <ext uri="{3e2802c4-a4d2-4d8b-9148-e3be6c30e623}">
          <xlrd:rvb i="2202"/>
        </ext>
      </extLst>
    </bk>
    <bk>
      <extLst>
        <ext uri="{3e2802c4-a4d2-4d8b-9148-e3be6c30e623}">
          <xlrd:rvb i="2203"/>
        </ext>
      </extLst>
    </bk>
    <bk>
      <extLst>
        <ext uri="{3e2802c4-a4d2-4d8b-9148-e3be6c30e623}">
          <xlrd:rvb i="2204"/>
        </ext>
      </extLst>
    </bk>
    <bk>
      <extLst>
        <ext uri="{3e2802c4-a4d2-4d8b-9148-e3be6c30e623}">
          <xlrd:rvb i="2205"/>
        </ext>
      </extLst>
    </bk>
    <bk>
      <extLst>
        <ext uri="{3e2802c4-a4d2-4d8b-9148-e3be6c30e623}">
          <xlrd:rvb i="2206"/>
        </ext>
      </extLst>
    </bk>
    <bk>
      <extLst>
        <ext uri="{3e2802c4-a4d2-4d8b-9148-e3be6c30e623}">
          <xlrd:rvb i="2207"/>
        </ext>
      </extLst>
    </bk>
    <bk>
      <extLst>
        <ext uri="{3e2802c4-a4d2-4d8b-9148-e3be6c30e623}">
          <xlrd:rvb i="2208"/>
        </ext>
      </extLst>
    </bk>
    <bk>
      <extLst>
        <ext uri="{3e2802c4-a4d2-4d8b-9148-e3be6c30e623}">
          <xlrd:rvb i="2209"/>
        </ext>
      </extLst>
    </bk>
    <bk>
      <extLst>
        <ext uri="{3e2802c4-a4d2-4d8b-9148-e3be6c30e623}">
          <xlrd:rvb i="2210"/>
        </ext>
      </extLst>
    </bk>
    <bk>
      <extLst>
        <ext uri="{3e2802c4-a4d2-4d8b-9148-e3be6c30e623}">
          <xlrd:rvb i="2211"/>
        </ext>
      </extLst>
    </bk>
    <bk>
      <extLst>
        <ext uri="{3e2802c4-a4d2-4d8b-9148-e3be6c30e623}">
          <xlrd:rvb i="2212"/>
        </ext>
      </extLst>
    </bk>
    <bk>
      <extLst>
        <ext uri="{3e2802c4-a4d2-4d8b-9148-e3be6c30e623}">
          <xlrd:rvb i="2213"/>
        </ext>
      </extLst>
    </bk>
    <bk>
      <extLst>
        <ext uri="{3e2802c4-a4d2-4d8b-9148-e3be6c30e623}">
          <xlrd:rvb i="2214"/>
        </ext>
      </extLst>
    </bk>
    <bk>
      <extLst>
        <ext uri="{3e2802c4-a4d2-4d8b-9148-e3be6c30e623}">
          <xlrd:rvb i="2215"/>
        </ext>
      </extLst>
    </bk>
    <bk>
      <extLst>
        <ext uri="{3e2802c4-a4d2-4d8b-9148-e3be6c30e623}">
          <xlrd:rvb i="2216"/>
        </ext>
      </extLst>
    </bk>
    <bk>
      <extLst>
        <ext uri="{3e2802c4-a4d2-4d8b-9148-e3be6c30e623}">
          <xlrd:rvb i="2217"/>
        </ext>
      </extLst>
    </bk>
    <bk>
      <extLst>
        <ext uri="{3e2802c4-a4d2-4d8b-9148-e3be6c30e623}">
          <xlrd:rvb i="2218"/>
        </ext>
      </extLst>
    </bk>
    <bk>
      <extLst>
        <ext uri="{3e2802c4-a4d2-4d8b-9148-e3be6c30e623}">
          <xlrd:rvb i="2219"/>
        </ext>
      </extLst>
    </bk>
    <bk>
      <extLst>
        <ext uri="{3e2802c4-a4d2-4d8b-9148-e3be6c30e623}">
          <xlrd:rvb i="2220"/>
        </ext>
      </extLst>
    </bk>
    <bk>
      <extLst>
        <ext uri="{3e2802c4-a4d2-4d8b-9148-e3be6c30e623}">
          <xlrd:rvb i="2221"/>
        </ext>
      </extLst>
    </bk>
    <bk>
      <extLst>
        <ext uri="{3e2802c4-a4d2-4d8b-9148-e3be6c30e623}">
          <xlrd:rvb i="2222"/>
        </ext>
      </extLst>
    </bk>
    <bk>
      <extLst>
        <ext uri="{3e2802c4-a4d2-4d8b-9148-e3be6c30e623}">
          <xlrd:rvb i="2223"/>
        </ext>
      </extLst>
    </bk>
    <bk>
      <extLst>
        <ext uri="{3e2802c4-a4d2-4d8b-9148-e3be6c30e623}">
          <xlrd:rvb i="2224"/>
        </ext>
      </extLst>
    </bk>
    <bk>
      <extLst>
        <ext uri="{3e2802c4-a4d2-4d8b-9148-e3be6c30e623}">
          <xlrd:rvb i="2225"/>
        </ext>
      </extLst>
    </bk>
    <bk>
      <extLst>
        <ext uri="{3e2802c4-a4d2-4d8b-9148-e3be6c30e623}">
          <xlrd:rvb i="2226"/>
        </ext>
      </extLst>
    </bk>
    <bk>
      <extLst>
        <ext uri="{3e2802c4-a4d2-4d8b-9148-e3be6c30e623}">
          <xlrd:rvb i="2227"/>
        </ext>
      </extLst>
    </bk>
    <bk>
      <extLst>
        <ext uri="{3e2802c4-a4d2-4d8b-9148-e3be6c30e623}">
          <xlrd:rvb i="2228"/>
        </ext>
      </extLst>
    </bk>
    <bk>
      <extLst>
        <ext uri="{3e2802c4-a4d2-4d8b-9148-e3be6c30e623}">
          <xlrd:rvb i="2229"/>
        </ext>
      </extLst>
    </bk>
    <bk>
      <extLst>
        <ext uri="{3e2802c4-a4d2-4d8b-9148-e3be6c30e623}">
          <xlrd:rvb i="2230"/>
        </ext>
      </extLst>
    </bk>
    <bk>
      <extLst>
        <ext uri="{3e2802c4-a4d2-4d8b-9148-e3be6c30e623}">
          <xlrd:rvb i="2231"/>
        </ext>
      </extLst>
    </bk>
    <bk>
      <extLst>
        <ext uri="{3e2802c4-a4d2-4d8b-9148-e3be6c30e623}">
          <xlrd:rvb i="2232"/>
        </ext>
      </extLst>
    </bk>
    <bk>
      <extLst>
        <ext uri="{3e2802c4-a4d2-4d8b-9148-e3be6c30e623}">
          <xlrd:rvb i="2233"/>
        </ext>
      </extLst>
    </bk>
    <bk>
      <extLst>
        <ext uri="{3e2802c4-a4d2-4d8b-9148-e3be6c30e623}">
          <xlrd:rvb i="2234"/>
        </ext>
      </extLst>
    </bk>
    <bk>
      <extLst>
        <ext uri="{3e2802c4-a4d2-4d8b-9148-e3be6c30e623}">
          <xlrd:rvb i="2235"/>
        </ext>
      </extLst>
    </bk>
    <bk>
      <extLst>
        <ext uri="{3e2802c4-a4d2-4d8b-9148-e3be6c30e623}">
          <xlrd:rvb i="2236"/>
        </ext>
      </extLst>
    </bk>
    <bk>
      <extLst>
        <ext uri="{3e2802c4-a4d2-4d8b-9148-e3be6c30e623}">
          <xlrd:rvb i="2237"/>
        </ext>
      </extLst>
    </bk>
    <bk>
      <extLst>
        <ext uri="{3e2802c4-a4d2-4d8b-9148-e3be6c30e623}">
          <xlrd:rvb i="2238"/>
        </ext>
      </extLst>
    </bk>
    <bk>
      <extLst>
        <ext uri="{3e2802c4-a4d2-4d8b-9148-e3be6c30e623}">
          <xlrd:rvb i="2239"/>
        </ext>
      </extLst>
    </bk>
    <bk>
      <extLst>
        <ext uri="{3e2802c4-a4d2-4d8b-9148-e3be6c30e623}">
          <xlrd:rvb i="2240"/>
        </ext>
      </extLst>
    </bk>
    <bk>
      <extLst>
        <ext uri="{3e2802c4-a4d2-4d8b-9148-e3be6c30e623}">
          <xlrd:rvb i="2241"/>
        </ext>
      </extLst>
    </bk>
    <bk>
      <extLst>
        <ext uri="{3e2802c4-a4d2-4d8b-9148-e3be6c30e623}">
          <xlrd:rvb i="2242"/>
        </ext>
      </extLst>
    </bk>
    <bk>
      <extLst>
        <ext uri="{3e2802c4-a4d2-4d8b-9148-e3be6c30e623}">
          <xlrd:rvb i="2243"/>
        </ext>
      </extLst>
    </bk>
    <bk>
      <extLst>
        <ext uri="{3e2802c4-a4d2-4d8b-9148-e3be6c30e623}">
          <xlrd:rvb i="2244"/>
        </ext>
      </extLst>
    </bk>
    <bk>
      <extLst>
        <ext uri="{3e2802c4-a4d2-4d8b-9148-e3be6c30e623}">
          <xlrd:rvb i="2245"/>
        </ext>
      </extLst>
    </bk>
    <bk>
      <extLst>
        <ext uri="{3e2802c4-a4d2-4d8b-9148-e3be6c30e623}">
          <xlrd:rvb i="2246"/>
        </ext>
      </extLst>
    </bk>
    <bk>
      <extLst>
        <ext uri="{3e2802c4-a4d2-4d8b-9148-e3be6c30e623}">
          <xlrd:rvb i="2247"/>
        </ext>
      </extLst>
    </bk>
    <bk>
      <extLst>
        <ext uri="{3e2802c4-a4d2-4d8b-9148-e3be6c30e623}">
          <xlrd:rvb i="2248"/>
        </ext>
      </extLst>
    </bk>
    <bk>
      <extLst>
        <ext uri="{3e2802c4-a4d2-4d8b-9148-e3be6c30e623}">
          <xlrd:rvb i="2249"/>
        </ext>
      </extLst>
    </bk>
    <bk>
      <extLst>
        <ext uri="{3e2802c4-a4d2-4d8b-9148-e3be6c30e623}">
          <xlrd:rvb i="2250"/>
        </ext>
      </extLst>
    </bk>
    <bk>
      <extLst>
        <ext uri="{3e2802c4-a4d2-4d8b-9148-e3be6c30e623}">
          <xlrd:rvb i="2251"/>
        </ext>
      </extLst>
    </bk>
    <bk>
      <extLst>
        <ext uri="{3e2802c4-a4d2-4d8b-9148-e3be6c30e623}">
          <xlrd:rvb i="2252"/>
        </ext>
      </extLst>
    </bk>
    <bk>
      <extLst>
        <ext uri="{3e2802c4-a4d2-4d8b-9148-e3be6c30e623}">
          <xlrd:rvb i="2253"/>
        </ext>
      </extLst>
    </bk>
    <bk>
      <extLst>
        <ext uri="{3e2802c4-a4d2-4d8b-9148-e3be6c30e623}">
          <xlrd:rvb i="2254"/>
        </ext>
      </extLst>
    </bk>
    <bk>
      <extLst>
        <ext uri="{3e2802c4-a4d2-4d8b-9148-e3be6c30e623}">
          <xlrd:rvb i="2255"/>
        </ext>
      </extLst>
    </bk>
    <bk>
      <extLst>
        <ext uri="{3e2802c4-a4d2-4d8b-9148-e3be6c30e623}">
          <xlrd:rvb i="2256"/>
        </ext>
      </extLst>
    </bk>
    <bk>
      <extLst>
        <ext uri="{3e2802c4-a4d2-4d8b-9148-e3be6c30e623}">
          <xlrd:rvb i="2257"/>
        </ext>
      </extLst>
    </bk>
    <bk>
      <extLst>
        <ext uri="{3e2802c4-a4d2-4d8b-9148-e3be6c30e623}">
          <xlrd:rvb i="2258"/>
        </ext>
      </extLst>
    </bk>
    <bk>
      <extLst>
        <ext uri="{3e2802c4-a4d2-4d8b-9148-e3be6c30e623}">
          <xlrd:rvb i="2259"/>
        </ext>
      </extLst>
    </bk>
    <bk>
      <extLst>
        <ext uri="{3e2802c4-a4d2-4d8b-9148-e3be6c30e623}">
          <xlrd:rvb i="2260"/>
        </ext>
      </extLst>
    </bk>
    <bk>
      <extLst>
        <ext uri="{3e2802c4-a4d2-4d8b-9148-e3be6c30e623}">
          <xlrd:rvb i="2261"/>
        </ext>
      </extLst>
    </bk>
    <bk>
      <extLst>
        <ext uri="{3e2802c4-a4d2-4d8b-9148-e3be6c30e623}">
          <xlrd:rvb i="2262"/>
        </ext>
      </extLst>
    </bk>
    <bk>
      <extLst>
        <ext uri="{3e2802c4-a4d2-4d8b-9148-e3be6c30e623}">
          <xlrd:rvb i="2263"/>
        </ext>
      </extLst>
    </bk>
    <bk>
      <extLst>
        <ext uri="{3e2802c4-a4d2-4d8b-9148-e3be6c30e623}">
          <xlrd:rvb i="2264"/>
        </ext>
      </extLst>
    </bk>
    <bk>
      <extLst>
        <ext uri="{3e2802c4-a4d2-4d8b-9148-e3be6c30e623}">
          <xlrd:rvb i="2265"/>
        </ext>
      </extLst>
    </bk>
    <bk>
      <extLst>
        <ext uri="{3e2802c4-a4d2-4d8b-9148-e3be6c30e623}">
          <xlrd:rvb i="2266"/>
        </ext>
      </extLst>
    </bk>
    <bk>
      <extLst>
        <ext uri="{3e2802c4-a4d2-4d8b-9148-e3be6c30e623}">
          <xlrd:rvb i="2267"/>
        </ext>
      </extLst>
    </bk>
    <bk>
      <extLst>
        <ext uri="{3e2802c4-a4d2-4d8b-9148-e3be6c30e623}">
          <xlrd:rvb i="2268"/>
        </ext>
      </extLst>
    </bk>
    <bk>
      <extLst>
        <ext uri="{3e2802c4-a4d2-4d8b-9148-e3be6c30e623}">
          <xlrd:rvb i="2269"/>
        </ext>
      </extLst>
    </bk>
    <bk>
      <extLst>
        <ext uri="{3e2802c4-a4d2-4d8b-9148-e3be6c30e623}">
          <xlrd:rvb i="2270"/>
        </ext>
      </extLst>
    </bk>
    <bk>
      <extLst>
        <ext uri="{3e2802c4-a4d2-4d8b-9148-e3be6c30e623}">
          <xlrd:rvb i="2271"/>
        </ext>
      </extLst>
    </bk>
    <bk>
      <extLst>
        <ext uri="{3e2802c4-a4d2-4d8b-9148-e3be6c30e623}">
          <xlrd:rvb i="2272"/>
        </ext>
      </extLst>
    </bk>
    <bk>
      <extLst>
        <ext uri="{3e2802c4-a4d2-4d8b-9148-e3be6c30e623}">
          <xlrd:rvb i="2273"/>
        </ext>
      </extLst>
    </bk>
    <bk>
      <extLst>
        <ext uri="{3e2802c4-a4d2-4d8b-9148-e3be6c30e623}">
          <xlrd:rvb i="2274"/>
        </ext>
      </extLst>
    </bk>
    <bk>
      <extLst>
        <ext uri="{3e2802c4-a4d2-4d8b-9148-e3be6c30e623}">
          <xlrd:rvb i="2275"/>
        </ext>
      </extLst>
    </bk>
    <bk>
      <extLst>
        <ext uri="{3e2802c4-a4d2-4d8b-9148-e3be6c30e623}">
          <xlrd:rvb i="2276"/>
        </ext>
      </extLst>
    </bk>
    <bk>
      <extLst>
        <ext uri="{3e2802c4-a4d2-4d8b-9148-e3be6c30e623}">
          <xlrd:rvb i="2277"/>
        </ext>
      </extLst>
    </bk>
    <bk>
      <extLst>
        <ext uri="{3e2802c4-a4d2-4d8b-9148-e3be6c30e623}">
          <xlrd:rvb i="2278"/>
        </ext>
      </extLst>
    </bk>
    <bk>
      <extLst>
        <ext uri="{3e2802c4-a4d2-4d8b-9148-e3be6c30e623}">
          <xlrd:rvb i="2279"/>
        </ext>
      </extLst>
    </bk>
    <bk>
      <extLst>
        <ext uri="{3e2802c4-a4d2-4d8b-9148-e3be6c30e623}">
          <xlrd:rvb i="2280"/>
        </ext>
      </extLst>
    </bk>
    <bk>
      <extLst>
        <ext uri="{3e2802c4-a4d2-4d8b-9148-e3be6c30e623}">
          <xlrd:rvb i="2281"/>
        </ext>
      </extLst>
    </bk>
    <bk>
      <extLst>
        <ext uri="{3e2802c4-a4d2-4d8b-9148-e3be6c30e623}">
          <xlrd:rvb i="2282"/>
        </ext>
      </extLst>
    </bk>
    <bk>
      <extLst>
        <ext uri="{3e2802c4-a4d2-4d8b-9148-e3be6c30e623}">
          <xlrd:rvb i="2283"/>
        </ext>
      </extLst>
    </bk>
    <bk>
      <extLst>
        <ext uri="{3e2802c4-a4d2-4d8b-9148-e3be6c30e623}">
          <xlrd:rvb i="2284"/>
        </ext>
      </extLst>
    </bk>
    <bk>
      <extLst>
        <ext uri="{3e2802c4-a4d2-4d8b-9148-e3be6c30e623}">
          <xlrd:rvb i="2285"/>
        </ext>
      </extLst>
    </bk>
    <bk>
      <extLst>
        <ext uri="{3e2802c4-a4d2-4d8b-9148-e3be6c30e623}">
          <xlrd:rvb i="2286"/>
        </ext>
      </extLst>
    </bk>
    <bk>
      <extLst>
        <ext uri="{3e2802c4-a4d2-4d8b-9148-e3be6c30e623}">
          <xlrd:rvb i="2287"/>
        </ext>
      </extLst>
    </bk>
    <bk>
      <extLst>
        <ext uri="{3e2802c4-a4d2-4d8b-9148-e3be6c30e623}">
          <xlrd:rvb i="2288"/>
        </ext>
      </extLst>
    </bk>
    <bk>
      <extLst>
        <ext uri="{3e2802c4-a4d2-4d8b-9148-e3be6c30e623}">
          <xlrd:rvb i="2289"/>
        </ext>
      </extLst>
    </bk>
    <bk>
      <extLst>
        <ext uri="{3e2802c4-a4d2-4d8b-9148-e3be6c30e623}">
          <xlrd:rvb i="2290"/>
        </ext>
      </extLst>
    </bk>
    <bk>
      <extLst>
        <ext uri="{3e2802c4-a4d2-4d8b-9148-e3be6c30e623}">
          <xlrd:rvb i="2291"/>
        </ext>
      </extLst>
    </bk>
    <bk>
      <extLst>
        <ext uri="{3e2802c4-a4d2-4d8b-9148-e3be6c30e623}">
          <xlrd:rvb i="2292"/>
        </ext>
      </extLst>
    </bk>
    <bk>
      <extLst>
        <ext uri="{3e2802c4-a4d2-4d8b-9148-e3be6c30e623}">
          <xlrd:rvb i="2293"/>
        </ext>
      </extLst>
    </bk>
    <bk>
      <extLst>
        <ext uri="{3e2802c4-a4d2-4d8b-9148-e3be6c30e623}">
          <xlrd:rvb i="2294"/>
        </ext>
      </extLst>
    </bk>
    <bk>
      <extLst>
        <ext uri="{3e2802c4-a4d2-4d8b-9148-e3be6c30e623}">
          <xlrd:rvb i="2295"/>
        </ext>
      </extLst>
    </bk>
    <bk>
      <extLst>
        <ext uri="{3e2802c4-a4d2-4d8b-9148-e3be6c30e623}">
          <xlrd:rvb i="2296"/>
        </ext>
      </extLst>
    </bk>
    <bk>
      <extLst>
        <ext uri="{3e2802c4-a4d2-4d8b-9148-e3be6c30e623}">
          <xlrd:rvb i="2297"/>
        </ext>
      </extLst>
    </bk>
    <bk>
      <extLst>
        <ext uri="{3e2802c4-a4d2-4d8b-9148-e3be6c30e623}">
          <xlrd:rvb i="2298"/>
        </ext>
      </extLst>
    </bk>
    <bk>
      <extLst>
        <ext uri="{3e2802c4-a4d2-4d8b-9148-e3be6c30e623}">
          <xlrd:rvb i="2299"/>
        </ext>
      </extLst>
    </bk>
    <bk>
      <extLst>
        <ext uri="{3e2802c4-a4d2-4d8b-9148-e3be6c30e623}">
          <xlrd:rvb i="2300"/>
        </ext>
      </extLst>
    </bk>
    <bk>
      <extLst>
        <ext uri="{3e2802c4-a4d2-4d8b-9148-e3be6c30e623}">
          <xlrd:rvb i="2301"/>
        </ext>
      </extLst>
    </bk>
    <bk>
      <extLst>
        <ext uri="{3e2802c4-a4d2-4d8b-9148-e3be6c30e623}">
          <xlrd:rvb i="2302"/>
        </ext>
      </extLst>
    </bk>
    <bk>
      <extLst>
        <ext uri="{3e2802c4-a4d2-4d8b-9148-e3be6c30e623}">
          <xlrd:rvb i="2303"/>
        </ext>
      </extLst>
    </bk>
    <bk>
      <extLst>
        <ext uri="{3e2802c4-a4d2-4d8b-9148-e3be6c30e623}">
          <xlrd:rvb i="2304"/>
        </ext>
      </extLst>
    </bk>
    <bk>
      <extLst>
        <ext uri="{3e2802c4-a4d2-4d8b-9148-e3be6c30e623}">
          <xlrd:rvb i="2305"/>
        </ext>
      </extLst>
    </bk>
    <bk>
      <extLst>
        <ext uri="{3e2802c4-a4d2-4d8b-9148-e3be6c30e623}">
          <xlrd:rvb i="2306"/>
        </ext>
      </extLst>
    </bk>
    <bk>
      <extLst>
        <ext uri="{3e2802c4-a4d2-4d8b-9148-e3be6c30e623}">
          <xlrd:rvb i="2307"/>
        </ext>
      </extLst>
    </bk>
    <bk>
      <extLst>
        <ext uri="{3e2802c4-a4d2-4d8b-9148-e3be6c30e623}">
          <xlrd:rvb i="2308"/>
        </ext>
      </extLst>
    </bk>
    <bk>
      <extLst>
        <ext uri="{3e2802c4-a4d2-4d8b-9148-e3be6c30e623}">
          <xlrd:rvb i="2309"/>
        </ext>
      </extLst>
    </bk>
    <bk>
      <extLst>
        <ext uri="{3e2802c4-a4d2-4d8b-9148-e3be6c30e623}">
          <xlrd:rvb i="2310"/>
        </ext>
      </extLst>
    </bk>
    <bk>
      <extLst>
        <ext uri="{3e2802c4-a4d2-4d8b-9148-e3be6c30e623}">
          <xlrd:rvb i="2311"/>
        </ext>
      </extLst>
    </bk>
    <bk>
      <extLst>
        <ext uri="{3e2802c4-a4d2-4d8b-9148-e3be6c30e623}">
          <xlrd:rvb i="2312"/>
        </ext>
      </extLst>
    </bk>
    <bk>
      <extLst>
        <ext uri="{3e2802c4-a4d2-4d8b-9148-e3be6c30e623}">
          <xlrd:rvb i="2313"/>
        </ext>
      </extLst>
    </bk>
    <bk>
      <extLst>
        <ext uri="{3e2802c4-a4d2-4d8b-9148-e3be6c30e623}">
          <xlrd:rvb i="2314"/>
        </ext>
      </extLst>
    </bk>
    <bk>
      <extLst>
        <ext uri="{3e2802c4-a4d2-4d8b-9148-e3be6c30e623}">
          <xlrd:rvb i="2315"/>
        </ext>
      </extLst>
    </bk>
    <bk>
      <extLst>
        <ext uri="{3e2802c4-a4d2-4d8b-9148-e3be6c30e623}">
          <xlrd:rvb i="2316"/>
        </ext>
      </extLst>
    </bk>
    <bk>
      <extLst>
        <ext uri="{3e2802c4-a4d2-4d8b-9148-e3be6c30e623}">
          <xlrd:rvb i="2317"/>
        </ext>
      </extLst>
    </bk>
    <bk>
      <extLst>
        <ext uri="{3e2802c4-a4d2-4d8b-9148-e3be6c30e623}">
          <xlrd:rvb i="2318"/>
        </ext>
      </extLst>
    </bk>
    <bk>
      <extLst>
        <ext uri="{3e2802c4-a4d2-4d8b-9148-e3be6c30e623}">
          <xlrd:rvb i="2319"/>
        </ext>
      </extLst>
    </bk>
    <bk>
      <extLst>
        <ext uri="{3e2802c4-a4d2-4d8b-9148-e3be6c30e623}">
          <xlrd:rvb i="2320"/>
        </ext>
      </extLst>
    </bk>
    <bk>
      <extLst>
        <ext uri="{3e2802c4-a4d2-4d8b-9148-e3be6c30e623}">
          <xlrd:rvb i="2321"/>
        </ext>
      </extLst>
    </bk>
    <bk>
      <extLst>
        <ext uri="{3e2802c4-a4d2-4d8b-9148-e3be6c30e623}">
          <xlrd:rvb i="2322"/>
        </ext>
      </extLst>
    </bk>
    <bk>
      <extLst>
        <ext uri="{3e2802c4-a4d2-4d8b-9148-e3be6c30e623}">
          <xlrd:rvb i="2323"/>
        </ext>
      </extLst>
    </bk>
    <bk>
      <extLst>
        <ext uri="{3e2802c4-a4d2-4d8b-9148-e3be6c30e623}">
          <xlrd:rvb i="2324"/>
        </ext>
      </extLst>
    </bk>
    <bk>
      <extLst>
        <ext uri="{3e2802c4-a4d2-4d8b-9148-e3be6c30e623}">
          <xlrd:rvb i="2325"/>
        </ext>
      </extLst>
    </bk>
    <bk>
      <extLst>
        <ext uri="{3e2802c4-a4d2-4d8b-9148-e3be6c30e623}">
          <xlrd:rvb i="2326"/>
        </ext>
      </extLst>
    </bk>
    <bk>
      <extLst>
        <ext uri="{3e2802c4-a4d2-4d8b-9148-e3be6c30e623}">
          <xlrd:rvb i="2327"/>
        </ext>
      </extLst>
    </bk>
    <bk>
      <extLst>
        <ext uri="{3e2802c4-a4d2-4d8b-9148-e3be6c30e623}">
          <xlrd:rvb i="2328"/>
        </ext>
      </extLst>
    </bk>
    <bk>
      <extLst>
        <ext uri="{3e2802c4-a4d2-4d8b-9148-e3be6c30e623}">
          <xlrd:rvb i="2329"/>
        </ext>
      </extLst>
    </bk>
    <bk>
      <extLst>
        <ext uri="{3e2802c4-a4d2-4d8b-9148-e3be6c30e623}">
          <xlrd:rvb i="2330"/>
        </ext>
      </extLst>
    </bk>
    <bk>
      <extLst>
        <ext uri="{3e2802c4-a4d2-4d8b-9148-e3be6c30e623}">
          <xlrd:rvb i="2331"/>
        </ext>
      </extLst>
    </bk>
    <bk>
      <extLst>
        <ext uri="{3e2802c4-a4d2-4d8b-9148-e3be6c30e623}">
          <xlrd:rvb i="2332"/>
        </ext>
      </extLst>
    </bk>
    <bk>
      <extLst>
        <ext uri="{3e2802c4-a4d2-4d8b-9148-e3be6c30e623}">
          <xlrd:rvb i="2333"/>
        </ext>
      </extLst>
    </bk>
    <bk>
      <extLst>
        <ext uri="{3e2802c4-a4d2-4d8b-9148-e3be6c30e623}">
          <xlrd:rvb i="2334"/>
        </ext>
      </extLst>
    </bk>
    <bk>
      <extLst>
        <ext uri="{3e2802c4-a4d2-4d8b-9148-e3be6c30e623}">
          <xlrd:rvb i="2335"/>
        </ext>
      </extLst>
    </bk>
    <bk>
      <extLst>
        <ext uri="{3e2802c4-a4d2-4d8b-9148-e3be6c30e623}">
          <xlrd:rvb i="2336"/>
        </ext>
      </extLst>
    </bk>
    <bk>
      <extLst>
        <ext uri="{3e2802c4-a4d2-4d8b-9148-e3be6c30e623}">
          <xlrd:rvb i="2337"/>
        </ext>
      </extLst>
    </bk>
    <bk>
      <extLst>
        <ext uri="{3e2802c4-a4d2-4d8b-9148-e3be6c30e623}">
          <xlrd:rvb i="2338"/>
        </ext>
      </extLst>
    </bk>
    <bk>
      <extLst>
        <ext uri="{3e2802c4-a4d2-4d8b-9148-e3be6c30e623}">
          <xlrd:rvb i="2339"/>
        </ext>
      </extLst>
    </bk>
    <bk>
      <extLst>
        <ext uri="{3e2802c4-a4d2-4d8b-9148-e3be6c30e623}">
          <xlrd:rvb i="2340"/>
        </ext>
      </extLst>
    </bk>
    <bk>
      <extLst>
        <ext uri="{3e2802c4-a4d2-4d8b-9148-e3be6c30e623}">
          <xlrd:rvb i="2341"/>
        </ext>
      </extLst>
    </bk>
    <bk>
      <extLst>
        <ext uri="{3e2802c4-a4d2-4d8b-9148-e3be6c30e623}">
          <xlrd:rvb i="2342"/>
        </ext>
      </extLst>
    </bk>
    <bk>
      <extLst>
        <ext uri="{3e2802c4-a4d2-4d8b-9148-e3be6c30e623}">
          <xlrd:rvb i="2343"/>
        </ext>
      </extLst>
    </bk>
    <bk>
      <extLst>
        <ext uri="{3e2802c4-a4d2-4d8b-9148-e3be6c30e623}">
          <xlrd:rvb i="2344"/>
        </ext>
      </extLst>
    </bk>
    <bk>
      <extLst>
        <ext uri="{3e2802c4-a4d2-4d8b-9148-e3be6c30e623}">
          <xlrd:rvb i="2345"/>
        </ext>
      </extLst>
    </bk>
    <bk>
      <extLst>
        <ext uri="{3e2802c4-a4d2-4d8b-9148-e3be6c30e623}">
          <xlrd:rvb i="2346"/>
        </ext>
      </extLst>
    </bk>
    <bk>
      <extLst>
        <ext uri="{3e2802c4-a4d2-4d8b-9148-e3be6c30e623}">
          <xlrd:rvb i="2347"/>
        </ext>
      </extLst>
    </bk>
    <bk>
      <extLst>
        <ext uri="{3e2802c4-a4d2-4d8b-9148-e3be6c30e623}">
          <xlrd:rvb i="2348"/>
        </ext>
      </extLst>
    </bk>
  </futureMetadata>
  <cellMetadata count="1">
    <bk>
      <rc t="1" v="0"/>
    </bk>
  </cellMetadata>
  <valueMetadata count="2349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  <bk>
      <rc t="2" v="891"/>
    </bk>
    <bk>
      <rc t="2" v="892"/>
    </bk>
    <bk>
      <rc t="2" v="893"/>
    </bk>
    <bk>
      <rc t="2" v="894"/>
    </bk>
    <bk>
      <rc t="2" v="895"/>
    </bk>
    <bk>
      <rc t="2" v="896"/>
    </bk>
    <bk>
      <rc t="2" v="897"/>
    </bk>
    <bk>
      <rc t="2" v="898"/>
    </bk>
    <bk>
      <rc t="2" v="899"/>
    </bk>
    <bk>
      <rc t="2" v="900"/>
    </bk>
    <bk>
      <rc t="2" v="901"/>
    </bk>
    <bk>
      <rc t="2" v="902"/>
    </bk>
    <bk>
      <rc t="2" v="903"/>
    </bk>
    <bk>
      <rc t="2" v="904"/>
    </bk>
    <bk>
      <rc t="2" v="905"/>
    </bk>
    <bk>
      <rc t="2" v="906"/>
    </bk>
    <bk>
      <rc t="2" v="907"/>
    </bk>
    <bk>
      <rc t="2" v="908"/>
    </bk>
    <bk>
      <rc t="2" v="909"/>
    </bk>
    <bk>
      <rc t="2" v="910"/>
    </bk>
    <bk>
      <rc t="2" v="911"/>
    </bk>
    <bk>
      <rc t="2" v="912"/>
    </bk>
    <bk>
      <rc t="2" v="913"/>
    </bk>
    <bk>
      <rc t="2" v="914"/>
    </bk>
    <bk>
      <rc t="2" v="915"/>
    </bk>
    <bk>
      <rc t="2" v="916"/>
    </bk>
    <bk>
      <rc t="2" v="917"/>
    </bk>
    <bk>
      <rc t="2" v="918"/>
    </bk>
    <bk>
      <rc t="2" v="919"/>
    </bk>
    <bk>
      <rc t="2" v="920"/>
    </bk>
    <bk>
      <rc t="2" v="921"/>
    </bk>
    <bk>
      <rc t="2" v="922"/>
    </bk>
    <bk>
      <rc t="2" v="923"/>
    </bk>
    <bk>
      <rc t="2" v="924"/>
    </bk>
    <bk>
      <rc t="2" v="925"/>
    </bk>
    <bk>
      <rc t="2" v="926"/>
    </bk>
    <bk>
      <rc t="2" v="927"/>
    </bk>
    <bk>
      <rc t="2" v="928"/>
    </bk>
    <bk>
      <rc t="2" v="929"/>
    </bk>
    <bk>
      <rc t="2" v="930"/>
    </bk>
    <bk>
      <rc t="2" v="931"/>
    </bk>
    <bk>
      <rc t="2" v="932"/>
    </bk>
    <bk>
      <rc t="2" v="933"/>
    </bk>
    <bk>
      <rc t="2" v="934"/>
    </bk>
    <bk>
      <rc t="2" v="935"/>
    </bk>
    <bk>
      <rc t="2" v="936"/>
    </bk>
    <bk>
      <rc t="2" v="937"/>
    </bk>
    <bk>
      <rc t="2" v="938"/>
    </bk>
    <bk>
      <rc t="2" v="939"/>
    </bk>
    <bk>
      <rc t="2" v="940"/>
    </bk>
    <bk>
      <rc t="2" v="941"/>
    </bk>
    <bk>
      <rc t="2" v="942"/>
    </bk>
    <bk>
      <rc t="2" v="943"/>
    </bk>
    <bk>
      <rc t="2" v="944"/>
    </bk>
    <bk>
      <rc t="2" v="945"/>
    </bk>
    <bk>
      <rc t="2" v="946"/>
    </bk>
    <bk>
      <rc t="2" v="947"/>
    </bk>
    <bk>
      <rc t="2" v="948"/>
    </bk>
    <bk>
      <rc t="2" v="949"/>
    </bk>
    <bk>
      <rc t="2" v="950"/>
    </bk>
    <bk>
      <rc t="2" v="951"/>
    </bk>
    <bk>
      <rc t="2" v="952"/>
    </bk>
    <bk>
      <rc t="2" v="953"/>
    </bk>
    <bk>
      <rc t="2" v="954"/>
    </bk>
    <bk>
      <rc t="2" v="955"/>
    </bk>
    <bk>
      <rc t="2" v="956"/>
    </bk>
    <bk>
      <rc t="2" v="957"/>
    </bk>
    <bk>
      <rc t="2" v="958"/>
    </bk>
    <bk>
      <rc t="2" v="959"/>
    </bk>
    <bk>
      <rc t="2" v="960"/>
    </bk>
    <bk>
      <rc t="2" v="961"/>
    </bk>
    <bk>
      <rc t="2" v="962"/>
    </bk>
    <bk>
      <rc t="2" v="963"/>
    </bk>
    <bk>
      <rc t="2" v="964"/>
    </bk>
    <bk>
      <rc t="2" v="965"/>
    </bk>
    <bk>
      <rc t="2" v="966"/>
    </bk>
    <bk>
      <rc t="2" v="967"/>
    </bk>
    <bk>
      <rc t="2" v="968"/>
    </bk>
    <bk>
      <rc t="2" v="969"/>
    </bk>
    <bk>
      <rc t="2" v="970"/>
    </bk>
    <bk>
      <rc t="2" v="971"/>
    </bk>
    <bk>
      <rc t="2" v="972"/>
    </bk>
    <bk>
      <rc t="2" v="973"/>
    </bk>
    <bk>
      <rc t="2" v="974"/>
    </bk>
    <bk>
      <rc t="2" v="975"/>
    </bk>
    <bk>
      <rc t="2" v="976"/>
    </bk>
    <bk>
      <rc t="2" v="977"/>
    </bk>
    <bk>
      <rc t="2" v="978"/>
    </bk>
    <bk>
      <rc t="2" v="979"/>
    </bk>
    <bk>
      <rc t="2" v="980"/>
    </bk>
    <bk>
      <rc t="2" v="981"/>
    </bk>
    <bk>
      <rc t="2" v="982"/>
    </bk>
    <bk>
      <rc t="2" v="983"/>
    </bk>
    <bk>
      <rc t="2" v="984"/>
    </bk>
    <bk>
      <rc t="2" v="985"/>
    </bk>
    <bk>
      <rc t="2" v="986"/>
    </bk>
    <bk>
      <rc t="2" v="987"/>
    </bk>
    <bk>
      <rc t="2" v="988"/>
    </bk>
    <bk>
      <rc t="2" v="989"/>
    </bk>
    <bk>
      <rc t="2" v="990"/>
    </bk>
    <bk>
      <rc t="2" v="991"/>
    </bk>
    <bk>
      <rc t="2" v="992"/>
    </bk>
    <bk>
      <rc t="2" v="993"/>
    </bk>
    <bk>
      <rc t="2" v="994"/>
    </bk>
    <bk>
      <rc t="2" v="995"/>
    </bk>
    <bk>
      <rc t="2" v="996"/>
    </bk>
    <bk>
      <rc t="2" v="997"/>
    </bk>
    <bk>
      <rc t="2" v="998"/>
    </bk>
    <bk>
      <rc t="2" v="999"/>
    </bk>
    <bk>
      <rc t="2" v="1000"/>
    </bk>
    <bk>
      <rc t="2" v="1001"/>
    </bk>
    <bk>
      <rc t="2" v="1002"/>
    </bk>
    <bk>
      <rc t="2" v="1003"/>
    </bk>
    <bk>
      <rc t="2" v="1004"/>
    </bk>
    <bk>
      <rc t="2" v="1005"/>
    </bk>
    <bk>
      <rc t="2" v="1006"/>
    </bk>
    <bk>
      <rc t="2" v="1007"/>
    </bk>
    <bk>
      <rc t="2" v="1008"/>
    </bk>
    <bk>
      <rc t="2" v="1009"/>
    </bk>
    <bk>
      <rc t="2" v="1010"/>
    </bk>
    <bk>
      <rc t="2" v="1011"/>
    </bk>
    <bk>
      <rc t="2" v="1012"/>
    </bk>
    <bk>
      <rc t="2" v="1013"/>
    </bk>
    <bk>
      <rc t="2" v="1014"/>
    </bk>
    <bk>
      <rc t="2" v="1015"/>
    </bk>
    <bk>
      <rc t="2" v="1016"/>
    </bk>
    <bk>
      <rc t="2" v="1017"/>
    </bk>
    <bk>
      <rc t="2" v="1018"/>
    </bk>
    <bk>
      <rc t="2" v="1019"/>
    </bk>
    <bk>
      <rc t="2" v="1020"/>
    </bk>
    <bk>
      <rc t="2" v="1021"/>
    </bk>
    <bk>
      <rc t="2" v="1022"/>
    </bk>
    <bk>
      <rc t="2" v="1023"/>
    </bk>
    <bk>
      <rc t="2" v="1024"/>
    </bk>
    <bk>
      <rc t="2" v="1025"/>
    </bk>
    <bk>
      <rc t="2" v="1026"/>
    </bk>
    <bk>
      <rc t="2" v="1027"/>
    </bk>
    <bk>
      <rc t="2" v="1028"/>
    </bk>
    <bk>
      <rc t="2" v="1029"/>
    </bk>
    <bk>
      <rc t="2" v="1030"/>
    </bk>
    <bk>
      <rc t="2" v="1031"/>
    </bk>
    <bk>
      <rc t="2" v="1032"/>
    </bk>
    <bk>
      <rc t="2" v="1033"/>
    </bk>
    <bk>
      <rc t="2" v="1034"/>
    </bk>
    <bk>
      <rc t="2" v="1035"/>
    </bk>
    <bk>
      <rc t="2" v="1036"/>
    </bk>
    <bk>
      <rc t="2" v="1037"/>
    </bk>
    <bk>
      <rc t="2" v="1038"/>
    </bk>
    <bk>
      <rc t="2" v="1039"/>
    </bk>
    <bk>
      <rc t="2" v="1040"/>
    </bk>
    <bk>
      <rc t="2" v="1041"/>
    </bk>
    <bk>
      <rc t="2" v="1042"/>
    </bk>
    <bk>
      <rc t="2" v="1043"/>
    </bk>
    <bk>
      <rc t="2" v="1044"/>
    </bk>
    <bk>
      <rc t="2" v="1045"/>
    </bk>
    <bk>
      <rc t="2" v="1046"/>
    </bk>
    <bk>
      <rc t="2" v="1047"/>
    </bk>
    <bk>
      <rc t="2" v="1048"/>
    </bk>
    <bk>
      <rc t="2" v="1049"/>
    </bk>
    <bk>
      <rc t="2" v="1050"/>
    </bk>
    <bk>
      <rc t="2" v="1051"/>
    </bk>
    <bk>
      <rc t="2" v="1052"/>
    </bk>
    <bk>
      <rc t="2" v="1053"/>
    </bk>
    <bk>
      <rc t="2" v="1054"/>
    </bk>
    <bk>
      <rc t="2" v="1055"/>
    </bk>
    <bk>
      <rc t="2" v="1056"/>
    </bk>
    <bk>
      <rc t="2" v="1057"/>
    </bk>
    <bk>
      <rc t="2" v="1058"/>
    </bk>
    <bk>
      <rc t="2" v="1059"/>
    </bk>
    <bk>
      <rc t="2" v="1060"/>
    </bk>
    <bk>
      <rc t="2" v="1061"/>
    </bk>
    <bk>
      <rc t="2" v="1062"/>
    </bk>
    <bk>
      <rc t="2" v="1063"/>
    </bk>
    <bk>
      <rc t="2" v="1064"/>
    </bk>
    <bk>
      <rc t="2" v="1065"/>
    </bk>
    <bk>
      <rc t="2" v="1066"/>
    </bk>
    <bk>
      <rc t="2" v="1067"/>
    </bk>
    <bk>
      <rc t="2" v="1068"/>
    </bk>
    <bk>
      <rc t="2" v="1069"/>
    </bk>
    <bk>
      <rc t="2" v="1070"/>
    </bk>
    <bk>
      <rc t="2" v="1071"/>
    </bk>
    <bk>
      <rc t="2" v="1072"/>
    </bk>
    <bk>
      <rc t="2" v="1073"/>
    </bk>
    <bk>
      <rc t="2" v="1074"/>
    </bk>
    <bk>
      <rc t="2" v="1075"/>
    </bk>
    <bk>
      <rc t="2" v="1076"/>
    </bk>
    <bk>
      <rc t="2" v="1077"/>
    </bk>
    <bk>
      <rc t="2" v="1078"/>
    </bk>
    <bk>
      <rc t="2" v="1079"/>
    </bk>
    <bk>
      <rc t="2" v="1080"/>
    </bk>
    <bk>
      <rc t="2" v="1081"/>
    </bk>
    <bk>
      <rc t="2" v="1082"/>
    </bk>
    <bk>
      <rc t="2" v="1083"/>
    </bk>
    <bk>
      <rc t="2" v="1084"/>
    </bk>
    <bk>
      <rc t="2" v="1085"/>
    </bk>
    <bk>
      <rc t="2" v="1086"/>
    </bk>
    <bk>
      <rc t="2" v="1087"/>
    </bk>
    <bk>
      <rc t="2" v="1088"/>
    </bk>
    <bk>
      <rc t="2" v="1089"/>
    </bk>
    <bk>
      <rc t="2" v="1090"/>
    </bk>
    <bk>
      <rc t="2" v="1091"/>
    </bk>
    <bk>
      <rc t="2" v="1092"/>
    </bk>
    <bk>
      <rc t="2" v="1093"/>
    </bk>
    <bk>
      <rc t="2" v="1094"/>
    </bk>
    <bk>
      <rc t="2" v="1095"/>
    </bk>
    <bk>
      <rc t="2" v="1096"/>
    </bk>
    <bk>
      <rc t="2" v="1097"/>
    </bk>
    <bk>
      <rc t="2" v="1098"/>
    </bk>
    <bk>
      <rc t="2" v="1099"/>
    </bk>
    <bk>
      <rc t="2" v="1100"/>
    </bk>
    <bk>
      <rc t="2" v="1101"/>
    </bk>
    <bk>
      <rc t="2" v="1102"/>
    </bk>
    <bk>
      <rc t="2" v="1103"/>
    </bk>
    <bk>
      <rc t="2" v="1104"/>
    </bk>
    <bk>
      <rc t="2" v="1105"/>
    </bk>
    <bk>
      <rc t="2" v="1106"/>
    </bk>
    <bk>
      <rc t="2" v="1107"/>
    </bk>
    <bk>
      <rc t="2" v="1108"/>
    </bk>
    <bk>
      <rc t="2" v="1109"/>
    </bk>
    <bk>
      <rc t="2" v="1110"/>
    </bk>
    <bk>
      <rc t="2" v="1111"/>
    </bk>
    <bk>
      <rc t="2" v="1112"/>
    </bk>
    <bk>
      <rc t="2" v="1113"/>
    </bk>
    <bk>
      <rc t="2" v="1114"/>
    </bk>
    <bk>
      <rc t="2" v="1115"/>
    </bk>
    <bk>
      <rc t="2" v="1116"/>
    </bk>
    <bk>
      <rc t="2" v="1117"/>
    </bk>
    <bk>
      <rc t="2" v="1118"/>
    </bk>
    <bk>
      <rc t="2" v="1119"/>
    </bk>
    <bk>
      <rc t="2" v="1120"/>
    </bk>
    <bk>
      <rc t="2" v="1121"/>
    </bk>
    <bk>
      <rc t="2" v="1122"/>
    </bk>
    <bk>
      <rc t="2" v="1123"/>
    </bk>
    <bk>
      <rc t="2" v="1124"/>
    </bk>
    <bk>
      <rc t="2" v="1125"/>
    </bk>
    <bk>
      <rc t="2" v="1126"/>
    </bk>
    <bk>
      <rc t="2" v="1127"/>
    </bk>
    <bk>
      <rc t="2" v="1128"/>
    </bk>
    <bk>
      <rc t="2" v="1129"/>
    </bk>
    <bk>
      <rc t="2" v="1130"/>
    </bk>
    <bk>
      <rc t="2" v="1131"/>
    </bk>
    <bk>
      <rc t="2" v="1132"/>
    </bk>
    <bk>
      <rc t="2" v="1133"/>
    </bk>
    <bk>
      <rc t="2" v="1134"/>
    </bk>
    <bk>
      <rc t="2" v="1135"/>
    </bk>
    <bk>
      <rc t="2" v="1136"/>
    </bk>
    <bk>
      <rc t="2" v="1137"/>
    </bk>
    <bk>
      <rc t="2" v="1138"/>
    </bk>
    <bk>
      <rc t="2" v="1139"/>
    </bk>
    <bk>
      <rc t="2" v="1140"/>
    </bk>
    <bk>
      <rc t="2" v="1141"/>
    </bk>
    <bk>
      <rc t="2" v="1142"/>
    </bk>
    <bk>
      <rc t="2" v="1143"/>
    </bk>
    <bk>
      <rc t="2" v="1144"/>
    </bk>
    <bk>
      <rc t="2" v="1145"/>
    </bk>
    <bk>
      <rc t="2" v="1146"/>
    </bk>
    <bk>
      <rc t="2" v="1147"/>
    </bk>
    <bk>
      <rc t="2" v="1148"/>
    </bk>
    <bk>
      <rc t="2" v="1149"/>
    </bk>
    <bk>
      <rc t="2" v="1150"/>
    </bk>
    <bk>
      <rc t="2" v="1151"/>
    </bk>
    <bk>
      <rc t="2" v="1152"/>
    </bk>
    <bk>
      <rc t="2" v="1153"/>
    </bk>
    <bk>
      <rc t="2" v="1154"/>
    </bk>
    <bk>
      <rc t="2" v="1155"/>
    </bk>
    <bk>
      <rc t="2" v="1156"/>
    </bk>
    <bk>
      <rc t="2" v="1157"/>
    </bk>
    <bk>
      <rc t="2" v="1158"/>
    </bk>
    <bk>
      <rc t="2" v="1159"/>
    </bk>
    <bk>
      <rc t="2" v="1160"/>
    </bk>
    <bk>
      <rc t="2" v="1161"/>
    </bk>
    <bk>
      <rc t="2" v="1162"/>
    </bk>
    <bk>
      <rc t="2" v="1163"/>
    </bk>
    <bk>
      <rc t="2" v="1164"/>
    </bk>
    <bk>
      <rc t="2" v="1165"/>
    </bk>
    <bk>
      <rc t="2" v="1166"/>
    </bk>
    <bk>
      <rc t="2" v="1167"/>
    </bk>
    <bk>
      <rc t="2" v="1168"/>
    </bk>
    <bk>
      <rc t="2" v="1169"/>
    </bk>
    <bk>
      <rc t="2" v="1170"/>
    </bk>
    <bk>
      <rc t="2" v="1171"/>
    </bk>
    <bk>
      <rc t="2" v="1172"/>
    </bk>
    <bk>
      <rc t="2" v="1173"/>
    </bk>
    <bk>
      <rc t="2" v="1174"/>
    </bk>
    <bk>
      <rc t="2" v="1175"/>
    </bk>
    <bk>
      <rc t="2" v="1176"/>
    </bk>
    <bk>
      <rc t="2" v="1177"/>
    </bk>
    <bk>
      <rc t="2" v="1178"/>
    </bk>
    <bk>
      <rc t="2" v="1179"/>
    </bk>
    <bk>
      <rc t="2" v="1180"/>
    </bk>
    <bk>
      <rc t="2" v="1181"/>
    </bk>
    <bk>
      <rc t="2" v="1182"/>
    </bk>
    <bk>
      <rc t="2" v="1183"/>
    </bk>
    <bk>
      <rc t="2" v="1184"/>
    </bk>
    <bk>
      <rc t="2" v="1185"/>
    </bk>
    <bk>
      <rc t="2" v="1186"/>
    </bk>
    <bk>
      <rc t="2" v="1187"/>
    </bk>
    <bk>
      <rc t="2" v="1188"/>
    </bk>
    <bk>
      <rc t="2" v="1189"/>
    </bk>
    <bk>
      <rc t="2" v="1190"/>
    </bk>
    <bk>
      <rc t="2" v="1191"/>
    </bk>
    <bk>
      <rc t="2" v="1192"/>
    </bk>
    <bk>
      <rc t="2" v="1193"/>
    </bk>
    <bk>
      <rc t="2" v="1194"/>
    </bk>
    <bk>
      <rc t="2" v="1195"/>
    </bk>
    <bk>
      <rc t="2" v="1196"/>
    </bk>
    <bk>
      <rc t="2" v="1197"/>
    </bk>
    <bk>
      <rc t="2" v="1198"/>
    </bk>
    <bk>
      <rc t="2" v="1199"/>
    </bk>
    <bk>
      <rc t="2" v="1200"/>
    </bk>
    <bk>
      <rc t="2" v="1201"/>
    </bk>
    <bk>
      <rc t="2" v="1202"/>
    </bk>
    <bk>
      <rc t="2" v="1203"/>
    </bk>
    <bk>
      <rc t="2" v="1204"/>
    </bk>
    <bk>
      <rc t="2" v="1205"/>
    </bk>
    <bk>
      <rc t="2" v="1206"/>
    </bk>
    <bk>
      <rc t="2" v="1207"/>
    </bk>
    <bk>
      <rc t="2" v="1208"/>
    </bk>
    <bk>
      <rc t="2" v="1209"/>
    </bk>
    <bk>
      <rc t="2" v="1210"/>
    </bk>
    <bk>
      <rc t="2" v="1211"/>
    </bk>
    <bk>
      <rc t="2" v="1212"/>
    </bk>
    <bk>
      <rc t="2" v="1213"/>
    </bk>
    <bk>
      <rc t="2" v="1214"/>
    </bk>
    <bk>
      <rc t="2" v="1215"/>
    </bk>
    <bk>
      <rc t="2" v="1216"/>
    </bk>
    <bk>
      <rc t="2" v="1217"/>
    </bk>
    <bk>
      <rc t="2" v="1218"/>
    </bk>
    <bk>
      <rc t="2" v="1219"/>
    </bk>
    <bk>
      <rc t="2" v="1220"/>
    </bk>
    <bk>
      <rc t="2" v="1221"/>
    </bk>
    <bk>
      <rc t="2" v="1222"/>
    </bk>
    <bk>
      <rc t="2" v="1223"/>
    </bk>
    <bk>
      <rc t="2" v="1224"/>
    </bk>
    <bk>
      <rc t="2" v="1225"/>
    </bk>
    <bk>
      <rc t="2" v="1226"/>
    </bk>
    <bk>
      <rc t="2" v="1227"/>
    </bk>
    <bk>
      <rc t="2" v="1228"/>
    </bk>
    <bk>
      <rc t="2" v="1229"/>
    </bk>
    <bk>
      <rc t="2" v="1230"/>
    </bk>
    <bk>
      <rc t="2" v="1231"/>
    </bk>
    <bk>
      <rc t="2" v="1232"/>
    </bk>
    <bk>
      <rc t="2" v="1233"/>
    </bk>
    <bk>
      <rc t="2" v="1234"/>
    </bk>
    <bk>
      <rc t="2" v="1235"/>
    </bk>
    <bk>
      <rc t="2" v="1236"/>
    </bk>
    <bk>
      <rc t="2" v="1237"/>
    </bk>
    <bk>
      <rc t="2" v="1238"/>
    </bk>
    <bk>
      <rc t="2" v="1239"/>
    </bk>
    <bk>
      <rc t="2" v="1240"/>
    </bk>
    <bk>
      <rc t="2" v="1241"/>
    </bk>
    <bk>
      <rc t="2" v="1242"/>
    </bk>
    <bk>
      <rc t="2" v="1243"/>
    </bk>
    <bk>
      <rc t="2" v="1244"/>
    </bk>
    <bk>
      <rc t="2" v="1245"/>
    </bk>
    <bk>
      <rc t="2" v="1246"/>
    </bk>
    <bk>
      <rc t="2" v="1247"/>
    </bk>
    <bk>
      <rc t="2" v="1248"/>
    </bk>
    <bk>
      <rc t="2" v="1249"/>
    </bk>
    <bk>
      <rc t="2" v="1250"/>
    </bk>
    <bk>
      <rc t="2" v="1251"/>
    </bk>
    <bk>
      <rc t="2" v="1252"/>
    </bk>
    <bk>
      <rc t="2" v="1253"/>
    </bk>
    <bk>
      <rc t="2" v="1254"/>
    </bk>
    <bk>
      <rc t="2" v="1255"/>
    </bk>
    <bk>
      <rc t="2" v="1256"/>
    </bk>
    <bk>
      <rc t="2" v="1257"/>
    </bk>
    <bk>
      <rc t="2" v="1258"/>
    </bk>
    <bk>
      <rc t="2" v="1259"/>
    </bk>
    <bk>
      <rc t="2" v="1260"/>
    </bk>
    <bk>
      <rc t="2" v="1261"/>
    </bk>
    <bk>
      <rc t="2" v="1262"/>
    </bk>
    <bk>
      <rc t="2" v="1263"/>
    </bk>
    <bk>
      <rc t="2" v="1264"/>
    </bk>
    <bk>
      <rc t="2" v="1265"/>
    </bk>
    <bk>
      <rc t="2" v="1266"/>
    </bk>
    <bk>
      <rc t="2" v="1267"/>
    </bk>
    <bk>
      <rc t="2" v="1268"/>
    </bk>
    <bk>
      <rc t="2" v="1269"/>
    </bk>
    <bk>
      <rc t="2" v="1270"/>
    </bk>
    <bk>
      <rc t="2" v="1271"/>
    </bk>
    <bk>
      <rc t="2" v="1272"/>
    </bk>
    <bk>
      <rc t="2" v="1273"/>
    </bk>
    <bk>
      <rc t="2" v="1274"/>
    </bk>
    <bk>
      <rc t="2" v="1275"/>
    </bk>
    <bk>
      <rc t="2" v="1276"/>
    </bk>
    <bk>
      <rc t="2" v="1277"/>
    </bk>
    <bk>
      <rc t="2" v="1278"/>
    </bk>
    <bk>
      <rc t="2" v="1279"/>
    </bk>
    <bk>
      <rc t="2" v="1280"/>
    </bk>
    <bk>
      <rc t="2" v="1281"/>
    </bk>
    <bk>
      <rc t="2" v="1282"/>
    </bk>
    <bk>
      <rc t="2" v="1283"/>
    </bk>
    <bk>
      <rc t="2" v="1284"/>
    </bk>
    <bk>
      <rc t="2" v="1285"/>
    </bk>
    <bk>
      <rc t="2" v="1286"/>
    </bk>
    <bk>
      <rc t="2" v="1287"/>
    </bk>
    <bk>
      <rc t="2" v="1288"/>
    </bk>
    <bk>
      <rc t="2" v="1289"/>
    </bk>
    <bk>
      <rc t="2" v="1290"/>
    </bk>
    <bk>
      <rc t="2" v="1291"/>
    </bk>
    <bk>
      <rc t="2" v="1292"/>
    </bk>
    <bk>
      <rc t="2" v="1293"/>
    </bk>
    <bk>
      <rc t="2" v="1294"/>
    </bk>
    <bk>
      <rc t="2" v="1295"/>
    </bk>
    <bk>
      <rc t="2" v="1296"/>
    </bk>
    <bk>
      <rc t="2" v="1297"/>
    </bk>
    <bk>
      <rc t="2" v="1298"/>
    </bk>
    <bk>
      <rc t="2" v="1299"/>
    </bk>
    <bk>
      <rc t="2" v="1300"/>
    </bk>
    <bk>
      <rc t="2" v="1301"/>
    </bk>
    <bk>
      <rc t="2" v="1302"/>
    </bk>
    <bk>
      <rc t="2" v="1303"/>
    </bk>
    <bk>
      <rc t="2" v="1304"/>
    </bk>
    <bk>
      <rc t="2" v="1305"/>
    </bk>
    <bk>
      <rc t="2" v="1306"/>
    </bk>
    <bk>
      <rc t="2" v="1307"/>
    </bk>
    <bk>
      <rc t="2" v="1308"/>
    </bk>
    <bk>
      <rc t="2" v="1309"/>
    </bk>
    <bk>
      <rc t="2" v="1310"/>
    </bk>
    <bk>
      <rc t="2" v="1311"/>
    </bk>
    <bk>
      <rc t="2" v="1312"/>
    </bk>
    <bk>
      <rc t="2" v="1313"/>
    </bk>
    <bk>
      <rc t="2" v="1314"/>
    </bk>
    <bk>
      <rc t="2" v="1315"/>
    </bk>
    <bk>
      <rc t="2" v="1316"/>
    </bk>
    <bk>
      <rc t="2" v="1317"/>
    </bk>
    <bk>
      <rc t="2" v="1318"/>
    </bk>
    <bk>
      <rc t="2" v="1319"/>
    </bk>
    <bk>
      <rc t="2" v="1320"/>
    </bk>
    <bk>
      <rc t="2" v="1321"/>
    </bk>
    <bk>
      <rc t="2" v="1322"/>
    </bk>
    <bk>
      <rc t="2" v="1323"/>
    </bk>
    <bk>
      <rc t="2" v="1324"/>
    </bk>
    <bk>
      <rc t="2" v="1325"/>
    </bk>
    <bk>
      <rc t="2" v="1326"/>
    </bk>
    <bk>
      <rc t="2" v="1327"/>
    </bk>
    <bk>
      <rc t="2" v="1328"/>
    </bk>
    <bk>
      <rc t="2" v="1329"/>
    </bk>
    <bk>
      <rc t="2" v="1330"/>
    </bk>
    <bk>
      <rc t="2" v="1331"/>
    </bk>
    <bk>
      <rc t="2" v="1332"/>
    </bk>
    <bk>
      <rc t="2" v="1333"/>
    </bk>
    <bk>
      <rc t="2" v="1334"/>
    </bk>
    <bk>
      <rc t="2" v="1335"/>
    </bk>
    <bk>
      <rc t="2" v="1336"/>
    </bk>
    <bk>
      <rc t="2" v="1337"/>
    </bk>
    <bk>
      <rc t="2" v="1338"/>
    </bk>
    <bk>
      <rc t="2" v="1339"/>
    </bk>
    <bk>
      <rc t="2" v="1340"/>
    </bk>
    <bk>
      <rc t="2" v="1341"/>
    </bk>
    <bk>
      <rc t="2" v="1342"/>
    </bk>
    <bk>
      <rc t="2" v="1343"/>
    </bk>
    <bk>
      <rc t="2" v="1344"/>
    </bk>
    <bk>
      <rc t="2" v="1345"/>
    </bk>
    <bk>
      <rc t="2" v="1346"/>
    </bk>
    <bk>
      <rc t="2" v="1347"/>
    </bk>
    <bk>
      <rc t="2" v="1348"/>
    </bk>
    <bk>
      <rc t="2" v="1349"/>
    </bk>
    <bk>
      <rc t="2" v="1350"/>
    </bk>
    <bk>
      <rc t="2" v="1351"/>
    </bk>
    <bk>
      <rc t="2" v="1352"/>
    </bk>
    <bk>
      <rc t="2" v="1353"/>
    </bk>
    <bk>
      <rc t="2" v="1354"/>
    </bk>
    <bk>
      <rc t="2" v="1355"/>
    </bk>
    <bk>
      <rc t="2" v="1356"/>
    </bk>
    <bk>
      <rc t="2" v="1357"/>
    </bk>
    <bk>
      <rc t="2" v="1358"/>
    </bk>
    <bk>
      <rc t="2" v="1359"/>
    </bk>
    <bk>
      <rc t="2" v="1360"/>
    </bk>
    <bk>
      <rc t="2" v="1361"/>
    </bk>
    <bk>
      <rc t="2" v="1362"/>
    </bk>
    <bk>
      <rc t="2" v="1363"/>
    </bk>
    <bk>
      <rc t="2" v="1364"/>
    </bk>
    <bk>
      <rc t="2" v="1365"/>
    </bk>
    <bk>
      <rc t="2" v="1366"/>
    </bk>
    <bk>
      <rc t="2" v="1367"/>
    </bk>
    <bk>
      <rc t="2" v="1368"/>
    </bk>
    <bk>
      <rc t="2" v="1369"/>
    </bk>
    <bk>
      <rc t="2" v="1370"/>
    </bk>
    <bk>
      <rc t="2" v="1371"/>
    </bk>
    <bk>
      <rc t="2" v="1372"/>
    </bk>
    <bk>
      <rc t="2" v="1373"/>
    </bk>
    <bk>
      <rc t="2" v="1374"/>
    </bk>
    <bk>
      <rc t="2" v="1375"/>
    </bk>
    <bk>
      <rc t="2" v="1376"/>
    </bk>
    <bk>
      <rc t="2" v="1377"/>
    </bk>
    <bk>
      <rc t="2" v="1378"/>
    </bk>
    <bk>
      <rc t="2" v="1379"/>
    </bk>
    <bk>
      <rc t="2" v="1380"/>
    </bk>
    <bk>
      <rc t="2" v="1381"/>
    </bk>
    <bk>
      <rc t="2" v="1382"/>
    </bk>
    <bk>
      <rc t="2" v="1383"/>
    </bk>
    <bk>
      <rc t="2" v="1384"/>
    </bk>
    <bk>
      <rc t="2" v="1385"/>
    </bk>
    <bk>
      <rc t="2" v="1386"/>
    </bk>
    <bk>
      <rc t="2" v="1387"/>
    </bk>
    <bk>
      <rc t="2" v="1388"/>
    </bk>
    <bk>
      <rc t="2" v="1389"/>
    </bk>
    <bk>
      <rc t="2" v="1390"/>
    </bk>
    <bk>
      <rc t="2" v="1391"/>
    </bk>
    <bk>
      <rc t="2" v="1392"/>
    </bk>
    <bk>
      <rc t="2" v="1393"/>
    </bk>
    <bk>
      <rc t="2" v="1394"/>
    </bk>
    <bk>
      <rc t="2" v="1395"/>
    </bk>
    <bk>
      <rc t="2" v="1396"/>
    </bk>
    <bk>
      <rc t="2" v="1397"/>
    </bk>
    <bk>
      <rc t="2" v="1398"/>
    </bk>
    <bk>
      <rc t="2" v="1399"/>
    </bk>
    <bk>
      <rc t="2" v="1400"/>
    </bk>
    <bk>
      <rc t="2" v="1401"/>
    </bk>
    <bk>
      <rc t="2" v="1402"/>
    </bk>
    <bk>
      <rc t="2" v="1403"/>
    </bk>
    <bk>
      <rc t="2" v="1404"/>
    </bk>
    <bk>
      <rc t="2" v="1405"/>
    </bk>
    <bk>
      <rc t="2" v="1406"/>
    </bk>
    <bk>
      <rc t="2" v="1407"/>
    </bk>
    <bk>
      <rc t="2" v="1408"/>
    </bk>
    <bk>
      <rc t="2" v="1409"/>
    </bk>
    <bk>
      <rc t="2" v="1410"/>
    </bk>
    <bk>
      <rc t="2" v="1411"/>
    </bk>
    <bk>
      <rc t="2" v="1412"/>
    </bk>
    <bk>
      <rc t="2" v="1413"/>
    </bk>
    <bk>
      <rc t="2" v="1414"/>
    </bk>
    <bk>
      <rc t="2" v="1415"/>
    </bk>
    <bk>
      <rc t="2" v="1416"/>
    </bk>
    <bk>
      <rc t="2" v="1417"/>
    </bk>
    <bk>
      <rc t="2" v="1418"/>
    </bk>
    <bk>
      <rc t="2" v="1419"/>
    </bk>
    <bk>
      <rc t="2" v="1420"/>
    </bk>
    <bk>
      <rc t="2" v="1421"/>
    </bk>
    <bk>
      <rc t="2" v="1422"/>
    </bk>
    <bk>
      <rc t="2" v="1423"/>
    </bk>
    <bk>
      <rc t="2" v="1424"/>
    </bk>
    <bk>
      <rc t="2" v="1425"/>
    </bk>
    <bk>
      <rc t="2" v="1426"/>
    </bk>
    <bk>
      <rc t="2" v="1427"/>
    </bk>
    <bk>
      <rc t="2" v="1428"/>
    </bk>
    <bk>
      <rc t="2" v="1429"/>
    </bk>
    <bk>
      <rc t="2" v="1430"/>
    </bk>
    <bk>
      <rc t="2" v="1431"/>
    </bk>
    <bk>
      <rc t="2" v="1432"/>
    </bk>
    <bk>
      <rc t="2" v="1433"/>
    </bk>
    <bk>
      <rc t="2" v="1434"/>
    </bk>
    <bk>
      <rc t="2" v="1435"/>
    </bk>
    <bk>
      <rc t="2" v="1436"/>
    </bk>
    <bk>
      <rc t="2" v="1437"/>
    </bk>
    <bk>
      <rc t="2" v="1438"/>
    </bk>
    <bk>
      <rc t="2" v="1439"/>
    </bk>
    <bk>
      <rc t="2" v="1440"/>
    </bk>
    <bk>
      <rc t="2" v="1441"/>
    </bk>
    <bk>
      <rc t="2" v="1442"/>
    </bk>
    <bk>
      <rc t="2" v="1443"/>
    </bk>
    <bk>
      <rc t="2" v="1444"/>
    </bk>
    <bk>
      <rc t="2" v="1445"/>
    </bk>
    <bk>
      <rc t="2" v="1446"/>
    </bk>
    <bk>
      <rc t="2" v="1447"/>
    </bk>
    <bk>
      <rc t="2" v="1448"/>
    </bk>
    <bk>
      <rc t="2" v="1449"/>
    </bk>
    <bk>
      <rc t="2" v="1450"/>
    </bk>
    <bk>
      <rc t="2" v="1451"/>
    </bk>
    <bk>
      <rc t="2" v="1452"/>
    </bk>
    <bk>
      <rc t="2" v="1453"/>
    </bk>
    <bk>
      <rc t="2" v="1454"/>
    </bk>
    <bk>
      <rc t="2" v="1455"/>
    </bk>
    <bk>
      <rc t="2" v="1456"/>
    </bk>
    <bk>
      <rc t="2" v="1457"/>
    </bk>
    <bk>
      <rc t="2" v="1458"/>
    </bk>
    <bk>
      <rc t="2" v="1459"/>
    </bk>
    <bk>
      <rc t="2" v="1460"/>
    </bk>
    <bk>
      <rc t="2" v="1461"/>
    </bk>
    <bk>
      <rc t="2" v="1462"/>
    </bk>
    <bk>
      <rc t="2" v="1463"/>
    </bk>
    <bk>
      <rc t="2" v="1464"/>
    </bk>
    <bk>
      <rc t="2" v="1465"/>
    </bk>
    <bk>
      <rc t="2" v="1466"/>
    </bk>
    <bk>
      <rc t="2" v="1467"/>
    </bk>
    <bk>
      <rc t="2" v="1468"/>
    </bk>
    <bk>
      <rc t="2" v="1469"/>
    </bk>
    <bk>
      <rc t="2" v="1470"/>
    </bk>
    <bk>
      <rc t="2" v="1471"/>
    </bk>
    <bk>
      <rc t="2" v="1472"/>
    </bk>
    <bk>
      <rc t="2" v="1473"/>
    </bk>
    <bk>
      <rc t="2" v="1474"/>
    </bk>
    <bk>
      <rc t="2" v="1475"/>
    </bk>
    <bk>
      <rc t="2" v="1476"/>
    </bk>
    <bk>
      <rc t="2" v="1477"/>
    </bk>
    <bk>
      <rc t="2" v="1478"/>
    </bk>
    <bk>
      <rc t="2" v="1479"/>
    </bk>
    <bk>
      <rc t="2" v="1480"/>
    </bk>
    <bk>
      <rc t="2" v="1481"/>
    </bk>
    <bk>
      <rc t="2" v="1482"/>
    </bk>
    <bk>
      <rc t="2" v="1483"/>
    </bk>
    <bk>
      <rc t="2" v="1484"/>
    </bk>
    <bk>
      <rc t="2" v="1485"/>
    </bk>
    <bk>
      <rc t="2" v="1486"/>
    </bk>
    <bk>
      <rc t="2" v="1487"/>
    </bk>
    <bk>
      <rc t="2" v="1488"/>
    </bk>
    <bk>
      <rc t="2" v="1489"/>
    </bk>
    <bk>
      <rc t="2" v="1490"/>
    </bk>
    <bk>
      <rc t="2" v="1491"/>
    </bk>
    <bk>
      <rc t="2" v="1492"/>
    </bk>
    <bk>
      <rc t="2" v="1493"/>
    </bk>
    <bk>
      <rc t="2" v="1494"/>
    </bk>
    <bk>
      <rc t="2" v="1495"/>
    </bk>
    <bk>
      <rc t="2" v="1496"/>
    </bk>
    <bk>
      <rc t="2" v="1497"/>
    </bk>
    <bk>
      <rc t="2" v="1498"/>
    </bk>
    <bk>
      <rc t="2" v="1499"/>
    </bk>
    <bk>
      <rc t="2" v="1500"/>
    </bk>
    <bk>
      <rc t="2" v="1501"/>
    </bk>
    <bk>
      <rc t="2" v="1502"/>
    </bk>
    <bk>
      <rc t="2" v="1503"/>
    </bk>
    <bk>
      <rc t="2" v="1504"/>
    </bk>
    <bk>
      <rc t="2" v="1505"/>
    </bk>
    <bk>
      <rc t="2" v="1506"/>
    </bk>
    <bk>
      <rc t="2" v="1507"/>
    </bk>
    <bk>
      <rc t="2" v="1508"/>
    </bk>
    <bk>
      <rc t="2" v="1509"/>
    </bk>
    <bk>
      <rc t="2" v="1510"/>
    </bk>
    <bk>
      <rc t="2" v="1511"/>
    </bk>
    <bk>
      <rc t="2" v="1512"/>
    </bk>
    <bk>
      <rc t="2" v="1513"/>
    </bk>
    <bk>
      <rc t="2" v="1514"/>
    </bk>
    <bk>
      <rc t="2" v="1515"/>
    </bk>
    <bk>
      <rc t="2" v="1516"/>
    </bk>
    <bk>
      <rc t="2" v="1517"/>
    </bk>
    <bk>
      <rc t="2" v="1518"/>
    </bk>
    <bk>
      <rc t="2" v="1519"/>
    </bk>
    <bk>
      <rc t="2" v="1520"/>
    </bk>
    <bk>
      <rc t="2" v="1521"/>
    </bk>
    <bk>
      <rc t="2" v="1522"/>
    </bk>
    <bk>
      <rc t="2" v="1523"/>
    </bk>
    <bk>
      <rc t="2" v="1524"/>
    </bk>
    <bk>
      <rc t="2" v="1525"/>
    </bk>
    <bk>
      <rc t="2" v="1526"/>
    </bk>
    <bk>
      <rc t="2" v="1527"/>
    </bk>
    <bk>
      <rc t="2" v="1528"/>
    </bk>
    <bk>
      <rc t="2" v="1529"/>
    </bk>
    <bk>
      <rc t="2" v="1530"/>
    </bk>
    <bk>
      <rc t="2" v="1531"/>
    </bk>
    <bk>
      <rc t="2" v="1532"/>
    </bk>
    <bk>
      <rc t="2" v="1533"/>
    </bk>
    <bk>
      <rc t="2" v="1534"/>
    </bk>
    <bk>
      <rc t="2" v="1535"/>
    </bk>
    <bk>
      <rc t="2" v="1536"/>
    </bk>
    <bk>
      <rc t="2" v="1537"/>
    </bk>
    <bk>
      <rc t="2" v="1538"/>
    </bk>
    <bk>
      <rc t="2" v="1539"/>
    </bk>
    <bk>
      <rc t="2" v="1540"/>
    </bk>
    <bk>
      <rc t="2" v="1541"/>
    </bk>
    <bk>
      <rc t="2" v="1542"/>
    </bk>
    <bk>
      <rc t="2" v="1543"/>
    </bk>
    <bk>
      <rc t="2" v="1544"/>
    </bk>
    <bk>
      <rc t="2" v="1545"/>
    </bk>
    <bk>
      <rc t="2" v="1546"/>
    </bk>
    <bk>
      <rc t="2" v="1547"/>
    </bk>
    <bk>
      <rc t="2" v="1548"/>
    </bk>
    <bk>
      <rc t="2" v="1549"/>
    </bk>
    <bk>
      <rc t="2" v="1550"/>
    </bk>
    <bk>
      <rc t="2" v="1551"/>
    </bk>
    <bk>
      <rc t="2" v="1552"/>
    </bk>
    <bk>
      <rc t="2" v="1553"/>
    </bk>
    <bk>
      <rc t="2" v="1554"/>
    </bk>
    <bk>
      <rc t="2" v="1555"/>
    </bk>
    <bk>
      <rc t="2" v="1556"/>
    </bk>
    <bk>
      <rc t="2" v="1557"/>
    </bk>
    <bk>
      <rc t="2" v="1558"/>
    </bk>
    <bk>
      <rc t="2" v="1559"/>
    </bk>
    <bk>
      <rc t="2" v="1560"/>
    </bk>
    <bk>
      <rc t="2" v="1561"/>
    </bk>
    <bk>
      <rc t="2" v="1562"/>
    </bk>
    <bk>
      <rc t="2" v="1563"/>
    </bk>
    <bk>
      <rc t="2" v="1564"/>
    </bk>
    <bk>
      <rc t="2" v="1565"/>
    </bk>
    <bk>
      <rc t="2" v="1566"/>
    </bk>
    <bk>
      <rc t="2" v="1567"/>
    </bk>
    <bk>
      <rc t="2" v="1568"/>
    </bk>
    <bk>
      <rc t="2" v="1569"/>
    </bk>
    <bk>
      <rc t="2" v="1570"/>
    </bk>
    <bk>
      <rc t="2" v="1571"/>
    </bk>
    <bk>
      <rc t="2" v="1572"/>
    </bk>
    <bk>
      <rc t="2" v="1573"/>
    </bk>
    <bk>
      <rc t="2" v="1574"/>
    </bk>
    <bk>
      <rc t="2" v="1575"/>
    </bk>
    <bk>
      <rc t="2" v="1576"/>
    </bk>
    <bk>
      <rc t="2" v="1577"/>
    </bk>
    <bk>
      <rc t="2" v="1578"/>
    </bk>
    <bk>
      <rc t="2" v="1579"/>
    </bk>
    <bk>
      <rc t="2" v="1580"/>
    </bk>
    <bk>
      <rc t="2" v="1581"/>
    </bk>
    <bk>
      <rc t="2" v="1582"/>
    </bk>
    <bk>
      <rc t="2" v="1583"/>
    </bk>
    <bk>
      <rc t="2" v="1584"/>
    </bk>
    <bk>
      <rc t="2" v="1585"/>
    </bk>
    <bk>
      <rc t="2" v="1586"/>
    </bk>
    <bk>
      <rc t="2" v="1587"/>
    </bk>
    <bk>
      <rc t="2" v="1588"/>
    </bk>
    <bk>
      <rc t="2" v="1589"/>
    </bk>
    <bk>
      <rc t="2" v="1590"/>
    </bk>
    <bk>
      <rc t="2" v="1591"/>
    </bk>
    <bk>
      <rc t="2" v="1592"/>
    </bk>
    <bk>
      <rc t="2" v="1593"/>
    </bk>
    <bk>
      <rc t="2" v="1594"/>
    </bk>
    <bk>
      <rc t="2" v="1595"/>
    </bk>
    <bk>
      <rc t="2" v="1596"/>
    </bk>
    <bk>
      <rc t="2" v="1597"/>
    </bk>
    <bk>
      <rc t="2" v="1598"/>
    </bk>
    <bk>
      <rc t="2" v="1599"/>
    </bk>
    <bk>
      <rc t="2" v="1600"/>
    </bk>
    <bk>
      <rc t="2" v="1601"/>
    </bk>
    <bk>
      <rc t="2" v="1602"/>
    </bk>
    <bk>
      <rc t="2" v="1603"/>
    </bk>
    <bk>
      <rc t="2" v="1604"/>
    </bk>
    <bk>
      <rc t="2" v="1605"/>
    </bk>
    <bk>
      <rc t="2" v="1606"/>
    </bk>
    <bk>
      <rc t="2" v="1607"/>
    </bk>
    <bk>
      <rc t="2" v="1608"/>
    </bk>
    <bk>
      <rc t="2" v="1609"/>
    </bk>
    <bk>
      <rc t="2" v="1610"/>
    </bk>
    <bk>
      <rc t="2" v="1611"/>
    </bk>
    <bk>
      <rc t="2" v="1612"/>
    </bk>
    <bk>
      <rc t="2" v="1613"/>
    </bk>
    <bk>
      <rc t="2" v="1614"/>
    </bk>
    <bk>
      <rc t="2" v="1615"/>
    </bk>
    <bk>
      <rc t="2" v="1616"/>
    </bk>
    <bk>
      <rc t="2" v="1617"/>
    </bk>
    <bk>
      <rc t="2" v="1618"/>
    </bk>
    <bk>
      <rc t="2" v="1619"/>
    </bk>
    <bk>
      <rc t="2" v="1620"/>
    </bk>
    <bk>
      <rc t="2" v="1621"/>
    </bk>
    <bk>
      <rc t="2" v="1622"/>
    </bk>
    <bk>
      <rc t="2" v="1623"/>
    </bk>
    <bk>
      <rc t="2" v="1624"/>
    </bk>
    <bk>
      <rc t="2" v="1625"/>
    </bk>
    <bk>
      <rc t="2" v="1626"/>
    </bk>
    <bk>
      <rc t="2" v="1627"/>
    </bk>
    <bk>
      <rc t="2" v="1628"/>
    </bk>
    <bk>
      <rc t="2" v="1629"/>
    </bk>
    <bk>
      <rc t="2" v="1630"/>
    </bk>
    <bk>
      <rc t="2" v="1631"/>
    </bk>
    <bk>
      <rc t="2" v="1632"/>
    </bk>
    <bk>
      <rc t="2" v="1633"/>
    </bk>
    <bk>
      <rc t="2" v="1634"/>
    </bk>
    <bk>
      <rc t="2" v="1635"/>
    </bk>
    <bk>
      <rc t="2" v="1636"/>
    </bk>
    <bk>
      <rc t="2" v="1637"/>
    </bk>
    <bk>
      <rc t="2" v="1638"/>
    </bk>
    <bk>
      <rc t="2" v="1639"/>
    </bk>
    <bk>
      <rc t="2" v="1640"/>
    </bk>
    <bk>
      <rc t="2" v="1641"/>
    </bk>
    <bk>
      <rc t="2" v="1642"/>
    </bk>
    <bk>
      <rc t="2" v="1643"/>
    </bk>
    <bk>
      <rc t="2" v="1644"/>
    </bk>
    <bk>
      <rc t="2" v="1645"/>
    </bk>
    <bk>
      <rc t="2" v="1646"/>
    </bk>
    <bk>
      <rc t="2" v="1647"/>
    </bk>
    <bk>
      <rc t="2" v="1648"/>
    </bk>
    <bk>
      <rc t="2" v="1649"/>
    </bk>
    <bk>
      <rc t="2" v="1650"/>
    </bk>
    <bk>
      <rc t="2" v="1651"/>
    </bk>
    <bk>
      <rc t="2" v="1652"/>
    </bk>
    <bk>
      <rc t="2" v="1653"/>
    </bk>
    <bk>
      <rc t="2" v="1654"/>
    </bk>
    <bk>
      <rc t="2" v="1655"/>
    </bk>
    <bk>
      <rc t="2" v="1656"/>
    </bk>
    <bk>
      <rc t="2" v="1657"/>
    </bk>
    <bk>
      <rc t="2" v="1658"/>
    </bk>
    <bk>
      <rc t="2" v="1659"/>
    </bk>
    <bk>
      <rc t="2" v="1660"/>
    </bk>
    <bk>
      <rc t="2" v="1661"/>
    </bk>
    <bk>
      <rc t="2" v="1662"/>
    </bk>
    <bk>
      <rc t="2" v="1663"/>
    </bk>
    <bk>
      <rc t="2" v="1664"/>
    </bk>
    <bk>
      <rc t="2" v="1665"/>
    </bk>
    <bk>
      <rc t="2" v="1666"/>
    </bk>
    <bk>
      <rc t="2" v="1667"/>
    </bk>
    <bk>
      <rc t="2" v="1668"/>
    </bk>
    <bk>
      <rc t="2" v="1669"/>
    </bk>
    <bk>
      <rc t="2" v="1670"/>
    </bk>
    <bk>
      <rc t="2" v="1671"/>
    </bk>
    <bk>
      <rc t="2" v="1672"/>
    </bk>
    <bk>
      <rc t="2" v="1673"/>
    </bk>
    <bk>
      <rc t="2" v="1674"/>
    </bk>
    <bk>
      <rc t="2" v="1675"/>
    </bk>
    <bk>
      <rc t="2" v="1676"/>
    </bk>
    <bk>
      <rc t="2" v="1677"/>
    </bk>
    <bk>
      <rc t="2" v="1678"/>
    </bk>
    <bk>
      <rc t="2" v="1679"/>
    </bk>
    <bk>
      <rc t="2" v="1680"/>
    </bk>
    <bk>
      <rc t="2" v="1681"/>
    </bk>
    <bk>
      <rc t="2" v="1682"/>
    </bk>
    <bk>
      <rc t="2" v="1683"/>
    </bk>
    <bk>
      <rc t="2" v="1684"/>
    </bk>
    <bk>
      <rc t="2" v="1685"/>
    </bk>
    <bk>
      <rc t="2" v="1686"/>
    </bk>
    <bk>
      <rc t="2" v="1687"/>
    </bk>
    <bk>
      <rc t="2" v="1688"/>
    </bk>
    <bk>
      <rc t="2" v="1689"/>
    </bk>
    <bk>
      <rc t="2" v="1690"/>
    </bk>
    <bk>
      <rc t="2" v="1691"/>
    </bk>
    <bk>
      <rc t="2" v="1692"/>
    </bk>
    <bk>
      <rc t="2" v="1693"/>
    </bk>
    <bk>
      <rc t="2" v="1694"/>
    </bk>
    <bk>
      <rc t="2" v="1695"/>
    </bk>
    <bk>
      <rc t="2" v="1696"/>
    </bk>
    <bk>
      <rc t="2" v="1697"/>
    </bk>
    <bk>
      <rc t="2" v="1698"/>
    </bk>
    <bk>
      <rc t="2" v="1699"/>
    </bk>
    <bk>
      <rc t="2" v="1700"/>
    </bk>
    <bk>
      <rc t="2" v="1701"/>
    </bk>
    <bk>
      <rc t="2" v="1702"/>
    </bk>
    <bk>
      <rc t="2" v="1703"/>
    </bk>
    <bk>
      <rc t="2" v="1704"/>
    </bk>
    <bk>
      <rc t="2" v="1705"/>
    </bk>
    <bk>
      <rc t="2" v="1706"/>
    </bk>
    <bk>
      <rc t="2" v="1707"/>
    </bk>
    <bk>
      <rc t="2" v="1708"/>
    </bk>
    <bk>
      <rc t="2" v="1709"/>
    </bk>
    <bk>
      <rc t="2" v="1710"/>
    </bk>
    <bk>
      <rc t="2" v="1711"/>
    </bk>
    <bk>
      <rc t="2" v="1712"/>
    </bk>
    <bk>
      <rc t="2" v="1713"/>
    </bk>
    <bk>
      <rc t="2" v="1714"/>
    </bk>
    <bk>
      <rc t="2" v="1715"/>
    </bk>
    <bk>
      <rc t="2" v="1716"/>
    </bk>
    <bk>
      <rc t="2" v="1717"/>
    </bk>
    <bk>
      <rc t="2" v="1718"/>
    </bk>
    <bk>
      <rc t="2" v="1719"/>
    </bk>
    <bk>
      <rc t="2" v="1720"/>
    </bk>
    <bk>
      <rc t="2" v="1721"/>
    </bk>
    <bk>
      <rc t="2" v="1722"/>
    </bk>
    <bk>
      <rc t="2" v="1723"/>
    </bk>
    <bk>
      <rc t="2" v="1724"/>
    </bk>
    <bk>
      <rc t="2" v="1725"/>
    </bk>
    <bk>
      <rc t="2" v="1726"/>
    </bk>
    <bk>
      <rc t="2" v="1727"/>
    </bk>
    <bk>
      <rc t="2" v="1728"/>
    </bk>
    <bk>
      <rc t="2" v="1729"/>
    </bk>
    <bk>
      <rc t="2" v="1730"/>
    </bk>
    <bk>
      <rc t="2" v="1731"/>
    </bk>
    <bk>
      <rc t="2" v="1732"/>
    </bk>
    <bk>
      <rc t="2" v="1733"/>
    </bk>
    <bk>
      <rc t="2" v="1734"/>
    </bk>
    <bk>
      <rc t="2" v="1735"/>
    </bk>
    <bk>
      <rc t="2" v="1736"/>
    </bk>
    <bk>
      <rc t="2" v="1737"/>
    </bk>
    <bk>
      <rc t="2" v="1738"/>
    </bk>
    <bk>
      <rc t="2" v="1739"/>
    </bk>
    <bk>
      <rc t="2" v="1740"/>
    </bk>
    <bk>
      <rc t="2" v="1741"/>
    </bk>
    <bk>
      <rc t="2" v="1742"/>
    </bk>
    <bk>
      <rc t="2" v="1743"/>
    </bk>
    <bk>
      <rc t="2" v="1744"/>
    </bk>
    <bk>
      <rc t="2" v="1745"/>
    </bk>
    <bk>
      <rc t="2" v="1746"/>
    </bk>
    <bk>
      <rc t="2" v="1747"/>
    </bk>
    <bk>
      <rc t="2" v="1748"/>
    </bk>
    <bk>
      <rc t="2" v="1749"/>
    </bk>
    <bk>
      <rc t="2" v="1750"/>
    </bk>
    <bk>
      <rc t="2" v="1751"/>
    </bk>
    <bk>
      <rc t="2" v="1752"/>
    </bk>
    <bk>
      <rc t="2" v="1753"/>
    </bk>
    <bk>
      <rc t="2" v="1754"/>
    </bk>
    <bk>
      <rc t="2" v="1755"/>
    </bk>
    <bk>
      <rc t="2" v="1756"/>
    </bk>
    <bk>
      <rc t="2" v="1757"/>
    </bk>
    <bk>
      <rc t="2" v="1758"/>
    </bk>
    <bk>
      <rc t="2" v="1759"/>
    </bk>
    <bk>
      <rc t="2" v="1760"/>
    </bk>
    <bk>
      <rc t="2" v="1761"/>
    </bk>
    <bk>
      <rc t="2" v="1762"/>
    </bk>
    <bk>
      <rc t="2" v="1763"/>
    </bk>
    <bk>
      <rc t="2" v="1764"/>
    </bk>
    <bk>
      <rc t="2" v="1765"/>
    </bk>
    <bk>
      <rc t="2" v="1766"/>
    </bk>
    <bk>
      <rc t="2" v="1767"/>
    </bk>
    <bk>
      <rc t="2" v="1768"/>
    </bk>
    <bk>
      <rc t="2" v="1769"/>
    </bk>
    <bk>
      <rc t="2" v="1770"/>
    </bk>
    <bk>
      <rc t="2" v="1771"/>
    </bk>
    <bk>
      <rc t="2" v="1772"/>
    </bk>
    <bk>
      <rc t="2" v="1773"/>
    </bk>
    <bk>
      <rc t="2" v="1774"/>
    </bk>
    <bk>
      <rc t="2" v="1775"/>
    </bk>
    <bk>
      <rc t="2" v="1776"/>
    </bk>
    <bk>
      <rc t="2" v="1777"/>
    </bk>
    <bk>
      <rc t="2" v="1778"/>
    </bk>
    <bk>
      <rc t="2" v="1779"/>
    </bk>
    <bk>
      <rc t="2" v="1780"/>
    </bk>
    <bk>
      <rc t="2" v="1781"/>
    </bk>
    <bk>
      <rc t="2" v="1782"/>
    </bk>
    <bk>
      <rc t="2" v="1783"/>
    </bk>
    <bk>
      <rc t="2" v="1784"/>
    </bk>
    <bk>
      <rc t="2" v="1785"/>
    </bk>
    <bk>
      <rc t="2" v="1786"/>
    </bk>
    <bk>
      <rc t="2" v="1787"/>
    </bk>
    <bk>
      <rc t="2" v="1788"/>
    </bk>
    <bk>
      <rc t="2" v="1789"/>
    </bk>
    <bk>
      <rc t="2" v="1790"/>
    </bk>
    <bk>
      <rc t="2" v="1791"/>
    </bk>
    <bk>
      <rc t="2" v="1792"/>
    </bk>
    <bk>
      <rc t="2" v="1793"/>
    </bk>
    <bk>
      <rc t="2" v="1794"/>
    </bk>
    <bk>
      <rc t="2" v="1795"/>
    </bk>
    <bk>
      <rc t="2" v="1796"/>
    </bk>
    <bk>
      <rc t="2" v="1797"/>
    </bk>
    <bk>
      <rc t="2" v="1798"/>
    </bk>
    <bk>
      <rc t="2" v="1799"/>
    </bk>
    <bk>
      <rc t="2" v="1800"/>
    </bk>
    <bk>
      <rc t="2" v="1801"/>
    </bk>
    <bk>
      <rc t="2" v="1802"/>
    </bk>
    <bk>
      <rc t="2" v="1803"/>
    </bk>
    <bk>
      <rc t="2" v="1804"/>
    </bk>
    <bk>
      <rc t="2" v="1805"/>
    </bk>
    <bk>
      <rc t="2" v="1806"/>
    </bk>
    <bk>
      <rc t="2" v="1807"/>
    </bk>
    <bk>
      <rc t="2" v="1808"/>
    </bk>
    <bk>
      <rc t="2" v="1809"/>
    </bk>
    <bk>
      <rc t="2" v="1810"/>
    </bk>
    <bk>
      <rc t="2" v="1811"/>
    </bk>
    <bk>
      <rc t="2" v="1812"/>
    </bk>
    <bk>
      <rc t="2" v="1813"/>
    </bk>
    <bk>
      <rc t="2" v="1814"/>
    </bk>
    <bk>
      <rc t="2" v="1815"/>
    </bk>
    <bk>
      <rc t="2" v="1816"/>
    </bk>
    <bk>
      <rc t="2" v="1817"/>
    </bk>
    <bk>
      <rc t="2" v="1818"/>
    </bk>
    <bk>
      <rc t="2" v="1819"/>
    </bk>
    <bk>
      <rc t="2" v="1820"/>
    </bk>
    <bk>
      <rc t="2" v="1821"/>
    </bk>
    <bk>
      <rc t="2" v="1822"/>
    </bk>
    <bk>
      <rc t="2" v="1823"/>
    </bk>
    <bk>
      <rc t="2" v="1824"/>
    </bk>
    <bk>
      <rc t="2" v="1825"/>
    </bk>
    <bk>
      <rc t="2" v="1826"/>
    </bk>
    <bk>
      <rc t="2" v="1827"/>
    </bk>
    <bk>
      <rc t="2" v="1828"/>
    </bk>
    <bk>
      <rc t="2" v="1829"/>
    </bk>
    <bk>
      <rc t="2" v="1830"/>
    </bk>
    <bk>
      <rc t="2" v="1831"/>
    </bk>
    <bk>
      <rc t="2" v="1832"/>
    </bk>
    <bk>
      <rc t="2" v="1833"/>
    </bk>
    <bk>
      <rc t="2" v="1834"/>
    </bk>
    <bk>
      <rc t="2" v="1835"/>
    </bk>
    <bk>
      <rc t="2" v="1836"/>
    </bk>
    <bk>
      <rc t="2" v="1837"/>
    </bk>
    <bk>
      <rc t="2" v="1838"/>
    </bk>
    <bk>
      <rc t="2" v="1839"/>
    </bk>
    <bk>
      <rc t="2" v="1840"/>
    </bk>
    <bk>
      <rc t="2" v="1841"/>
    </bk>
    <bk>
      <rc t="2" v="1842"/>
    </bk>
    <bk>
      <rc t="2" v="1843"/>
    </bk>
    <bk>
      <rc t="2" v="1844"/>
    </bk>
    <bk>
      <rc t="2" v="1845"/>
    </bk>
    <bk>
      <rc t="2" v="1846"/>
    </bk>
    <bk>
      <rc t="2" v="1847"/>
    </bk>
    <bk>
      <rc t="2" v="1848"/>
    </bk>
    <bk>
      <rc t="2" v="1849"/>
    </bk>
    <bk>
      <rc t="2" v="1850"/>
    </bk>
    <bk>
      <rc t="2" v="1851"/>
    </bk>
    <bk>
      <rc t="2" v="1852"/>
    </bk>
    <bk>
      <rc t="2" v="1853"/>
    </bk>
    <bk>
      <rc t="2" v="1854"/>
    </bk>
    <bk>
      <rc t="2" v="1855"/>
    </bk>
    <bk>
      <rc t="2" v="1856"/>
    </bk>
    <bk>
      <rc t="2" v="1857"/>
    </bk>
    <bk>
      <rc t="2" v="1858"/>
    </bk>
    <bk>
      <rc t="2" v="1859"/>
    </bk>
    <bk>
      <rc t="2" v="1860"/>
    </bk>
    <bk>
      <rc t="2" v="1861"/>
    </bk>
    <bk>
      <rc t="2" v="1862"/>
    </bk>
    <bk>
      <rc t="2" v="1863"/>
    </bk>
    <bk>
      <rc t="2" v="1864"/>
    </bk>
    <bk>
      <rc t="2" v="1865"/>
    </bk>
    <bk>
      <rc t="2" v="1866"/>
    </bk>
    <bk>
      <rc t="2" v="1867"/>
    </bk>
    <bk>
      <rc t="2" v="1868"/>
    </bk>
    <bk>
      <rc t="2" v="1869"/>
    </bk>
    <bk>
      <rc t="2" v="1870"/>
    </bk>
    <bk>
      <rc t="2" v="1871"/>
    </bk>
    <bk>
      <rc t="2" v="1872"/>
    </bk>
    <bk>
      <rc t="2" v="1873"/>
    </bk>
    <bk>
      <rc t="2" v="1874"/>
    </bk>
    <bk>
      <rc t="2" v="1875"/>
    </bk>
    <bk>
      <rc t="2" v="1876"/>
    </bk>
    <bk>
      <rc t="2" v="1877"/>
    </bk>
    <bk>
      <rc t="2" v="1878"/>
    </bk>
    <bk>
      <rc t="2" v="1879"/>
    </bk>
    <bk>
      <rc t="2" v="1880"/>
    </bk>
    <bk>
      <rc t="2" v="1881"/>
    </bk>
    <bk>
      <rc t="2" v="1882"/>
    </bk>
    <bk>
      <rc t="2" v="1883"/>
    </bk>
    <bk>
      <rc t="2" v="1884"/>
    </bk>
    <bk>
      <rc t="2" v="1885"/>
    </bk>
    <bk>
      <rc t="2" v="1886"/>
    </bk>
    <bk>
      <rc t="2" v="1887"/>
    </bk>
    <bk>
      <rc t="2" v="1888"/>
    </bk>
    <bk>
      <rc t="2" v="1889"/>
    </bk>
    <bk>
      <rc t="2" v="1890"/>
    </bk>
    <bk>
      <rc t="2" v="1891"/>
    </bk>
    <bk>
      <rc t="2" v="1892"/>
    </bk>
    <bk>
      <rc t="2" v="1893"/>
    </bk>
    <bk>
      <rc t="2" v="1894"/>
    </bk>
    <bk>
      <rc t="2" v="1895"/>
    </bk>
    <bk>
      <rc t="2" v="1896"/>
    </bk>
    <bk>
      <rc t="2" v="1897"/>
    </bk>
    <bk>
      <rc t="2" v="1898"/>
    </bk>
    <bk>
      <rc t="2" v="1899"/>
    </bk>
    <bk>
      <rc t="2" v="1900"/>
    </bk>
    <bk>
      <rc t="2" v="1901"/>
    </bk>
    <bk>
      <rc t="2" v="1902"/>
    </bk>
    <bk>
      <rc t="2" v="1903"/>
    </bk>
    <bk>
      <rc t="2" v="1904"/>
    </bk>
    <bk>
      <rc t="2" v="1905"/>
    </bk>
    <bk>
      <rc t="2" v="1906"/>
    </bk>
    <bk>
      <rc t="2" v="1907"/>
    </bk>
    <bk>
      <rc t="2" v="1908"/>
    </bk>
    <bk>
      <rc t="2" v="1909"/>
    </bk>
    <bk>
      <rc t="2" v="1910"/>
    </bk>
    <bk>
      <rc t="2" v="1911"/>
    </bk>
    <bk>
      <rc t="2" v="1912"/>
    </bk>
    <bk>
      <rc t="2" v="1913"/>
    </bk>
    <bk>
      <rc t="2" v="1914"/>
    </bk>
    <bk>
      <rc t="2" v="1915"/>
    </bk>
    <bk>
      <rc t="2" v="1916"/>
    </bk>
    <bk>
      <rc t="2" v="1917"/>
    </bk>
    <bk>
      <rc t="2" v="1918"/>
    </bk>
    <bk>
      <rc t="2" v="1919"/>
    </bk>
    <bk>
      <rc t="2" v="1920"/>
    </bk>
    <bk>
      <rc t="2" v="1921"/>
    </bk>
    <bk>
      <rc t="2" v="1922"/>
    </bk>
    <bk>
      <rc t="2" v="1923"/>
    </bk>
    <bk>
      <rc t="2" v="1924"/>
    </bk>
    <bk>
      <rc t="2" v="1925"/>
    </bk>
    <bk>
      <rc t="2" v="1926"/>
    </bk>
    <bk>
      <rc t="2" v="1927"/>
    </bk>
    <bk>
      <rc t="2" v="1928"/>
    </bk>
    <bk>
      <rc t="2" v="1929"/>
    </bk>
    <bk>
      <rc t="2" v="1930"/>
    </bk>
    <bk>
      <rc t="2" v="1931"/>
    </bk>
    <bk>
      <rc t="2" v="1932"/>
    </bk>
    <bk>
      <rc t="2" v="1933"/>
    </bk>
    <bk>
      <rc t="2" v="1934"/>
    </bk>
    <bk>
      <rc t="2" v="1935"/>
    </bk>
    <bk>
      <rc t="2" v="1936"/>
    </bk>
    <bk>
      <rc t="2" v="1937"/>
    </bk>
    <bk>
      <rc t="2" v="1938"/>
    </bk>
    <bk>
      <rc t="2" v="1939"/>
    </bk>
    <bk>
      <rc t="2" v="1940"/>
    </bk>
    <bk>
      <rc t="2" v="1941"/>
    </bk>
    <bk>
      <rc t="2" v="1942"/>
    </bk>
    <bk>
      <rc t="2" v="1943"/>
    </bk>
    <bk>
      <rc t="2" v="1944"/>
    </bk>
    <bk>
      <rc t="2" v="1945"/>
    </bk>
    <bk>
      <rc t="2" v="1946"/>
    </bk>
    <bk>
      <rc t="2" v="1947"/>
    </bk>
    <bk>
      <rc t="2" v="1948"/>
    </bk>
    <bk>
      <rc t="2" v="1949"/>
    </bk>
    <bk>
      <rc t="2" v="1950"/>
    </bk>
    <bk>
      <rc t="2" v="1951"/>
    </bk>
    <bk>
      <rc t="2" v="1952"/>
    </bk>
    <bk>
      <rc t="2" v="1953"/>
    </bk>
    <bk>
      <rc t="2" v="1954"/>
    </bk>
    <bk>
      <rc t="2" v="1955"/>
    </bk>
    <bk>
      <rc t="2" v="1956"/>
    </bk>
    <bk>
      <rc t="2" v="1957"/>
    </bk>
    <bk>
      <rc t="2" v="1958"/>
    </bk>
    <bk>
      <rc t="2" v="1959"/>
    </bk>
    <bk>
      <rc t="2" v="1960"/>
    </bk>
    <bk>
      <rc t="2" v="1961"/>
    </bk>
    <bk>
      <rc t="2" v="1962"/>
    </bk>
    <bk>
      <rc t="2" v="1963"/>
    </bk>
    <bk>
      <rc t="2" v="1964"/>
    </bk>
    <bk>
      <rc t="2" v="1965"/>
    </bk>
    <bk>
      <rc t="2" v="1966"/>
    </bk>
    <bk>
      <rc t="2" v="1967"/>
    </bk>
    <bk>
      <rc t="2" v="1968"/>
    </bk>
    <bk>
      <rc t="2" v="1969"/>
    </bk>
    <bk>
      <rc t="2" v="1970"/>
    </bk>
    <bk>
      <rc t="2" v="1971"/>
    </bk>
    <bk>
      <rc t="2" v="1972"/>
    </bk>
    <bk>
      <rc t="2" v="1973"/>
    </bk>
    <bk>
      <rc t="2" v="1974"/>
    </bk>
    <bk>
      <rc t="2" v="1975"/>
    </bk>
    <bk>
      <rc t="2" v="1976"/>
    </bk>
    <bk>
      <rc t="2" v="1977"/>
    </bk>
    <bk>
      <rc t="2" v="1978"/>
    </bk>
    <bk>
      <rc t="2" v="1979"/>
    </bk>
    <bk>
      <rc t="2" v="1980"/>
    </bk>
    <bk>
      <rc t="2" v="1981"/>
    </bk>
    <bk>
      <rc t="2" v="1982"/>
    </bk>
    <bk>
      <rc t="2" v="1983"/>
    </bk>
    <bk>
      <rc t="2" v="1984"/>
    </bk>
    <bk>
      <rc t="2" v="1985"/>
    </bk>
    <bk>
      <rc t="2" v="1986"/>
    </bk>
    <bk>
      <rc t="2" v="1987"/>
    </bk>
    <bk>
      <rc t="2" v="1988"/>
    </bk>
    <bk>
      <rc t="2" v="1989"/>
    </bk>
    <bk>
      <rc t="2" v="1990"/>
    </bk>
    <bk>
      <rc t="2" v="1991"/>
    </bk>
    <bk>
      <rc t="2" v="1992"/>
    </bk>
    <bk>
      <rc t="2" v="1993"/>
    </bk>
    <bk>
      <rc t="2" v="1994"/>
    </bk>
    <bk>
      <rc t="2" v="1995"/>
    </bk>
    <bk>
      <rc t="2" v="1996"/>
    </bk>
    <bk>
      <rc t="2" v="1997"/>
    </bk>
    <bk>
      <rc t="2" v="1998"/>
    </bk>
    <bk>
      <rc t="2" v="1999"/>
    </bk>
    <bk>
      <rc t="2" v="2000"/>
    </bk>
    <bk>
      <rc t="2" v="2001"/>
    </bk>
    <bk>
      <rc t="2" v="2002"/>
    </bk>
    <bk>
      <rc t="2" v="2003"/>
    </bk>
    <bk>
      <rc t="2" v="2004"/>
    </bk>
    <bk>
      <rc t="2" v="2005"/>
    </bk>
    <bk>
      <rc t="2" v="2006"/>
    </bk>
    <bk>
      <rc t="2" v="2007"/>
    </bk>
    <bk>
      <rc t="2" v="2008"/>
    </bk>
    <bk>
      <rc t="2" v="2009"/>
    </bk>
    <bk>
      <rc t="2" v="2010"/>
    </bk>
    <bk>
      <rc t="2" v="2011"/>
    </bk>
    <bk>
      <rc t="2" v="2012"/>
    </bk>
    <bk>
      <rc t="2" v="2013"/>
    </bk>
    <bk>
      <rc t="2" v="2014"/>
    </bk>
    <bk>
      <rc t="2" v="2015"/>
    </bk>
    <bk>
      <rc t="2" v="2016"/>
    </bk>
    <bk>
      <rc t="2" v="2017"/>
    </bk>
    <bk>
      <rc t="2" v="2018"/>
    </bk>
    <bk>
      <rc t="2" v="2019"/>
    </bk>
    <bk>
      <rc t="2" v="2020"/>
    </bk>
    <bk>
      <rc t="2" v="2021"/>
    </bk>
    <bk>
      <rc t="2" v="2022"/>
    </bk>
    <bk>
      <rc t="2" v="2023"/>
    </bk>
    <bk>
      <rc t="2" v="2024"/>
    </bk>
    <bk>
      <rc t="2" v="2025"/>
    </bk>
    <bk>
      <rc t="2" v="2026"/>
    </bk>
    <bk>
      <rc t="2" v="2027"/>
    </bk>
    <bk>
      <rc t="2" v="2028"/>
    </bk>
    <bk>
      <rc t="2" v="2029"/>
    </bk>
    <bk>
      <rc t="2" v="2030"/>
    </bk>
    <bk>
      <rc t="2" v="2031"/>
    </bk>
    <bk>
      <rc t="2" v="2032"/>
    </bk>
    <bk>
      <rc t="2" v="2033"/>
    </bk>
    <bk>
      <rc t="2" v="2034"/>
    </bk>
    <bk>
      <rc t="2" v="2035"/>
    </bk>
    <bk>
      <rc t="2" v="2036"/>
    </bk>
    <bk>
      <rc t="2" v="2037"/>
    </bk>
    <bk>
      <rc t="2" v="2038"/>
    </bk>
    <bk>
      <rc t="2" v="2039"/>
    </bk>
    <bk>
      <rc t="2" v="2040"/>
    </bk>
    <bk>
      <rc t="2" v="2041"/>
    </bk>
    <bk>
      <rc t="2" v="2042"/>
    </bk>
    <bk>
      <rc t="2" v="2043"/>
    </bk>
    <bk>
      <rc t="2" v="2044"/>
    </bk>
    <bk>
      <rc t="2" v="2045"/>
    </bk>
    <bk>
      <rc t="2" v="2046"/>
    </bk>
    <bk>
      <rc t="2" v="2047"/>
    </bk>
    <bk>
      <rc t="2" v="2048"/>
    </bk>
    <bk>
      <rc t="2" v="2049"/>
    </bk>
    <bk>
      <rc t="2" v="2050"/>
    </bk>
    <bk>
      <rc t="2" v="2051"/>
    </bk>
    <bk>
      <rc t="2" v="2052"/>
    </bk>
    <bk>
      <rc t="2" v="2053"/>
    </bk>
    <bk>
      <rc t="2" v="2054"/>
    </bk>
    <bk>
      <rc t="2" v="2055"/>
    </bk>
    <bk>
      <rc t="2" v="2056"/>
    </bk>
    <bk>
      <rc t="2" v="2057"/>
    </bk>
    <bk>
      <rc t="2" v="2058"/>
    </bk>
    <bk>
      <rc t="2" v="2059"/>
    </bk>
    <bk>
      <rc t="2" v="2060"/>
    </bk>
    <bk>
      <rc t="2" v="2061"/>
    </bk>
    <bk>
      <rc t="2" v="2062"/>
    </bk>
    <bk>
      <rc t="2" v="2063"/>
    </bk>
    <bk>
      <rc t="2" v="2064"/>
    </bk>
    <bk>
      <rc t="2" v="2065"/>
    </bk>
    <bk>
      <rc t="2" v="2066"/>
    </bk>
    <bk>
      <rc t="2" v="2067"/>
    </bk>
    <bk>
      <rc t="2" v="2068"/>
    </bk>
    <bk>
      <rc t="2" v="2069"/>
    </bk>
    <bk>
      <rc t="2" v="2070"/>
    </bk>
    <bk>
      <rc t="2" v="2071"/>
    </bk>
    <bk>
      <rc t="2" v="2072"/>
    </bk>
    <bk>
      <rc t="2" v="2073"/>
    </bk>
    <bk>
      <rc t="2" v="2074"/>
    </bk>
    <bk>
      <rc t="2" v="2075"/>
    </bk>
    <bk>
      <rc t="2" v="2076"/>
    </bk>
    <bk>
      <rc t="2" v="2077"/>
    </bk>
    <bk>
      <rc t="2" v="2078"/>
    </bk>
    <bk>
      <rc t="2" v="2079"/>
    </bk>
    <bk>
      <rc t="2" v="2080"/>
    </bk>
    <bk>
      <rc t="2" v="2081"/>
    </bk>
    <bk>
      <rc t="2" v="2082"/>
    </bk>
    <bk>
      <rc t="2" v="2083"/>
    </bk>
    <bk>
      <rc t="2" v="2084"/>
    </bk>
    <bk>
      <rc t="2" v="2085"/>
    </bk>
    <bk>
      <rc t="2" v="2086"/>
    </bk>
    <bk>
      <rc t="2" v="2087"/>
    </bk>
    <bk>
      <rc t="2" v="2088"/>
    </bk>
    <bk>
      <rc t="2" v="2089"/>
    </bk>
    <bk>
      <rc t="2" v="2090"/>
    </bk>
    <bk>
      <rc t="2" v="2091"/>
    </bk>
    <bk>
      <rc t="2" v="2092"/>
    </bk>
    <bk>
      <rc t="2" v="2093"/>
    </bk>
    <bk>
      <rc t="2" v="2094"/>
    </bk>
    <bk>
      <rc t="2" v="2095"/>
    </bk>
    <bk>
      <rc t="2" v="2096"/>
    </bk>
    <bk>
      <rc t="2" v="2097"/>
    </bk>
    <bk>
      <rc t="2" v="2098"/>
    </bk>
    <bk>
      <rc t="2" v="2099"/>
    </bk>
    <bk>
      <rc t="2" v="2100"/>
    </bk>
    <bk>
      <rc t="2" v="2101"/>
    </bk>
    <bk>
      <rc t="2" v="2102"/>
    </bk>
    <bk>
      <rc t="2" v="2103"/>
    </bk>
    <bk>
      <rc t="2" v="2104"/>
    </bk>
    <bk>
      <rc t="2" v="2105"/>
    </bk>
    <bk>
      <rc t="2" v="2106"/>
    </bk>
    <bk>
      <rc t="2" v="2107"/>
    </bk>
    <bk>
      <rc t="2" v="2108"/>
    </bk>
    <bk>
      <rc t="2" v="2109"/>
    </bk>
    <bk>
      <rc t="2" v="2110"/>
    </bk>
    <bk>
      <rc t="2" v="2111"/>
    </bk>
    <bk>
      <rc t="2" v="2112"/>
    </bk>
    <bk>
      <rc t="2" v="2113"/>
    </bk>
    <bk>
      <rc t="2" v="2114"/>
    </bk>
    <bk>
      <rc t="2" v="2115"/>
    </bk>
    <bk>
      <rc t="2" v="2116"/>
    </bk>
    <bk>
      <rc t="2" v="2117"/>
    </bk>
    <bk>
      <rc t="2" v="2118"/>
    </bk>
    <bk>
      <rc t="2" v="2119"/>
    </bk>
    <bk>
      <rc t="2" v="2120"/>
    </bk>
    <bk>
      <rc t="2" v="2121"/>
    </bk>
    <bk>
      <rc t="2" v="2122"/>
    </bk>
    <bk>
      <rc t="2" v="2123"/>
    </bk>
    <bk>
      <rc t="2" v="2124"/>
    </bk>
    <bk>
      <rc t="2" v="2125"/>
    </bk>
    <bk>
      <rc t="2" v="2126"/>
    </bk>
    <bk>
      <rc t="2" v="2127"/>
    </bk>
    <bk>
      <rc t="2" v="2128"/>
    </bk>
    <bk>
      <rc t="2" v="2129"/>
    </bk>
    <bk>
      <rc t="2" v="2130"/>
    </bk>
    <bk>
      <rc t="2" v="2131"/>
    </bk>
    <bk>
      <rc t="2" v="2132"/>
    </bk>
    <bk>
      <rc t="2" v="2133"/>
    </bk>
    <bk>
      <rc t="2" v="2134"/>
    </bk>
    <bk>
      <rc t="2" v="2135"/>
    </bk>
    <bk>
      <rc t="2" v="2136"/>
    </bk>
    <bk>
      <rc t="2" v="2137"/>
    </bk>
    <bk>
      <rc t="2" v="2138"/>
    </bk>
    <bk>
      <rc t="2" v="2139"/>
    </bk>
    <bk>
      <rc t="2" v="2140"/>
    </bk>
    <bk>
      <rc t="2" v="2141"/>
    </bk>
    <bk>
      <rc t="2" v="2142"/>
    </bk>
    <bk>
      <rc t="2" v="2143"/>
    </bk>
    <bk>
      <rc t="2" v="2144"/>
    </bk>
    <bk>
      <rc t="2" v="2145"/>
    </bk>
    <bk>
      <rc t="2" v="2146"/>
    </bk>
    <bk>
      <rc t="2" v="2147"/>
    </bk>
    <bk>
      <rc t="2" v="2148"/>
    </bk>
    <bk>
      <rc t="2" v="2149"/>
    </bk>
    <bk>
      <rc t="2" v="2150"/>
    </bk>
    <bk>
      <rc t="2" v="2151"/>
    </bk>
    <bk>
      <rc t="2" v="2152"/>
    </bk>
    <bk>
      <rc t="2" v="2153"/>
    </bk>
    <bk>
      <rc t="2" v="2154"/>
    </bk>
    <bk>
      <rc t="2" v="2155"/>
    </bk>
    <bk>
      <rc t="2" v="2156"/>
    </bk>
    <bk>
      <rc t="2" v="2157"/>
    </bk>
    <bk>
      <rc t="2" v="2158"/>
    </bk>
    <bk>
      <rc t="2" v="2159"/>
    </bk>
    <bk>
      <rc t="2" v="2160"/>
    </bk>
    <bk>
      <rc t="2" v="2161"/>
    </bk>
    <bk>
      <rc t="2" v="2162"/>
    </bk>
    <bk>
      <rc t="2" v="2163"/>
    </bk>
    <bk>
      <rc t="2" v="2164"/>
    </bk>
    <bk>
      <rc t="2" v="2165"/>
    </bk>
    <bk>
      <rc t="2" v="2166"/>
    </bk>
    <bk>
      <rc t="2" v="2167"/>
    </bk>
    <bk>
      <rc t="2" v="2168"/>
    </bk>
    <bk>
      <rc t="2" v="2169"/>
    </bk>
    <bk>
      <rc t="2" v="2170"/>
    </bk>
    <bk>
      <rc t="2" v="2171"/>
    </bk>
    <bk>
      <rc t="2" v="2172"/>
    </bk>
    <bk>
      <rc t="2" v="2173"/>
    </bk>
    <bk>
      <rc t="2" v="2174"/>
    </bk>
    <bk>
      <rc t="2" v="2175"/>
    </bk>
    <bk>
      <rc t="2" v="2176"/>
    </bk>
    <bk>
      <rc t="2" v="2177"/>
    </bk>
    <bk>
      <rc t="2" v="2178"/>
    </bk>
    <bk>
      <rc t="2" v="2179"/>
    </bk>
    <bk>
      <rc t="2" v="2180"/>
    </bk>
    <bk>
      <rc t="2" v="2181"/>
    </bk>
    <bk>
      <rc t="2" v="2182"/>
    </bk>
    <bk>
      <rc t="2" v="2183"/>
    </bk>
    <bk>
      <rc t="2" v="2184"/>
    </bk>
    <bk>
      <rc t="2" v="2185"/>
    </bk>
    <bk>
      <rc t="2" v="2186"/>
    </bk>
    <bk>
      <rc t="2" v="2187"/>
    </bk>
    <bk>
      <rc t="2" v="2188"/>
    </bk>
    <bk>
      <rc t="2" v="2189"/>
    </bk>
    <bk>
      <rc t="2" v="2190"/>
    </bk>
    <bk>
      <rc t="2" v="2191"/>
    </bk>
    <bk>
      <rc t="2" v="2192"/>
    </bk>
    <bk>
      <rc t="2" v="2193"/>
    </bk>
    <bk>
      <rc t="2" v="2194"/>
    </bk>
    <bk>
      <rc t="2" v="2195"/>
    </bk>
    <bk>
      <rc t="2" v="2196"/>
    </bk>
    <bk>
      <rc t="2" v="2197"/>
    </bk>
    <bk>
      <rc t="2" v="2198"/>
    </bk>
    <bk>
      <rc t="2" v="2199"/>
    </bk>
    <bk>
      <rc t="2" v="2200"/>
    </bk>
    <bk>
      <rc t="2" v="2201"/>
    </bk>
    <bk>
      <rc t="2" v="2202"/>
    </bk>
    <bk>
      <rc t="2" v="2203"/>
    </bk>
    <bk>
      <rc t="2" v="2204"/>
    </bk>
    <bk>
      <rc t="2" v="2205"/>
    </bk>
    <bk>
      <rc t="2" v="2206"/>
    </bk>
    <bk>
      <rc t="2" v="2207"/>
    </bk>
    <bk>
      <rc t="2" v="2208"/>
    </bk>
    <bk>
      <rc t="2" v="2209"/>
    </bk>
    <bk>
      <rc t="2" v="2210"/>
    </bk>
    <bk>
      <rc t="2" v="2211"/>
    </bk>
    <bk>
      <rc t="2" v="2212"/>
    </bk>
    <bk>
      <rc t="2" v="2213"/>
    </bk>
    <bk>
      <rc t="2" v="2214"/>
    </bk>
    <bk>
      <rc t="2" v="2215"/>
    </bk>
    <bk>
      <rc t="2" v="2216"/>
    </bk>
    <bk>
      <rc t="2" v="2217"/>
    </bk>
    <bk>
      <rc t="2" v="2218"/>
    </bk>
    <bk>
      <rc t="2" v="2219"/>
    </bk>
    <bk>
      <rc t="2" v="2220"/>
    </bk>
    <bk>
      <rc t="2" v="2221"/>
    </bk>
    <bk>
      <rc t="2" v="2222"/>
    </bk>
    <bk>
      <rc t="2" v="2223"/>
    </bk>
    <bk>
      <rc t="2" v="2224"/>
    </bk>
    <bk>
      <rc t="2" v="2225"/>
    </bk>
    <bk>
      <rc t="2" v="2226"/>
    </bk>
    <bk>
      <rc t="2" v="2227"/>
    </bk>
    <bk>
      <rc t="2" v="2228"/>
    </bk>
    <bk>
      <rc t="2" v="2229"/>
    </bk>
    <bk>
      <rc t="2" v="2230"/>
    </bk>
    <bk>
      <rc t="2" v="2231"/>
    </bk>
    <bk>
      <rc t="2" v="2232"/>
    </bk>
    <bk>
      <rc t="2" v="2233"/>
    </bk>
    <bk>
      <rc t="2" v="2234"/>
    </bk>
    <bk>
      <rc t="2" v="2235"/>
    </bk>
    <bk>
      <rc t="2" v="2236"/>
    </bk>
    <bk>
      <rc t="2" v="2237"/>
    </bk>
    <bk>
      <rc t="2" v="2238"/>
    </bk>
    <bk>
      <rc t="2" v="2239"/>
    </bk>
    <bk>
      <rc t="2" v="2240"/>
    </bk>
    <bk>
      <rc t="2" v="2241"/>
    </bk>
    <bk>
      <rc t="2" v="2242"/>
    </bk>
    <bk>
      <rc t="2" v="2243"/>
    </bk>
    <bk>
      <rc t="2" v="2244"/>
    </bk>
    <bk>
      <rc t="2" v="2245"/>
    </bk>
    <bk>
      <rc t="2" v="2246"/>
    </bk>
    <bk>
      <rc t="2" v="2247"/>
    </bk>
    <bk>
      <rc t="2" v="2248"/>
    </bk>
    <bk>
      <rc t="2" v="2249"/>
    </bk>
    <bk>
      <rc t="2" v="2250"/>
    </bk>
    <bk>
      <rc t="2" v="2251"/>
    </bk>
    <bk>
      <rc t="2" v="2252"/>
    </bk>
    <bk>
      <rc t="2" v="2253"/>
    </bk>
    <bk>
      <rc t="2" v="2254"/>
    </bk>
    <bk>
      <rc t="2" v="2255"/>
    </bk>
    <bk>
      <rc t="2" v="2256"/>
    </bk>
    <bk>
      <rc t="2" v="2257"/>
    </bk>
    <bk>
      <rc t="2" v="2258"/>
    </bk>
    <bk>
      <rc t="2" v="2259"/>
    </bk>
    <bk>
      <rc t="2" v="2260"/>
    </bk>
    <bk>
      <rc t="2" v="2261"/>
    </bk>
    <bk>
      <rc t="2" v="2262"/>
    </bk>
    <bk>
      <rc t="2" v="2263"/>
    </bk>
    <bk>
      <rc t="2" v="2264"/>
    </bk>
    <bk>
      <rc t="2" v="2265"/>
    </bk>
    <bk>
      <rc t="2" v="2266"/>
    </bk>
    <bk>
      <rc t="2" v="2267"/>
    </bk>
    <bk>
      <rc t="2" v="2268"/>
    </bk>
    <bk>
      <rc t="2" v="2269"/>
    </bk>
    <bk>
      <rc t="2" v="2270"/>
    </bk>
    <bk>
      <rc t="2" v="2271"/>
    </bk>
    <bk>
      <rc t="2" v="2272"/>
    </bk>
    <bk>
      <rc t="2" v="2273"/>
    </bk>
    <bk>
      <rc t="2" v="2274"/>
    </bk>
    <bk>
      <rc t="2" v="2275"/>
    </bk>
    <bk>
      <rc t="2" v="2276"/>
    </bk>
    <bk>
      <rc t="2" v="2277"/>
    </bk>
    <bk>
      <rc t="2" v="2278"/>
    </bk>
    <bk>
      <rc t="2" v="2279"/>
    </bk>
    <bk>
      <rc t="2" v="2280"/>
    </bk>
    <bk>
      <rc t="2" v="2281"/>
    </bk>
    <bk>
      <rc t="2" v="2282"/>
    </bk>
    <bk>
      <rc t="2" v="2283"/>
    </bk>
    <bk>
      <rc t="2" v="2284"/>
    </bk>
    <bk>
      <rc t="2" v="2285"/>
    </bk>
    <bk>
      <rc t="2" v="2286"/>
    </bk>
    <bk>
      <rc t="2" v="2287"/>
    </bk>
    <bk>
      <rc t="2" v="2288"/>
    </bk>
    <bk>
      <rc t="2" v="2289"/>
    </bk>
    <bk>
      <rc t="2" v="2290"/>
    </bk>
    <bk>
      <rc t="2" v="2291"/>
    </bk>
    <bk>
      <rc t="2" v="2292"/>
    </bk>
    <bk>
      <rc t="2" v="2293"/>
    </bk>
    <bk>
      <rc t="2" v="2294"/>
    </bk>
    <bk>
      <rc t="2" v="2295"/>
    </bk>
    <bk>
      <rc t="2" v="2296"/>
    </bk>
    <bk>
      <rc t="2" v="2297"/>
    </bk>
    <bk>
      <rc t="2" v="2298"/>
    </bk>
    <bk>
      <rc t="2" v="2299"/>
    </bk>
    <bk>
      <rc t="2" v="2300"/>
    </bk>
    <bk>
      <rc t="2" v="2301"/>
    </bk>
    <bk>
      <rc t="2" v="2302"/>
    </bk>
    <bk>
      <rc t="2" v="2303"/>
    </bk>
    <bk>
      <rc t="2" v="2304"/>
    </bk>
    <bk>
      <rc t="2" v="2305"/>
    </bk>
    <bk>
      <rc t="2" v="2306"/>
    </bk>
    <bk>
      <rc t="2" v="2307"/>
    </bk>
    <bk>
      <rc t="2" v="2308"/>
    </bk>
    <bk>
      <rc t="2" v="2309"/>
    </bk>
    <bk>
      <rc t="2" v="2310"/>
    </bk>
    <bk>
      <rc t="2" v="2311"/>
    </bk>
    <bk>
      <rc t="2" v="2312"/>
    </bk>
    <bk>
      <rc t="2" v="2313"/>
    </bk>
    <bk>
      <rc t="2" v="2314"/>
    </bk>
    <bk>
      <rc t="2" v="2315"/>
    </bk>
    <bk>
      <rc t="2" v="2316"/>
    </bk>
    <bk>
      <rc t="2" v="2317"/>
    </bk>
    <bk>
      <rc t="2" v="2318"/>
    </bk>
    <bk>
      <rc t="2" v="2319"/>
    </bk>
    <bk>
      <rc t="2" v="2320"/>
    </bk>
    <bk>
      <rc t="2" v="2321"/>
    </bk>
    <bk>
      <rc t="2" v="2322"/>
    </bk>
    <bk>
      <rc t="2" v="2323"/>
    </bk>
    <bk>
      <rc t="2" v="2324"/>
    </bk>
    <bk>
      <rc t="2" v="2325"/>
    </bk>
    <bk>
      <rc t="2" v="2326"/>
    </bk>
    <bk>
      <rc t="2" v="2327"/>
    </bk>
    <bk>
      <rc t="2" v="2328"/>
    </bk>
    <bk>
      <rc t="2" v="2329"/>
    </bk>
    <bk>
      <rc t="2" v="2330"/>
    </bk>
    <bk>
      <rc t="2" v="2331"/>
    </bk>
    <bk>
      <rc t="2" v="2332"/>
    </bk>
    <bk>
      <rc t="2" v="2333"/>
    </bk>
    <bk>
      <rc t="2" v="2334"/>
    </bk>
    <bk>
      <rc t="2" v="2335"/>
    </bk>
    <bk>
      <rc t="2" v="2336"/>
    </bk>
    <bk>
      <rc t="2" v="2337"/>
    </bk>
    <bk>
      <rc t="2" v="2338"/>
    </bk>
    <bk>
      <rc t="2" v="2339"/>
    </bk>
    <bk>
      <rc t="2" v="2340"/>
    </bk>
    <bk>
      <rc t="2" v="2341"/>
    </bk>
    <bk>
      <rc t="2" v="2342"/>
    </bk>
    <bk>
      <rc t="2" v="2343"/>
    </bk>
    <bk>
      <rc t="2" v="2344"/>
    </bk>
    <bk>
      <rc t="2" v="2345"/>
    </bk>
    <bk>
      <rc t="2" v="2346"/>
    </bk>
    <bk>
      <rc t="2" v="2347"/>
    </bk>
    <bk>
      <rc t="2" v="2348"/>
    </bk>
  </valueMetadata>
</metadata>
</file>

<file path=xl/sharedStrings.xml><?xml version="1.0" encoding="utf-8"?>
<sst xmlns="http://schemas.openxmlformats.org/spreadsheetml/2006/main" count="1379" uniqueCount="1371">
  <si>
    <t>SPY</t>
  </si>
  <si>
    <t>VOO</t>
  </si>
  <si>
    <t>IVV</t>
  </si>
  <si>
    <t>VTI</t>
  </si>
  <si>
    <t>QQQ</t>
  </si>
  <si>
    <t>VUG</t>
  </si>
  <si>
    <t>SPDR S&amp;P 500 ETF Trust</t>
  </si>
  <si>
    <t>Vanguard S&amp;P 500 ETF</t>
  </si>
  <si>
    <t>iShares Core S&amp;P 500 ETF</t>
  </si>
  <si>
    <t>Vanguard Total Stock Market ETF</t>
  </si>
  <si>
    <t>Invesco QQQ Trust Series I</t>
  </si>
  <si>
    <t>Vanguard Growth ETF</t>
  </si>
  <si>
    <t>VEA</t>
  </si>
  <si>
    <t>Vanguard FTSE Developed Markets ETF</t>
  </si>
  <si>
    <t>VTV</t>
  </si>
  <si>
    <t>Vanguard Value ETF</t>
  </si>
  <si>
    <t>BND</t>
  </si>
  <si>
    <t>Vanguard Total Bond Market ETF</t>
  </si>
  <si>
    <t>IEFA</t>
  </si>
  <si>
    <t>iShares Core MSCI EAFE ETF</t>
  </si>
  <si>
    <t>AGG</t>
  </si>
  <si>
    <t>iShares Core U.S. Aggregate Bond ETF</t>
  </si>
  <si>
    <t>IWF</t>
  </si>
  <si>
    <t>iShares Russell 1000 Growth ETF</t>
  </si>
  <si>
    <t>IJH</t>
  </si>
  <si>
    <t>iShares Core S&amp;P Mid-Cap ETF</t>
  </si>
  <si>
    <t>IJR</t>
  </si>
  <si>
    <t>iShares Core S&amp;P Small-Cap ETF</t>
  </si>
  <si>
    <t>VIG</t>
  </si>
  <si>
    <t>Vanguard Dividend Appreciation ETF</t>
  </si>
  <si>
    <t>VGT</t>
  </si>
  <si>
    <t>Vanguard Information Technology ETF</t>
  </si>
  <si>
    <t>VWO</t>
  </si>
  <si>
    <t>Vanguard FTSE Emerging Markets ETF</t>
  </si>
  <si>
    <t>IWM</t>
  </si>
  <si>
    <t>iShares Russell 2000 ETF</t>
  </si>
  <si>
    <t>IEMG</t>
  </si>
  <si>
    <t>iShares Core MSCI Emerging Markets ETF</t>
  </si>
  <si>
    <t>VXUS</t>
  </si>
  <si>
    <t>Vanguard Total International Stock ETF</t>
  </si>
  <si>
    <t>VO</t>
  </si>
  <si>
    <t>Vanguard Mid-Cap ETF</t>
  </si>
  <si>
    <t>GLD</t>
  </si>
  <si>
    <t>SPDR Gold Shares</t>
  </si>
  <si>
    <t>RSP</t>
  </si>
  <si>
    <t>Invesco S&amp;P 500® Equal Weight ETF</t>
  </si>
  <si>
    <t>XLK</t>
  </si>
  <si>
    <t>Technology Select Sector SPDR Fund</t>
  </si>
  <si>
    <t>SCHD</t>
  </si>
  <si>
    <t>Schwab US Dividend Equity ETF</t>
  </si>
  <si>
    <t>VB</t>
  </si>
  <si>
    <t>Vanguard Small Cap ETF</t>
  </si>
  <si>
    <t>ITOT</t>
  </si>
  <si>
    <t>iShares Core S&amp;P Total U.S. Stock Market ETF</t>
  </si>
  <si>
    <t>BNDX</t>
  </si>
  <si>
    <t>Vanguard Total International Bond ETF</t>
  </si>
  <si>
    <t>IWD</t>
  </si>
  <si>
    <t>iShares Russell 1000 Value ETF</t>
  </si>
  <si>
    <t>VYM</t>
  </si>
  <si>
    <t>Vanguard High Dividend Yield Index ETF</t>
  </si>
  <si>
    <t>IVW</t>
  </si>
  <si>
    <t>iShares S&amp;P 500 Growth ETF</t>
  </si>
  <si>
    <t>TLT</t>
  </si>
  <si>
    <t>iShares 20+ Year Treasury Bond ETF</t>
  </si>
  <si>
    <t>EFA</t>
  </si>
  <si>
    <t>iShares MSCI EAFE ETF</t>
  </si>
  <si>
    <t>SPLG</t>
  </si>
  <si>
    <t>SPDR Portfolio S&amp;P 500 ETF</t>
  </si>
  <si>
    <t>SCHX</t>
  </si>
  <si>
    <t>Schwab U.S. Large-Cap ETF</t>
  </si>
  <si>
    <t>QUAL</t>
  </si>
  <si>
    <t>iShares MSCI USA Quality Factor ETF</t>
  </si>
  <si>
    <t>IBIT</t>
  </si>
  <si>
    <t>iShares Bitcoin Trust ETF</t>
  </si>
  <si>
    <t>XLF</t>
  </si>
  <si>
    <t>Financial Select Sector SPDR Fund</t>
  </si>
  <si>
    <t>VCIT</t>
  </si>
  <si>
    <t>Vanguard Intermediate-Term Corporate Bond ETF</t>
  </si>
  <si>
    <t>VT</t>
  </si>
  <si>
    <t>Vanguard Total World Stock ETF</t>
  </si>
  <si>
    <t>MUB</t>
  </si>
  <si>
    <t>iShares National Muni Bond ETF</t>
  </si>
  <si>
    <t>SCHF</t>
  </si>
  <si>
    <t>Schwab International Equity ETF</t>
  </si>
  <si>
    <t>IWR</t>
  </si>
  <si>
    <t>iShares Russell Midcap ETF</t>
  </si>
  <si>
    <t>VV</t>
  </si>
  <si>
    <t>Vanguard Large Cap ETF</t>
  </si>
  <si>
    <t>IWB</t>
  </si>
  <si>
    <t>iShares Russell 1000 ETF</t>
  </si>
  <si>
    <t>VEU</t>
  </si>
  <si>
    <t>Vanguard FTSE All-World ex-US Index Fund</t>
  </si>
  <si>
    <t>DIA</t>
  </si>
  <si>
    <t>SPDR Dow Jones Industrial Average ETF Trust</t>
  </si>
  <si>
    <t>IXUS</t>
  </si>
  <si>
    <t>iShares Core MSCI Total International Stock ETF</t>
  </si>
  <si>
    <t>QQQM</t>
  </si>
  <si>
    <t>Invesco NASDAQ 100 ETF</t>
  </si>
  <si>
    <t>XLV</t>
  </si>
  <si>
    <t>Health Care Select Sector SPDR Fund</t>
  </si>
  <si>
    <t>JEPI</t>
  </si>
  <si>
    <t>JPMorgan Equity Premium Income Fund</t>
  </si>
  <si>
    <t>SCHG</t>
  </si>
  <si>
    <t>Schwab U.S. Large-Cap Growth ETF</t>
  </si>
  <si>
    <t>VTEB</t>
  </si>
  <si>
    <t>Vanguard Tax-Exempt Bond ETF</t>
  </si>
  <si>
    <t>IVE</t>
  </si>
  <si>
    <t>iShares S&amp;P 500 Value ETF</t>
  </si>
  <si>
    <t>MBB</t>
  </si>
  <si>
    <t>iShares MBS ETF</t>
  </si>
  <si>
    <t>VNQ</t>
  </si>
  <si>
    <t>Vanguard Real Estate ETF</t>
  </si>
  <si>
    <t>XLE</t>
  </si>
  <si>
    <t>Energy Select Sector SPDR Fund</t>
  </si>
  <si>
    <t>VCSH</t>
  </si>
  <si>
    <t>Vanguard Short-Term Corporate Bond ETF</t>
  </si>
  <si>
    <t>BIL</t>
  </si>
  <si>
    <t>SPDR Bloomberg 1-3 Month T-Bill ETF</t>
  </si>
  <si>
    <t>SPYG</t>
  </si>
  <si>
    <t>SPDR Portfolio S&amp;P 500 Growth ETF</t>
  </si>
  <si>
    <t>IAU</t>
  </si>
  <si>
    <t>iShares Gold Trust</t>
  </si>
  <si>
    <t>DFAC</t>
  </si>
  <si>
    <t>Dimensional U.S. Core Equity 2 ETF</t>
  </si>
  <si>
    <t>SCHB</t>
  </si>
  <si>
    <t>Schwab U.S. Broad Market ETF</t>
  </si>
  <si>
    <t>BSV</t>
  </si>
  <si>
    <t>Vanguard Short-Term Bond ETF</t>
  </si>
  <si>
    <t>VBR</t>
  </si>
  <si>
    <t>Vanguard Small Cap Value ETF</t>
  </si>
  <si>
    <t>IEF</t>
  </si>
  <si>
    <t>iShares 7-10 Year Treasury Bond ETF</t>
  </si>
  <si>
    <t>LQD</t>
  </si>
  <si>
    <t>iShares iBoxx $ Investment Grade Corporate Bond ETF</t>
  </si>
  <si>
    <t>IUSB</t>
  </si>
  <si>
    <t>iShares Core Total USD Bond Market ETF</t>
  </si>
  <si>
    <t>VGIT</t>
  </si>
  <si>
    <t>Vanguard Intermediate-Term Treasury ETF</t>
  </si>
  <si>
    <t>DGRO</t>
  </si>
  <si>
    <t>iShares Core Dividend Growth ETF</t>
  </si>
  <si>
    <t>GOVT</t>
  </si>
  <si>
    <t>iShares U.S. Treasury Bond ETF</t>
  </si>
  <si>
    <t>SGOV</t>
  </si>
  <si>
    <t>iShares 0-3 Month Treasury Bond ETF</t>
  </si>
  <si>
    <t>JPST</t>
  </si>
  <si>
    <t>JPMorgan Ultra-Short Income ETF</t>
  </si>
  <si>
    <t>COWZ</t>
  </si>
  <si>
    <t>Pacer US Cash Cows 100 ETF</t>
  </si>
  <si>
    <t>TQQQ</t>
  </si>
  <si>
    <t>ProShares UltraPro QQQ</t>
  </si>
  <si>
    <t>MDY</t>
  </si>
  <si>
    <t>SPDR S&amp;P Midcap 400 ETF Trust</t>
  </si>
  <si>
    <t>SPYV</t>
  </si>
  <si>
    <t>SPDR Portfolio S&amp;P 500 Value ETF</t>
  </si>
  <si>
    <t>MGK</t>
  </si>
  <si>
    <t>Vanguard Mega Cap Growth ETF</t>
  </si>
  <si>
    <t>VONG</t>
  </si>
  <si>
    <t>Vanguard Russell 1000 Growth ETF</t>
  </si>
  <si>
    <t>XLY</t>
  </si>
  <si>
    <t>Consumer Discretionary Select Sector SPDR Fund</t>
  </si>
  <si>
    <t>USMV</t>
  </si>
  <si>
    <t>iShares MSCI USA Min Vol Factor ETF</t>
  </si>
  <si>
    <t>SMH</t>
  </si>
  <si>
    <t>VanEck Semiconductor ETF</t>
  </si>
  <si>
    <t>SHY</t>
  </si>
  <si>
    <t>iShares 1-3 Year Treasury Bond ETF</t>
  </si>
  <si>
    <t>VXF</t>
  </si>
  <si>
    <t>Vanguard Extended Market ETF</t>
  </si>
  <si>
    <t>XLI</t>
  </si>
  <si>
    <t>Industrial Select Sector SPDR Fund</t>
  </si>
  <si>
    <t>IUSG</t>
  </si>
  <si>
    <t>iShares Core S&amp;P U.S. Growth ETF</t>
  </si>
  <si>
    <t>SDY</t>
  </si>
  <si>
    <t>SPDR S&amp;P Dividend ETF</t>
  </si>
  <si>
    <t>XLC</t>
  </si>
  <si>
    <t>Communication Services Select Sector SPDR Fund</t>
  </si>
  <si>
    <t>SPDW</t>
  </si>
  <si>
    <t>SPDR Portfolio Developed World ex-US ETF</t>
  </si>
  <si>
    <t>BIV</t>
  </si>
  <si>
    <t>Vanguard Intermediate-Term Bond ETF</t>
  </si>
  <si>
    <t>IGSB</t>
  </si>
  <si>
    <t>iShares 1-5 Year Investment Grade Corporate Bond ETF</t>
  </si>
  <si>
    <t>DVY</t>
  </si>
  <si>
    <t>iShares Select Dividend ETF</t>
  </si>
  <si>
    <t>VBK</t>
  </si>
  <si>
    <t>Vanguard Small Cap Growth ETF</t>
  </si>
  <si>
    <t>GBTC</t>
  </si>
  <si>
    <t>Grayscale Bitcoin Trust ETF</t>
  </si>
  <si>
    <t>USHY</t>
  </si>
  <si>
    <t>iShares Broad USD High Yield Corporate Bond ETF</t>
  </si>
  <si>
    <t>JEPQ</t>
  </si>
  <si>
    <t>JPMorgan NASDAQ Equity Premium Income ETF</t>
  </si>
  <si>
    <t>IUSV</t>
  </si>
  <si>
    <t>iShares Core S&amp;P U.S. Value ETF</t>
  </si>
  <si>
    <t>IYW</t>
  </si>
  <si>
    <t>iShares U.S. Technology ETF</t>
  </si>
  <si>
    <t>FBTC</t>
  </si>
  <si>
    <t>Fidelity Wise Origin Bitcoin Fund</t>
  </si>
  <si>
    <t>VGSH</t>
  </si>
  <si>
    <t>Vanguard Short-Term Treasury ETF</t>
  </si>
  <si>
    <t>Today's Date</t>
  </si>
  <si>
    <t>Time Offerings</t>
  </si>
  <si>
    <t>1 Week</t>
  </si>
  <si>
    <t>1 Month</t>
  </si>
  <si>
    <t>6 Months</t>
  </si>
  <si>
    <t>1 Year</t>
  </si>
  <si>
    <t>18 Months</t>
  </si>
  <si>
    <t>2 Years</t>
  </si>
  <si>
    <t>2.5 Years</t>
  </si>
  <si>
    <t>3 Years</t>
  </si>
  <si>
    <t>5 Years</t>
  </si>
  <si>
    <t>10 Years</t>
  </si>
  <si>
    <t>12.5 Years</t>
  </si>
  <si>
    <t>15 Years</t>
  </si>
  <si>
    <t>ETF</t>
  </si>
  <si>
    <t>Date</t>
  </si>
  <si>
    <t>Asset Type</t>
  </si>
  <si>
    <t>Stock</t>
  </si>
  <si>
    <t>ETFs:</t>
  </si>
  <si>
    <t>Stocks:</t>
  </si>
  <si>
    <t>Apple Inc.</t>
  </si>
  <si>
    <t>AAPL</t>
  </si>
  <si>
    <t>Nvidia Corp</t>
  </si>
  <si>
    <t>NVDA</t>
  </si>
  <si>
    <t>Microsoft Corp</t>
  </si>
  <si>
    <t>MSFT</t>
  </si>
  <si>
    <t>Amazon.com Inc</t>
  </si>
  <si>
    <t>AMZN</t>
  </si>
  <si>
    <t>Meta Platforms, Inc. Class A</t>
  </si>
  <si>
    <t>META</t>
  </si>
  <si>
    <t>Tesla, Inc.</t>
  </si>
  <si>
    <t>TSLA</t>
  </si>
  <si>
    <t>Alphabet Inc. Class A</t>
  </si>
  <si>
    <t>GOOGL</t>
  </si>
  <si>
    <t>Alphabet Inc. Class C</t>
  </si>
  <si>
    <t>GOOG</t>
  </si>
  <si>
    <t>Broadcom Inc.</t>
  </si>
  <si>
    <t>AVGO</t>
  </si>
  <si>
    <t>Berkshire Hathaway Class B</t>
  </si>
  <si>
    <t>BRK.B</t>
  </si>
  <si>
    <t>Jpmorgan Chase &amp; Co.</t>
  </si>
  <si>
    <t>JPM</t>
  </si>
  <si>
    <t>Eli Lilly &amp; Co.</t>
  </si>
  <si>
    <t>LLY</t>
  </si>
  <si>
    <t>Visa Inc.</t>
  </si>
  <si>
    <t>V</t>
  </si>
  <si>
    <t>Exxon Mobil Corporation</t>
  </si>
  <si>
    <t>XOM</t>
  </si>
  <si>
    <t>Unitedhealth Group Incorporated</t>
  </si>
  <si>
    <t>UNH</t>
  </si>
  <si>
    <t>Costco Wholesale Corp</t>
  </si>
  <si>
    <t>COST</t>
  </si>
  <si>
    <t>Mastercard Incorporated</t>
  </si>
  <si>
    <t>MA</t>
  </si>
  <si>
    <t>Home Depot, Inc.</t>
  </si>
  <si>
    <t>HD</t>
  </si>
  <si>
    <t>Walmart Inc.</t>
  </si>
  <si>
    <t>WMT</t>
  </si>
  <si>
    <t>Netflix Inc</t>
  </si>
  <si>
    <t>NFLX</t>
  </si>
  <si>
    <t>Procter &amp; Gamble Company</t>
  </si>
  <si>
    <t>PG</t>
  </si>
  <si>
    <t>Johnson &amp; Johnson</t>
  </si>
  <si>
    <t>JNJ</t>
  </si>
  <si>
    <t>Salesforce, Inc.</t>
  </si>
  <si>
    <t>CRM</t>
  </si>
  <si>
    <t>Bank of America Corporation</t>
  </si>
  <si>
    <t>BAC</t>
  </si>
  <si>
    <t>Abbvie Inc.</t>
  </si>
  <si>
    <t>ABBV</t>
  </si>
  <si>
    <t>Oracle Corp</t>
  </si>
  <si>
    <t>ORCL</t>
  </si>
  <si>
    <t>Chevron Corporation</t>
  </si>
  <si>
    <t>CVX</t>
  </si>
  <si>
    <t>Merck &amp; Co., Inc.</t>
  </si>
  <si>
    <t>MRK</t>
  </si>
  <si>
    <t>Adobe Inc.</t>
  </si>
  <si>
    <t>ADBE</t>
  </si>
  <si>
    <t>Wells Fargo &amp; Co.</t>
  </si>
  <si>
    <t>WFC</t>
  </si>
  <si>
    <t>Coca-Cola Company</t>
  </si>
  <si>
    <t>KO</t>
  </si>
  <si>
    <t>Servicenow, Inc.</t>
  </si>
  <si>
    <t>NOW</t>
  </si>
  <si>
    <t>Cisco Systems, Inc.</t>
  </si>
  <si>
    <t>CSCO</t>
  </si>
  <si>
    <t>Accenture Plc</t>
  </si>
  <si>
    <t>ACN</t>
  </si>
  <si>
    <t>Pepsico, Inc.</t>
  </si>
  <si>
    <t>PEP</t>
  </si>
  <si>
    <t>Mcdonald's Corporation</t>
  </si>
  <si>
    <t>MCD</t>
  </si>
  <si>
    <t>International Business Machines Corporation</t>
  </si>
  <si>
    <t>IBM</t>
  </si>
  <si>
    <t>Linde Plc</t>
  </si>
  <si>
    <t>LIN</t>
  </si>
  <si>
    <t>Advanced Micro Devices</t>
  </si>
  <si>
    <t>AMD</t>
  </si>
  <si>
    <t>The Walt Disney Company</t>
  </si>
  <si>
    <t>DIS</t>
  </si>
  <si>
    <t>Thermo Fisher Scientific, Inc.</t>
  </si>
  <si>
    <t>TMO</t>
  </si>
  <si>
    <t>Abbott Laboratories</t>
  </si>
  <si>
    <t>ABT</t>
  </si>
  <si>
    <t>Philip Morris International Inc.</t>
  </si>
  <si>
    <t>PM</t>
  </si>
  <si>
    <t>Intuitive Surgical Inc.</t>
  </si>
  <si>
    <t>ISRG</t>
  </si>
  <si>
    <t>Caterpillar Inc.</t>
  </si>
  <si>
    <t>CAT</t>
  </si>
  <si>
    <t>Intuit Inc</t>
  </si>
  <si>
    <t>INTU</t>
  </si>
  <si>
    <t>Goldman Sachs Group Inc.</t>
  </si>
  <si>
    <t>GS</t>
  </si>
  <si>
    <t>Ge Aerospace</t>
  </si>
  <si>
    <t>GE</t>
  </si>
  <si>
    <t>Qualcomm Inc</t>
  </si>
  <si>
    <t>QCOM</t>
  </si>
  <si>
    <t>Booking Holdings Inc.</t>
  </si>
  <si>
    <t>BKNG</t>
  </si>
  <si>
    <t>Verizon Communications</t>
  </si>
  <si>
    <t>VZ</t>
  </si>
  <si>
    <t>Texas Instruments Incorporated</t>
  </si>
  <si>
    <t>TXN</t>
  </si>
  <si>
    <t>American Express Company</t>
  </si>
  <si>
    <t>AXP</t>
  </si>
  <si>
    <t>At&amp;t Inc.</t>
  </si>
  <si>
    <t>T</t>
  </si>
  <si>
    <t>S&amp;p Global Inc.</t>
  </si>
  <si>
    <t>SPGI</t>
  </si>
  <si>
    <t>Morgan Stanley</t>
  </si>
  <si>
    <t>MS</t>
  </si>
  <si>
    <t>Rtx Corporation</t>
  </si>
  <si>
    <t>RTX</t>
  </si>
  <si>
    <t>Comcast Corp</t>
  </si>
  <si>
    <t>CMCSA</t>
  </si>
  <si>
    <t>Lowe's Companies Inc.</t>
  </si>
  <si>
    <t>LOW</t>
  </si>
  <si>
    <t>Nextra Energy, Inc.</t>
  </si>
  <si>
    <t>NEE</t>
  </si>
  <si>
    <t>Danaher Corporation</t>
  </si>
  <si>
    <t>DHR</t>
  </si>
  <si>
    <t>Honeywell International, Inc.</t>
  </si>
  <si>
    <t>HON</t>
  </si>
  <si>
    <t>Blackrock, Inc.</t>
  </si>
  <si>
    <t>BLK</t>
  </si>
  <si>
    <t>Amgen Inc</t>
  </si>
  <si>
    <t>AMGN</t>
  </si>
  <si>
    <t>Palantir Technologies Inc. Class A</t>
  </si>
  <si>
    <t>PLTR</t>
  </si>
  <si>
    <t>Eaton Corporation, Plcs</t>
  </si>
  <si>
    <t>ETN</t>
  </si>
  <si>
    <t>Tjx Companies, Inc.</t>
  </si>
  <si>
    <t>TJX</t>
  </si>
  <si>
    <t>Pfizer Inc.</t>
  </si>
  <si>
    <t>PFE</t>
  </si>
  <si>
    <t>Progressive Corporation</t>
  </si>
  <si>
    <t>PGR</t>
  </si>
  <si>
    <t>Union Pacific Corp.</t>
  </si>
  <si>
    <t>UNP</t>
  </si>
  <si>
    <t>Applied Materials Inc</t>
  </si>
  <si>
    <t>AMAT</t>
  </si>
  <si>
    <t>Blackstone Inc.</t>
  </si>
  <si>
    <t>BX</t>
  </si>
  <si>
    <t>Citigroup Inc.</t>
  </si>
  <si>
    <t>C</t>
  </si>
  <si>
    <t>Boston Scientific Corp.</t>
  </si>
  <si>
    <t>BSX</t>
  </si>
  <si>
    <t>Conocophillips</t>
  </si>
  <si>
    <t>COP</t>
  </si>
  <si>
    <t>Palo Alto Networks, Inc.</t>
  </si>
  <si>
    <t>PANW</t>
  </si>
  <si>
    <t>Stryker Corporation</t>
  </si>
  <si>
    <t>SYK</t>
  </si>
  <si>
    <t>Uber Technologies, Inc.</t>
  </si>
  <si>
    <t>UBER</t>
  </si>
  <si>
    <t>The Charles Schwab Corporation</t>
  </si>
  <si>
    <t>SCHW</t>
  </si>
  <si>
    <t>Automatic Data Processing</t>
  </si>
  <si>
    <t>ADP</t>
  </si>
  <si>
    <t>Boeing Company</t>
  </si>
  <si>
    <t>BA</t>
  </si>
  <si>
    <t>Vertex Pharmaceuticals Inc</t>
  </si>
  <si>
    <t>VRTX</t>
  </si>
  <si>
    <t>Fiserv, Inc.</t>
  </si>
  <si>
    <t>FI</t>
  </si>
  <si>
    <t>Gilead Sciences Inc</t>
  </si>
  <si>
    <t>GILD</t>
  </si>
  <si>
    <t>Bristol-Myers Squibb Co.</t>
  </si>
  <si>
    <t>BMY</t>
  </si>
  <si>
    <t>T-Mobile Us, Inc.</t>
  </si>
  <si>
    <t>TMUS</t>
  </si>
  <si>
    <t>Deere &amp; Company</t>
  </si>
  <si>
    <t>DE</t>
  </si>
  <si>
    <t>Micron Technology, Inc.</t>
  </si>
  <si>
    <t>MU</t>
  </si>
  <si>
    <t>Starbucks Corp</t>
  </si>
  <si>
    <t>SBUX</t>
  </si>
  <si>
    <t>Arista Networks</t>
  </si>
  <si>
    <t>ANET</t>
  </si>
  <si>
    <t>Analog Devices, Inc.</t>
  </si>
  <si>
    <t>ADI</t>
  </si>
  <si>
    <t>Lockheed Martin Corp.</t>
  </si>
  <si>
    <t>LMT</t>
  </si>
  <si>
    <t>Medtronic Plc</t>
  </si>
  <si>
    <t>MDT</t>
  </si>
  <si>
    <t>Kkr &amp; Co. Inc.</t>
  </si>
  <si>
    <t>KKR</t>
  </si>
  <si>
    <t>Marsh &amp; Mclennan Companies, Inc.</t>
  </si>
  <si>
    <t>MMC</t>
  </si>
  <si>
    <t>Chubb Limited</t>
  </si>
  <si>
    <t>CB</t>
  </si>
  <si>
    <t>Prologis, Inc.</t>
  </si>
  <si>
    <t>PLD</t>
  </si>
  <si>
    <t>Lam Research Corp</t>
  </si>
  <si>
    <t>LRCX</t>
  </si>
  <si>
    <t>Nike, Inc.</t>
  </si>
  <si>
    <t>NKE</t>
  </si>
  <si>
    <t>United Parcel Service, Inc. Class B</t>
  </si>
  <si>
    <t>UPS</t>
  </si>
  <si>
    <t>Ge Vernova Inc.</t>
  </si>
  <si>
    <t>GEV</t>
  </si>
  <si>
    <t>Altria Group, Inc.</t>
  </si>
  <si>
    <t>MO</t>
  </si>
  <si>
    <t>American Tower Corporation</t>
  </si>
  <si>
    <t>AMT</t>
  </si>
  <si>
    <t>Paypal Holdings, Inc.</t>
  </si>
  <si>
    <t>PYPL</t>
  </si>
  <si>
    <t>Equinix, Inc. Reit</t>
  </si>
  <si>
    <t>EQIX</t>
  </si>
  <si>
    <t>The Southern Company</t>
  </si>
  <si>
    <t>SO</t>
  </si>
  <si>
    <t>Intercontinental Exchange  Inc.</t>
  </si>
  <si>
    <t>ICE</t>
  </si>
  <si>
    <t>Trane Technologies Plc</t>
  </si>
  <si>
    <t>TT</t>
  </si>
  <si>
    <t>Chipotle Mexican Grill, Inc.</t>
  </si>
  <si>
    <t>CMG</t>
  </si>
  <si>
    <t>Elevance Health, Inc.</t>
  </si>
  <si>
    <t>ELV</t>
  </si>
  <si>
    <t>Amphenol Corporation</t>
  </si>
  <si>
    <t>APH</t>
  </si>
  <si>
    <t>Parker-Hannifin Corporation</t>
  </si>
  <si>
    <t>PH</t>
  </si>
  <si>
    <t>Kla Corporation</t>
  </si>
  <si>
    <t>KLAC</t>
  </si>
  <si>
    <t>The Sherwin-Williams Company</t>
  </si>
  <si>
    <t>SHW</t>
  </si>
  <si>
    <t>Intel Corp</t>
  </si>
  <si>
    <t>INTC</t>
  </si>
  <si>
    <t>Duke Energy Corporation</t>
  </si>
  <si>
    <t>DUK</t>
  </si>
  <si>
    <t>Cadence Design Systems</t>
  </si>
  <si>
    <t>CDNS</t>
  </si>
  <si>
    <t>Cme Group Inc.</t>
  </si>
  <si>
    <t>CME</t>
  </si>
  <si>
    <t>Mondelez International, Inc. Class A</t>
  </si>
  <si>
    <t>MDLZ</t>
  </si>
  <si>
    <t>Crowdstrike Holdings, Inc. Class A</t>
  </si>
  <si>
    <t>CRWD</t>
  </si>
  <si>
    <t>The Cigna Group</t>
  </si>
  <si>
    <t>CI</t>
  </si>
  <si>
    <t>Regeneron Pharmaceuticals Inc</t>
  </si>
  <si>
    <t>REGN</t>
  </si>
  <si>
    <t>Pnc Financial Services Group</t>
  </si>
  <si>
    <t>PNC</t>
  </si>
  <si>
    <t>Zoetis Inc.</t>
  </si>
  <si>
    <t>ZTS</t>
  </si>
  <si>
    <t>U.S. Bancorp</t>
  </si>
  <si>
    <t>USB</t>
  </si>
  <si>
    <t>Motorola Solutions, Inc.</t>
  </si>
  <si>
    <t>MSI</t>
  </si>
  <si>
    <t>Aon Plc Class A</t>
  </si>
  <si>
    <t>AON</t>
  </si>
  <si>
    <t>Synopsys Inc</t>
  </si>
  <si>
    <t>SNPS</t>
  </si>
  <si>
    <t>Waste Management, Inc.</t>
  </si>
  <si>
    <t>WM</t>
  </si>
  <si>
    <t>Moody's Corporation</t>
  </si>
  <si>
    <t>MCO</t>
  </si>
  <si>
    <t>Colgate-Palmolive Company</t>
  </si>
  <si>
    <t>CL</t>
  </si>
  <si>
    <t>Emerson Electric Co.</t>
  </si>
  <si>
    <t>EMR</t>
  </si>
  <si>
    <t>Mckesson Corporation</t>
  </si>
  <si>
    <t>MCK</t>
  </si>
  <si>
    <t>Welltower Inc.</t>
  </si>
  <si>
    <t>WELL</t>
  </si>
  <si>
    <t>Constellation Energy Corporation</t>
  </si>
  <si>
    <t>CEG</t>
  </si>
  <si>
    <t>Illinois Tool Works Inc.</t>
  </si>
  <si>
    <t>ITW</t>
  </si>
  <si>
    <t>O'reilly Automotive, Inc.</t>
  </si>
  <si>
    <t>ORLY</t>
  </si>
  <si>
    <t>Eog Resources, Inc.</t>
  </si>
  <si>
    <t>EOG</t>
  </si>
  <si>
    <t>Cintas Corp</t>
  </si>
  <si>
    <t>CTAS</t>
  </si>
  <si>
    <t>3m Company</t>
  </si>
  <si>
    <t>MMM</t>
  </si>
  <si>
    <t>Capital One Financial</t>
  </si>
  <si>
    <t>COF</t>
  </si>
  <si>
    <t>Transdigm Group Incorporated</t>
  </si>
  <si>
    <t>TDG</t>
  </si>
  <si>
    <t>Air Products &amp; Chemicals, Inc.</t>
  </si>
  <si>
    <t>APD</t>
  </si>
  <si>
    <t>General Dynamics Corporation</t>
  </si>
  <si>
    <t>GD</t>
  </si>
  <si>
    <t>Marriot International Class A</t>
  </si>
  <si>
    <t>MAR</t>
  </si>
  <si>
    <t>Williams Companies Inc.</t>
  </si>
  <si>
    <t>WMB</t>
  </si>
  <si>
    <t>Autodesk Inc</t>
  </si>
  <si>
    <t>ADSK</t>
  </si>
  <si>
    <t>Northrop Grumman Corp.</t>
  </si>
  <si>
    <t>NOC</t>
  </si>
  <si>
    <t>Csx Corporation</t>
  </si>
  <si>
    <t>CSX</t>
  </si>
  <si>
    <t>Cvs Health Corporation</t>
  </si>
  <si>
    <t>CVS</t>
  </si>
  <si>
    <t>Becton, Dickinson and Co.</t>
  </si>
  <si>
    <t>BDX</t>
  </si>
  <si>
    <t>Fedex Corporation</t>
  </si>
  <si>
    <t>FDX</t>
  </si>
  <si>
    <t>Hilton Worldwide Holdings Inc.</t>
  </si>
  <si>
    <t>HLT</t>
  </si>
  <si>
    <t>Target Corporation</t>
  </si>
  <si>
    <t>TGT</t>
  </si>
  <si>
    <t>Fortinet, Inc.</t>
  </si>
  <si>
    <t>FTNT</t>
  </si>
  <si>
    <t>Ecolab, Inc.</t>
  </si>
  <si>
    <t>ECL</t>
  </si>
  <si>
    <t>Arthur J. Gallagher &amp; Co.</t>
  </si>
  <si>
    <t>AJG</t>
  </si>
  <si>
    <t>Carrier Global Corporation</t>
  </si>
  <si>
    <t>CARR</t>
  </si>
  <si>
    <t>Freeport-Mcmoran Inc.</t>
  </si>
  <si>
    <t>FCX</t>
  </si>
  <si>
    <t>Truist Financial Corporation</t>
  </si>
  <si>
    <t>TFC</t>
  </si>
  <si>
    <t>Airbnb, Inc. Class A</t>
  </si>
  <si>
    <t>ABNB</t>
  </si>
  <si>
    <t>Oneok, Inc.</t>
  </si>
  <si>
    <t>OKE</t>
  </si>
  <si>
    <t>Paccar Inc</t>
  </si>
  <si>
    <t>PCAR</t>
  </si>
  <si>
    <t>Roper Technologies, Inc.</t>
  </si>
  <si>
    <t>ROP</t>
  </si>
  <si>
    <t>Schlumberger Limited</t>
  </si>
  <si>
    <t>SLB</t>
  </si>
  <si>
    <t>Bank of New York Mellon Corporation</t>
  </si>
  <si>
    <t>BK</t>
  </si>
  <si>
    <t>Hca Healthcare, Inc.</t>
  </si>
  <si>
    <t>HCA</t>
  </si>
  <si>
    <t>General Motors Company</t>
  </si>
  <si>
    <t>GM</t>
  </si>
  <si>
    <t>Royal Caribbean Group</t>
  </si>
  <si>
    <t>RCL</t>
  </si>
  <si>
    <t>Digital Realty Trust, Inc.</t>
  </si>
  <si>
    <t>DLR</t>
  </si>
  <si>
    <t>Autozone, Inc.</t>
  </si>
  <si>
    <t>AZO</t>
  </si>
  <si>
    <t>Johnson Controls International Plc</t>
  </si>
  <si>
    <t>JCI</t>
  </si>
  <si>
    <t>Nxp Semiconductors N.v.</t>
  </si>
  <si>
    <t>NXPI</t>
  </si>
  <si>
    <t>Norfolk Southern Corp.</t>
  </si>
  <si>
    <t>NSC</t>
  </si>
  <si>
    <t>The Travelers Companies, Inc.</t>
  </si>
  <si>
    <t>TRV</t>
  </si>
  <si>
    <t>Sempra</t>
  </si>
  <si>
    <t>SRE</t>
  </si>
  <si>
    <t>Copart Inc</t>
  </si>
  <si>
    <t>CPRT</t>
  </si>
  <si>
    <t>Simon Property Group, Inc.</t>
  </si>
  <si>
    <t>SPG</t>
  </si>
  <si>
    <t>Ameriprise Financial, Inc.</t>
  </si>
  <si>
    <t>AMP</t>
  </si>
  <si>
    <t>Fair Isaac Corporation</t>
  </si>
  <si>
    <t>FICO</t>
  </si>
  <si>
    <t>United Rentals, Inc.</t>
  </si>
  <si>
    <t>URI</t>
  </si>
  <si>
    <t>Aflac Inc.</t>
  </si>
  <si>
    <t>AFL</t>
  </si>
  <si>
    <t>Phillips 66</t>
  </si>
  <si>
    <t>PSX</t>
  </si>
  <si>
    <t>Kinder Morgan, Inc.</t>
  </si>
  <si>
    <t>KMI</t>
  </si>
  <si>
    <t>Ross Stores Inc</t>
  </si>
  <si>
    <t>ROST</t>
  </si>
  <si>
    <t>W.W. Grainger, Inc.</t>
  </si>
  <si>
    <t>GWW</t>
  </si>
  <si>
    <t>Public Storage</t>
  </si>
  <si>
    <t>PSA</t>
  </si>
  <si>
    <t>The Allstate Corporation</t>
  </si>
  <si>
    <t>ALL</t>
  </si>
  <si>
    <t>Marathon Petroleum Corporation</t>
  </si>
  <si>
    <t>MPC</t>
  </si>
  <si>
    <t>Cummins Inc.</t>
  </si>
  <si>
    <t>CMI</t>
  </si>
  <si>
    <t>Vistra Corp.</t>
  </si>
  <si>
    <t>VST</t>
  </si>
  <si>
    <t>American Electric Power Company, Inc.</t>
  </si>
  <si>
    <t>AEP</t>
  </si>
  <si>
    <t>Msci, Inc.</t>
  </si>
  <si>
    <t>MSCI</t>
  </si>
  <si>
    <t>Quanta Services, Inc.</t>
  </si>
  <si>
    <t>PWR</t>
  </si>
  <si>
    <t>Newmont Corporation</t>
  </si>
  <si>
    <t>NEM</t>
  </si>
  <si>
    <t>Realty Income Corporation</t>
  </si>
  <si>
    <t>O</t>
  </si>
  <si>
    <t>American International Group, Inc.</t>
  </si>
  <si>
    <t>AIG</t>
  </si>
  <si>
    <t>Howmet Aerospace Inc.</t>
  </si>
  <si>
    <t>HWM</t>
  </si>
  <si>
    <t>Metlife, Inc.</t>
  </si>
  <si>
    <t>MET</t>
  </si>
  <si>
    <t>Fidelity National Information Services, Inc.</t>
  </si>
  <si>
    <t>FIS</t>
  </si>
  <si>
    <t>Axon Enterprise, Inc.</t>
  </si>
  <si>
    <t>AXON</t>
  </si>
  <si>
    <t>Lululemon Athletica Inc.</t>
  </si>
  <si>
    <t>LULU</t>
  </si>
  <si>
    <t>Te Connectivity Plc</t>
  </si>
  <si>
    <t>TEL</t>
  </si>
  <si>
    <t>Dominion Energy, Inc.</t>
  </si>
  <si>
    <t>D</t>
  </si>
  <si>
    <t>Fastenal Co</t>
  </si>
  <si>
    <t>FAST</t>
  </si>
  <si>
    <t>Paychex Inc</t>
  </si>
  <si>
    <t>PAYX</t>
  </si>
  <si>
    <t>D.R. Horton Inc.</t>
  </si>
  <si>
    <t>DHI</t>
  </si>
  <si>
    <t>Discover Financial Services</t>
  </si>
  <si>
    <t>DFS</t>
  </si>
  <si>
    <t>Edwards Lifesciences Corp</t>
  </si>
  <si>
    <t>EW</t>
  </si>
  <si>
    <t>Kimberly-Clark Corp.</t>
  </si>
  <si>
    <t>KMB</t>
  </si>
  <si>
    <t>Ametek, Inc.</t>
  </si>
  <si>
    <t>AME</t>
  </si>
  <si>
    <t>L3harris Technologies, Inc.</t>
  </si>
  <si>
    <t>LHX</t>
  </si>
  <si>
    <t>Pg&amp;e Corporation</t>
  </si>
  <si>
    <t>PCG</t>
  </si>
  <si>
    <t>Crown Castle Inc.</t>
  </si>
  <si>
    <t>CCI</t>
  </si>
  <si>
    <t>Republic Services Inc.</t>
  </si>
  <si>
    <t>RSG</t>
  </si>
  <si>
    <t>Prudential Financial, Inc.</t>
  </si>
  <si>
    <t>PRU</t>
  </si>
  <si>
    <t>Valero Energy Corporation</t>
  </si>
  <si>
    <t>VLO</t>
  </si>
  <si>
    <t>Public Service Enterprise Group Incorporated</t>
  </si>
  <si>
    <t>PEG</t>
  </si>
  <si>
    <t>Kenvue Inc.</t>
  </si>
  <si>
    <t>KVUE</t>
  </si>
  <si>
    <t>Baker Hughes Company</t>
  </si>
  <si>
    <t>BKR</t>
  </si>
  <si>
    <t>Cbre Group, Inc.</t>
  </si>
  <si>
    <t>CBRE</t>
  </si>
  <si>
    <t>Corteva, Inc.</t>
  </si>
  <si>
    <t>CTVA</t>
  </si>
  <si>
    <t>Agilent Technologies Inc.</t>
  </si>
  <si>
    <t>A</t>
  </si>
  <si>
    <t>Ingersoll Rand Inc.</t>
  </si>
  <si>
    <t>IR</t>
  </si>
  <si>
    <t>Targa Resources Corp.</t>
  </si>
  <si>
    <t>TRGP</t>
  </si>
  <si>
    <t>The Kroger Co.</t>
  </si>
  <si>
    <t>KR</t>
  </si>
  <si>
    <t>Delta Air Lines, Inc.</t>
  </si>
  <si>
    <t>DAL</t>
  </si>
  <si>
    <t>Ford Motor Company</t>
  </si>
  <si>
    <t>F</t>
  </si>
  <si>
    <t>Verisk Analytics, Inc.</t>
  </si>
  <si>
    <t>VRSK</t>
  </si>
  <si>
    <t>Cencora, Inc.</t>
  </si>
  <si>
    <t>COR</t>
  </si>
  <si>
    <t>Cognizant Technology Solutions</t>
  </si>
  <si>
    <t>CTSH</t>
  </si>
  <si>
    <t>Gartner, Inc.</t>
  </si>
  <si>
    <t>IT</t>
  </si>
  <si>
    <t>Otis Worldwide Corporation</t>
  </si>
  <si>
    <t>OTIS</t>
  </si>
  <si>
    <t>Sysco Corporation</t>
  </si>
  <si>
    <t>SYY</t>
  </si>
  <si>
    <t>Electronic Arts Inc</t>
  </si>
  <si>
    <t>EA</t>
  </si>
  <si>
    <t>Hess Corporation</t>
  </si>
  <si>
    <t>HES</t>
  </si>
  <si>
    <t>Yum! Brands, Inc.</t>
  </si>
  <si>
    <t>YUM</t>
  </si>
  <si>
    <t>Old Dominion Freight Line</t>
  </si>
  <si>
    <t>ODFL</t>
  </si>
  <si>
    <t>Lennar Corporation Class A</t>
  </si>
  <si>
    <t>LEN</t>
  </si>
  <si>
    <t>Xcel Energy, Inc.</t>
  </si>
  <si>
    <t>XEL</t>
  </si>
  <si>
    <t>Ge Healthcare Technologies Inc.</t>
  </si>
  <si>
    <t>GEHC</t>
  </si>
  <si>
    <t>Constellation Brands, Inc.</t>
  </si>
  <si>
    <t>STZ</t>
  </si>
  <si>
    <t>Keurig Dr Pepper Inc.</t>
  </si>
  <si>
    <t>KDP</t>
  </si>
  <si>
    <t>Vulcan Materials Company</t>
  </si>
  <si>
    <t>VMC</t>
  </si>
  <si>
    <t>Exelon Corporation</t>
  </si>
  <si>
    <t>EXC</t>
  </si>
  <si>
    <t>Monster Beverage Corporation</t>
  </si>
  <si>
    <t>MNST</t>
  </si>
  <si>
    <t>Charter Comm Inc Del Cl a</t>
  </si>
  <si>
    <t>CHTR</t>
  </si>
  <si>
    <t>Corning Incorporated</t>
  </si>
  <si>
    <t>GLW</t>
  </si>
  <si>
    <t>General Mills, Inc.</t>
  </si>
  <si>
    <t>GIS</t>
  </si>
  <si>
    <t>Resmed Inc.</t>
  </si>
  <si>
    <t>RMD</t>
  </si>
  <si>
    <t>Idexx Laboratories Inc</t>
  </si>
  <si>
    <t>IDXX</t>
  </si>
  <si>
    <t>Wabtec Inc.</t>
  </si>
  <si>
    <t>WAB</t>
  </si>
  <si>
    <t>Arch Capital Group Ltd</t>
  </si>
  <si>
    <t>ACGL</t>
  </si>
  <si>
    <t>Iqvia Holdings Inc.</t>
  </si>
  <si>
    <t>IQV</t>
  </si>
  <si>
    <t>Martin Marietta Materials</t>
  </si>
  <si>
    <t>MLM</t>
  </si>
  <si>
    <t>Dupont De Nemours, Inc.</t>
  </si>
  <si>
    <t>DD</t>
  </si>
  <si>
    <t>Dell Technologies Inc.</t>
  </si>
  <si>
    <t>DELL</t>
  </si>
  <si>
    <t>Garmin Ltd</t>
  </si>
  <si>
    <t>GRMN</t>
  </si>
  <si>
    <t>Extra Space Storage, Inc.</t>
  </si>
  <si>
    <t>EXR</t>
  </si>
  <si>
    <t>Hp Inc.</t>
  </si>
  <si>
    <t>HPQ</t>
  </si>
  <si>
    <t>Rockwell Automation, Inc.</t>
  </si>
  <si>
    <t>ROK</t>
  </si>
  <si>
    <t>M&amp;t Bank Corp.</t>
  </si>
  <si>
    <t>MTB</t>
  </si>
  <si>
    <t>Nasdaq, Inc.</t>
  </si>
  <si>
    <t>NDAQ</t>
  </si>
  <si>
    <t>Humana Inc.</t>
  </si>
  <si>
    <t>HUM</t>
  </si>
  <si>
    <t>Iron Mountain Inc.</t>
  </si>
  <si>
    <t>IRM</t>
  </si>
  <si>
    <t>The Hartford Financial Services Group, Inc.</t>
  </si>
  <si>
    <t>HIG</t>
  </si>
  <si>
    <t>Microchip Technology Inc</t>
  </si>
  <si>
    <t>MCHP</t>
  </si>
  <si>
    <t>Nucor Corporation</t>
  </si>
  <si>
    <t>NUE</t>
  </si>
  <si>
    <t>Vici Properties Inc.</t>
  </si>
  <si>
    <t>VICI</t>
  </si>
  <si>
    <t>Occidental Petroleum Corporation</t>
  </si>
  <si>
    <t>OXY</t>
  </si>
  <si>
    <t>United Airlines Holdings, Inc.</t>
  </si>
  <si>
    <t>UAL</t>
  </si>
  <si>
    <t>Equifax, Incorporated</t>
  </si>
  <si>
    <t>EFX</t>
  </si>
  <si>
    <t>Dexcom, Inc.</t>
  </si>
  <si>
    <t>DXCM</t>
  </si>
  <si>
    <t>Avalonbay Communities, Inc.</t>
  </si>
  <si>
    <t>AVB</t>
  </si>
  <si>
    <t>Consolidated Edison, Inc.</t>
  </si>
  <si>
    <t>ED</t>
  </si>
  <si>
    <t>Costar Group Inc</t>
  </si>
  <si>
    <t>CSGP</t>
  </si>
  <si>
    <t>Entergy Corporation</t>
  </si>
  <si>
    <t>ETR</t>
  </si>
  <si>
    <t>Edison International</t>
  </si>
  <si>
    <t>EIX</t>
  </si>
  <si>
    <t>Willis Towers Watson Public Limited Companys</t>
  </si>
  <si>
    <t>WTW</t>
  </si>
  <si>
    <t>Deckers Outdoor Corp</t>
  </si>
  <si>
    <t>DECK</t>
  </si>
  <si>
    <t>Take-Two Interactive Software Inc</t>
  </si>
  <si>
    <t>TTWO</t>
  </si>
  <si>
    <t>Fifth Third Bancorp</t>
  </si>
  <si>
    <t>FITB</t>
  </si>
  <si>
    <t>Ebay Inc</t>
  </si>
  <si>
    <t>EBAY</t>
  </si>
  <si>
    <t>Tractor Supply Co</t>
  </si>
  <si>
    <t>TSCO</t>
  </si>
  <si>
    <t>Diamondback Energy, Inc.</t>
  </si>
  <si>
    <t>FANG</t>
  </si>
  <si>
    <t>Monolithic Power Systems, Inc.</t>
  </si>
  <si>
    <t>MPWR</t>
  </si>
  <si>
    <t>Wec Energy Group, Inc.</t>
  </si>
  <si>
    <t>WEC</t>
  </si>
  <si>
    <t>Ansys Inc</t>
  </si>
  <si>
    <t>ANSS</t>
  </si>
  <si>
    <t>Xylem Inc</t>
  </si>
  <si>
    <t>XYL</t>
  </si>
  <si>
    <t>Raymond James Financial, Inc.</t>
  </si>
  <si>
    <t>RJF</t>
  </si>
  <si>
    <t>Centene Corporation</t>
  </si>
  <si>
    <t>CNC</t>
  </si>
  <si>
    <t>Global Payments, Inc.</t>
  </si>
  <si>
    <t>GPN</t>
  </si>
  <si>
    <t>State Street Corporation</t>
  </si>
  <si>
    <t>STT</t>
  </si>
  <si>
    <t>Godaddy Inc</t>
  </si>
  <si>
    <t>GDDY</t>
  </si>
  <si>
    <t>Keysight Technologies, Inc.</t>
  </si>
  <si>
    <t>KEYS</t>
  </si>
  <si>
    <t>On Semiconductor Corp</t>
  </si>
  <si>
    <t>ON</t>
  </si>
  <si>
    <t>Dow Inc.</t>
  </si>
  <si>
    <t>DOW</t>
  </si>
  <si>
    <t>Cardinal Health, Inc.</t>
  </si>
  <si>
    <t>CAH</t>
  </si>
  <si>
    <t>Ppg Industries, Inc.</t>
  </si>
  <si>
    <t>PPG</t>
  </si>
  <si>
    <t>Hewlett Packard Enterprise Company</t>
  </si>
  <si>
    <t>HPE</t>
  </si>
  <si>
    <t>Dover Corporation</t>
  </si>
  <si>
    <t>DOV</t>
  </si>
  <si>
    <t>The Kraft Heinz Company</t>
  </si>
  <si>
    <t>KHC</t>
  </si>
  <si>
    <t>Broadridge Financial Solutions Inc</t>
  </si>
  <si>
    <t>BR</t>
  </si>
  <si>
    <t>Fortive Corporation</t>
  </si>
  <si>
    <t>FTV</t>
  </si>
  <si>
    <t>Nvr, Inc.</t>
  </si>
  <si>
    <t>NVR</t>
  </si>
  <si>
    <t>T Rowe Price Group Inc</t>
  </si>
  <si>
    <t>TROW</t>
  </si>
  <si>
    <t>Synchrony Financial</t>
  </si>
  <si>
    <t>SYF</t>
  </si>
  <si>
    <t>Eqt Corp</t>
  </si>
  <si>
    <t>EQT</t>
  </si>
  <si>
    <t>Carnival Corporation</t>
  </si>
  <si>
    <t>CCL</t>
  </si>
  <si>
    <t>Mettler-Toledo International</t>
  </si>
  <si>
    <t>MTD</t>
  </si>
  <si>
    <t>Tyler Technologies, Inc.</t>
  </si>
  <si>
    <t>TYL</t>
  </si>
  <si>
    <t>Smurfit Westrock Plc</t>
  </si>
  <si>
    <t>SW</t>
  </si>
  <si>
    <t>The Hershey Company</t>
  </si>
  <si>
    <t>HSY</t>
  </si>
  <si>
    <t>Veralto Corporation</t>
  </si>
  <si>
    <t>VLTO</t>
  </si>
  <si>
    <t>Church &amp; Dwight Co., Inc.</t>
  </si>
  <si>
    <t>CHD</t>
  </si>
  <si>
    <t>Halliburton Company</t>
  </si>
  <si>
    <t>HAL</t>
  </si>
  <si>
    <t>American Water Works Company, Inc</t>
  </si>
  <si>
    <t>AWK</t>
  </si>
  <si>
    <t>Corpay, Inc.</t>
  </si>
  <si>
    <t>CPAY</t>
  </si>
  <si>
    <t>Archer Daniels Midland Company</t>
  </si>
  <si>
    <t>ADM</t>
  </si>
  <si>
    <t>Pultegroup, Inc.</t>
  </si>
  <si>
    <t>PHM</t>
  </si>
  <si>
    <t>Huntington Bancshares Inc</t>
  </si>
  <si>
    <t>HBAN</t>
  </si>
  <si>
    <t>Netapp, Inc</t>
  </si>
  <si>
    <t>NTAP</t>
  </si>
  <si>
    <t>Ventas, Inc.</t>
  </si>
  <si>
    <t>VTR</t>
  </si>
  <si>
    <t>Dte Energy Company</t>
  </si>
  <si>
    <t>DTE</t>
  </si>
  <si>
    <t>Equity Residential</t>
  </si>
  <si>
    <t>EQR</t>
  </si>
  <si>
    <t>Brown &amp; Brown, Inc.</t>
  </si>
  <si>
    <t>BRO</t>
  </si>
  <si>
    <t>Hubbell Incorporated</t>
  </si>
  <si>
    <t>HUBB</t>
  </si>
  <si>
    <t>Ptc, Inc</t>
  </si>
  <si>
    <t>PTC</t>
  </si>
  <si>
    <t>Ppl Corporation</t>
  </si>
  <si>
    <t>PPL</t>
  </si>
  <si>
    <t>Warner Bros. Discovery, Inc. Series a</t>
  </si>
  <si>
    <t>WBD</t>
  </si>
  <si>
    <t>Ameren Corporation</t>
  </si>
  <si>
    <t>AEE</t>
  </si>
  <si>
    <t>Cdw Corporation</t>
  </si>
  <si>
    <t>CDW</t>
  </si>
  <si>
    <t>Expedia Group, Inc.</t>
  </si>
  <si>
    <t>EXPE</t>
  </si>
  <si>
    <t>Cincinnati Financial Corp</t>
  </si>
  <si>
    <t>CINF</t>
  </si>
  <si>
    <t>Regions Financial Corp.</t>
  </si>
  <si>
    <t>RF</t>
  </si>
  <si>
    <t>Sba Communications Corp</t>
  </si>
  <si>
    <t>SBAC</t>
  </si>
  <si>
    <t>West Pharmaceutical Services, Inc.</t>
  </si>
  <si>
    <t>WST</t>
  </si>
  <si>
    <t>Biogen Inc.</t>
  </si>
  <si>
    <t>BIIB</t>
  </si>
  <si>
    <t>Waters Corp</t>
  </si>
  <si>
    <t>WAT</t>
  </si>
  <si>
    <t>Western Digital Corp.</t>
  </si>
  <si>
    <t>WDC</t>
  </si>
  <si>
    <t>Texas Pacific Land Corporation</t>
  </si>
  <si>
    <t>TPL</t>
  </si>
  <si>
    <t>Weyerhaeuser Company</t>
  </si>
  <si>
    <t>WY</t>
  </si>
  <si>
    <t>International Flavors &amp; Fragrances Inc.</t>
  </si>
  <si>
    <t>IFF</t>
  </si>
  <si>
    <t>Teledyne Technologies Incorporated</t>
  </si>
  <si>
    <t>TDY</t>
  </si>
  <si>
    <t>Zimmer Biomet Holdings, Inc.</t>
  </si>
  <si>
    <t>ZBH</t>
  </si>
  <si>
    <t>Devon Energy Corporation</t>
  </si>
  <si>
    <t>DVN</t>
  </si>
  <si>
    <t>Atmos Energy Corporation</t>
  </si>
  <si>
    <t>ATO</t>
  </si>
  <si>
    <t>Kellanova</t>
  </si>
  <si>
    <t>K</t>
  </si>
  <si>
    <t>First Solar, Inc.</t>
  </si>
  <si>
    <t>FSLR</t>
  </si>
  <si>
    <t>Eversource Energy</t>
  </si>
  <si>
    <t>ES</t>
  </si>
  <si>
    <t>Packaging Corp of America</t>
  </si>
  <si>
    <t>PKG</t>
  </si>
  <si>
    <t>Cboe Global Markets, Inc.</t>
  </si>
  <si>
    <t>CBOE</t>
  </si>
  <si>
    <t>Northern Trust Corp</t>
  </si>
  <si>
    <t>NTRS</t>
  </si>
  <si>
    <t>Live Nation Entertainment Inc.</t>
  </si>
  <si>
    <t>LYV</t>
  </si>
  <si>
    <t>Zebra Technologies Corporation</t>
  </si>
  <si>
    <t>ZBRA</t>
  </si>
  <si>
    <t>Citizens Financial Group, Inc.</t>
  </si>
  <si>
    <t>CFG</t>
  </si>
  <si>
    <t>Leidos Holdings, Inc.</t>
  </si>
  <si>
    <t>LDOS</t>
  </si>
  <si>
    <t>Steris Plc</t>
  </si>
  <si>
    <t>STE</t>
  </si>
  <si>
    <t>Seagate Technology Holdings Plcs</t>
  </si>
  <si>
    <t>STX</t>
  </si>
  <si>
    <t>Firstenergy Corp.</t>
  </si>
  <si>
    <t>FE</t>
  </si>
  <si>
    <t>Ulta Beauty, Inc.</t>
  </si>
  <si>
    <t>ULTA</t>
  </si>
  <si>
    <t>Mccormick &amp; Company, Incorporated Non-Vtg Cs</t>
  </si>
  <si>
    <t>MKC</t>
  </si>
  <si>
    <t>Centerpoint Energy, Inc.</t>
  </si>
  <si>
    <t>CNP</t>
  </si>
  <si>
    <t>Clorox Company</t>
  </si>
  <si>
    <t>CLX</t>
  </si>
  <si>
    <t>Southwest Airlines Co.</t>
  </si>
  <si>
    <t>LUV</t>
  </si>
  <si>
    <t>Builders Firstsource, Inc.</t>
  </si>
  <si>
    <t>BLDR</t>
  </si>
  <si>
    <t>Cms Energy Corporation</t>
  </si>
  <si>
    <t>CMS</t>
  </si>
  <si>
    <t>Darden Restaurants, Inc.</t>
  </si>
  <si>
    <t>DRI</t>
  </si>
  <si>
    <t>Lyondellbasell Industries N.v. Class A</t>
  </si>
  <si>
    <t>LYB</t>
  </si>
  <si>
    <t>The Cooper Companies, Inc.</t>
  </si>
  <si>
    <t>COO</t>
  </si>
  <si>
    <t>Nrg Energy, Inc.</t>
  </si>
  <si>
    <t>NRG</t>
  </si>
  <si>
    <t>Teradyne, Inc.</t>
  </si>
  <si>
    <t>TER</t>
  </si>
  <si>
    <t>Super Micro Computer, Inc.</t>
  </si>
  <si>
    <t>SMCI</t>
  </si>
  <si>
    <t>Labcorp Holdings Inc.</t>
  </si>
  <si>
    <t>LH</t>
  </si>
  <si>
    <t>Las Vegas Sands Corp.</t>
  </si>
  <si>
    <t>LVS</t>
  </si>
  <si>
    <t>Steel Dynamics Inc</t>
  </si>
  <si>
    <t>STLD</t>
  </si>
  <si>
    <t>Insulet Corporation</t>
  </si>
  <si>
    <t>PODD</t>
  </si>
  <si>
    <t>Essex Property Trust, Inc</t>
  </si>
  <si>
    <t>ESS</t>
  </si>
  <si>
    <t>Invitation Homes Inc.</t>
  </si>
  <si>
    <t>INVH</t>
  </si>
  <si>
    <t>International Paper Co.</t>
  </si>
  <si>
    <t>IP</t>
  </si>
  <si>
    <t>The Estee Lauder Companies Inc. Class A</t>
  </si>
  <si>
    <t>EL</t>
  </si>
  <si>
    <t>Snap-on Incorporated</t>
  </si>
  <si>
    <t>SNA</t>
  </si>
  <si>
    <t>Coterra Energy Inc.</t>
  </si>
  <si>
    <t>CTRA</t>
  </si>
  <si>
    <t>Factset Research Systems</t>
  </si>
  <si>
    <t>FDS</t>
  </si>
  <si>
    <t>Mid-America Apartment Communities, Inc.</t>
  </si>
  <si>
    <t>MAA</t>
  </si>
  <si>
    <t>W.R. Berkley Corporation</t>
  </si>
  <si>
    <t>WRB</t>
  </si>
  <si>
    <t>Pentair Plc</t>
  </si>
  <si>
    <t>PNR</t>
  </si>
  <si>
    <t>Trimble Inc.</t>
  </si>
  <si>
    <t>TRMB</t>
  </si>
  <si>
    <t>Omnicom Group Inc.</t>
  </si>
  <si>
    <t>OMC</t>
  </si>
  <si>
    <t>Tyson Foods, Inc.</t>
  </si>
  <si>
    <t>TSN</t>
  </si>
  <si>
    <t>Molina Healthcare, Inc.</t>
  </si>
  <si>
    <t>MOH</t>
  </si>
  <si>
    <t>Dollar General Corp.</t>
  </si>
  <si>
    <t>DG</t>
  </si>
  <si>
    <t>Hologic Inc</t>
  </si>
  <si>
    <t>HOLX</t>
  </si>
  <si>
    <t>Ball Corporation</t>
  </si>
  <si>
    <t>BALL</t>
  </si>
  <si>
    <t>Quest Diagnostics Inc.</t>
  </si>
  <si>
    <t>DGX</t>
  </si>
  <si>
    <t>Masco Corporation</t>
  </si>
  <si>
    <t>MAS</t>
  </si>
  <si>
    <t>Idex Corporation</t>
  </si>
  <si>
    <t>IEX</t>
  </si>
  <si>
    <t>Genuine Parts Company</t>
  </si>
  <si>
    <t>GPC</t>
  </si>
  <si>
    <t>Best Buy Company, Inc.</t>
  </si>
  <si>
    <t>BBY</t>
  </si>
  <si>
    <t>Principal Financial Group, Inc.</t>
  </si>
  <si>
    <t>PFG</t>
  </si>
  <si>
    <t>Keycorp</t>
  </si>
  <si>
    <t>KEY</t>
  </si>
  <si>
    <t>Expeditors International of Washington, Inc.</t>
  </si>
  <si>
    <t>EXPD</t>
  </si>
  <si>
    <t>Jacobs Solutions Inc.</t>
  </si>
  <si>
    <t>J</t>
  </si>
  <si>
    <t>Align Technology Inc</t>
  </si>
  <si>
    <t>ALGN</t>
  </si>
  <si>
    <t>Verisign Inc</t>
  </si>
  <si>
    <t>VRSN</t>
  </si>
  <si>
    <t>Nisource Inc.</t>
  </si>
  <si>
    <t>NI</t>
  </si>
  <si>
    <t>Kimco Realty Corp.</t>
  </si>
  <si>
    <t>KIM</t>
  </si>
  <si>
    <t>Gen Digital Inc.</t>
  </si>
  <si>
    <t>GEN</t>
  </si>
  <si>
    <t>Cf Industries Holding, Inc.</t>
  </si>
  <si>
    <t>CF</t>
  </si>
  <si>
    <t>Alexandria Real Estate Equities, Inc.</t>
  </si>
  <si>
    <t>ARE</t>
  </si>
  <si>
    <t>Domino's Pizza Inc.</t>
  </si>
  <si>
    <t>DPZ</t>
  </si>
  <si>
    <t>Avery Dennison Corp.</t>
  </si>
  <si>
    <t>AVY</t>
  </si>
  <si>
    <t>Baxter International Inc.</t>
  </si>
  <si>
    <t>BAX</t>
  </si>
  <si>
    <t>Everest Group, Ltd.</t>
  </si>
  <si>
    <t>EG</t>
  </si>
  <si>
    <t>Aptiv Plc</t>
  </si>
  <si>
    <t>APTV</t>
  </si>
  <si>
    <t>Alliant Energy Corporation</t>
  </si>
  <si>
    <t>LNT</t>
  </si>
  <si>
    <t>Loews Corporation</t>
  </si>
  <si>
    <t>L</t>
  </si>
  <si>
    <t>Textron, Inc.</t>
  </si>
  <si>
    <t>TXT</t>
  </si>
  <si>
    <t>Viatris Inc.</t>
  </si>
  <si>
    <t>VTRS</t>
  </si>
  <si>
    <t>Jabil Inc.</t>
  </si>
  <si>
    <t>JBL</t>
  </si>
  <si>
    <t>Akamai Technologies Inc</t>
  </si>
  <si>
    <t>AKAM</t>
  </si>
  <si>
    <t>F5, Inc.</t>
  </si>
  <si>
    <t>FFIV</t>
  </si>
  <si>
    <t>Healthpeak Properties, Inc.</t>
  </si>
  <si>
    <t>DOC</t>
  </si>
  <si>
    <t>Jb Hunt Transport Services Inc</t>
  </si>
  <si>
    <t>JBHT</t>
  </si>
  <si>
    <t>Moderna, Inc.</t>
  </si>
  <si>
    <t>MRNA</t>
  </si>
  <si>
    <t>Amcor Plcs</t>
  </si>
  <si>
    <t>AMCR</t>
  </si>
  <si>
    <t>Dollar Tree Inc.</t>
  </si>
  <si>
    <t>DLTR</t>
  </si>
  <si>
    <t>Epam Systems, Inc.</t>
  </si>
  <si>
    <t>EPAM</t>
  </si>
  <si>
    <t>Pool Corporation</t>
  </si>
  <si>
    <t>POOL</t>
  </si>
  <si>
    <t>Revvity, Inc.</t>
  </si>
  <si>
    <t>RVTY</t>
  </si>
  <si>
    <t>Tapestry, Inc.</t>
  </si>
  <si>
    <t>TPR</t>
  </si>
  <si>
    <t>Evergy, Inc.</t>
  </si>
  <si>
    <t>EVRG</t>
  </si>
  <si>
    <t>Skyworks Solutions Inc</t>
  </si>
  <si>
    <t>SWKS</t>
  </si>
  <si>
    <t>Rollins, Inc.</t>
  </si>
  <si>
    <t>ROL</t>
  </si>
  <si>
    <t>Carmax Inc.</t>
  </si>
  <si>
    <t>KMX</t>
  </si>
  <si>
    <t>Nordson Corp</t>
  </si>
  <si>
    <t>NDSN</t>
  </si>
  <si>
    <t>Udr, Inc.</t>
  </si>
  <si>
    <t>UDR</t>
  </si>
  <si>
    <t>Host Hotels &amp; Resorts, Inc.</t>
  </si>
  <si>
    <t>HST</t>
  </si>
  <si>
    <t>Conagra Brands, Inc.</t>
  </si>
  <si>
    <t>CAG</t>
  </si>
  <si>
    <t>Henry (Jack) &amp; Associates</t>
  </si>
  <si>
    <t>JKHY</t>
  </si>
  <si>
    <t>Stanley Black &amp; Decker, Inc.</t>
  </si>
  <si>
    <t>SWK</t>
  </si>
  <si>
    <t>Camden Property Trust</t>
  </si>
  <si>
    <t>CPT</t>
  </si>
  <si>
    <t>C.H. Robinson Worldwide, Inc.</t>
  </si>
  <si>
    <t>CHRW</t>
  </si>
  <si>
    <t>Dayforce, Inc.</t>
  </si>
  <si>
    <t>DAY</t>
  </si>
  <si>
    <t>Juniper Networks Inc</t>
  </si>
  <si>
    <t>JNPR</t>
  </si>
  <si>
    <t>Allegion Public Limited Company</t>
  </si>
  <si>
    <t>ALLE</t>
  </si>
  <si>
    <t>Albemarle Corporation</t>
  </si>
  <si>
    <t>ALB</t>
  </si>
  <si>
    <t>Regency Centers Corporation</t>
  </si>
  <si>
    <t>REG</t>
  </si>
  <si>
    <t>Bio-Techne Corp.</t>
  </si>
  <si>
    <t>TECH</t>
  </si>
  <si>
    <t>Norwegian Cruise Line Holdings Ltd.s</t>
  </si>
  <si>
    <t>NCLH</t>
  </si>
  <si>
    <t>The J.M. Smucker Company</t>
  </si>
  <si>
    <t>SJM</t>
  </si>
  <si>
    <t>Bunge Global Sa</t>
  </si>
  <si>
    <t>BG</t>
  </si>
  <si>
    <t>Paycom Software, Inc.</t>
  </si>
  <si>
    <t>PAYC</t>
  </si>
  <si>
    <t>Bxp, Inc.</t>
  </si>
  <si>
    <t>BXP</t>
  </si>
  <si>
    <t>Eastman Chemical Company</t>
  </si>
  <si>
    <t>EMN</t>
  </si>
  <si>
    <t>Incyte Genomics Inc</t>
  </si>
  <si>
    <t>INCY</t>
  </si>
  <si>
    <t>Catalent, Inc.</t>
  </si>
  <si>
    <t>CTLT</t>
  </si>
  <si>
    <t>Universal Health Services, Inc. Class B</t>
  </si>
  <si>
    <t>UHS</t>
  </si>
  <si>
    <t>The Interpublic Group of Companies, Inc.</t>
  </si>
  <si>
    <t>IPG</t>
  </si>
  <si>
    <t>Assurant, Inc.</t>
  </si>
  <si>
    <t>AIZ</t>
  </si>
  <si>
    <t>News Corporation Class A</t>
  </si>
  <si>
    <t>NWSA</t>
  </si>
  <si>
    <t>Molson Coors Beverage Company Class B</t>
  </si>
  <si>
    <t>TAP</t>
  </si>
  <si>
    <t>Lamb Weston Holdings, Inc.</t>
  </si>
  <si>
    <t>LW</t>
  </si>
  <si>
    <t>Fox Corporation Class A</t>
  </si>
  <si>
    <t>FOXA</t>
  </si>
  <si>
    <t>Generac Holdings Inc</t>
  </si>
  <si>
    <t>GNRC</t>
  </si>
  <si>
    <t>Erie Indemnity Co</t>
  </si>
  <si>
    <t>ERIE</t>
  </si>
  <si>
    <t>Lkq Corporation</t>
  </si>
  <si>
    <t>LKQ</t>
  </si>
  <si>
    <t>Pinnacle West Capital Corporation</t>
  </si>
  <si>
    <t>PNW</t>
  </si>
  <si>
    <t>Enphase Energy, Inc.</t>
  </si>
  <si>
    <t>ENPH</t>
  </si>
  <si>
    <t>Charles River Laboratories International, Inc.</t>
  </si>
  <si>
    <t>CRL</t>
  </si>
  <si>
    <t>Henry Schein Inc</t>
  </si>
  <si>
    <t>HSIC</t>
  </si>
  <si>
    <t>Solventum Corporation</t>
  </si>
  <si>
    <t>SOLV</t>
  </si>
  <si>
    <t>Aes Corporation</t>
  </si>
  <si>
    <t>AES</t>
  </si>
  <si>
    <t>Hormel Foods Corporation</t>
  </si>
  <si>
    <t>HRL</t>
  </si>
  <si>
    <t>Globe Life Inc.</t>
  </si>
  <si>
    <t>GL</t>
  </si>
  <si>
    <t>Ralph Lauren Corporation</t>
  </si>
  <si>
    <t>RL</t>
  </si>
  <si>
    <t>Wynn Resorts Ltd</t>
  </si>
  <si>
    <t>WYNN</t>
  </si>
  <si>
    <t>Marketaxess Holdings Inc.</t>
  </si>
  <si>
    <t>MKTX</t>
  </si>
  <si>
    <t>A.O. Smith Corporation</t>
  </si>
  <si>
    <t>AOS</t>
  </si>
  <si>
    <t>Teleflex Incorporated</t>
  </si>
  <si>
    <t>TFX</t>
  </si>
  <si>
    <t>The Mosaic Company</t>
  </si>
  <si>
    <t>MOS</t>
  </si>
  <si>
    <t>Mgm Resorts International</t>
  </si>
  <si>
    <t>MGM</t>
  </si>
  <si>
    <t>The Campbell's Company</t>
  </si>
  <si>
    <t>CPB</t>
  </si>
  <si>
    <t>Federal Realty Investment Trust</t>
  </si>
  <si>
    <t>FRT</t>
  </si>
  <si>
    <t>Hasbro, Inc.</t>
  </si>
  <si>
    <t>HAS</t>
  </si>
  <si>
    <t>Invesco Ltd</t>
  </si>
  <si>
    <t>IVZ</t>
  </si>
  <si>
    <t>Apa Corporation</t>
  </si>
  <si>
    <t>APA</t>
  </si>
  <si>
    <t>Brown-Forman Corporation Class B</t>
  </si>
  <si>
    <t>BF.B</t>
  </si>
  <si>
    <t>Match Group, Inc</t>
  </si>
  <si>
    <t>MTCH</t>
  </si>
  <si>
    <t>Caesars Entertainment, Inc.</t>
  </si>
  <si>
    <t>CZR</t>
  </si>
  <si>
    <t>Borgwarner Inc.</t>
  </si>
  <si>
    <t>BWA</t>
  </si>
  <si>
    <t>Huntington Ingalls Industries, Inc.</t>
  </si>
  <si>
    <t>HII</t>
  </si>
  <si>
    <t>Celanese Corporation</t>
  </si>
  <si>
    <t>CE</t>
  </si>
  <si>
    <t>Davita Inc.</t>
  </si>
  <si>
    <t>DVA</t>
  </si>
  <si>
    <t>Walgreens Boots Alliance, Inc</t>
  </si>
  <si>
    <t>WBA</t>
  </si>
  <si>
    <t>Fmc Corporation</t>
  </si>
  <si>
    <t>FMC</t>
  </si>
  <si>
    <t>Franklin Resources, Inc.</t>
  </si>
  <si>
    <t>BEN</t>
  </si>
  <si>
    <t>Mohawk Industries, Inc.</t>
  </si>
  <si>
    <t>MHK</t>
  </si>
  <si>
    <t>Paramount Global Class B</t>
  </si>
  <si>
    <t>PARA</t>
  </si>
  <si>
    <t>Qorvo, Inc.</t>
  </si>
  <si>
    <t>QRVO</t>
  </si>
  <si>
    <t>Fox Corporation Class B</t>
  </si>
  <si>
    <t>FOX</t>
  </si>
  <si>
    <t>News Corporation Class B</t>
  </si>
  <si>
    <t>NWS</t>
  </si>
  <si>
    <t>Amentum Holdings, Inc.</t>
  </si>
  <si>
    <t>AMTM</t>
  </si>
  <si>
    <t>Total Return</t>
  </si>
  <si>
    <t>on</t>
  </si>
  <si>
    <t>Period High</t>
  </si>
  <si>
    <t>Period Low</t>
  </si>
  <si>
    <t>Asset Ticker</t>
  </si>
  <si>
    <t>Return</t>
  </si>
  <si>
    <t xml:space="preserve">Mutual Funds: </t>
  </si>
  <si>
    <t>Vanguard Total Stock Market Index Fund; Institutional Plus</t>
  </si>
  <si>
    <t>Fidelity 500 Index Fund</t>
  </si>
  <si>
    <t>Vanguard 500 Index Fund;Admiral</t>
  </si>
  <si>
    <t>Vanguard Total Stock Market Index Fund;Admiral</t>
  </si>
  <si>
    <t>Fidelity Government Money Market Fund</t>
  </si>
  <si>
    <t>Vanguard Federal Money Market Fund;Investor</t>
  </si>
  <si>
    <t>Fidelity Government Cash Reserves</t>
  </si>
  <si>
    <t>Goldman Sachs FS Government Fund;Institutional</t>
  </si>
  <si>
    <t>Schwab Value Advantage Money Fund;Investor</t>
  </si>
  <si>
    <t>Vanguard Total International Stock Index Fund;Investor</t>
  </si>
  <si>
    <t>Vanguard 500 Index Fund;Institutional Select</t>
  </si>
  <si>
    <t>Vanguard Institutional Index Fund;Inst Plus</t>
  </si>
  <si>
    <t>JPMorgan US Government Money Market Fund;Capital</t>
  </si>
  <si>
    <t>Morgan Stanley Inst Liq Government Port;Institutional</t>
  </si>
  <si>
    <t>Vanguard Total Bond Market II Index Fund;Institutional</t>
  </si>
  <si>
    <t>BlackRock Liquidity FedFund;Institutional</t>
  </si>
  <si>
    <t>Fidelity Instl Government Portfolio;Institutional</t>
  </si>
  <si>
    <t>BlackRock Liquidity Treasury Trust Fund;Institutional</t>
  </si>
  <si>
    <t>American Funds Growth Fund of America;A</t>
  </si>
  <si>
    <t>Vanguard Total Bond Market II Index Fund;Investor</t>
  </si>
  <si>
    <t>State Street US Government Money Market Fund;Prem</t>
  </si>
  <si>
    <t>Fidelity Strategic Advisers Fidelity US Total Stk</t>
  </si>
  <si>
    <t>Fidelity Contrafund</t>
  </si>
  <si>
    <t>Vanguard Institutional Index Fund;Institutional</t>
  </si>
  <si>
    <t>Vanguard Cash Reserves Federal Money Market Fd;Adm</t>
  </si>
  <si>
    <t>VSMPX</t>
  </si>
  <si>
    <t>FXAIX</t>
  </si>
  <si>
    <t>VFAIX</t>
  </si>
  <si>
    <t>VTSAX</t>
  </si>
  <si>
    <t>SPAXX</t>
  </si>
  <si>
    <t>VFMXX</t>
  </si>
  <si>
    <t>FDRXX</t>
  </si>
  <si>
    <t>FGTXX</t>
  </si>
  <si>
    <t>SWVXX</t>
  </si>
  <si>
    <t>VGTSX</t>
  </si>
  <si>
    <t>VFFSX</t>
  </si>
  <si>
    <t>VIIIX</t>
  </si>
  <si>
    <t>MVRXX</t>
  </si>
  <si>
    <t>OGVXX</t>
  </si>
  <si>
    <t>VTBNX</t>
  </si>
  <si>
    <t>TFDXX</t>
  </si>
  <si>
    <t>FRGXX</t>
  </si>
  <si>
    <t>TTTXX</t>
  </si>
  <si>
    <t>AGTHX</t>
  </si>
  <si>
    <t>VTBIX</t>
  </si>
  <si>
    <t>GVMXX</t>
  </si>
  <si>
    <t>FCDTX</t>
  </si>
  <si>
    <t>FCNTX</t>
  </si>
  <si>
    <t>VINIX</t>
  </si>
  <si>
    <t>VMRXX</t>
  </si>
  <si>
    <t>Mutual Fund</t>
  </si>
  <si>
    <t>Average Rate of Return</t>
  </si>
  <si>
    <t>Period Delta</t>
  </si>
  <si>
    <t>Quantity</t>
  </si>
  <si>
    <t>Amount</t>
  </si>
  <si>
    <t>Portfolio Analytics</t>
  </si>
  <si>
    <t>Portfolio Builder</t>
  </si>
  <si>
    <t>Total Cost of Portfolio:</t>
  </si>
  <si>
    <t>Historical Returns</t>
  </si>
  <si>
    <t>1y-&gt;</t>
  </si>
  <si>
    <t>Portfolio Beta:</t>
  </si>
  <si>
    <t>Portfolio Deviation:</t>
  </si>
  <si>
    <t>6mo Return:</t>
  </si>
  <si>
    <t>1y Return:</t>
  </si>
  <si>
    <t>5y Return:</t>
  </si>
  <si>
    <t>6mo Partials</t>
  </si>
  <si>
    <t>1y Partials</t>
  </si>
  <si>
    <t>5y Partials</t>
  </si>
  <si>
    <t>6mo Portfolio</t>
  </si>
  <si>
    <t>1y Portfolio</t>
  </si>
  <si>
    <t>5y Portfolio</t>
  </si>
  <si>
    <t>Comparative DJI Returns</t>
  </si>
  <si>
    <t>"Returns" Sheet Assets</t>
  </si>
  <si>
    <t>Returns Calculator:</t>
  </si>
  <si>
    <t>Security Validation:</t>
  </si>
  <si>
    <t>Days Subtractable:</t>
  </si>
  <si>
    <t>5y w/ MoE-&gt;</t>
  </si>
  <si>
    <t>DJI</t>
  </si>
  <si>
    <t>Bitcoin</t>
  </si>
  <si>
    <t>Bitcoin Cash</t>
  </si>
  <si>
    <t>Litecoin</t>
  </si>
  <si>
    <t>Ripple</t>
  </si>
  <si>
    <t>Ethereum</t>
  </si>
  <si>
    <t>ETH/USD</t>
  </si>
  <si>
    <t>XRP/USD</t>
  </si>
  <si>
    <t>LTC/USD</t>
  </si>
  <si>
    <t>BCH/USD</t>
  </si>
  <si>
    <t>BTC/USD</t>
  </si>
  <si>
    <t>Crypto</t>
  </si>
  <si>
    <t>Dow-Jones</t>
  </si>
  <si>
    <t>Most Recent -&gt;</t>
  </si>
  <si>
    <t>BTC</t>
  </si>
  <si>
    <t>BCH</t>
  </si>
  <si>
    <t>ETH</t>
  </si>
  <si>
    <t>LTC</t>
  </si>
  <si>
    <t>XRP</t>
  </si>
  <si>
    <t>Most Recent Close:</t>
  </si>
  <si>
    <t>Search for an Asset -&gt;</t>
  </si>
  <si>
    <t>Supported Assets</t>
  </si>
  <si>
    <t>Cryptocurrencies:</t>
  </si>
  <si>
    <t>6mo DJI</t>
  </si>
  <si>
    <t>1y DJI</t>
  </si>
  <si>
    <t>5y DJI</t>
  </si>
  <si>
    <t>Asset Tracker</t>
  </si>
  <si>
    <t>since</t>
  </si>
  <si>
    <t>Select any asset for any time from the highlighted cells!</t>
  </si>
  <si>
    <t>Backdoor</t>
  </si>
  <si>
    <t>This is where the magic happens!</t>
  </si>
  <si>
    <t>Market Correlation with the Dow-Jones</t>
  </si>
  <si>
    <t>The Ticker Will Appear Here -&gt;</t>
  </si>
  <si>
    <t>Browse all available assets and find what you need!</t>
  </si>
  <si>
    <t>Build your portfolio with up to 100 supported assets!</t>
  </si>
  <si>
    <t/>
  </si>
  <si>
    <t>Advanced Descriptive Statistics</t>
  </si>
  <si>
    <t>Treynor Ratio</t>
  </si>
  <si>
    <t>Asset Beta</t>
  </si>
  <si>
    <t>Sharpe Ratio</t>
  </si>
  <si>
    <t>Market Covariance</t>
  </si>
  <si>
    <t>Asset Variance</t>
  </si>
  <si>
    <t>Standard Deviation</t>
  </si>
  <si>
    <t>Risk Free Rate</t>
  </si>
  <si>
    <t>Performance Overview</t>
  </si>
  <si>
    <t>Notice in case of Portfolio Builder VBA Bug:</t>
  </si>
  <si>
    <t>`</t>
  </si>
  <si>
    <t>NA</t>
  </si>
  <si>
    <t>Total Values</t>
  </si>
  <si>
    <t>% of Total</t>
  </si>
  <si>
    <t>Partial Beta</t>
  </si>
  <si>
    <t>Sum Beta</t>
  </si>
  <si>
    <t>Partial Deviation</t>
  </si>
  <si>
    <t>Sum Deviation</t>
  </si>
  <si>
    <t>1 Year Return</t>
  </si>
  <si>
    <t>6 month Return</t>
  </si>
  <si>
    <t>5 Year Return</t>
  </si>
  <si>
    <t>Beta Calculating</t>
  </si>
  <si>
    <t>Deviation Calculating</t>
  </si>
  <si>
    <t>5y adj -&gt;</t>
  </si>
  <si>
    <t>What do these values mean?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</si>
</sst>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0"/>
    <numFmt numFmtId="165" formatCode="0.00;;"/>
    <numFmt numFmtId="166" formatCode="&quot;$&quot;#,##0.00"/>
    <numFmt numFmtId="167" formatCode="[$-F400]h:mm:ss\ AM/PM"/>
    <numFmt numFmtId="168" formatCode="0.0000%"/>
    <numFmt numFmtId="169" formatCode="0.000000"/>
  </numFmts>
  <fonts count="2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5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b/>
      <i/>
      <sz val="13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9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i/>
      <sz val="9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b/>
      <i/>
      <u/>
      <sz val="1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4">
    <xf numFmtId="0" fontId="0" fillId="0" borderId="0" xfId="0"/>
    <xf numFmtId="14" fontId="0" fillId="2" borderId="0" xfId="0" applyNumberFormat="1" applyFill="1"/>
    <xf numFmtId="0" fontId="0" fillId="2" borderId="0" xfId="0" applyFill="1"/>
    <xf numFmtId="0" fontId="5" fillId="2" borderId="0" xfId="0" applyFont="1" applyFill="1"/>
    <xf numFmtId="10" fontId="5" fillId="2" borderId="0" xfId="1" applyNumberFormat="1" applyFont="1" applyFill="1" applyBorder="1"/>
    <xf numFmtId="44" fontId="3" fillId="2" borderId="0" xfId="2" applyFont="1" applyFill="1" applyBorder="1"/>
    <xf numFmtId="0" fontId="3" fillId="2" borderId="1" xfId="0" applyFont="1" applyFill="1" applyBorder="1"/>
    <xf numFmtId="0" fontId="5" fillId="2" borderId="1" xfId="0" applyFont="1" applyFill="1" applyBorder="1"/>
    <xf numFmtId="0" fontId="3" fillId="2" borderId="0" xfId="0" applyFont="1" applyFill="1"/>
    <xf numFmtId="2" fontId="4" fillId="2" borderId="0" xfId="0" applyNumberFormat="1" applyFont="1" applyFill="1"/>
    <xf numFmtId="0" fontId="2" fillId="2" borderId="0" xfId="0" applyFont="1" applyFill="1"/>
    <xf numFmtId="10" fontId="4" fillId="2" borderId="0" xfId="1" applyNumberFormat="1" applyFont="1" applyFill="1"/>
    <xf numFmtId="9" fontId="0" fillId="2" borderId="0" xfId="0" applyNumberFormat="1" applyFill="1"/>
    <xf numFmtId="0" fontId="0" fillId="2" borderId="1" xfId="0" applyFill="1" applyBorder="1"/>
    <xf numFmtId="2" fontId="0" fillId="2" borderId="0" xfId="0" applyNumberFormat="1" applyFill="1"/>
    <xf numFmtId="10" fontId="3" fillId="2" borderId="0" xfId="1" applyNumberFormat="1" applyFont="1" applyFill="1"/>
    <xf numFmtId="0" fontId="5" fillId="2" borderId="1" xfId="0" applyFont="1" applyFill="1" applyBorder="1" applyAlignment="1">
      <alignment vertical="top"/>
    </xf>
    <xf numFmtId="0" fontId="4" fillId="2" borderId="0" xfId="0" applyFont="1" applyFill="1"/>
    <xf numFmtId="9" fontId="4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left"/>
    </xf>
    <xf numFmtId="14" fontId="3" fillId="2" borderId="0" xfId="0" applyNumberFormat="1" applyFont="1" applyFill="1"/>
    <xf numFmtId="0" fontId="7" fillId="2" borderId="1" xfId="0" applyFont="1" applyFill="1" applyBorder="1"/>
    <xf numFmtId="0" fontId="9" fillId="2" borderId="1" xfId="0" applyFont="1" applyFill="1" applyBorder="1"/>
    <xf numFmtId="0" fontId="11" fillId="2" borderId="1" xfId="0" applyFont="1" applyFill="1" applyBorder="1"/>
    <xf numFmtId="0" fontId="12" fillId="2" borderId="0" xfId="0" applyFont="1" applyFill="1"/>
    <xf numFmtId="0" fontId="0" fillId="2" borderId="2" xfId="0" applyFill="1" applyBorder="1"/>
    <xf numFmtId="10" fontId="4" fillId="2" borderId="1" xfId="1" applyNumberFormat="1" applyFont="1" applyFill="1" applyBorder="1"/>
    <xf numFmtId="0" fontId="4" fillId="2" borderId="1" xfId="0" applyFont="1" applyFill="1" applyBorder="1"/>
    <xf numFmtId="44" fontId="14" fillId="2" borderId="0" xfId="2" applyFont="1" applyFill="1" applyBorder="1"/>
    <xf numFmtId="164" fontId="14" fillId="2" borderId="0" xfId="0" applyNumberFormat="1" applyFont="1" applyFill="1"/>
    <xf numFmtId="10" fontId="14" fillId="2" borderId="0" xfId="1" applyNumberFormat="1" applyFont="1" applyFill="1"/>
    <xf numFmtId="0" fontId="0" fillId="2" borderId="0" xfId="0" applyFill="1" applyProtection="1">
      <protection hidden="1"/>
    </xf>
    <xf numFmtId="0" fontId="13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165" fontId="3" fillId="2" borderId="0" xfId="0" applyNumberFormat="1" applyFont="1" applyFill="1"/>
    <xf numFmtId="0" fontId="16" fillId="2" borderId="0" xfId="0" applyFont="1" applyFill="1"/>
    <xf numFmtId="10" fontId="4" fillId="2" borderId="0" xfId="0" applyNumberFormat="1" applyFont="1" applyFill="1"/>
    <xf numFmtId="0" fontId="15" fillId="2" borderId="0" xfId="0" applyFont="1" applyFill="1"/>
    <xf numFmtId="0" fontId="5" fillId="2" borderId="0" xfId="0" applyFont="1" applyFill="1" applyAlignment="1">
      <alignment vertical="top"/>
    </xf>
    <xf numFmtId="0" fontId="17" fillId="2" borderId="0" xfId="0" applyFont="1" applyFill="1"/>
    <xf numFmtId="2" fontId="18" fillId="2" borderId="0" xfId="0" applyNumberFormat="1" applyFont="1" applyFill="1"/>
    <xf numFmtId="166" fontId="3" fillId="2" borderId="0" xfId="2" applyNumberFormat="1" applyFont="1" applyFill="1"/>
    <xf numFmtId="166" fontId="3" fillId="2" borderId="0" xfId="0" applyNumberFormat="1" applyFont="1" applyFill="1"/>
    <xf numFmtId="166" fontId="3" fillId="2" borderId="0" xfId="2" applyNumberFormat="1" applyFont="1" applyFill="1" applyBorder="1" applyProtection="1">
      <protection hidden="1"/>
    </xf>
    <xf numFmtId="2" fontId="3" fillId="2" borderId="3" xfId="0" applyNumberFormat="1" applyFont="1" applyFill="1" applyBorder="1"/>
    <xf numFmtId="0" fontId="19" fillId="2" borderId="0" xfId="0" applyFont="1" applyFill="1"/>
    <xf numFmtId="0" fontId="4" fillId="2" borderId="0" xfId="0" applyFont="1" applyFill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8" fillId="2" borderId="1" xfId="0" applyFont="1" applyFill="1" applyBorder="1"/>
    <xf numFmtId="0" fontId="0" fillId="2" borderId="0" xfId="0" applyFill="1" applyAlignment="1">
      <alignment horizontal="center"/>
    </xf>
    <xf numFmtId="10" fontId="20" fillId="2" borderId="0" xfId="1" applyNumberFormat="1" applyFont="1" applyFill="1"/>
    <xf numFmtId="14" fontId="5" fillId="2" borderId="0" xfId="0" applyNumberFormat="1" applyFont="1" applyFill="1" applyAlignment="1">
      <alignment horizontal="left" vertical="center"/>
    </xf>
    <xf numFmtId="168" fontId="4" fillId="2" borderId="0" xfId="1" applyNumberFormat="1" applyFont="1" applyFill="1"/>
    <xf numFmtId="2" fontId="4" fillId="2" borderId="3" xfId="0" applyNumberFormat="1" applyFont="1" applyFill="1" applyBorder="1"/>
    <xf numFmtId="2" fontId="4" fillId="2" borderId="4" xfId="0" applyNumberFormat="1" applyFont="1" applyFill="1" applyBorder="1"/>
    <xf numFmtId="2" fontId="4" fillId="2" borderId="5" xfId="0" applyNumberFormat="1" applyFont="1" applyFill="1" applyBorder="1"/>
    <xf numFmtId="168" fontId="4" fillId="2" borderId="4" xfId="1" applyNumberFormat="1" applyFont="1" applyFill="1" applyBorder="1"/>
    <xf numFmtId="44" fontId="4" fillId="2" borderId="0" xfId="2" applyFont="1" applyFill="1"/>
    <xf numFmtId="0" fontId="4" fillId="2" borderId="2" xfId="0" applyFont="1" applyFill="1" applyBorder="1"/>
    <xf numFmtId="164" fontId="4" fillId="2" borderId="0" xfId="1" applyNumberFormat="1" applyFont="1" applyFill="1"/>
    <xf numFmtId="164" fontId="21" fillId="2" borderId="0" xfId="1" applyNumberFormat="1" applyFont="1" applyFill="1" applyAlignment="1">
      <alignment horizontal="left"/>
    </xf>
    <xf numFmtId="164" fontId="21" fillId="2" borderId="0" xfId="1" applyNumberFormat="1" applyFont="1" applyFill="1"/>
    <xf numFmtId="10" fontId="21" fillId="2" borderId="0" xfId="1" applyNumberFormat="1" applyFont="1" applyFill="1"/>
    <xf numFmtId="0" fontId="4" fillId="2" borderId="4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16" fillId="2" borderId="4" xfId="0" applyFont="1" applyFill="1" applyBorder="1"/>
    <xf numFmtId="0" fontId="21" fillId="2" borderId="4" xfId="0" applyFont="1" applyFill="1" applyBorder="1"/>
    <xf numFmtId="0" fontId="22" fillId="2" borderId="0" xfId="0" applyFont="1" applyFill="1"/>
    <xf numFmtId="167" fontId="4" fillId="2" borderId="1" xfId="0" applyNumberFormat="1" applyFont="1" applyFill="1" applyBorder="1" applyAlignment="1">
      <alignment horizontal="right"/>
    </xf>
    <xf numFmtId="0" fontId="5" fillId="2" borderId="0" xfId="0" applyFont="1" applyFill="1" applyAlignment="1">
      <alignment horizontal="left"/>
    </xf>
    <xf numFmtId="0" fontId="4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23" fillId="2" borderId="0" xfId="0" applyFont="1" applyFill="1"/>
    <xf numFmtId="44" fontId="4" fillId="2" borderId="0" xfId="0" applyNumberFormat="1" applyFont="1" applyFill="1"/>
    <xf numFmtId="168" fontId="21" fillId="2" borderId="0" xfId="0" applyNumberFormat="1" applyFont="1" applyFill="1"/>
    <xf numFmtId="169" fontId="4" fillId="2" borderId="0" xfId="1" applyNumberFormat="1" applyFont="1" applyFill="1"/>
    <xf numFmtId="164" fontId="4" fillId="2" borderId="0" xfId="0" applyNumberFormat="1" applyFont="1" applyFill="1"/>
    <xf numFmtId="0" fontId="24" fillId="2" borderId="1" xfId="0" applyFont="1" applyFill="1" applyBorder="1"/>
    <xf numFmtId="0" fontId="18" fillId="2" borderId="0" xfId="0" applyFont="1" applyFill="1"/>
    <xf numFmtId="0" fontId="25" fillId="2" borderId="1" xfId="0" applyFont="1" applyFill="1" applyBorder="1"/>
    <xf numFmtId="0" fontId="4" fillId="2" borderId="0" xfId="0" applyFont="1" applyFill="1" applyAlignment="1">
      <alignment horizontal="center"/>
    </xf>
    <xf numFmtId="0" fontId="25" fillId="2" borderId="1" xfId="0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7">
    <dxf>
      <font>
        <color theme="9" tint="0.39994506668294322"/>
      </font>
    </dxf>
    <dxf>
      <font>
        <color rgb="FFFF0000"/>
      </font>
    </dxf>
    <dxf>
      <font>
        <color rgb="FFFF0000"/>
      </font>
    </dxf>
    <dxf>
      <font>
        <color theme="9" tint="0.39994506668294322"/>
      </font>
    </dxf>
    <dxf>
      <font>
        <color rgb="FFFF0000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3B7D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ichStyles" Target="richData/rich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Array" Target="richData/rdarray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microsoft.com/office/2017/06/relationships/rdSupportingPropertyBag" Target="richData/rdsupportingpropertybag.xml"/><Relationship Id="rId10" Type="http://schemas.microsoft.com/office/2017/06/relationships/rdRichValue" Target="richData/rdrichvalue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06/relationships/rdSupportingPropertyBagStructure" Target="richData/rdsupportingpropertybag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Backdoor!$DC$5</c:f>
              <c:strCache>
                <c:ptCount val="1"/>
                <c:pt idx="0">
                  <c:v>AMZN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Backdoor!$DB$6:$DB$777</c:f>
              <c:numCache>
                <c:formatCode>m/d/yyyy</c:formatCode>
                <c:ptCount val="772"/>
                <c:pt idx="0">
                  <c:v>40238</c:v>
                </c:pt>
                <c:pt idx="1">
                  <c:v>40245</c:v>
                </c:pt>
                <c:pt idx="2">
                  <c:v>40252</c:v>
                </c:pt>
                <c:pt idx="3">
                  <c:v>40259</c:v>
                </c:pt>
                <c:pt idx="4">
                  <c:v>40266</c:v>
                </c:pt>
                <c:pt idx="5">
                  <c:v>40273</c:v>
                </c:pt>
                <c:pt idx="6">
                  <c:v>40280</c:v>
                </c:pt>
                <c:pt idx="7">
                  <c:v>40287</c:v>
                </c:pt>
                <c:pt idx="8">
                  <c:v>40294</c:v>
                </c:pt>
                <c:pt idx="9">
                  <c:v>40301</c:v>
                </c:pt>
                <c:pt idx="10">
                  <c:v>40308</c:v>
                </c:pt>
                <c:pt idx="11">
                  <c:v>40315</c:v>
                </c:pt>
                <c:pt idx="12">
                  <c:v>40322</c:v>
                </c:pt>
                <c:pt idx="13">
                  <c:v>40330</c:v>
                </c:pt>
                <c:pt idx="14">
                  <c:v>40336</c:v>
                </c:pt>
                <c:pt idx="15">
                  <c:v>40343</c:v>
                </c:pt>
                <c:pt idx="16">
                  <c:v>40350</c:v>
                </c:pt>
                <c:pt idx="17">
                  <c:v>40357</c:v>
                </c:pt>
                <c:pt idx="18">
                  <c:v>40365</c:v>
                </c:pt>
                <c:pt idx="19">
                  <c:v>40371</c:v>
                </c:pt>
                <c:pt idx="20">
                  <c:v>40378</c:v>
                </c:pt>
                <c:pt idx="21">
                  <c:v>40385</c:v>
                </c:pt>
                <c:pt idx="22">
                  <c:v>40392</c:v>
                </c:pt>
                <c:pt idx="23">
                  <c:v>40399</c:v>
                </c:pt>
                <c:pt idx="24">
                  <c:v>40406</c:v>
                </c:pt>
                <c:pt idx="25">
                  <c:v>40413</c:v>
                </c:pt>
                <c:pt idx="26">
                  <c:v>40420</c:v>
                </c:pt>
                <c:pt idx="27">
                  <c:v>40428</c:v>
                </c:pt>
                <c:pt idx="28">
                  <c:v>40434</c:v>
                </c:pt>
                <c:pt idx="29">
                  <c:v>40441</c:v>
                </c:pt>
                <c:pt idx="30">
                  <c:v>40448</c:v>
                </c:pt>
                <c:pt idx="31">
                  <c:v>40455</c:v>
                </c:pt>
                <c:pt idx="32">
                  <c:v>40462</c:v>
                </c:pt>
                <c:pt idx="33">
                  <c:v>40469</c:v>
                </c:pt>
                <c:pt idx="34">
                  <c:v>40476</c:v>
                </c:pt>
                <c:pt idx="35">
                  <c:v>40483</c:v>
                </c:pt>
                <c:pt idx="36">
                  <c:v>40490</c:v>
                </c:pt>
                <c:pt idx="37">
                  <c:v>40497</c:v>
                </c:pt>
                <c:pt idx="38">
                  <c:v>40504</c:v>
                </c:pt>
                <c:pt idx="39">
                  <c:v>40511</c:v>
                </c:pt>
                <c:pt idx="40">
                  <c:v>40518</c:v>
                </c:pt>
                <c:pt idx="41">
                  <c:v>40525</c:v>
                </c:pt>
                <c:pt idx="42">
                  <c:v>40532</c:v>
                </c:pt>
                <c:pt idx="43">
                  <c:v>40539</c:v>
                </c:pt>
                <c:pt idx="44">
                  <c:v>40546</c:v>
                </c:pt>
                <c:pt idx="45">
                  <c:v>40553</c:v>
                </c:pt>
                <c:pt idx="46">
                  <c:v>40561</c:v>
                </c:pt>
                <c:pt idx="47">
                  <c:v>40567</c:v>
                </c:pt>
                <c:pt idx="48">
                  <c:v>40574</c:v>
                </c:pt>
                <c:pt idx="49">
                  <c:v>40581</c:v>
                </c:pt>
                <c:pt idx="50">
                  <c:v>40588</c:v>
                </c:pt>
                <c:pt idx="51">
                  <c:v>40596</c:v>
                </c:pt>
                <c:pt idx="52">
                  <c:v>40602</c:v>
                </c:pt>
                <c:pt idx="53">
                  <c:v>40609</c:v>
                </c:pt>
                <c:pt idx="54">
                  <c:v>40616</c:v>
                </c:pt>
                <c:pt idx="55">
                  <c:v>40623</c:v>
                </c:pt>
                <c:pt idx="56">
                  <c:v>40630</c:v>
                </c:pt>
                <c:pt idx="57">
                  <c:v>40637</c:v>
                </c:pt>
                <c:pt idx="58">
                  <c:v>40644</c:v>
                </c:pt>
                <c:pt idx="59">
                  <c:v>40651</c:v>
                </c:pt>
                <c:pt idx="60">
                  <c:v>40658</c:v>
                </c:pt>
                <c:pt idx="61">
                  <c:v>40665</c:v>
                </c:pt>
                <c:pt idx="62">
                  <c:v>40672</c:v>
                </c:pt>
                <c:pt idx="63">
                  <c:v>40679</c:v>
                </c:pt>
                <c:pt idx="64">
                  <c:v>40686</c:v>
                </c:pt>
                <c:pt idx="65">
                  <c:v>40694</c:v>
                </c:pt>
                <c:pt idx="66">
                  <c:v>40700</c:v>
                </c:pt>
                <c:pt idx="67">
                  <c:v>40707</c:v>
                </c:pt>
                <c:pt idx="68">
                  <c:v>40714</c:v>
                </c:pt>
                <c:pt idx="69">
                  <c:v>40721</c:v>
                </c:pt>
                <c:pt idx="70">
                  <c:v>40729</c:v>
                </c:pt>
                <c:pt idx="71">
                  <c:v>40735</c:v>
                </c:pt>
                <c:pt idx="72">
                  <c:v>40742</c:v>
                </c:pt>
                <c:pt idx="73">
                  <c:v>40749</c:v>
                </c:pt>
                <c:pt idx="74">
                  <c:v>40756</c:v>
                </c:pt>
                <c:pt idx="75">
                  <c:v>40763</c:v>
                </c:pt>
                <c:pt idx="76">
                  <c:v>40770</c:v>
                </c:pt>
                <c:pt idx="77">
                  <c:v>40777</c:v>
                </c:pt>
                <c:pt idx="78">
                  <c:v>40784</c:v>
                </c:pt>
                <c:pt idx="79">
                  <c:v>40792</c:v>
                </c:pt>
                <c:pt idx="80">
                  <c:v>40798</c:v>
                </c:pt>
                <c:pt idx="81">
                  <c:v>40805</c:v>
                </c:pt>
                <c:pt idx="82">
                  <c:v>40812</c:v>
                </c:pt>
                <c:pt idx="83">
                  <c:v>40819</c:v>
                </c:pt>
                <c:pt idx="84">
                  <c:v>40826</c:v>
                </c:pt>
                <c:pt idx="85">
                  <c:v>40833</c:v>
                </c:pt>
                <c:pt idx="86">
                  <c:v>40840</c:v>
                </c:pt>
                <c:pt idx="87">
                  <c:v>40847</c:v>
                </c:pt>
                <c:pt idx="88">
                  <c:v>40854</c:v>
                </c:pt>
                <c:pt idx="89">
                  <c:v>40861</c:v>
                </c:pt>
                <c:pt idx="90">
                  <c:v>40868</c:v>
                </c:pt>
                <c:pt idx="91">
                  <c:v>40875</c:v>
                </c:pt>
                <c:pt idx="92">
                  <c:v>40882</c:v>
                </c:pt>
                <c:pt idx="93">
                  <c:v>40889</c:v>
                </c:pt>
                <c:pt idx="94">
                  <c:v>40896</c:v>
                </c:pt>
                <c:pt idx="95">
                  <c:v>40904</c:v>
                </c:pt>
                <c:pt idx="96">
                  <c:v>40911</c:v>
                </c:pt>
                <c:pt idx="97">
                  <c:v>40917</c:v>
                </c:pt>
                <c:pt idx="98">
                  <c:v>40925</c:v>
                </c:pt>
                <c:pt idx="99">
                  <c:v>40931</c:v>
                </c:pt>
                <c:pt idx="100">
                  <c:v>40938</c:v>
                </c:pt>
                <c:pt idx="101">
                  <c:v>40945</c:v>
                </c:pt>
                <c:pt idx="102">
                  <c:v>40952</c:v>
                </c:pt>
                <c:pt idx="103">
                  <c:v>40960</c:v>
                </c:pt>
                <c:pt idx="104">
                  <c:v>40966</c:v>
                </c:pt>
                <c:pt idx="105">
                  <c:v>40973</c:v>
                </c:pt>
                <c:pt idx="106">
                  <c:v>40980</c:v>
                </c:pt>
                <c:pt idx="107">
                  <c:v>40987</c:v>
                </c:pt>
                <c:pt idx="108">
                  <c:v>40994</c:v>
                </c:pt>
                <c:pt idx="109">
                  <c:v>41001</c:v>
                </c:pt>
                <c:pt idx="110">
                  <c:v>41008</c:v>
                </c:pt>
                <c:pt idx="111">
                  <c:v>41015</c:v>
                </c:pt>
                <c:pt idx="112">
                  <c:v>41022</c:v>
                </c:pt>
                <c:pt idx="113">
                  <c:v>41029</c:v>
                </c:pt>
                <c:pt idx="114">
                  <c:v>41036</c:v>
                </c:pt>
                <c:pt idx="115">
                  <c:v>41043</c:v>
                </c:pt>
                <c:pt idx="116">
                  <c:v>41050</c:v>
                </c:pt>
                <c:pt idx="117">
                  <c:v>41058</c:v>
                </c:pt>
                <c:pt idx="118">
                  <c:v>41064</c:v>
                </c:pt>
                <c:pt idx="119">
                  <c:v>41071</c:v>
                </c:pt>
                <c:pt idx="120">
                  <c:v>41078</c:v>
                </c:pt>
                <c:pt idx="121">
                  <c:v>41085</c:v>
                </c:pt>
                <c:pt idx="122">
                  <c:v>41092</c:v>
                </c:pt>
                <c:pt idx="123">
                  <c:v>41099</c:v>
                </c:pt>
                <c:pt idx="124">
                  <c:v>41106</c:v>
                </c:pt>
                <c:pt idx="125">
                  <c:v>41113</c:v>
                </c:pt>
                <c:pt idx="126">
                  <c:v>41120</c:v>
                </c:pt>
                <c:pt idx="127">
                  <c:v>41127</c:v>
                </c:pt>
                <c:pt idx="128">
                  <c:v>41134</c:v>
                </c:pt>
                <c:pt idx="129">
                  <c:v>41141</c:v>
                </c:pt>
                <c:pt idx="130">
                  <c:v>41148</c:v>
                </c:pt>
                <c:pt idx="131">
                  <c:v>41156</c:v>
                </c:pt>
                <c:pt idx="132">
                  <c:v>41162</c:v>
                </c:pt>
                <c:pt idx="133">
                  <c:v>41169</c:v>
                </c:pt>
                <c:pt idx="134">
                  <c:v>41176</c:v>
                </c:pt>
                <c:pt idx="135">
                  <c:v>41183</c:v>
                </c:pt>
                <c:pt idx="136">
                  <c:v>41190</c:v>
                </c:pt>
                <c:pt idx="137">
                  <c:v>41197</c:v>
                </c:pt>
                <c:pt idx="138">
                  <c:v>41204</c:v>
                </c:pt>
                <c:pt idx="139">
                  <c:v>41213</c:v>
                </c:pt>
                <c:pt idx="140">
                  <c:v>41218</c:v>
                </c:pt>
                <c:pt idx="141">
                  <c:v>41225</c:v>
                </c:pt>
                <c:pt idx="142">
                  <c:v>41232</c:v>
                </c:pt>
                <c:pt idx="143">
                  <c:v>41239</c:v>
                </c:pt>
                <c:pt idx="144">
                  <c:v>41246</c:v>
                </c:pt>
                <c:pt idx="145">
                  <c:v>41253</c:v>
                </c:pt>
                <c:pt idx="146">
                  <c:v>41260</c:v>
                </c:pt>
                <c:pt idx="147">
                  <c:v>41267</c:v>
                </c:pt>
                <c:pt idx="148">
                  <c:v>41274</c:v>
                </c:pt>
                <c:pt idx="149">
                  <c:v>41281</c:v>
                </c:pt>
                <c:pt idx="150">
                  <c:v>41288</c:v>
                </c:pt>
                <c:pt idx="151">
                  <c:v>41296</c:v>
                </c:pt>
                <c:pt idx="152">
                  <c:v>41302</c:v>
                </c:pt>
                <c:pt idx="153">
                  <c:v>41309</c:v>
                </c:pt>
                <c:pt idx="154">
                  <c:v>41316</c:v>
                </c:pt>
                <c:pt idx="155">
                  <c:v>41324</c:v>
                </c:pt>
                <c:pt idx="156">
                  <c:v>41330</c:v>
                </c:pt>
                <c:pt idx="157">
                  <c:v>41337</c:v>
                </c:pt>
                <c:pt idx="158">
                  <c:v>41344</c:v>
                </c:pt>
                <c:pt idx="159">
                  <c:v>41351</c:v>
                </c:pt>
                <c:pt idx="160">
                  <c:v>41358</c:v>
                </c:pt>
                <c:pt idx="161">
                  <c:v>41365</c:v>
                </c:pt>
                <c:pt idx="162">
                  <c:v>41372</c:v>
                </c:pt>
                <c:pt idx="163">
                  <c:v>41379</c:v>
                </c:pt>
                <c:pt idx="164">
                  <c:v>41386</c:v>
                </c:pt>
                <c:pt idx="165">
                  <c:v>41393</c:v>
                </c:pt>
                <c:pt idx="166">
                  <c:v>41400</c:v>
                </c:pt>
                <c:pt idx="167">
                  <c:v>41407</c:v>
                </c:pt>
                <c:pt idx="168">
                  <c:v>41414</c:v>
                </c:pt>
                <c:pt idx="169">
                  <c:v>41422</c:v>
                </c:pt>
                <c:pt idx="170">
                  <c:v>41428</c:v>
                </c:pt>
                <c:pt idx="171">
                  <c:v>41435</c:v>
                </c:pt>
                <c:pt idx="172">
                  <c:v>41442</c:v>
                </c:pt>
                <c:pt idx="173">
                  <c:v>41449</c:v>
                </c:pt>
                <c:pt idx="174">
                  <c:v>41456</c:v>
                </c:pt>
                <c:pt idx="175">
                  <c:v>41463</c:v>
                </c:pt>
                <c:pt idx="176">
                  <c:v>41470</c:v>
                </c:pt>
                <c:pt idx="177">
                  <c:v>41477</c:v>
                </c:pt>
                <c:pt idx="178">
                  <c:v>41484</c:v>
                </c:pt>
                <c:pt idx="179">
                  <c:v>41491</c:v>
                </c:pt>
                <c:pt idx="180">
                  <c:v>41498</c:v>
                </c:pt>
                <c:pt idx="181">
                  <c:v>41505</c:v>
                </c:pt>
                <c:pt idx="182">
                  <c:v>41512</c:v>
                </c:pt>
                <c:pt idx="183">
                  <c:v>41520</c:v>
                </c:pt>
                <c:pt idx="184">
                  <c:v>41526</c:v>
                </c:pt>
                <c:pt idx="185">
                  <c:v>41533</c:v>
                </c:pt>
                <c:pt idx="186">
                  <c:v>41540</c:v>
                </c:pt>
                <c:pt idx="187">
                  <c:v>41547</c:v>
                </c:pt>
                <c:pt idx="188">
                  <c:v>41554</c:v>
                </c:pt>
                <c:pt idx="189">
                  <c:v>41561</c:v>
                </c:pt>
                <c:pt idx="190">
                  <c:v>41568</c:v>
                </c:pt>
                <c:pt idx="191">
                  <c:v>41575</c:v>
                </c:pt>
                <c:pt idx="192">
                  <c:v>41582</c:v>
                </c:pt>
                <c:pt idx="193">
                  <c:v>41589</c:v>
                </c:pt>
                <c:pt idx="194">
                  <c:v>41596</c:v>
                </c:pt>
                <c:pt idx="195">
                  <c:v>41603</c:v>
                </c:pt>
                <c:pt idx="196">
                  <c:v>41610</c:v>
                </c:pt>
                <c:pt idx="197">
                  <c:v>41617</c:v>
                </c:pt>
                <c:pt idx="198">
                  <c:v>41624</c:v>
                </c:pt>
                <c:pt idx="199">
                  <c:v>41631</c:v>
                </c:pt>
                <c:pt idx="200">
                  <c:v>41638</c:v>
                </c:pt>
                <c:pt idx="201">
                  <c:v>41645</c:v>
                </c:pt>
                <c:pt idx="202">
                  <c:v>41652</c:v>
                </c:pt>
                <c:pt idx="203">
                  <c:v>41660</c:v>
                </c:pt>
                <c:pt idx="204">
                  <c:v>41666</c:v>
                </c:pt>
                <c:pt idx="205">
                  <c:v>41673</c:v>
                </c:pt>
                <c:pt idx="206">
                  <c:v>41680</c:v>
                </c:pt>
                <c:pt idx="207">
                  <c:v>41688</c:v>
                </c:pt>
                <c:pt idx="208">
                  <c:v>41694</c:v>
                </c:pt>
                <c:pt idx="209">
                  <c:v>41701</c:v>
                </c:pt>
                <c:pt idx="210">
                  <c:v>41708</c:v>
                </c:pt>
                <c:pt idx="211">
                  <c:v>41715</c:v>
                </c:pt>
                <c:pt idx="212">
                  <c:v>41722</c:v>
                </c:pt>
                <c:pt idx="213">
                  <c:v>41729</c:v>
                </c:pt>
                <c:pt idx="214">
                  <c:v>41736</c:v>
                </c:pt>
                <c:pt idx="215">
                  <c:v>41743</c:v>
                </c:pt>
                <c:pt idx="216">
                  <c:v>41750</c:v>
                </c:pt>
                <c:pt idx="217">
                  <c:v>41757</c:v>
                </c:pt>
                <c:pt idx="218">
                  <c:v>41764</c:v>
                </c:pt>
                <c:pt idx="219">
                  <c:v>41771</c:v>
                </c:pt>
                <c:pt idx="220">
                  <c:v>41778</c:v>
                </c:pt>
                <c:pt idx="221">
                  <c:v>41786</c:v>
                </c:pt>
                <c:pt idx="222">
                  <c:v>41792</c:v>
                </c:pt>
                <c:pt idx="223">
                  <c:v>41799</c:v>
                </c:pt>
                <c:pt idx="224">
                  <c:v>41806</c:v>
                </c:pt>
                <c:pt idx="225">
                  <c:v>41813</c:v>
                </c:pt>
                <c:pt idx="226">
                  <c:v>41820</c:v>
                </c:pt>
                <c:pt idx="227">
                  <c:v>41827</c:v>
                </c:pt>
                <c:pt idx="228">
                  <c:v>41834</c:v>
                </c:pt>
                <c:pt idx="229">
                  <c:v>41841</c:v>
                </c:pt>
                <c:pt idx="230">
                  <c:v>41848</c:v>
                </c:pt>
                <c:pt idx="231">
                  <c:v>41855</c:v>
                </c:pt>
                <c:pt idx="232">
                  <c:v>41862</c:v>
                </c:pt>
                <c:pt idx="233">
                  <c:v>41869</c:v>
                </c:pt>
                <c:pt idx="234">
                  <c:v>41876</c:v>
                </c:pt>
                <c:pt idx="235">
                  <c:v>41884</c:v>
                </c:pt>
                <c:pt idx="236">
                  <c:v>41890</c:v>
                </c:pt>
                <c:pt idx="237">
                  <c:v>41897</c:v>
                </c:pt>
                <c:pt idx="238">
                  <c:v>41904</c:v>
                </c:pt>
                <c:pt idx="239">
                  <c:v>41911</c:v>
                </c:pt>
                <c:pt idx="240">
                  <c:v>41918</c:v>
                </c:pt>
                <c:pt idx="241">
                  <c:v>41925</c:v>
                </c:pt>
                <c:pt idx="242">
                  <c:v>41932</c:v>
                </c:pt>
                <c:pt idx="243">
                  <c:v>41939</c:v>
                </c:pt>
                <c:pt idx="244">
                  <c:v>41946</c:v>
                </c:pt>
                <c:pt idx="245">
                  <c:v>41953</c:v>
                </c:pt>
                <c:pt idx="246">
                  <c:v>41960</c:v>
                </c:pt>
                <c:pt idx="247">
                  <c:v>41967</c:v>
                </c:pt>
                <c:pt idx="248">
                  <c:v>41974</c:v>
                </c:pt>
                <c:pt idx="249">
                  <c:v>41981</c:v>
                </c:pt>
                <c:pt idx="250">
                  <c:v>41988</c:v>
                </c:pt>
                <c:pt idx="251">
                  <c:v>41995</c:v>
                </c:pt>
                <c:pt idx="252">
                  <c:v>42002</c:v>
                </c:pt>
                <c:pt idx="253">
                  <c:v>42009</c:v>
                </c:pt>
                <c:pt idx="254">
                  <c:v>42016</c:v>
                </c:pt>
                <c:pt idx="255">
                  <c:v>42024</c:v>
                </c:pt>
                <c:pt idx="256">
                  <c:v>42030</c:v>
                </c:pt>
                <c:pt idx="257">
                  <c:v>42037</c:v>
                </c:pt>
                <c:pt idx="258">
                  <c:v>42044</c:v>
                </c:pt>
                <c:pt idx="259">
                  <c:v>42052</c:v>
                </c:pt>
                <c:pt idx="260">
                  <c:v>42058</c:v>
                </c:pt>
                <c:pt idx="261">
                  <c:v>42065</c:v>
                </c:pt>
                <c:pt idx="262">
                  <c:v>42072</c:v>
                </c:pt>
                <c:pt idx="263">
                  <c:v>42079</c:v>
                </c:pt>
                <c:pt idx="264">
                  <c:v>42086</c:v>
                </c:pt>
                <c:pt idx="265">
                  <c:v>42093</c:v>
                </c:pt>
                <c:pt idx="266">
                  <c:v>42100</c:v>
                </c:pt>
                <c:pt idx="267">
                  <c:v>42107</c:v>
                </c:pt>
                <c:pt idx="268">
                  <c:v>42114</c:v>
                </c:pt>
                <c:pt idx="269">
                  <c:v>42121</c:v>
                </c:pt>
                <c:pt idx="270">
                  <c:v>42128</c:v>
                </c:pt>
                <c:pt idx="271">
                  <c:v>42135</c:v>
                </c:pt>
                <c:pt idx="272">
                  <c:v>42142</c:v>
                </c:pt>
                <c:pt idx="273">
                  <c:v>42150</c:v>
                </c:pt>
                <c:pt idx="274">
                  <c:v>42156</c:v>
                </c:pt>
                <c:pt idx="275">
                  <c:v>42163</c:v>
                </c:pt>
                <c:pt idx="276">
                  <c:v>42170</c:v>
                </c:pt>
                <c:pt idx="277">
                  <c:v>42177</c:v>
                </c:pt>
                <c:pt idx="278">
                  <c:v>42184</c:v>
                </c:pt>
                <c:pt idx="279">
                  <c:v>42191</c:v>
                </c:pt>
                <c:pt idx="280">
                  <c:v>42198</c:v>
                </c:pt>
                <c:pt idx="281">
                  <c:v>42205</c:v>
                </c:pt>
                <c:pt idx="282">
                  <c:v>42212</c:v>
                </c:pt>
                <c:pt idx="283">
                  <c:v>42219</c:v>
                </c:pt>
                <c:pt idx="284">
                  <c:v>42226</c:v>
                </c:pt>
                <c:pt idx="285">
                  <c:v>42233</c:v>
                </c:pt>
                <c:pt idx="286">
                  <c:v>42240</c:v>
                </c:pt>
                <c:pt idx="287">
                  <c:v>42247</c:v>
                </c:pt>
                <c:pt idx="288">
                  <c:v>42255</c:v>
                </c:pt>
                <c:pt idx="289">
                  <c:v>42261</c:v>
                </c:pt>
                <c:pt idx="290">
                  <c:v>42268</c:v>
                </c:pt>
                <c:pt idx="291">
                  <c:v>42275</c:v>
                </c:pt>
                <c:pt idx="292">
                  <c:v>42282</c:v>
                </c:pt>
                <c:pt idx="293">
                  <c:v>42289</c:v>
                </c:pt>
                <c:pt idx="294">
                  <c:v>42296</c:v>
                </c:pt>
                <c:pt idx="295">
                  <c:v>42303</c:v>
                </c:pt>
                <c:pt idx="296">
                  <c:v>42310</c:v>
                </c:pt>
                <c:pt idx="297">
                  <c:v>42317</c:v>
                </c:pt>
                <c:pt idx="298">
                  <c:v>42324</c:v>
                </c:pt>
                <c:pt idx="299">
                  <c:v>42331</c:v>
                </c:pt>
                <c:pt idx="300">
                  <c:v>42338</c:v>
                </c:pt>
                <c:pt idx="301">
                  <c:v>42345</c:v>
                </c:pt>
                <c:pt idx="302">
                  <c:v>42352</c:v>
                </c:pt>
                <c:pt idx="303">
                  <c:v>42359</c:v>
                </c:pt>
                <c:pt idx="304">
                  <c:v>42366</c:v>
                </c:pt>
                <c:pt idx="305">
                  <c:v>42373</c:v>
                </c:pt>
                <c:pt idx="306">
                  <c:v>42380</c:v>
                </c:pt>
                <c:pt idx="307">
                  <c:v>42388</c:v>
                </c:pt>
                <c:pt idx="308">
                  <c:v>42394</c:v>
                </c:pt>
                <c:pt idx="309">
                  <c:v>42401</c:v>
                </c:pt>
                <c:pt idx="310">
                  <c:v>42408</c:v>
                </c:pt>
                <c:pt idx="311">
                  <c:v>42416</c:v>
                </c:pt>
                <c:pt idx="312">
                  <c:v>42422</c:v>
                </c:pt>
                <c:pt idx="313">
                  <c:v>42429</c:v>
                </c:pt>
                <c:pt idx="314">
                  <c:v>42436</c:v>
                </c:pt>
                <c:pt idx="315">
                  <c:v>42443</c:v>
                </c:pt>
                <c:pt idx="316">
                  <c:v>42450</c:v>
                </c:pt>
                <c:pt idx="317">
                  <c:v>42457</c:v>
                </c:pt>
                <c:pt idx="318">
                  <c:v>42464</c:v>
                </c:pt>
                <c:pt idx="319">
                  <c:v>42471</c:v>
                </c:pt>
                <c:pt idx="320">
                  <c:v>42478</c:v>
                </c:pt>
                <c:pt idx="321">
                  <c:v>42485</c:v>
                </c:pt>
                <c:pt idx="322">
                  <c:v>42492</c:v>
                </c:pt>
                <c:pt idx="323">
                  <c:v>42499</c:v>
                </c:pt>
                <c:pt idx="324">
                  <c:v>42506</c:v>
                </c:pt>
                <c:pt idx="325">
                  <c:v>42513</c:v>
                </c:pt>
                <c:pt idx="326">
                  <c:v>42521</c:v>
                </c:pt>
                <c:pt idx="327">
                  <c:v>42527</c:v>
                </c:pt>
                <c:pt idx="328">
                  <c:v>42534</c:v>
                </c:pt>
                <c:pt idx="329">
                  <c:v>42541</c:v>
                </c:pt>
                <c:pt idx="330">
                  <c:v>42548</c:v>
                </c:pt>
                <c:pt idx="331">
                  <c:v>42556</c:v>
                </c:pt>
                <c:pt idx="332">
                  <c:v>42562</c:v>
                </c:pt>
                <c:pt idx="333">
                  <c:v>42569</c:v>
                </c:pt>
                <c:pt idx="334">
                  <c:v>42576</c:v>
                </c:pt>
                <c:pt idx="335">
                  <c:v>42583</c:v>
                </c:pt>
                <c:pt idx="336">
                  <c:v>42590</c:v>
                </c:pt>
                <c:pt idx="337">
                  <c:v>42597</c:v>
                </c:pt>
                <c:pt idx="338">
                  <c:v>42604</c:v>
                </c:pt>
                <c:pt idx="339">
                  <c:v>42611</c:v>
                </c:pt>
                <c:pt idx="340">
                  <c:v>42619</c:v>
                </c:pt>
                <c:pt idx="341">
                  <c:v>42625</c:v>
                </c:pt>
                <c:pt idx="342">
                  <c:v>42632</c:v>
                </c:pt>
                <c:pt idx="343">
                  <c:v>42639</c:v>
                </c:pt>
                <c:pt idx="344">
                  <c:v>42646</c:v>
                </c:pt>
                <c:pt idx="345">
                  <c:v>42653</c:v>
                </c:pt>
                <c:pt idx="346">
                  <c:v>42660</c:v>
                </c:pt>
                <c:pt idx="347">
                  <c:v>42667</c:v>
                </c:pt>
                <c:pt idx="348">
                  <c:v>42674</c:v>
                </c:pt>
                <c:pt idx="349">
                  <c:v>42681</c:v>
                </c:pt>
                <c:pt idx="350">
                  <c:v>42688</c:v>
                </c:pt>
                <c:pt idx="351">
                  <c:v>42695</c:v>
                </c:pt>
                <c:pt idx="352">
                  <c:v>42702</c:v>
                </c:pt>
                <c:pt idx="353">
                  <c:v>42709</c:v>
                </c:pt>
                <c:pt idx="354">
                  <c:v>42716</c:v>
                </c:pt>
                <c:pt idx="355">
                  <c:v>42723</c:v>
                </c:pt>
                <c:pt idx="356">
                  <c:v>42731</c:v>
                </c:pt>
                <c:pt idx="357">
                  <c:v>42738</c:v>
                </c:pt>
                <c:pt idx="358">
                  <c:v>42744</c:v>
                </c:pt>
                <c:pt idx="359">
                  <c:v>42752</c:v>
                </c:pt>
                <c:pt idx="360">
                  <c:v>42758</c:v>
                </c:pt>
                <c:pt idx="361">
                  <c:v>42765</c:v>
                </c:pt>
                <c:pt idx="362">
                  <c:v>42772</c:v>
                </c:pt>
                <c:pt idx="363">
                  <c:v>42779</c:v>
                </c:pt>
                <c:pt idx="364">
                  <c:v>42787</c:v>
                </c:pt>
                <c:pt idx="365">
                  <c:v>42793</c:v>
                </c:pt>
                <c:pt idx="366">
                  <c:v>42800</c:v>
                </c:pt>
                <c:pt idx="367">
                  <c:v>42807</c:v>
                </c:pt>
                <c:pt idx="368">
                  <c:v>42814</c:v>
                </c:pt>
                <c:pt idx="369">
                  <c:v>42821</c:v>
                </c:pt>
                <c:pt idx="370">
                  <c:v>42828</c:v>
                </c:pt>
                <c:pt idx="371">
                  <c:v>42835</c:v>
                </c:pt>
                <c:pt idx="372">
                  <c:v>42842</c:v>
                </c:pt>
                <c:pt idx="373">
                  <c:v>42849</c:v>
                </c:pt>
                <c:pt idx="374">
                  <c:v>42856</c:v>
                </c:pt>
                <c:pt idx="375">
                  <c:v>42863</c:v>
                </c:pt>
                <c:pt idx="376">
                  <c:v>42870</c:v>
                </c:pt>
                <c:pt idx="377">
                  <c:v>42877</c:v>
                </c:pt>
                <c:pt idx="378">
                  <c:v>42885</c:v>
                </c:pt>
                <c:pt idx="379">
                  <c:v>42891</c:v>
                </c:pt>
                <c:pt idx="380">
                  <c:v>42898</c:v>
                </c:pt>
                <c:pt idx="381">
                  <c:v>42905</c:v>
                </c:pt>
                <c:pt idx="382">
                  <c:v>42912</c:v>
                </c:pt>
                <c:pt idx="383">
                  <c:v>42919</c:v>
                </c:pt>
                <c:pt idx="384">
                  <c:v>42926</c:v>
                </c:pt>
                <c:pt idx="385">
                  <c:v>42933</c:v>
                </c:pt>
                <c:pt idx="386">
                  <c:v>42940</c:v>
                </c:pt>
                <c:pt idx="387">
                  <c:v>42947</c:v>
                </c:pt>
                <c:pt idx="388">
                  <c:v>42954</c:v>
                </c:pt>
                <c:pt idx="389">
                  <c:v>42961</c:v>
                </c:pt>
                <c:pt idx="390">
                  <c:v>42968</c:v>
                </c:pt>
                <c:pt idx="391">
                  <c:v>42975</c:v>
                </c:pt>
                <c:pt idx="392">
                  <c:v>42983</c:v>
                </c:pt>
                <c:pt idx="393">
                  <c:v>42989</c:v>
                </c:pt>
                <c:pt idx="394">
                  <c:v>42996</c:v>
                </c:pt>
                <c:pt idx="395">
                  <c:v>43003</c:v>
                </c:pt>
                <c:pt idx="396">
                  <c:v>43010</c:v>
                </c:pt>
                <c:pt idx="397">
                  <c:v>43017</c:v>
                </c:pt>
                <c:pt idx="398">
                  <c:v>43024</c:v>
                </c:pt>
                <c:pt idx="399">
                  <c:v>43031</c:v>
                </c:pt>
                <c:pt idx="400">
                  <c:v>43038</c:v>
                </c:pt>
                <c:pt idx="401">
                  <c:v>43045</c:v>
                </c:pt>
                <c:pt idx="402">
                  <c:v>43052</c:v>
                </c:pt>
                <c:pt idx="403">
                  <c:v>43059</c:v>
                </c:pt>
                <c:pt idx="404">
                  <c:v>43066</c:v>
                </c:pt>
                <c:pt idx="405">
                  <c:v>43073</c:v>
                </c:pt>
                <c:pt idx="406">
                  <c:v>43080</c:v>
                </c:pt>
                <c:pt idx="407">
                  <c:v>43087</c:v>
                </c:pt>
                <c:pt idx="408">
                  <c:v>43095</c:v>
                </c:pt>
                <c:pt idx="409">
                  <c:v>43102</c:v>
                </c:pt>
                <c:pt idx="410">
                  <c:v>43108</c:v>
                </c:pt>
                <c:pt idx="411">
                  <c:v>43116</c:v>
                </c:pt>
                <c:pt idx="412">
                  <c:v>43122</c:v>
                </c:pt>
                <c:pt idx="413">
                  <c:v>43129</c:v>
                </c:pt>
                <c:pt idx="414">
                  <c:v>43136</c:v>
                </c:pt>
                <c:pt idx="415">
                  <c:v>43143</c:v>
                </c:pt>
                <c:pt idx="416">
                  <c:v>43151</c:v>
                </c:pt>
                <c:pt idx="417">
                  <c:v>43157</c:v>
                </c:pt>
                <c:pt idx="418">
                  <c:v>43164</c:v>
                </c:pt>
                <c:pt idx="419">
                  <c:v>43171</c:v>
                </c:pt>
                <c:pt idx="420">
                  <c:v>43178</c:v>
                </c:pt>
                <c:pt idx="421">
                  <c:v>43185</c:v>
                </c:pt>
                <c:pt idx="422">
                  <c:v>43192</c:v>
                </c:pt>
                <c:pt idx="423">
                  <c:v>43199</c:v>
                </c:pt>
                <c:pt idx="424">
                  <c:v>43206</c:v>
                </c:pt>
                <c:pt idx="425">
                  <c:v>43213</c:v>
                </c:pt>
                <c:pt idx="426">
                  <c:v>43220</c:v>
                </c:pt>
                <c:pt idx="427">
                  <c:v>43227</c:v>
                </c:pt>
                <c:pt idx="428">
                  <c:v>43234</c:v>
                </c:pt>
                <c:pt idx="429">
                  <c:v>43241</c:v>
                </c:pt>
                <c:pt idx="430">
                  <c:v>43249</c:v>
                </c:pt>
                <c:pt idx="431">
                  <c:v>43255</c:v>
                </c:pt>
                <c:pt idx="432">
                  <c:v>43262</c:v>
                </c:pt>
                <c:pt idx="433">
                  <c:v>43269</c:v>
                </c:pt>
                <c:pt idx="434">
                  <c:v>43276</c:v>
                </c:pt>
                <c:pt idx="435">
                  <c:v>43283</c:v>
                </c:pt>
                <c:pt idx="436">
                  <c:v>43290</c:v>
                </c:pt>
                <c:pt idx="437">
                  <c:v>43297</c:v>
                </c:pt>
                <c:pt idx="438">
                  <c:v>43304</c:v>
                </c:pt>
                <c:pt idx="439">
                  <c:v>43311</c:v>
                </c:pt>
                <c:pt idx="440">
                  <c:v>43318</c:v>
                </c:pt>
                <c:pt idx="441">
                  <c:v>43325</c:v>
                </c:pt>
                <c:pt idx="442">
                  <c:v>43332</c:v>
                </c:pt>
                <c:pt idx="443">
                  <c:v>43339</c:v>
                </c:pt>
                <c:pt idx="444">
                  <c:v>43347</c:v>
                </c:pt>
                <c:pt idx="445">
                  <c:v>43353</c:v>
                </c:pt>
                <c:pt idx="446">
                  <c:v>43360</c:v>
                </c:pt>
                <c:pt idx="447">
                  <c:v>43367</c:v>
                </c:pt>
                <c:pt idx="448">
                  <c:v>43374</c:v>
                </c:pt>
                <c:pt idx="449">
                  <c:v>43381</c:v>
                </c:pt>
                <c:pt idx="450">
                  <c:v>43388</c:v>
                </c:pt>
                <c:pt idx="451">
                  <c:v>43395</c:v>
                </c:pt>
                <c:pt idx="452">
                  <c:v>43402</c:v>
                </c:pt>
                <c:pt idx="453">
                  <c:v>43409</c:v>
                </c:pt>
                <c:pt idx="454">
                  <c:v>43416</c:v>
                </c:pt>
                <c:pt idx="455">
                  <c:v>43423</c:v>
                </c:pt>
                <c:pt idx="456">
                  <c:v>43430</c:v>
                </c:pt>
                <c:pt idx="457">
                  <c:v>43437</c:v>
                </c:pt>
                <c:pt idx="458">
                  <c:v>43444</c:v>
                </c:pt>
                <c:pt idx="459">
                  <c:v>43451</c:v>
                </c:pt>
                <c:pt idx="460">
                  <c:v>43458</c:v>
                </c:pt>
                <c:pt idx="461">
                  <c:v>43465</c:v>
                </c:pt>
                <c:pt idx="462">
                  <c:v>43472</c:v>
                </c:pt>
                <c:pt idx="463">
                  <c:v>43479</c:v>
                </c:pt>
                <c:pt idx="464">
                  <c:v>43487</c:v>
                </c:pt>
                <c:pt idx="465">
                  <c:v>43493</c:v>
                </c:pt>
                <c:pt idx="466">
                  <c:v>43500</c:v>
                </c:pt>
                <c:pt idx="467">
                  <c:v>43507</c:v>
                </c:pt>
                <c:pt idx="468">
                  <c:v>43515</c:v>
                </c:pt>
                <c:pt idx="469">
                  <c:v>43521</c:v>
                </c:pt>
                <c:pt idx="470">
                  <c:v>43528</c:v>
                </c:pt>
                <c:pt idx="471">
                  <c:v>43535</c:v>
                </c:pt>
                <c:pt idx="472">
                  <c:v>43542</c:v>
                </c:pt>
                <c:pt idx="473">
                  <c:v>43549</c:v>
                </c:pt>
                <c:pt idx="474">
                  <c:v>43556</c:v>
                </c:pt>
                <c:pt idx="475">
                  <c:v>43563</c:v>
                </c:pt>
                <c:pt idx="476">
                  <c:v>43570</c:v>
                </c:pt>
                <c:pt idx="477">
                  <c:v>43577</c:v>
                </c:pt>
                <c:pt idx="478">
                  <c:v>43584</c:v>
                </c:pt>
                <c:pt idx="479">
                  <c:v>43591</c:v>
                </c:pt>
                <c:pt idx="480">
                  <c:v>43598</c:v>
                </c:pt>
                <c:pt idx="481">
                  <c:v>43605</c:v>
                </c:pt>
                <c:pt idx="482">
                  <c:v>43613</c:v>
                </c:pt>
                <c:pt idx="483">
                  <c:v>43619</c:v>
                </c:pt>
                <c:pt idx="484">
                  <c:v>43626</c:v>
                </c:pt>
                <c:pt idx="485">
                  <c:v>43633</c:v>
                </c:pt>
                <c:pt idx="486">
                  <c:v>43640</c:v>
                </c:pt>
                <c:pt idx="487">
                  <c:v>43647</c:v>
                </c:pt>
                <c:pt idx="488">
                  <c:v>43654</c:v>
                </c:pt>
                <c:pt idx="489">
                  <c:v>43661</c:v>
                </c:pt>
                <c:pt idx="490">
                  <c:v>43668</c:v>
                </c:pt>
                <c:pt idx="491">
                  <c:v>43675</c:v>
                </c:pt>
                <c:pt idx="492">
                  <c:v>43682</c:v>
                </c:pt>
                <c:pt idx="493">
                  <c:v>43689</c:v>
                </c:pt>
                <c:pt idx="494">
                  <c:v>43696</c:v>
                </c:pt>
                <c:pt idx="495">
                  <c:v>43703</c:v>
                </c:pt>
                <c:pt idx="496">
                  <c:v>43711</c:v>
                </c:pt>
                <c:pt idx="497">
                  <c:v>43717</c:v>
                </c:pt>
                <c:pt idx="498">
                  <c:v>43724</c:v>
                </c:pt>
                <c:pt idx="499">
                  <c:v>43731</c:v>
                </c:pt>
                <c:pt idx="500">
                  <c:v>43738</c:v>
                </c:pt>
                <c:pt idx="501">
                  <c:v>43745</c:v>
                </c:pt>
                <c:pt idx="502">
                  <c:v>43752</c:v>
                </c:pt>
                <c:pt idx="503">
                  <c:v>43759</c:v>
                </c:pt>
                <c:pt idx="504">
                  <c:v>43766</c:v>
                </c:pt>
                <c:pt idx="505">
                  <c:v>43773</c:v>
                </c:pt>
                <c:pt idx="506">
                  <c:v>43780</c:v>
                </c:pt>
                <c:pt idx="507">
                  <c:v>43787</c:v>
                </c:pt>
                <c:pt idx="508">
                  <c:v>43794</c:v>
                </c:pt>
                <c:pt idx="509">
                  <c:v>43801</c:v>
                </c:pt>
                <c:pt idx="510">
                  <c:v>43808</c:v>
                </c:pt>
                <c:pt idx="511">
                  <c:v>43815</c:v>
                </c:pt>
                <c:pt idx="512">
                  <c:v>43822</c:v>
                </c:pt>
                <c:pt idx="513">
                  <c:v>43829</c:v>
                </c:pt>
                <c:pt idx="514">
                  <c:v>43836</c:v>
                </c:pt>
                <c:pt idx="515">
                  <c:v>43843</c:v>
                </c:pt>
                <c:pt idx="516">
                  <c:v>43851</c:v>
                </c:pt>
                <c:pt idx="517">
                  <c:v>43857</c:v>
                </c:pt>
                <c:pt idx="518">
                  <c:v>43864</c:v>
                </c:pt>
                <c:pt idx="519">
                  <c:v>43871</c:v>
                </c:pt>
                <c:pt idx="520">
                  <c:v>43879</c:v>
                </c:pt>
                <c:pt idx="521">
                  <c:v>43885</c:v>
                </c:pt>
                <c:pt idx="522">
                  <c:v>43892</c:v>
                </c:pt>
                <c:pt idx="523">
                  <c:v>43899</c:v>
                </c:pt>
                <c:pt idx="524">
                  <c:v>43906</c:v>
                </c:pt>
                <c:pt idx="525">
                  <c:v>43913</c:v>
                </c:pt>
                <c:pt idx="526">
                  <c:v>43920</c:v>
                </c:pt>
                <c:pt idx="527">
                  <c:v>43927</c:v>
                </c:pt>
                <c:pt idx="528">
                  <c:v>43934</c:v>
                </c:pt>
                <c:pt idx="529">
                  <c:v>43941</c:v>
                </c:pt>
                <c:pt idx="530">
                  <c:v>43948</c:v>
                </c:pt>
                <c:pt idx="531">
                  <c:v>43955</c:v>
                </c:pt>
                <c:pt idx="532">
                  <c:v>43962</c:v>
                </c:pt>
                <c:pt idx="533">
                  <c:v>43969</c:v>
                </c:pt>
                <c:pt idx="534">
                  <c:v>43977</c:v>
                </c:pt>
                <c:pt idx="535">
                  <c:v>43983</c:v>
                </c:pt>
                <c:pt idx="536">
                  <c:v>43990</c:v>
                </c:pt>
                <c:pt idx="537">
                  <c:v>43997</c:v>
                </c:pt>
                <c:pt idx="538">
                  <c:v>44004</c:v>
                </c:pt>
                <c:pt idx="539">
                  <c:v>44011</c:v>
                </c:pt>
                <c:pt idx="540">
                  <c:v>44018</c:v>
                </c:pt>
                <c:pt idx="541">
                  <c:v>44025</c:v>
                </c:pt>
                <c:pt idx="542">
                  <c:v>44032</c:v>
                </c:pt>
                <c:pt idx="543">
                  <c:v>44039</c:v>
                </c:pt>
                <c:pt idx="544">
                  <c:v>44046</c:v>
                </c:pt>
                <c:pt idx="545">
                  <c:v>44053</c:v>
                </c:pt>
                <c:pt idx="546">
                  <c:v>44060</c:v>
                </c:pt>
                <c:pt idx="547">
                  <c:v>44067</c:v>
                </c:pt>
                <c:pt idx="548">
                  <c:v>44074</c:v>
                </c:pt>
                <c:pt idx="549">
                  <c:v>44082</c:v>
                </c:pt>
                <c:pt idx="550">
                  <c:v>44088</c:v>
                </c:pt>
                <c:pt idx="551">
                  <c:v>44095</c:v>
                </c:pt>
                <c:pt idx="552">
                  <c:v>44102</c:v>
                </c:pt>
                <c:pt idx="553">
                  <c:v>44109</c:v>
                </c:pt>
                <c:pt idx="554">
                  <c:v>44116</c:v>
                </c:pt>
                <c:pt idx="555">
                  <c:v>44123</c:v>
                </c:pt>
                <c:pt idx="556">
                  <c:v>44130</c:v>
                </c:pt>
                <c:pt idx="557">
                  <c:v>44137</c:v>
                </c:pt>
                <c:pt idx="558">
                  <c:v>44144</c:v>
                </c:pt>
                <c:pt idx="559">
                  <c:v>44151</c:v>
                </c:pt>
                <c:pt idx="560">
                  <c:v>44158</c:v>
                </c:pt>
                <c:pt idx="561">
                  <c:v>44165</c:v>
                </c:pt>
                <c:pt idx="562">
                  <c:v>44172</c:v>
                </c:pt>
                <c:pt idx="563">
                  <c:v>44179</c:v>
                </c:pt>
                <c:pt idx="564">
                  <c:v>44186</c:v>
                </c:pt>
                <c:pt idx="565">
                  <c:v>44193</c:v>
                </c:pt>
                <c:pt idx="566">
                  <c:v>44200</c:v>
                </c:pt>
                <c:pt idx="567">
                  <c:v>44207</c:v>
                </c:pt>
                <c:pt idx="568">
                  <c:v>44215</c:v>
                </c:pt>
                <c:pt idx="569">
                  <c:v>44221</c:v>
                </c:pt>
                <c:pt idx="570">
                  <c:v>44228</c:v>
                </c:pt>
                <c:pt idx="571">
                  <c:v>44235</c:v>
                </c:pt>
                <c:pt idx="572">
                  <c:v>44243</c:v>
                </c:pt>
                <c:pt idx="573">
                  <c:v>44249</c:v>
                </c:pt>
                <c:pt idx="574">
                  <c:v>44256</c:v>
                </c:pt>
                <c:pt idx="575">
                  <c:v>44263</c:v>
                </c:pt>
                <c:pt idx="576">
                  <c:v>44270</c:v>
                </c:pt>
                <c:pt idx="577">
                  <c:v>44277</c:v>
                </c:pt>
                <c:pt idx="578">
                  <c:v>44284</c:v>
                </c:pt>
                <c:pt idx="579">
                  <c:v>44291</c:v>
                </c:pt>
                <c:pt idx="580">
                  <c:v>44298</c:v>
                </c:pt>
                <c:pt idx="581">
                  <c:v>44305</c:v>
                </c:pt>
                <c:pt idx="582">
                  <c:v>44312</c:v>
                </c:pt>
                <c:pt idx="583">
                  <c:v>44319</c:v>
                </c:pt>
                <c:pt idx="584">
                  <c:v>44326</c:v>
                </c:pt>
                <c:pt idx="585">
                  <c:v>44333</c:v>
                </c:pt>
                <c:pt idx="586">
                  <c:v>44340</c:v>
                </c:pt>
                <c:pt idx="587">
                  <c:v>44348</c:v>
                </c:pt>
                <c:pt idx="588">
                  <c:v>44354</c:v>
                </c:pt>
                <c:pt idx="589">
                  <c:v>44361</c:v>
                </c:pt>
                <c:pt idx="590">
                  <c:v>44368</c:v>
                </c:pt>
                <c:pt idx="591">
                  <c:v>44375</c:v>
                </c:pt>
                <c:pt idx="592">
                  <c:v>44383</c:v>
                </c:pt>
                <c:pt idx="593">
                  <c:v>44389</c:v>
                </c:pt>
                <c:pt idx="594">
                  <c:v>44396</c:v>
                </c:pt>
                <c:pt idx="595">
                  <c:v>44403</c:v>
                </c:pt>
                <c:pt idx="596">
                  <c:v>44410</c:v>
                </c:pt>
                <c:pt idx="597">
                  <c:v>44417</c:v>
                </c:pt>
                <c:pt idx="598">
                  <c:v>44424</c:v>
                </c:pt>
                <c:pt idx="599">
                  <c:v>44431</c:v>
                </c:pt>
                <c:pt idx="600">
                  <c:v>44438</c:v>
                </c:pt>
                <c:pt idx="601">
                  <c:v>44446</c:v>
                </c:pt>
                <c:pt idx="602">
                  <c:v>44452</c:v>
                </c:pt>
                <c:pt idx="603">
                  <c:v>44459</c:v>
                </c:pt>
                <c:pt idx="604">
                  <c:v>44466</c:v>
                </c:pt>
                <c:pt idx="605">
                  <c:v>44473</c:v>
                </c:pt>
                <c:pt idx="606">
                  <c:v>44480</c:v>
                </c:pt>
                <c:pt idx="607">
                  <c:v>44487</c:v>
                </c:pt>
                <c:pt idx="608">
                  <c:v>44494</c:v>
                </c:pt>
                <c:pt idx="609">
                  <c:v>44501</c:v>
                </c:pt>
                <c:pt idx="610">
                  <c:v>44508</c:v>
                </c:pt>
                <c:pt idx="611">
                  <c:v>44515</c:v>
                </c:pt>
                <c:pt idx="612">
                  <c:v>44522</c:v>
                </c:pt>
                <c:pt idx="613">
                  <c:v>44529</c:v>
                </c:pt>
                <c:pt idx="614">
                  <c:v>44536</c:v>
                </c:pt>
                <c:pt idx="615">
                  <c:v>44543</c:v>
                </c:pt>
                <c:pt idx="616">
                  <c:v>44550</c:v>
                </c:pt>
                <c:pt idx="617">
                  <c:v>44557</c:v>
                </c:pt>
                <c:pt idx="618">
                  <c:v>44564</c:v>
                </c:pt>
                <c:pt idx="619">
                  <c:v>44571</c:v>
                </c:pt>
                <c:pt idx="620">
                  <c:v>44579</c:v>
                </c:pt>
                <c:pt idx="621">
                  <c:v>44585</c:v>
                </c:pt>
                <c:pt idx="622">
                  <c:v>44592</c:v>
                </c:pt>
                <c:pt idx="623">
                  <c:v>44599</c:v>
                </c:pt>
                <c:pt idx="624">
                  <c:v>44606</c:v>
                </c:pt>
                <c:pt idx="625">
                  <c:v>44614</c:v>
                </c:pt>
                <c:pt idx="626">
                  <c:v>44620</c:v>
                </c:pt>
                <c:pt idx="627">
                  <c:v>44627</c:v>
                </c:pt>
                <c:pt idx="628">
                  <c:v>44634</c:v>
                </c:pt>
                <c:pt idx="629">
                  <c:v>44641</c:v>
                </c:pt>
                <c:pt idx="630">
                  <c:v>44648</c:v>
                </c:pt>
                <c:pt idx="631">
                  <c:v>44655</c:v>
                </c:pt>
                <c:pt idx="632">
                  <c:v>44662</c:v>
                </c:pt>
                <c:pt idx="633">
                  <c:v>44669</c:v>
                </c:pt>
                <c:pt idx="634">
                  <c:v>44676</c:v>
                </c:pt>
                <c:pt idx="635">
                  <c:v>44683</c:v>
                </c:pt>
                <c:pt idx="636">
                  <c:v>44690</c:v>
                </c:pt>
                <c:pt idx="637">
                  <c:v>44697</c:v>
                </c:pt>
                <c:pt idx="638">
                  <c:v>44704</c:v>
                </c:pt>
                <c:pt idx="639">
                  <c:v>44712</c:v>
                </c:pt>
                <c:pt idx="640">
                  <c:v>44718</c:v>
                </c:pt>
                <c:pt idx="641">
                  <c:v>44725</c:v>
                </c:pt>
                <c:pt idx="642">
                  <c:v>44733</c:v>
                </c:pt>
                <c:pt idx="643">
                  <c:v>44739</c:v>
                </c:pt>
                <c:pt idx="644">
                  <c:v>44747</c:v>
                </c:pt>
                <c:pt idx="645">
                  <c:v>44753</c:v>
                </c:pt>
                <c:pt idx="646">
                  <c:v>44760</c:v>
                </c:pt>
                <c:pt idx="647">
                  <c:v>44767</c:v>
                </c:pt>
                <c:pt idx="648">
                  <c:v>44774</c:v>
                </c:pt>
                <c:pt idx="649">
                  <c:v>44781</c:v>
                </c:pt>
                <c:pt idx="650">
                  <c:v>44788</c:v>
                </c:pt>
                <c:pt idx="651">
                  <c:v>44795</c:v>
                </c:pt>
                <c:pt idx="652">
                  <c:v>44802</c:v>
                </c:pt>
                <c:pt idx="653">
                  <c:v>44810</c:v>
                </c:pt>
                <c:pt idx="654">
                  <c:v>44816</c:v>
                </c:pt>
                <c:pt idx="655">
                  <c:v>44823</c:v>
                </c:pt>
                <c:pt idx="656">
                  <c:v>44830</c:v>
                </c:pt>
                <c:pt idx="657">
                  <c:v>44837</c:v>
                </c:pt>
                <c:pt idx="658">
                  <c:v>44844</c:v>
                </c:pt>
                <c:pt idx="659">
                  <c:v>44851</c:v>
                </c:pt>
                <c:pt idx="660">
                  <c:v>44858</c:v>
                </c:pt>
                <c:pt idx="661">
                  <c:v>44865</c:v>
                </c:pt>
                <c:pt idx="662">
                  <c:v>44872</c:v>
                </c:pt>
                <c:pt idx="663">
                  <c:v>44879</c:v>
                </c:pt>
                <c:pt idx="664">
                  <c:v>44886</c:v>
                </c:pt>
                <c:pt idx="665">
                  <c:v>44893</c:v>
                </c:pt>
                <c:pt idx="666">
                  <c:v>44900</c:v>
                </c:pt>
                <c:pt idx="667">
                  <c:v>44907</c:v>
                </c:pt>
                <c:pt idx="668">
                  <c:v>44914</c:v>
                </c:pt>
                <c:pt idx="669">
                  <c:v>44922</c:v>
                </c:pt>
                <c:pt idx="670">
                  <c:v>44929</c:v>
                </c:pt>
                <c:pt idx="671">
                  <c:v>44935</c:v>
                </c:pt>
                <c:pt idx="672">
                  <c:v>44943</c:v>
                </c:pt>
                <c:pt idx="673">
                  <c:v>44949</c:v>
                </c:pt>
                <c:pt idx="674">
                  <c:v>44956</c:v>
                </c:pt>
                <c:pt idx="675">
                  <c:v>44963</c:v>
                </c:pt>
                <c:pt idx="676">
                  <c:v>44970</c:v>
                </c:pt>
                <c:pt idx="677">
                  <c:v>44978</c:v>
                </c:pt>
                <c:pt idx="678">
                  <c:v>44984</c:v>
                </c:pt>
                <c:pt idx="679">
                  <c:v>44991</c:v>
                </c:pt>
                <c:pt idx="680">
                  <c:v>44998</c:v>
                </c:pt>
                <c:pt idx="681">
                  <c:v>45005</c:v>
                </c:pt>
                <c:pt idx="682">
                  <c:v>45012</c:v>
                </c:pt>
                <c:pt idx="683">
                  <c:v>45019</c:v>
                </c:pt>
                <c:pt idx="684">
                  <c:v>45026</c:v>
                </c:pt>
                <c:pt idx="685">
                  <c:v>45033</c:v>
                </c:pt>
                <c:pt idx="686">
                  <c:v>45040</c:v>
                </c:pt>
                <c:pt idx="687">
                  <c:v>45047</c:v>
                </c:pt>
                <c:pt idx="688">
                  <c:v>45054</c:v>
                </c:pt>
                <c:pt idx="689">
                  <c:v>45061</c:v>
                </c:pt>
                <c:pt idx="690">
                  <c:v>45068</c:v>
                </c:pt>
                <c:pt idx="691">
                  <c:v>45076</c:v>
                </c:pt>
                <c:pt idx="692">
                  <c:v>45082</c:v>
                </c:pt>
                <c:pt idx="693">
                  <c:v>45089</c:v>
                </c:pt>
                <c:pt idx="694">
                  <c:v>45097</c:v>
                </c:pt>
                <c:pt idx="695">
                  <c:v>45103</c:v>
                </c:pt>
                <c:pt idx="696">
                  <c:v>45110</c:v>
                </c:pt>
                <c:pt idx="697">
                  <c:v>45117</c:v>
                </c:pt>
                <c:pt idx="698">
                  <c:v>45124</c:v>
                </c:pt>
                <c:pt idx="699">
                  <c:v>45131</c:v>
                </c:pt>
                <c:pt idx="700">
                  <c:v>45138</c:v>
                </c:pt>
                <c:pt idx="701">
                  <c:v>45145</c:v>
                </c:pt>
                <c:pt idx="702">
                  <c:v>45152</c:v>
                </c:pt>
                <c:pt idx="703">
                  <c:v>45159</c:v>
                </c:pt>
                <c:pt idx="704">
                  <c:v>45166</c:v>
                </c:pt>
                <c:pt idx="705">
                  <c:v>45174</c:v>
                </c:pt>
                <c:pt idx="706">
                  <c:v>45180</c:v>
                </c:pt>
                <c:pt idx="707">
                  <c:v>45187</c:v>
                </c:pt>
                <c:pt idx="708">
                  <c:v>45194</c:v>
                </c:pt>
                <c:pt idx="709">
                  <c:v>45201</c:v>
                </c:pt>
                <c:pt idx="710">
                  <c:v>45208</c:v>
                </c:pt>
                <c:pt idx="711">
                  <c:v>45215</c:v>
                </c:pt>
                <c:pt idx="712">
                  <c:v>45222</c:v>
                </c:pt>
                <c:pt idx="713">
                  <c:v>45229</c:v>
                </c:pt>
                <c:pt idx="714">
                  <c:v>45236</c:v>
                </c:pt>
                <c:pt idx="715">
                  <c:v>45243</c:v>
                </c:pt>
                <c:pt idx="716">
                  <c:v>45250</c:v>
                </c:pt>
                <c:pt idx="717">
                  <c:v>45257</c:v>
                </c:pt>
                <c:pt idx="718">
                  <c:v>45264</c:v>
                </c:pt>
                <c:pt idx="719">
                  <c:v>45271</c:v>
                </c:pt>
                <c:pt idx="720">
                  <c:v>45278</c:v>
                </c:pt>
                <c:pt idx="721">
                  <c:v>45286</c:v>
                </c:pt>
                <c:pt idx="722">
                  <c:v>45293</c:v>
                </c:pt>
                <c:pt idx="723">
                  <c:v>45299</c:v>
                </c:pt>
                <c:pt idx="724">
                  <c:v>45307</c:v>
                </c:pt>
                <c:pt idx="725">
                  <c:v>45313</c:v>
                </c:pt>
                <c:pt idx="726">
                  <c:v>45320</c:v>
                </c:pt>
                <c:pt idx="727">
                  <c:v>45327</c:v>
                </c:pt>
                <c:pt idx="728">
                  <c:v>45334</c:v>
                </c:pt>
                <c:pt idx="729">
                  <c:v>45342</c:v>
                </c:pt>
                <c:pt idx="730">
                  <c:v>45348</c:v>
                </c:pt>
                <c:pt idx="731">
                  <c:v>45355</c:v>
                </c:pt>
                <c:pt idx="732">
                  <c:v>45362</c:v>
                </c:pt>
                <c:pt idx="733">
                  <c:v>45369</c:v>
                </c:pt>
                <c:pt idx="734">
                  <c:v>45376</c:v>
                </c:pt>
                <c:pt idx="735">
                  <c:v>45383</c:v>
                </c:pt>
                <c:pt idx="736">
                  <c:v>45390</c:v>
                </c:pt>
                <c:pt idx="737">
                  <c:v>45397</c:v>
                </c:pt>
                <c:pt idx="738">
                  <c:v>45404</c:v>
                </c:pt>
                <c:pt idx="739">
                  <c:v>45411</c:v>
                </c:pt>
                <c:pt idx="740">
                  <c:v>45418</c:v>
                </c:pt>
                <c:pt idx="741">
                  <c:v>45425</c:v>
                </c:pt>
                <c:pt idx="742">
                  <c:v>45432</c:v>
                </c:pt>
                <c:pt idx="743">
                  <c:v>45440</c:v>
                </c:pt>
                <c:pt idx="744">
                  <c:v>45446</c:v>
                </c:pt>
                <c:pt idx="745">
                  <c:v>45453</c:v>
                </c:pt>
                <c:pt idx="746">
                  <c:v>45460</c:v>
                </c:pt>
                <c:pt idx="747">
                  <c:v>45467</c:v>
                </c:pt>
                <c:pt idx="748">
                  <c:v>45474</c:v>
                </c:pt>
                <c:pt idx="749">
                  <c:v>45481</c:v>
                </c:pt>
                <c:pt idx="750">
                  <c:v>45488</c:v>
                </c:pt>
                <c:pt idx="751">
                  <c:v>45495</c:v>
                </c:pt>
                <c:pt idx="752">
                  <c:v>45502</c:v>
                </c:pt>
                <c:pt idx="753">
                  <c:v>45509</c:v>
                </c:pt>
                <c:pt idx="754">
                  <c:v>45516</c:v>
                </c:pt>
                <c:pt idx="755">
                  <c:v>45523</c:v>
                </c:pt>
                <c:pt idx="756">
                  <c:v>45530</c:v>
                </c:pt>
                <c:pt idx="757">
                  <c:v>45538</c:v>
                </c:pt>
                <c:pt idx="758">
                  <c:v>45544</c:v>
                </c:pt>
                <c:pt idx="759">
                  <c:v>45551</c:v>
                </c:pt>
                <c:pt idx="760">
                  <c:v>45558</c:v>
                </c:pt>
                <c:pt idx="761">
                  <c:v>45565</c:v>
                </c:pt>
                <c:pt idx="762">
                  <c:v>45572</c:v>
                </c:pt>
                <c:pt idx="763">
                  <c:v>45579</c:v>
                </c:pt>
                <c:pt idx="764">
                  <c:v>45586</c:v>
                </c:pt>
                <c:pt idx="765">
                  <c:v>45593</c:v>
                </c:pt>
                <c:pt idx="766">
                  <c:v>45600</c:v>
                </c:pt>
                <c:pt idx="767">
                  <c:v>45607</c:v>
                </c:pt>
                <c:pt idx="768">
                  <c:v>45614</c:v>
                </c:pt>
                <c:pt idx="769">
                  <c:v>45621</c:v>
                </c:pt>
                <c:pt idx="770">
                  <c:v>45628</c:v>
                </c:pt>
                <c:pt idx="771">
                  <c:v>45635</c:v>
                </c:pt>
              </c:numCache>
            </c:numRef>
          </c:cat>
          <c:val>
            <c:numRef>
              <c:f>Backdoor!$DC$6:$DC$777</c:f>
              <c:numCache>
                <c:formatCode>0.00%</c:formatCode>
                <c:ptCount val="772"/>
                <c:pt idx="0">
                  <c:v>2.2573888759599647E-2</c:v>
                </c:pt>
                <c:pt idx="1">
                  <c:v>-1.1151570323167936E-2</c:v>
                </c:pt>
                <c:pt idx="2">
                  <c:v>3.6133486766398271E-2</c:v>
                </c:pt>
                <c:pt idx="3">
                  <c:v>-2.406337923885693E-2</c:v>
                </c:pt>
                <c:pt idx="4">
                  <c:v>6.2590091798801373E-2</c:v>
                </c:pt>
                <c:pt idx="5">
                  <c:v>1.50792517492504E-2</c:v>
                </c:pt>
                <c:pt idx="6">
                  <c:v>1.0255183861801243E-2</c:v>
                </c:pt>
                <c:pt idx="7">
                  <c:v>-4.5464039546055712E-2</c:v>
                </c:pt>
                <c:pt idx="8">
                  <c:v>-8.8402625820569014E-2</c:v>
                </c:pt>
                <c:pt idx="9">
                  <c:v>2.8420547287566045E-2</c:v>
                </c:pt>
                <c:pt idx="10">
                  <c:v>-4.5218311393271593E-2</c:v>
                </c:pt>
                <c:pt idx="11">
                  <c:v>2.2327249022164208E-2</c:v>
                </c:pt>
                <c:pt idx="12">
                  <c:v>-2.1441096763908818E-2</c:v>
                </c:pt>
                <c:pt idx="13">
                  <c:v>2.1177812169097532E-3</c:v>
                </c:pt>
                <c:pt idx="14">
                  <c:v>2.2758676745509243E-2</c:v>
                </c:pt>
                <c:pt idx="15">
                  <c:v>-3.8385122784709624E-2</c:v>
                </c:pt>
                <c:pt idx="16">
                  <c:v>-9.801652892561985E-2</c:v>
                </c:pt>
                <c:pt idx="17">
                  <c:v>7.4399853399303773E-2</c:v>
                </c:pt>
                <c:pt idx="18">
                  <c:v>1.0489510489510412E-2</c:v>
                </c:pt>
                <c:pt idx="19">
                  <c:v>3.2070216895940806E-3</c:v>
                </c:pt>
                <c:pt idx="20">
                  <c:v>-8.2443004963406175E-3</c:v>
                </c:pt>
                <c:pt idx="21">
                  <c:v>8.8472304690813575E-2</c:v>
                </c:pt>
                <c:pt idx="22">
                  <c:v>-2.8288653366583594E-2</c:v>
                </c:pt>
                <c:pt idx="23">
                  <c:v>2.462106022936883E-2</c:v>
                </c:pt>
                <c:pt idx="24">
                  <c:v>-8.7664370695053062E-3</c:v>
                </c:pt>
                <c:pt idx="25">
                  <c:v>9.5941250789639998E-2</c:v>
                </c:pt>
                <c:pt idx="26">
                  <c:v>2.6298724691980802E-2</c:v>
                </c:pt>
                <c:pt idx="27">
                  <c:v>4.1322662173546743E-2</c:v>
                </c:pt>
                <c:pt idx="28">
                  <c:v>8.3626606259185943E-2</c:v>
                </c:pt>
                <c:pt idx="29">
                  <c:v>-4.3675729484228154E-2</c:v>
                </c:pt>
                <c:pt idx="30">
                  <c:v>1.1970593975668464E-2</c:v>
                </c:pt>
                <c:pt idx="31">
                  <c:v>5.8437801350048169E-2</c:v>
                </c:pt>
                <c:pt idx="32">
                  <c:v>2.7271622934888384E-2</c:v>
                </c:pt>
                <c:pt idx="33">
                  <c:v>-2.3059185242121472E-2</c:v>
                </c:pt>
                <c:pt idx="34">
                  <c:v>3.3529020153725275E-2</c:v>
                </c:pt>
                <c:pt idx="35">
                  <c:v>-2.9806172044270052E-2</c:v>
                </c:pt>
                <c:pt idx="36">
                  <c:v>-5.190729116368975E-3</c:v>
                </c:pt>
                <c:pt idx="37">
                  <c:v>7.6932411115155919E-2</c:v>
                </c:pt>
                <c:pt idx="38">
                  <c:v>-1.0253521126760479E-2</c:v>
                </c:pt>
                <c:pt idx="39">
                  <c:v>-3.4153005464476749E-4</c:v>
                </c:pt>
                <c:pt idx="40">
                  <c:v>1.1160460084272739E-2</c:v>
                </c:pt>
                <c:pt idx="41">
                  <c:v>2.8212636558170967E-2</c:v>
                </c:pt>
                <c:pt idx="42">
                  <c:v>-1.4184785585190873E-2</c:v>
                </c:pt>
                <c:pt idx="43">
                  <c:v>3.0499999999999972E-2</c:v>
                </c:pt>
                <c:pt idx="44">
                  <c:v>1.7575071432422318E-2</c:v>
                </c:pt>
                <c:pt idx="45">
                  <c:v>-6.0026490066225069E-2</c:v>
                </c:pt>
                <c:pt idx="46">
                  <c:v>-3.5396234922782099E-2</c:v>
                </c:pt>
                <c:pt idx="47">
                  <c:v>2.7988781114876682E-2</c:v>
                </c:pt>
                <c:pt idx="48">
                  <c:v>7.5711930881600775E-2</c:v>
                </c:pt>
                <c:pt idx="49">
                  <c:v>-1.4531043593130843E-2</c:v>
                </c:pt>
                <c:pt idx="50">
                  <c:v>-4.9651474530830964E-2</c:v>
                </c:pt>
                <c:pt idx="51">
                  <c:v>-3.1426314601670002E-2</c:v>
                </c:pt>
                <c:pt idx="52">
                  <c:v>-2.097046659288182E-2</c:v>
                </c:pt>
                <c:pt idx="53">
                  <c:v>-3.7186886416374132E-2</c:v>
                </c:pt>
                <c:pt idx="54">
                  <c:v>5.660610554937584E-2</c:v>
                </c:pt>
                <c:pt idx="55">
                  <c:v>5.3515030997777657E-2</c:v>
                </c:pt>
                <c:pt idx="56">
                  <c:v>2.5426081163604008E-2</c:v>
                </c:pt>
                <c:pt idx="57">
                  <c:v>-2.5445292620865034E-2</c:v>
                </c:pt>
                <c:pt idx="58">
                  <c:v>3.2664851952669105E-2</c:v>
                </c:pt>
                <c:pt idx="59">
                  <c:v>5.3364893216418352E-2</c:v>
                </c:pt>
                <c:pt idx="60">
                  <c:v>9.1415147336704194E-3</c:v>
                </c:pt>
                <c:pt idx="61">
                  <c:v>2.5101214574898778E-2</c:v>
                </c:pt>
                <c:pt idx="62">
                  <c:v>-1.9302922590837324E-2</c:v>
                </c:pt>
                <c:pt idx="63">
                  <c:v>-2.2753586710294371E-2</c:v>
                </c:pt>
                <c:pt idx="64">
                  <c:v>-2.992839849585327E-2</c:v>
                </c:pt>
                <c:pt idx="65">
                  <c:v>-9.5050977060323616E-3</c:v>
                </c:pt>
                <c:pt idx="66">
                  <c:v>-8.5777086795679747E-4</c:v>
                </c:pt>
                <c:pt idx="67">
                  <c:v>3.3159843322423166E-2</c:v>
                </c:pt>
                <c:pt idx="68">
                  <c:v>8.7977148792521609E-2</c:v>
                </c:pt>
                <c:pt idx="69">
                  <c:v>4.1959043391092576E-2</c:v>
                </c:pt>
                <c:pt idx="70">
                  <c:v>-2.4784680227231126E-2</c:v>
                </c:pt>
                <c:pt idx="71">
                  <c:v>1.7146615305115853E-2</c:v>
                </c:pt>
                <c:pt idx="72">
                  <c:v>2.7711065952336966E-2</c:v>
                </c:pt>
                <c:pt idx="73">
                  <c:v>-8.9070645335250775E-2</c:v>
                </c:pt>
                <c:pt idx="74">
                  <c:v>-1.9733596447951696E-3</c:v>
                </c:pt>
                <c:pt idx="75">
                  <c:v>-0.11552150271873451</c:v>
                </c:pt>
                <c:pt idx="76">
                  <c:v>0.11367573911585538</c:v>
                </c:pt>
                <c:pt idx="77">
                  <c:v>5.3846539870527454E-2</c:v>
                </c:pt>
                <c:pt idx="78">
                  <c:v>6.6190476190475245E-3</c:v>
                </c:pt>
                <c:pt idx="79">
                  <c:v>0.13203084346468619</c:v>
                </c:pt>
                <c:pt idx="80">
                  <c:v>-6.5566234851650584E-2</c:v>
                </c:pt>
                <c:pt idx="81">
                  <c:v>-3.3003890702562488E-2</c:v>
                </c:pt>
                <c:pt idx="82">
                  <c:v>3.9356241039633755E-2</c:v>
                </c:pt>
                <c:pt idx="83">
                  <c:v>9.7757408561003789E-2</c:v>
                </c:pt>
                <c:pt idx="84">
                  <c:v>-4.8356369826922263E-2</c:v>
                </c:pt>
                <c:pt idx="85">
                  <c:v>-7.4367492972144178E-2</c:v>
                </c:pt>
                <c:pt idx="86">
                  <c:v>-3.8652678078409108E-3</c:v>
                </c:pt>
                <c:pt idx="87">
                  <c:v>4.2036215816703137E-3</c:v>
                </c:pt>
                <c:pt idx="88">
                  <c:v>-9.3150558903353553E-2</c:v>
                </c:pt>
                <c:pt idx="89">
                  <c:v>-7.4769199553616716E-2</c:v>
                </c:pt>
                <c:pt idx="90">
                  <c:v>7.4725877192982626E-2</c:v>
                </c:pt>
                <c:pt idx="91">
                  <c:v>-1.530378003366839E-2</c:v>
                </c:pt>
                <c:pt idx="92">
                  <c:v>-6.0974977982697021E-2</c:v>
                </c:pt>
                <c:pt idx="93">
                  <c:v>-2.1957409246386339E-2</c:v>
                </c:pt>
                <c:pt idx="94">
                  <c:v>-2.3578519855595781E-2</c:v>
                </c:pt>
                <c:pt idx="95">
                  <c:v>5.4939341421143872E-2</c:v>
                </c:pt>
                <c:pt idx="96">
                  <c:v>-2.294507420185099E-2</c:v>
                </c:pt>
                <c:pt idx="97">
                  <c:v>7.0115457908306311E-2</c:v>
                </c:pt>
                <c:pt idx="98">
                  <c:v>2.3254595925208177E-2</c:v>
                </c:pt>
                <c:pt idx="99">
                  <c:v>-3.9361212059169648E-2</c:v>
                </c:pt>
                <c:pt idx="100">
                  <c:v>-1.1402387041773321E-2</c:v>
                </c:pt>
                <c:pt idx="101">
                  <c:v>-1.6384607092810088E-2</c:v>
                </c:pt>
                <c:pt idx="102">
                  <c:v>-1.8465753424657505E-2</c:v>
                </c:pt>
                <c:pt idx="103">
                  <c:v>9.4903142968782994E-4</c:v>
                </c:pt>
                <c:pt idx="104">
                  <c:v>2.7997769102063419E-2</c:v>
                </c:pt>
                <c:pt idx="105">
                  <c:v>3.9605034722223209E-3</c:v>
                </c:pt>
                <c:pt idx="106">
                  <c:v>5.3985409348824787E-2</c:v>
                </c:pt>
                <c:pt idx="107">
                  <c:v>3.8299835931091097E-2</c:v>
                </c:pt>
                <c:pt idx="108">
                  <c:v>-4.0096785343933683E-2</c:v>
                </c:pt>
                <c:pt idx="109">
                  <c:v>-3.0505684448788539E-2</c:v>
                </c:pt>
                <c:pt idx="110">
                  <c:v>8.0653719622201248E-3</c:v>
                </c:pt>
                <c:pt idx="111">
                  <c:v>0.194073060322139</c:v>
                </c:pt>
                <c:pt idx="112">
                  <c:v>-1.2607449856733455E-2</c:v>
                </c:pt>
                <c:pt idx="113">
                  <c:v>1.6473949729898685E-2</c:v>
                </c:pt>
                <c:pt idx="114">
                  <c:v>-6.0743148278285308E-2</c:v>
                </c:pt>
                <c:pt idx="115">
                  <c:v>-4.4891278933831824E-3</c:v>
                </c:pt>
                <c:pt idx="116">
                  <c:v>-2.1936211188877008E-2</c:v>
                </c:pt>
                <c:pt idx="117">
                  <c:v>4.9274805494188723E-2</c:v>
                </c:pt>
                <c:pt idx="118">
                  <c:v>-5.9502013914303209E-4</c:v>
                </c:pt>
                <c:pt idx="119">
                  <c:v>1.744904969086325E-2</c:v>
                </c:pt>
                <c:pt idx="120">
                  <c:v>2.7862801584443542E-2</c:v>
                </c:pt>
                <c:pt idx="121">
                  <c:v>-1.4451499890518971E-2</c:v>
                </c:pt>
                <c:pt idx="122">
                  <c:v>-2.959342368362583E-2</c:v>
                </c:pt>
                <c:pt idx="123">
                  <c:v>4.5331745959064085E-2</c:v>
                </c:pt>
                <c:pt idx="124">
                  <c:v>3.9554952034692725E-2</c:v>
                </c:pt>
                <c:pt idx="125">
                  <c:v>-9.9022416989718032E-3</c:v>
                </c:pt>
                <c:pt idx="126">
                  <c:v>-9.4480146401668685E-3</c:v>
                </c:pt>
                <c:pt idx="127">
                  <c:v>3.6176154672395322E-2</c:v>
                </c:pt>
                <c:pt idx="128">
                  <c:v>1.8949288883360227E-2</c:v>
                </c:pt>
                <c:pt idx="129">
                  <c:v>1.0295434198746678E-2</c:v>
                </c:pt>
                <c:pt idx="130">
                  <c:v>4.3782978209207624E-2</c:v>
                </c:pt>
                <c:pt idx="131">
                  <c:v>8.2194952535308285E-3</c:v>
                </c:pt>
                <c:pt idx="132">
                  <c:v>-1.4544341103073455E-2</c:v>
                </c:pt>
                <c:pt idx="133">
                  <c:v>-1.2234435079815142E-2</c:v>
                </c:pt>
                <c:pt idx="134">
                  <c:v>1.6475306700220127E-2</c:v>
                </c:pt>
                <c:pt idx="135">
                  <c:v>-6.2473405284128258E-2</c:v>
                </c:pt>
                <c:pt idx="136">
                  <c:v>-9.7375804588215598E-3</c:v>
                </c:pt>
                <c:pt idx="137">
                  <c:v>-7.3333333333333028E-3</c:v>
                </c:pt>
                <c:pt idx="138">
                  <c:v>-2.4420752182673033E-2</c:v>
                </c:pt>
                <c:pt idx="139">
                  <c:v>-2.6296994260440076E-2</c:v>
                </c:pt>
                <c:pt idx="140">
                  <c:v>-4.7722151031770466E-3</c:v>
                </c:pt>
                <c:pt idx="141">
                  <c:v>6.5044621054033636E-2</c:v>
                </c:pt>
                <c:pt idx="142">
                  <c:v>5.0733700183424935E-2</c:v>
                </c:pt>
                <c:pt idx="143">
                  <c:v>4.8323745288634257E-3</c:v>
                </c:pt>
                <c:pt idx="144">
                  <c:v>-1.6101520918552659E-2</c:v>
                </c:pt>
                <c:pt idx="145">
                  <c:v>3.1020506440868401E-2</c:v>
                </c:pt>
                <c:pt idx="146">
                  <c:v>-4.5695158025844562E-2</c:v>
                </c:pt>
                <c:pt idx="147">
                  <c:v>5.6978546374092387E-2</c:v>
                </c:pt>
                <c:pt idx="148">
                  <c:v>3.3918579972988638E-2</c:v>
                </c:pt>
                <c:pt idx="149">
                  <c:v>1.5600507576323031E-2</c:v>
                </c:pt>
                <c:pt idx="150">
                  <c:v>4.3620461561076018E-2</c:v>
                </c:pt>
                <c:pt idx="151">
                  <c:v>-6.6868551709567292E-2</c:v>
                </c:pt>
                <c:pt idx="152">
                  <c:v>-1.1509433962264115E-2</c:v>
                </c:pt>
                <c:pt idx="153">
                  <c:v>1.1987020423744887E-2</c:v>
                </c:pt>
                <c:pt idx="154">
                  <c:v>1.244860236146339E-3</c:v>
                </c:pt>
                <c:pt idx="155">
                  <c:v>1.205636349935979E-3</c:v>
                </c:pt>
                <c:pt idx="156">
                  <c:v>3.179799804320016E-2</c:v>
                </c:pt>
                <c:pt idx="157">
                  <c:v>-4.5114701484372244E-2</c:v>
                </c:pt>
                <c:pt idx="158">
                  <c:v>-1.5545030937285209E-2</c:v>
                </c:pt>
                <c:pt idx="159">
                  <c:v>3.3908826382153423E-2</c:v>
                </c:pt>
                <c:pt idx="160">
                  <c:v>-4.1314871102105188E-2</c:v>
                </c:pt>
                <c:pt idx="161">
                  <c:v>6.8067950524502985E-2</c:v>
                </c:pt>
                <c:pt idx="162">
                  <c:v>-4.5992597207461405E-2</c:v>
                </c:pt>
                <c:pt idx="163">
                  <c:v>-2.1166256914566639E-2</c:v>
                </c:pt>
                <c:pt idx="164">
                  <c:v>1.27153565401672E-2</c:v>
                </c:pt>
                <c:pt idx="165">
                  <c:v>2.1623716334043808E-2</c:v>
                </c:pt>
                <c:pt idx="166">
                  <c:v>2.3783332701134086E-2</c:v>
                </c:pt>
                <c:pt idx="167">
                  <c:v>-3.023341978510552E-2</c:v>
                </c:pt>
                <c:pt idx="168">
                  <c:v>2.8501566439978587E-2</c:v>
                </c:pt>
                <c:pt idx="169">
                  <c:v>2.8491827637444178E-2</c:v>
                </c:pt>
                <c:pt idx="170">
                  <c:v>-1.0401993715462132E-2</c:v>
                </c:pt>
                <c:pt idx="171">
                  <c:v>-2.2993539910216576E-3</c:v>
                </c:pt>
                <c:pt idx="172">
                  <c:v>1.5839918056774982E-2</c:v>
                </c:pt>
                <c:pt idx="173">
                  <c:v>2.949331988908499E-2</c:v>
                </c:pt>
                <c:pt idx="174">
                  <c:v>7.5801035399468253E-2</c:v>
                </c:pt>
                <c:pt idx="175">
                  <c:v>-7.5434888635993458E-3</c:v>
                </c:pt>
                <c:pt idx="176">
                  <c:v>2.2212757592635191E-2</c:v>
                </c:pt>
                <c:pt idx="177">
                  <c:v>-2.4999198743630102E-2</c:v>
                </c:pt>
                <c:pt idx="178">
                  <c:v>-2.2846060287301517E-2</c:v>
                </c:pt>
                <c:pt idx="179">
                  <c:v>-4.1848886496669624E-2</c:v>
                </c:pt>
                <c:pt idx="180">
                  <c:v>1.8222034969454404E-2</c:v>
                </c:pt>
                <c:pt idx="181">
                  <c:v>-3.1136857349746583E-2</c:v>
                </c:pt>
                <c:pt idx="182">
                  <c:v>5.2957505872303967E-2</c:v>
                </c:pt>
                <c:pt idx="183">
                  <c:v>6.9627526532820561E-3</c:v>
                </c:pt>
                <c:pt idx="184">
                  <c:v>6.1828678839956908E-2</c:v>
                </c:pt>
                <c:pt idx="185">
                  <c:v>-1.0431813871151219E-3</c:v>
                </c:pt>
                <c:pt idx="186">
                  <c:v>9.5883041675897118E-3</c:v>
                </c:pt>
                <c:pt idx="187">
                  <c:v>-2.5545386158475458E-2</c:v>
                </c:pt>
                <c:pt idx="188">
                  <c:v>5.8026954871498004E-2</c:v>
                </c:pt>
                <c:pt idx="189">
                  <c:v>0.10476393153558505</c:v>
                </c:pt>
                <c:pt idx="190">
                  <c:v>-1.2075180935083529E-2</c:v>
                </c:pt>
                <c:pt idx="191">
                  <c:v>-2.4211564280978926E-2</c:v>
                </c:pt>
                <c:pt idx="192">
                  <c:v>5.3838029174160029E-2</c:v>
                </c:pt>
                <c:pt idx="193">
                  <c:v>8.5055665411599701E-3</c:v>
                </c:pt>
                <c:pt idx="194">
                  <c:v>5.7237248529451223E-2</c:v>
                </c:pt>
                <c:pt idx="195">
                  <c:v>-1.6945277170875461E-2</c:v>
                </c:pt>
                <c:pt idx="196">
                  <c:v>-7.0034888228452941E-3</c:v>
                </c:pt>
                <c:pt idx="197">
                  <c:v>4.6741619820945157E-2</c:v>
                </c:pt>
                <c:pt idx="198">
                  <c:v>-1.0243659870711075E-2</c:v>
                </c:pt>
                <c:pt idx="199">
                  <c:v>-4.1197749196142386E-3</c:v>
                </c:pt>
                <c:pt idx="200">
                  <c:v>3.0773887599637728E-3</c:v>
                </c:pt>
                <c:pt idx="201">
                  <c:v>4.9036865664136009E-3</c:v>
                </c:pt>
                <c:pt idx="202">
                  <c:v>-3.0054302945371703E-2</c:v>
                </c:pt>
                <c:pt idx="203">
                  <c:v>-7.4587203302373561E-2</c:v>
                </c:pt>
                <c:pt idx="204">
                  <c:v>6.663135297889422E-3</c:v>
                </c:pt>
                <c:pt idx="205">
                  <c:v>-1.0330120748864413E-2</c:v>
                </c:pt>
                <c:pt idx="206">
                  <c:v>-2.9634811809150619E-2</c:v>
                </c:pt>
                <c:pt idx="207">
                  <c:v>4.4238089745068709E-2</c:v>
                </c:pt>
                <c:pt idx="208">
                  <c:v>2.7506213753107023E-2</c:v>
                </c:pt>
                <c:pt idx="209">
                  <c:v>4.5154007418157782E-3</c:v>
                </c:pt>
                <c:pt idx="210">
                  <c:v>-3.5104618183764202E-2</c:v>
                </c:pt>
                <c:pt idx="211">
                  <c:v>-6.1921135821640383E-2</c:v>
                </c:pt>
                <c:pt idx="212">
                  <c:v>-4.519790712110916E-2</c:v>
                </c:pt>
                <c:pt idx="213">
                  <c:v>-3.4891640866873019E-2</c:v>
                </c:pt>
                <c:pt idx="214">
                  <c:v>4.2280178359477727E-2</c:v>
                </c:pt>
                <c:pt idx="215">
                  <c:v>-6.4879505093718315E-2</c:v>
                </c:pt>
                <c:pt idx="216">
                  <c:v>1.3757693446993402E-2</c:v>
                </c:pt>
                <c:pt idx="217">
                  <c:v>-5.1199636375442337E-2</c:v>
                </c:pt>
                <c:pt idx="218">
                  <c:v>1.8683274021352281E-2</c:v>
                </c:pt>
                <c:pt idx="219">
                  <c:v>4.8841115216661013E-2</c:v>
                </c:pt>
                <c:pt idx="220">
                  <c:v>9.9282603125794289E-4</c:v>
                </c:pt>
                <c:pt idx="221">
                  <c:v>5.4775235962245983E-2</c:v>
                </c:pt>
                <c:pt idx="222">
                  <c:v>-1.0313343646676909E-2</c:v>
                </c:pt>
                <c:pt idx="223">
                  <c:v>-6.3444386551015919E-3</c:v>
                </c:pt>
                <c:pt idx="224">
                  <c:v>1.1412708204812105E-3</c:v>
                </c:pt>
                <c:pt idx="225">
                  <c:v>3.9812675231845285E-2</c:v>
                </c:pt>
                <c:pt idx="226">
                  <c:v>2.5802093086650713E-2</c:v>
                </c:pt>
                <c:pt idx="227">
                  <c:v>3.5990756787983802E-2</c:v>
                </c:pt>
                <c:pt idx="228">
                  <c:v>-9.6609602408966655E-2</c:v>
                </c:pt>
                <c:pt idx="229">
                  <c:v>-5.2313200209870181E-2</c:v>
                </c:pt>
                <c:pt idx="230">
                  <c:v>3.1720184980134292E-2</c:v>
                </c:pt>
                <c:pt idx="231">
                  <c:v>5.3125000000000089E-2</c:v>
                </c:pt>
                <c:pt idx="232">
                  <c:v>-6.1145580433414892E-3</c:v>
                </c:pt>
                <c:pt idx="233">
                  <c:v>2.2467505051419145E-2</c:v>
                </c:pt>
                <c:pt idx="234">
                  <c:v>2.1649362907031566E-2</c:v>
                </c:pt>
                <c:pt idx="235">
                  <c:v>-4.3853571222356891E-2</c:v>
                </c:pt>
                <c:pt idx="236">
                  <c:v>3.925239288624649E-4</c:v>
                </c:pt>
                <c:pt idx="237">
                  <c:v>-2.447784619099358E-2</c:v>
                </c:pt>
                <c:pt idx="238">
                  <c:v>-1.4541629281271673E-3</c:v>
                </c:pt>
                <c:pt idx="239">
                  <c:v>-3.516762719216715E-2</c:v>
                </c:pt>
                <c:pt idx="240">
                  <c:v>-2.4888403609621301E-2</c:v>
                </c:pt>
                <c:pt idx="241">
                  <c:v>-5.4604136477407472E-2</c:v>
                </c:pt>
                <c:pt idx="242">
                  <c:v>6.4098097958614986E-2</c:v>
                </c:pt>
                <c:pt idx="243">
                  <c:v>-1.8333005958226845E-2</c:v>
                </c:pt>
                <c:pt idx="244">
                  <c:v>9.3243513639698294E-2</c:v>
                </c:pt>
                <c:pt idx="245">
                  <c:v>1.4672686230248422E-2</c:v>
                </c:pt>
                <c:pt idx="246">
                  <c:v>1.8068123741093789E-2</c:v>
                </c:pt>
                <c:pt idx="247">
                  <c:v>-7.6807228915662495E-2</c:v>
                </c:pt>
                <c:pt idx="248">
                  <c:v>-1.698493426734482E-2</c:v>
                </c:pt>
                <c:pt idx="249">
                  <c:v>-2.4144214499544514E-2</c:v>
                </c:pt>
                <c:pt idx="250">
                  <c:v>3.0643547849283026E-2</c:v>
                </c:pt>
                <c:pt idx="251">
                  <c:v>-1.8441230709501655E-3</c:v>
                </c:pt>
                <c:pt idx="252">
                  <c:v>-3.7566446259561737E-2</c:v>
                </c:pt>
                <c:pt idx="253">
                  <c:v>0.13489548321008993</c:v>
                </c:pt>
                <c:pt idx="254">
                  <c:v>4.5606649395510956E-3</c:v>
                </c:pt>
                <c:pt idx="255">
                  <c:v>2.7938213566151671E-2</c:v>
                </c:pt>
                <c:pt idx="256">
                  <c:v>-1.8528681562785865E-2</c:v>
                </c:pt>
                <c:pt idx="257">
                  <c:v>0.18516348918947712</c:v>
                </c:pt>
                <c:pt idx="258">
                  <c:v>-4.994383284655135E-2</c:v>
                </c:pt>
                <c:pt idx="259">
                  <c:v>2.5587059852909988E-2</c:v>
                </c:pt>
                <c:pt idx="260">
                  <c:v>-1.7731559408794229E-2</c:v>
                </c:pt>
                <c:pt idx="261">
                  <c:v>3.8262910798121386E-3</c:v>
                </c:pt>
                <c:pt idx="262">
                  <c:v>3.7415522765007481E-3</c:v>
                </c:pt>
                <c:pt idx="263">
                  <c:v>-5.3118374764112852E-3</c:v>
                </c:pt>
                <c:pt idx="264">
                  <c:v>6.9563180700316085E-3</c:v>
                </c:pt>
                <c:pt idx="265">
                  <c:v>1.1630070710829887E-2</c:v>
                </c:pt>
                <c:pt idx="266">
                  <c:v>7.3116895061162701E-3</c:v>
                </c:pt>
                <c:pt idx="267">
                  <c:v>-8.902077151335952E-4</c:v>
                </c:pt>
                <c:pt idx="268">
                  <c:v>1.3250782481551759E-2</c:v>
                </c:pt>
                <c:pt idx="269">
                  <c:v>8.9062253387747869E-2</c:v>
                </c:pt>
                <c:pt idx="270">
                  <c:v>9.6084967184944414E-2</c:v>
                </c:pt>
                <c:pt idx="271">
                  <c:v>1.2712024479619277E-2</c:v>
                </c:pt>
                <c:pt idx="272">
                  <c:v>-2.5235475146880515E-2</c:v>
                </c:pt>
                <c:pt idx="273">
                  <c:v>1.7029581722857845E-2</c:v>
                </c:pt>
                <c:pt idx="274">
                  <c:v>-6.9705749548464757E-2</c:v>
                </c:pt>
                <c:pt idx="275">
                  <c:v>4.7606528201913134E-2</c:v>
                </c:pt>
                <c:pt idx="276">
                  <c:v>-3.669813324067106E-2</c:v>
                </c:pt>
                <c:pt idx="277">
                  <c:v>6.1002004008016142E-2</c:v>
                </c:pt>
                <c:pt idx="278">
                  <c:v>2.043668782109398E-2</c:v>
                </c:pt>
                <c:pt idx="279">
                  <c:v>-2.9633879983711697E-2</c:v>
                </c:pt>
                <c:pt idx="280">
                  <c:v>1.5813066285169208E-2</c:v>
                </c:pt>
                <c:pt idx="281">
                  <c:v>1.3632778758403186E-2</c:v>
                </c:pt>
                <c:pt idx="282">
                  <c:v>5.7354575768803429E-2</c:v>
                </c:pt>
                <c:pt idx="283">
                  <c:v>4.9530450627233824E-2</c:v>
                </c:pt>
                <c:pt idx="284">
                  <c:v>4.4855850291304344E-2</c:v>
                </c:pt>
                <c:pt idx="285">
                  <c:v>5.3474996005751674E-2</c:v>
                </c:pt>
                <c:pt idx="286">
                  <c:v>-2.581251800961526E-2</c:v>
                </c:pt>
                <c:pt idx="287">
                  <c:v>4.0632054176072296E-2</c:v>
                </c:pt>
                <c:pt idx="288">
                  <c:v>7.1957513650982019E-3</c:v>
                </c:pt>
                <c:pt idx="289">
                  <c:v>-9.2089237441694838E-4</c:v>
                </c:pt>
                <c:pt idx="290">
                  <c:v>-4.8302212178877202E-2</c:v>
                </c:pt>
                <c:pt idx="291">
                  <c:v>3.7475591658205021E-2</c:v>
                </c:pt>
                <c:pt idx="292">
                  <c:v>-2.0327039479628439E-3</c:v>
                </c:pt>
                <c:pt idx="293">
                  <c:v>1.9764933085894443E-2</c:v>
                </c:pt>
                <c:pt idx="294">
                  <c:v>-0.10185089289677318</c:v>
                </c:pt>
                <c:pt idx="295">
                  <c:v>-6.0736347912033528E-2</c:v>
                </c:pt>
                <c:pt idx="296">
                  <c:v>4.5950401627556259E-2</c:v>
                </c:pt>
                <c:pt idx="297">
                  <c:v>-1.5728226969381809E-2</c:v>
                </c:pt>
                <c:pt idx="298">
                  <c:v>-0.14458262350936968</c:v>
                </c:pt>
                <c:pt idx="299">
                  <c:v>9.8580048991296909E-3</c:v>
                </c:pt>
                <c:pt idx="300">
                  <c:v>5.486313796639597E-2</c:v>
                </c:pt>
                <c:pt idx="301">
                  <c:v>3.8007104131613456E-2</c:v>
                </c:pt>
                <c:pt idx="302">
                  <c:v>3.585901338184172E-2</c:v>
                </c:pt>
                <c:pt idx="303">
                  <c:v>-9.6150502486351819E-3</c:v>
                </c:pt>
                <c:pt idx="304">
                  <c:v>-3.0775442846860179E-2</c:v>
                </c:pt>
                <c:pt idx="305">
                  <c:v>5.5915809302999664E-2</c:v>
                </c:pt>
                <c:pt idx="306">
                  <c:v>2.667467192726658E-2</c:v>
                </c:pt>
                <c:pt idx="307">
                  <c:v>-6.5162907268170311E-3</c:v>
                </c:pt>
                <c:pt idx="308">
                  <c:v>5.2623612512613382E-2</c:v>
                </c:pt>
                <c:pt idx="309">
                  <c:v>-8.6117368866733823E-3</c:v>
                </c:pt>
                <c:pt idx="310">
                  <c:v>6.29975825946818E-2</c:v>
                </c:pt>
                <c:pt idx="311">
                  <c:v>2.1771100228930029E-2</c:v>
                </c:pt>
                <c:pt idx="312">
                  <c:v>5.3371911862897914E-2</c:v>
                </c:pt>
                <c:pt idx="313">
                  <c:v>-1.0029299075952292E-2</c:v>
                </c:pt>
                <c:pt idx="314">
                  <c:v>1.3431986340352919E-2</c:v>
                </c:pt>
                <c:pt idx="315">
                  <c:v>1.8673480849151991E-2</c:v>
                </c:pt>
                <c:pt idx="316">
                  <c:v>-1.0516305096893386E-2</c:v>
                </c:pt>
                <c:pt idx="317">
                  <c:v>-1.6046579654831361E-2</c:v>
                </c:pt>
                <c:pt idx="318">
                  <c:v>-1.0518268944917031E-2</c:v>
                </c:pt>
                <c:pt idx="319">
                  <c:v>3.8228224791118093E-2</c:v>
                </c:pt>
                <c:pt idx="320">
                  <c:v>2.7739499503913745E-2</c:v>
                </c:pt>
                <c:pt idx="321">
                  <c:v>-1.3904345610812441E-2</c:v>
                </c:pt>
                <c:pt idx="322">
                  <c:v>1.2808658762101688E-2</c:v>
                </c:pt>
                <c:pt idx="323">
                  <c:v>1.8728351636549068E-2</c:v>
                </c:pt>
                <c:pt idx="324">
                  <c:v>9.4490056799461097E-3</c:v>
                </c:pt>
                <c:pt idx="325">
                  <c:v>8.5903026188673959E-3</c:v>
                </c:pt>
                <c:pt idx="326">
                  <c:v>-1.9739567153360338E-2</c:v>
                </c:pt>
                <c:pt idx="327">
                  <c:v>1.5436215024230648E-2</c:v>
                </c:pt>
                <c:pt idx="328">
                  <c:v>4.4733420026006332E-3</c:v>
                </c:pt>
                <c:pt idx="329">
                  <c:v>-1.5923566878980888E-2</c:v>
                </c:pt>
                <c:pt idx="330">
                  <c:v>2.417975636067049E-2</c:v>
                </c:pt>
                <c:pt idx="331">
                  <c:v>3.4976622308996452E-2</c:v>
                </c:pt>
                <c:pt idx="332">
                  <c:v>3.9168476574619859E-2</c:v>
                </c:pt>
                <c:pt idx="333">
                  <c:v>2.5319176887892425E-3</c:v>
                </c:pt>
                <c:pt idx="334">
                  <c:v>-1.9620456738500991E-2</c:v>
                </c:pt>
                <c:pt idx="335">
                  <c:v>-4.8240497715563713E-3</c:v>
                </c:pt>
                <c:pt idx="336">
                  <c:v>-5.2100758251016455E-2</c:v>
                </c:pt>
                <c:pt idx="337">
                  <c:v>-2.7398495465787431E-2</c:v>
                </c:pt>
                <c:pt idx="338">
                  <c:v>-2.1243626249917269E-2</c:v>
                </c:pt>
                <c:pt idx="339">
                  <c:v>2.8619369156033247E-2</c:v>
                </c:pt>
                <c:pt idx="340">
                  <c:v>2.6586508103557227E-2</c:v>
                </c:pt>
                <c:pt idx="341">
                  <c:v>-5.1296180017171289E-2</c:v>
                </c:pt>
                <c:pt idx="342">
                  <c:v>3.8252694707836765E-2</c:v>
                </c:pt>
                <c:pt idx="343">
                  <c:v>-1.4167512294122275E-2</c:v>
                </c:pt>
                <c:pt idx="344">
                  <c:v>3.7214458212913026E-3</c:v>
                </c:pt>
                <c:pt idx="345">
                  <c:v>-1.4094321513561825E-2</c:v>
                </c:pt>
                <c:pt idx="346">
                  <c:v>6.1503994025631226E-2</c:v>
                </c:pt>
                <c:pt idx="347">
                  <c:v>2.6570685561376317E-2</c:v>
                </c:pt>
                <c:pt idx="348">
                  <c:v>-1.0781506229042725E-2</c:v>
                </c:pt>
                <c:pt idx="349">
                  <c:v>3.3946531738275221E-2</c:v>
                </c:pt>
                <c:pt idx="350">
                  <c:v>-3.059454156047714E-2</c:v>
                </c:pt>
                <c:pt idx="351">
                  <c:v>2.1303381881017103E-2</c:v>
                </c:pt>
                <c:pt idx="352">
                  <c:v>2.1281995504314422E-2</c:v>
                </c:pt>
                <c:pt idx="353">
                  <c:v>2.0116676724990512E-4</c:v>
                </c:pt>
                <c:pt idx="354">
                  <c:v>5.4895650939377205E-3</c:v>
                </c:pt>
                <c:pt idx="355">
                  <c:v>3.0357226902621992E-3</c:v>
                </c:pt>
                <c:pt idx="356">
                  <c:v>-1.7596133542918668E-4</c:v>
                </c:pt>
                <c:pt idx="357">
                  <c:v>-7.8609895460570733E-3</c:v>
                </c:pt>
                <c:pt idx="358">
                  <c:v>4.8402928063764561E-2</c:v>
                </c:pt>
                <c:pt idx="359">
                  <c:v>9.4073589460148543E-3</c:v>
                </c:pt>
                <c:pt idx="360">
                  <c:v>-1.1409350974432297E-2</c:v>
                </c:pt>
                <c:pt idx="361">
                  <c:v>1.5666858828715657E-2</c:v>
                </c:pt>
                <c:pt idx="362">
                  <c:v>2.9448098560982849E-2</c:v>
                </c:pt>
                <c:pt idx="363">
                  <c:v>9.902809760105713E-3</c:v>
                </c:pt>
                <c:pt idx="364">
                  <c:v>2.9117379435850799E-2</c:v>
                </c:pt>
                <c:pt idx="365">
                  <c:v>-1.5707078587404721E-3</c:v>
                </c:pt>
                <c:pt idx="366">
                  <c:v>3.744374062343736E-2</c:v>
                </c:pt>
                <c:pt idx="367">
                  <c:v>1.0996404828375717E-2</c:v>
                </c:pt>
                <c:pt idx="368">
                  <c:v>-2.823001201911135E-2</c:v>
                </c:pt>
                <c:pt idx="369">
                  <c:v>9.6084063333707892E-3</c:v>
                </c:pt>
                <c:pt idx="370">
                  <c:v>1.6229460064188794E-2</c:v>
                </c:pt>
                <c:pt idx="371">
                  <c:v>-3.5606830454101623E-2</c:v>
                </c:pt>
                <c:pt idx="372">
                  <c:v>1.1115702479338907E-2</c:v>
                </c:pt>
                <c:pt idx="373">
                  <c:v>2.3550206383587291E-2</c:v>
                </c:pt>
                <c:pt idx="374">
                  <c:v>2.3816891426517994E-2</c:v>
                </c:pt>
                <c:pt idx="375">
                  <c:v>-5.4890949330680394E-3</c:v>
                </c:pt>
                <c:pt idx="376">
                  <c:v>-3.1822281479157777E-2</c:v>
                </c:pt>
                <c:pt idx="377">
                  <c:v>-1.9836367686668299E-2</c:v>
                </c:pt>
                <c:pt idx="378">
                  <c:v>-9.8348123431027945E-3</c:v>
                </c:pt>
                <c:pt idx="379">
                  <c:v>-1.3782382338518695E-2</c:v>
                </c:pt>
                <c:pt idx="380">
                  <c:v>3.4900450669657079E-2</c:v>
                </c:pt>
                <c:pt idx="381">
                  <c:v>-1.2624584717607967E-2</c:v>
                </c:pt>
                <c:pt idx="382">
                  <c:v>2.1627497670566376E-2</c:v>
                </c:pt>
                <c:pt idx="383">
                  <c:v>-3.2114228964622682E-2</c:v>
                </c:pt>
                <c:pt idx="384">
                  <c:v>6.5438174013192629E-3</c:v>
                </c:pt>
                <c:pt idx="385">
                  <c:v>2.9364955531284043E-2</c:v>
                </c:pt>
                <c:pt idx="386">
                  <c:v>1.3500677054912202E-2</c:v>
                </c:pt>
                <c:pt idx="387">
                  <c:v>-1.9971284423794033E-2</c:v>
                </c:pt>
                <c:pt idx="388">
                  <c:v>0.12009237875288692</c:v>
                </c:pt>
                <c:pt idx="389">
                  <c:v>9.6734638266950945E-3</c:v>
                </c:pt>
                <c:pt idx="390">
                  <c:v>1.2369557394746211E-2</c:v>
                </c:pt>
                <c:pt idx="391">
                  <c:v>4.0254143155462607E-3</c:v>
                </c:pt>
                <c:pt idx="392">
                  <c:v>4.9668991397316509E-2</c:v>
                </c:pt>
                <c:pt idx="393">
                  <c:v>-1.9940978077571669E-2</c:v>
                </c:pt>
                <c:pt idx="394">
                  <c:v>-3.011141222523106E-4</c:v>
                </c:pt>
                <c:pt idx="395">
                  <c:v>1.4750430292598926E-2</c:v>
                </c:pt>
                <c:pt idx="396">
                  <c:v>-9.1422562206353586E-3</c:v>
                </c:pt>
                <c:pt idx="397">
                  <c:v>9.500496422336635E-4</c:v>
                </c:pt>
                <c:pt idx="398">
                  <c:v>5.1023113034109446E-2</c:v>
                </c:pt>
                <c:pt idx="399">
                  <c:v>6.1880664529671225E-2</c:v>
                </c:pt>
                <c:pt idx="400">
                  <c:v>-8.136684033098418E-3</c:v>
                </c:pt>
                <c:pt idx="401">
                  <c:v>8.3015340882757416E-2</c:v>
                </c:pt>
                <c:pt idx="402">
                  <c:v>1.9899432973146336E-2</c:v>
                </c:pt>
                <c:pt idx="403">
                  <c:v>-6.3184027413545896E-2</c:v>
                </c:pt>
                <c:pt idx="404">
                  <c:v>8.1434756643774087E-2</c:v>
                </c:pt>
                <c:pt idx="405">
                  <c:v>3.5418205413166426E-2</c:v>
                </c:pt>
                <c:pt idx="406">
                  <c:v>1.6666666666664831E-4</c:v>
                </c:pt>
                <c:pt idx="407">
                  <c:v>5.2417930344942576E-2</c:v>
                </c:pt>
                <c:pt idx="408">
                  <c:v>-4.5664992494727219E-3</c:v>
                </c:pt>
                <c:pt idx="409">
                  <c:v>-4.8432250839865576E-2</c:v>
                </c:pt>
                <c:pt idx="410">
                  <c:v>-3.2242103292412172E-2</c:v>
                </c:pt>
                <c:pt idx="411">
                  <c:v>-2.9094753133334317E-2</c:v>
                </c:pt>
                <c:pt idx="412">
                  <c:v>1.8189193228154821E-2</c:v>
                </c:pt>
                <c:pt idx="413">
                  <c:v>6.7585040432208698E-2</c:v>
                </c:pt>
                <c:pt idx="414">
                  <c:v>2.9545201605247762E-2</c:v>
                </c:pt>
                <c:pt idx="415">
                  <c:v>5.296893082880727E-3</c:v>
                </c:pt>
                <c:pt idx="416">
                  <c:v>1.3890382365033593E-2</c:v>
                </c:pt>
                <c:pt idx="417">
                  <c:v>-1.7805116943558796E-2</c:v>
                </c:pt>
                <c:pt idx="418">
                  <c:v>2.2726550937835377E-2</c:v>
                </c:pt>
                <c:pt idx="419">
                  <c:v>1.9495078098313856E-2</c:v>
                </c:pt>
                <c:pt idx="420">
                  <c:v>2.5859863299097174E-2</c:v>
                </c:pt>
                <c:pt idx="421">
                  <c:v>1.8990611583204142E-2</c:v>
                </c:pt>
                <c:pt idx="422">
                  <c:v>-1.7482823126280245E-4</c:v>
                </c:pt>
                <c:pt idx="423">
                  <c:v>-9.2500306002903931E-3</c:v>
                </c:pt>
                <c:pt idx="424">
                  <c:v>6.3713378044476521E-3</c:v>
                </c:pt>
                <c:pt idx="425">
                  <c:v>5.986098688787167E-2</c:v>
                </c:pt>
                <c:pt idx="426">
                  <c:v>3.6954711174108645E-4</c:v>
                </c:pt>
                <c:pt idx="427">
                  <c:v>1.9683519876494415E-3</c:v>
                </c:pt>
                <c:pt idx="428">
                  <c:v>3.3126612996416949E-3</c:v>
                </c:pt>
                <c:pt idx="429">
                  <c:v>3.455840815229605E-2</c:v>
                </c:pt>
                <c:pt idx="430">
                  <c:v>-2.1629645337432057E-3</c:v>
                </c:pt>
                <c:pt idx="431">
                  <c:v>1.2309931888939474E-2</c:v>
                </c:pt>
                <c:pt idx="432">
                  <c:v>5.6324427020190138E-2</c:v>
                </c:pt>
                <c:pt idx="433">
                  <c:v>-3.0128533171693839E-2</c:v>
                </c:pt>
                <c:pt idx="434">
                  <c:v>9.2824540103582098E-3</c:v>
                </c:pt>
                <c:pt idx="435">
                  <c:v>-2.8007451058019828E-2</c:v>
                </c:pt>
                <c:pt idx="436">
                  <c:v>4.5947540743912496E-2</c:v>
                </c:pt>
                <c:pt idx="437">
                  <c:v>-5.6590114827758442E-2</c:v>
                </c:pt>
                <c:pt idx="438">
                  <c:v>-5.3470219352790282E-2</c:v>
                </c:pt>
                <c:pt idx="439">
                  <c:v>-1.374251513745306E-2</c:v>
                </c:pt>
                <c:pt idx="440">
                  <c:v>-6.8717652194123624E-2</c:v>
                </c:pt>
                <c:pt idx="441">
                  <c:v>1.3829962077172686E-2</c:v>
                </c:pt>
                <c:pt idx="442">
                  <c:v>2.8159204577521857E-2</c:v>
                </c:pt>
                <c:pt idx="443">
                  <c:v>-6.9503570948885374E-2</c:v>
                </c:pt>
                <c:pt idx="444">
                  <c:v>-5.7329877432675924E-2</c:v>
                </c:pt>
                <c:pt idx="445">
                  <c:v>0.12523467770927921</c:v>
                </c:pt>
                <c:pt idx="446">
                  <c:v>-3.6114710354579582E-2</c:v>
                </c:pt>
                <c:pt idx="447">
                  <c:v>-2.2846549999079313E-2</c:v>
                </c:pt>
                <c:pt idx="448">
                  <c:v>-0.13471867128166792</c:v>
                </c:pt>
                <c:pt idx="449">
                  <c:v>7.3011724563504909E-2</c:v>
                </c:pt>
                <c:pt idx="450">
                  <c:v>6.5878675525365082E-2</c:v>
                </c:pt>
                <c:pt idx="451">
                  <c:v>4.1367534388310423E-2</c:v>
                </c:pt>
                <c:pt idx="452">
                  <c:v>3.3915248451748203E-2</c:v>
                </c:pt>
                <c:pt idx="453">
                  <c:v>-1.5110246433203689E-2</c:v>
                </c:pt>
                <c:pt idx="454">
                  <c:v>-2.6541839013031421E-2</c:v>
                </c:pt>
                <c:pt idx="455">
                  <c:v>-2.3373077608948245E-2</c:v>
                </c:pt>
                <c:pt idx="456">
                  <c:v>1.2422712218710164E-2</c:v>
                </c:pt>
                <c:pt idx="457">
                  <c:v>1.4683292390932579E-2</c:v>
                </c:pt>
                <c:pt idx="458">
                  <c:v>2.4620608497389007E-2</c:v>
                </c:pt>
                <c:pt idx="459">
                  <c:v>-3.0465445975127459E-2</c:v>
                </c:pt>
                <c:pt idx="460">
                  <c:v>5.6490621915103567E-2</c:v>
                </c:pt>
                <c:pt idx="461">
                  <c:v>3.0606881730477209E-2</c:v>
                </c:pt>
                <c:pt idx="462">
                  <c:v>9.0550043348425202E-3</c:v>
                </c:pt>
                <c:pt idx="463">
                  <c:v>3.1745051242454192E-2</c:v>
                </c:pt>
                <c:pt idx="464">
                  <c:v>3.1459548898371548E-3</c:v>
                </c:pt>
                <c:pt idx="465">
                  <c:v>1.0108189641140353E-2</c:v>
                </c:pt>
                <c:pt idx="466">
                  <c:v>4.7773796926448453E-2</c:v>
                </c:pt>
                <c:pt idx="467">
                  <c:v>6.0647072996931062E-3</c:v>
                </c:pt>
                <c:pt idx="468">
                  <c:v>-3.6933236855783091E-2</c:v>
                </c:pt>
                <c:pt idx="469">
                  <c:v>-1.1100646567688499E-2</c:v>
                </c:pt>
                <c:pt idx="470">
                  <c:v>-2.4462279293740008E-2</c:v>
                </c:pt>
                <c:pt idx="471">
                  <c:v>-2.6441358430959627E-2</c:v>
                </c:pt>
                <c:pt idx="472">
                  <c:v>1.6314849555228772E-2</c:v>
                </c:pt>
                <c:pt idx="473">
                  <c:v>3.6385204237180169E-2</c:v>
                </c:pt>
                <c:pt idx="474">
                  <c:v>2.2265961372862408E-2</c:v>
                </c:pt>
                <c:pt idx="475">
                  <c:v>-9.2450164809292357E-3</c:v>
                </c:pt>
                <c:pt idx="476">
                  <c:v>2.6024091295554053E-2</c:v>
                </c:pt>
                <c:pt idx="477">
                  <c:v>3.5045370089196171E-2</c:v>
                </c:pt>
                <c:pt idx="478">
                  <c:v>-2.3112879164594702E-2</c:v>
                </c:pt>
                <c:pt idx="479">
                  <c:v>-1.0928878301060818E-2</c:v>
                </c:pt>
                <c:pt idx="480">
                  <c:v>-6.1660791024420347E-2</c:v>
                </c:pt>
                <c:pt idx="481">
                  <c:v>-8.5891051095851045E-3</c:v>
                </c:pt>
                <c:pt idx="482">
                  <c:v>-8.3039201584439448E-3</c:v>
                </c:pt>
                <c:pt idx="483">
                  <c:v>-2.39600127191687E-2</c:v>
                </c:pt>
                <c:pt idx="484">
                  <c:v>1.5243309975880415E-2</c:v>
                </c:pt>
                <c:pt idx="485">
                  <c:v>3.2213208428803819E-2</c:v>
                </c:pt>
                <c:pt idx="486">
                  <c:v>3.1796935931627246E-3</c:v>
                </c:pt>
                <c:pt idx="487">
                  <c:v>-2.4563158524253281E-2</c:v>
                </c:pt>
                <c:pt idx="488">
                  <c:v>-3.829647300129313E-2</c:v>
                </c:pt>
                <c:pt idx="489">
                  <c:v>8.2297371700137401E-3</c:v>
                </c:pt>
                <c:pt idx="490">
                  <c:v>-4.4434225275198358E-3</c:v>
                </c:pt>
                <c:pt idx="491">
                  <c:v>1.4775509261397701E-2</c:v>
                </c:pt>
                <c:pt idx="492">
                  <c:v>2.1735295958487111E-3</c:v>
                </c:pt>
                <c:pt idx="493">
                  <c:v>1.7095036137464215E-2</c:v>
                </c:pt>
                <c:pt idx="494">
                  <c:v>-3.1036484615728499E-3</c:v>
                </c:pt>
                <c:pt idx="495">
                  <c:v>-2.5975989428180912E-2</c:v>
                </c:pt>
                <c:pt idx="496">
                  <c:v>3.5815095229061455E-3</c:v>
                </c:pt>
                <c:pt idx="497">
                  <c:v>3.155145155007677E-2</c:v>
                </c:pt>
                <c:pt idx="498">
                  <c:v>-2.7321190581963695E-2</c:v>
                </c:pt>
                <c:pt idx="499">
                  <c:v>5.3322676410139103E-3</c:v>
                </c:pt>
                <c:pt idx="500">
                  <c:v>1.4514974956557403E-2</c:v>
                </c:pt>
                <c:pt idx="501">
                  <c:v>4.6627483907080824E-2</c:v>
                </c:pt>
                <c:pt idx="502">
                  <c:v>2.7650016044498127E-3</c:v>
                </c:pt>
                <c:pt idx="503">
                  <c:v>4.3680698891181979E-3</c:v>
                </c:pt>
                <c:pt idx="504">
                  <c:v>-9.7920516578516859E-3</c:v>
                </c:pt>
                <c:pt idx="505">
                  <c:v>-1.651722510618292E-3</c:v>
                </c:pt>
                <c:pt idx="506">
                  <c:v>7.9005607958574364E-2</c:v>
                </c:pt>
                <c:pt idx="507">
                  <c:v>3.5126846947309609E-2</c:v>
                </c:pt>
                <c:pt idx="508">
                  <c:v>2.6735216036320342E-2</c:v>
                </c:pt>
                <c:pt idx="509">
                  <c:v>-1.8221250005855061E-2</c:v>
                </c:pt>
                <c:pt idx="510">
                  <c:v>-0.10125144920967388</c:v>
                </c:pt>
                <c:pt idx="511">
                  <c:v>9.2050431320505055E-3</c:v>
                </c:pt>
                <c:pt idx="512">
                  <c:v>-6.1064967992046748E-2</c:v>
                </c:pt>
                <c:pt idx="513">
                  <c:v>3.4224089635854327E-2</c:v>
                </c:pt>
                <c:pt idx="514">
                  <c:v>2.9256428451483796E-2</c:v>
                </c:pt>
                <c:pt idx="515">
                  <c:v>3.4156097047524092E-3</c:v>
                </c:pt>
                <c:pt idx="516">
                  <c:v>7.1420703979355959E-2</c:v>
                </c:pt>
                <c:pt idx="517">
                  <c:v>0.16264269909338336</c:v>
                </c:pt>
                <c:pt idx="518">
                  <c:v>1.4829473684210503E-2</c:v>
                </c:pt>
                <c:pt idx="519">
                  <c:v>-5.1522267676809452E-2</c:v>
                </c:pt>
                <c:pt idx="520">
                  <c:v>4.0931042326468381E-2</c:v>
                </c:pt>
                <c:pt idx="521">
                  <c:v>1.2678548165455661E-2</c:v>
                </c:pt>
                <c:pt idx="522">
                  <c:v>1.1245839869199692E-2</c:v>
                </c:pt>
                <c:pt idx="523">
                  <c:v>2.2528807327402145E-3</c:v>
                </c:pt>
                <c:pt idx="524">
                  <c:v>1.6635481110560679E-2</c:v>
                </c:pt>
                <c:pt idx="525">
                  <c:v>2.497784937575509E-2</c:v>
                </c:pt>
                <c:pt idx="526">
                  <c:v>5.1076219440318704E-2</c:v>
                </c:pt>
                <c:pt idx="527">
                  <c:v>6.6766105547269028E-3</c:v>
                </c:pt>
                <c:pt idx="528">
                  <c:v>7.3315830322295605E-2</c:v>
                </c:pt>
                <c:pt idx="529">
                  <c:v>0.10715150676400387</c:v>
                </c:pt>
                <c:pt idx="530">
                  <c:v>-7.4384374999999947E-2</c:v>
                </c:pt>
                <c:pt idx="531">
                  <c:v>1.5847560913851311E-2</c:v>
                </c:pt>
                <c:pt idx="532">
                  <c:v>5.1769577687601043E-2</c:v>
                </c:pt>
                <c:pt idx="533">
                  <c:v>8.7844584602536635E-4</c:v>
                </c:pt>
                <c:pt idx="534">
                  <c:v>-6.1374097857588295E-3</c:v>
                </c:pt>
                <c:pt idx="535">
                  <c:v>4.3424120558319013E-2</c:v>
                </c:pt>
                <c:pt idx="536">
                  <c:v>3.5643829611047506E-2</c:v>
                </c:pt>
                <c:pt idx="537">
                  <c:v>-3.150684931506853E-2</c:v>
                </c:pt>
                <c:pt idx="538">
                  <c:v>-5.41488851521571E-2</c:v>
                </c:pt>
                <c:pt idx="539">
                  <c:v>-5.1764637926719037E-2</c:v>
                </c:pt>
                <c:pt idx="540">
                  <c:v>4.7453221925540801E-2</c:v>
                </c:pt>
                <c:pt idx="541">
                  <c:v>9.6506447225157554E-3</c:v>
                </c:pt>
                <c:pt idx="542">
                  <c:v>5.1727999999999996E-2</c:v>
                </c:pt>
                <c:pt idx="543">
                  <c:v>-4.2414008184625818E-3</c:v>
                </c:pt>
                <c:pt idx="544">
                  <c:v>-2.0872610160998173E-2</c:v>
                </c:pt>
                <c:pt idx="545">
                  <c:v>-5.2505929347147595E-2</c:v>
                </c:pt>
                <c:pt idx="546">
                  <c:v>9.0647695271972806E-2</c:v>
                </c:pt>
                <c:pt idx="547">
                  <c:v>-5.5131259871292082E-2</c:v>
                </c:pt>
                <c:pt idx="548">
                  <c:v>-9.3997398371904461E-3</c:v>
                </c:pt>
                <c:pt idx="549">
                  <c:v>3.0954378266761395E-2</c:v>
                </c:pt>
                <c:pt idx="550">
                  <c:v>-1.0252430101335142E-2</c:v>
                </c:pt>
                <c:pt idx="551">
                  <c:v>-1.4595678212092622E-2</c:v>
                </c:pt>
                <c:pt idx="552">
                  <c:v>2.7348688559308609E-2</c:v>
                </c:pt>
                <c:pt idx="553">
                  <c:v>-9.0453359986257809E-3</c:v>
                </c:pt>
                <c:pt idx="554">
                  <c:v>2.6551601322536866E-2</c:v>
                </c:pt>
                <c:pt idx="555">
                  <c:v>-2.2791401718796567E-2</c:v>
                </c:pt>
                <c:pt idx="556">
                  <c:v>-2.4648883023847601E-2</c:v>
                </c:pt>
                <c:pt idx="557">
                  <c:v>6.0555689780140032E-2</c:v>
                </c:pt>
                <c:pt idx="558">
                  <c:v>-2.6131224124681496E-2</c:v>
                </c:pt>
                <c:pt idx="559">
                  <c:v>4.5521177718170991E-2</c:v>
                </c:pt>
                <c:pt idx="560">
                  <c:v>-2.2206643497456713E-2</c:v>
                </c:pt>
                <c:pt idx="561">
                  <c:v>-8.4845822235646295E-3</c:v>
                </c:pt>
                <c:pt idx="562">
                  <c:v>-4.8299947690698231E-2</c:v>
                </c:pt>
                <c:pt idx="563">
                  <c:v>-2.9897217201811932E-2</c:v>
                </c:pt>
                <c:pt idx="564">
                  <c:v>2.967211694206906E-2</c:v>
                </c:pt>
                <c:pt idx="565">
                  <c:v>-4.7030416023358113E-3</c:v>
                </c:pt>
                <c:pt idx="566">
                  <c:v>-7.4570075708302319E-3</c:v>
                </c:pt>
                <c:pt idx="567">
                  <c:v>3.5704105136581399E-2</c:v>
                </c:pt>
                <c:pt idx="568">
                  <c:v>6.6814299272382138E-2</c:v>
                </c:pt>
                <c:pt idx="569">
                  <c:v>8.0778127038727554E-3</c:v>
                </c:pt>
                <c:pt idx="570">
                  <c:v>-1.7226366695690998E-2</c:v>
                </c:pt>
                <c:pt idx="571">
                  <c:v>3.7876248174133709E-2</c:v>
                </c:pt>
                <c:pt idx="572">
                  <c:v>-5.0703404837025845E-2</c:v>
                </c:pt>
                <c:pt idx="573">
                  <c:v>-2.0874283405385108E-2</c:v>
                </c:pt>
                <c:pt idx="574">
                  <c:v>-6.1497409165659489E-3</c:v>
                </c:pt>
                <c:pt idx="575">
                  <c:v>6.240868164391955E-3</c:v>
                </c:pt>
                <c:pt idx="576">
                  <c:v>-5.2279348571393491E-3</c:v>
                </c:pt>
                <c:pt idx="577">
                  <c:v>4.3855381102980928E-2</c:v>
                </c:pt>
                <c:pt idx="578">
                  <c:v>4.1851543101980138E-2</c:v>
                </c:pt>
                <c:pt idx="579">
                  <c:v>-2.4503140325217165E-2</c:v>
                </c:pt>
                <c:pt idx="580">
                  <c:v>3.2197938532277259E-2</c:v>
                </c:pt>
                <c:pt idx="581">
                  <c:v>5.9345254031637928E-2</c:v>
                </c:pt>
                <c:pt idx="582">
                  <c:v>-3.9176305473551776E-2</c:v>
                </c:pt>
                <c:pt idx="583">
                  <c:v>2.3228481963717629E-2</c:v>
                </c:pt>
                <c:pt idx="584">
                  <c:v>-8.9986982585105402E-2</c:v>
                </c:pt>
                <c:pt idx="585">
                  <c:v>5.2139836939046891E-3</c:v>
                </c:pt>
                <c:pt idx="586">
                  <c:v>-1.5237941487739826E-2</c:v>
                </c:pt>
                <c:pt idx="587">
                  <c:v>-2.8543065055237293E-2</c:v>
                </c:pt>
                <c:pt idx="588">
                  <c:v>4.6775730870795007E-2</c:v>
                </c:pt>
                <c:pt idx="589">
                  <c:v>3.8338562766633943E-2</c:v>
                </c:pt>
                <c:pt idx="590">
                  <c:v>-2.5589051336236679E-3</c:v>
                </c:pt>
                <c:pt idx="591">
                  <c:v>-1.9111309686811184E-3</c:v>
                </c:pt>
                <c:pt idx="592">
                  <c:v>-1.068585885424489E-2</c:v>
                </c:pt>
                <c:pt idx="593">
                  <c:v>-4.1529461220486175E-2</c:v>
                </c:pt>
                <c:pt idx="594">
                  <c:v>1.6325237721046548E-3</c:v>
                </c:pt>
                <c:pt idx="595">
                  <c:v>3.6611101313012595E-2</c:v>
                </c:pt>
                <c:pt idx="596">
                  <c:v>-2.1551648274284019E-2</c:v>
                </c:pt>
                <c:pt idx="597">
                  <c:v>1.1056647329525937E-2</c:v>
                </c:pt>
                <c:pt idx="598">
                  <c:v>4.3458277858991812E-2</c:v>
                </c:pt>
                <c:pt idx="599">
                  <c:v>1.7505022748003363E-3</c:v>
                </c:pt>
                <c:pt idx="600">
                  <c:v>4.295420053047394E-2</c:v>
                </c:pt>
                <c:pt idx="601">
                  <c:v>-4.6785454921298819E-2</c:v>
                </c:pt>
                <c:pt idx="602">
                  <c:v>-3.2748761613440869E-2</c:v>
                </c:pt>
                <c:pt idx="603">
                  <c:v>1.6062941952156295E-2</c:v>
                </c:pt>
                <c:pt idx="604">
                  <c:v>-1.2743014424081767E-2</c:v>
                </c:pt>
                <c:pt idx="605">
                  <c:v>6.181716587998265E-3</c:v>
                </c:pt>
                <c:pt idx="606">
                  <c:v>-2.5437178674039829E-2</c:v>
                </c:pt>
                <c:pt idx="607">
                  <c:v>-2.4970458921405814E-2</c:v>
                </c:pt>
                <c:pt idx="608">
                  <c:v>-2.5591495749104354E-3</c:v>
                </c:pt>
                <c:pt idx="609">
                  <c:v>-0.12023708199188343</c:v>
                </c:pt>
                <c:pt idx="610">
                  <c:v>9.3590291847480689E-3</c:v>
                </c:pt>
                <c:pt idx="611">
                  <c:v>9.4886024253705292E-2</c:v>
                </c:pt>
                <c:pt idx="612">
                  <c:v>-2.7569232330729276E-2</c:v>
                </c:pt>
                <c:pt idx="613">
                  <c:v>-4.5142161931197577E-3</c:v>
                </c:pt>
                <c:pt idx="614">
                  <c:v>7.7784294387670538E-3</c:v>
                </c:pt>
                <c:pt idx="615">
                  <c:v>-5.2978603731748564E-2</c:v>
                </c:pt>
                <c:pt idx="616">
                  <c:v>-7.9991211266061679E-4</c:v>
                </c:pt>
                <c:pt idx="617">
                  <c:v>0.10806427783637806</c:v>
                </c:pt>
                <c:pt idx="618">
                  <c:v>2.1847994269785342E-2</c:v>
                </c:pt>
                <c:pt idx="619">
                  <c:v>-7.3646551174795238E-3</c:v>
                </c:pt>
                <c:pt idx="620">
                  <c:v>-5.563401809733437E-2</c:v>
                </c:pt>
                <c:pt idx="621">
                  <c:v>-1.78298011465714E-2</c:v>
                </c:pt>
                <c:pt idx="622">
                  <c:v>-4.8491659882734184E-2</c:v>
                </c:pt>
                <c:pt idx="623">
                  <c:v>-0.13902667128507107</c:v>
                </c:pt>
                <c:pt idx="624">
                  <c:v>-7.6511789767584104E-2</c:v>
                </c:pt>
                <c:pt idx="625">
                  <c:v>-1.496438606809114E-2</c:v>
                </c:pt>
                <c:pt idx="626">
                  <c:v>-4.8330458626332451E-2</c:v>
                </c:pt>
                <c:pt idx="627">
                  <c:v>7.0224275264659797E-2</c:v>
                </c:pt>
                <c:pt idx="628">
                  <c:v>6.255943515434681E-2</c:v>
                </c:pt>
                <c:pt idx="629">
                  <c:v>-0.10380057212913762</c:v>
                </c:pt>
                <c:pt idx="630">
                  <c:v>-3.1281349749202048E-2</c:v>
                </c:pt>
                <c:pt idx="631">
                  <c:v>9.6403690453775059E-2</c:v>
                </c:pt>
                <c:pt idx="632">
                  <c:v>-5.9247810407006662E-2</c:v>
                </c:pt>
                <c:pt idx="633">
                  <c:v>5.4581964220518531E-2</c:v>
                </c:pt>
                <c:pt idx="634">
                  <c:v>-1.7223472390514138E-2</c:v>
                </c:pt>
                <c:pt idx="635">
                  <c:v>7.8115367679436387E-2</c:v>
                </c:pt>
                <c:pt idx="636">
                  <c:v>0.10235255677176913</c:v>
                </c:pt>
                <c:pt idx="637">
                  <c:v>4.3349388662467847E-2</c:v>
                </c:pt>
                <c:pt idx="638">
                  <c:v>1.953125E-2</c:v>
                </c:pt>
                <c:pt idx="639">
                  <c:v>-3.7060257749913061E-2</c:v>
                </c:pt>
                <c:pt idx="640">
                  <c:v>-5.4112710699558586E-2</c:v>
                </c:pt>
                <c:pt idx="641">
                  <c:v>-2.4780114722753321E-2</c:v>
                </c:pt>
                <c:pt idx="642">
                  <c:v>4.5172927613520653E-2</c:v>
                </c:pt>
                <c:pt idx="643">
                  <c:v>-7.3084715239738918E-2</c:v>
                </c:pt>
                <c:pt idx="644">
                  <c:v>-7.8928195580021066E-2</c:v>
                </c:pt>
                <c:pt idx="645">
                  <c:v>-6.8553348567410577E-3</c:v>
                </c:pt>
                <c:pt idx="646">
                  <c:v>1.3805309734513216E-2</c:v>
                </c:pt>
                <c:pt idx="647">
                  <c:v>-6.6864525139664788E-2</c:v>
                </c:pt>
                <c:pt idx="648">
                  <c:v>0.1161833489242281</c:v>
                </c:pt>
                <c:pt idx="649">
                  <c:v>-0.13333892054978203</c:v>
                </c:pt>
                <c:pt idx="650">
                  <c:v>-0.12020114108886948</c:v>
                </c:pt>
                <c:pt idx="651">
                  <c:v>0.107825895801275</c:v>
                </c:pt>
                <c:pt idx="652">
                  <c:v>-6.5978767734894417E-2</c:v>
                </c:pt>
                <c:pt idx="653">
                  <c:v>-7.7544083280220999E-3</c:v>
                </c:pt>
                <c:pt idx="654">
                  <c:v>7.7079541804945251E-3</c:v>
                </c:pt>
                <c:pt idx="655">
                  <c:v>-5.3542972484861284E-2</c:v>
                </c:pt>
                <c:pt idx="656">
                  <c:v>-1.3806263329217638E-2</c:v>
                </c:pt>
                <c:pt idx="657">
                  <c:v>-2.9706351012975141E-2</c:v>
                </c:pt>
                <c:pt idx="658">
                  <c:v>-1.4662756598240456E-2</c:v>
                </c:pt>
                <c:pt idx="659">
                  <c:v>2.4761904761904763E-2</c:v>
                </c:pt>
                <c:pt idx="660">
                  <c:v>0.13986988847583648</c:v>
                </c:pt>
                <c:pt idx="661">
                  <c:v>-8.8666938442724108E-3</c:v>
                </c:pt>
                <c:pt idx="662">
                  <c:v>5.1311053984575805E-2</c:v>
                </c:pt>
                <c:pt idx="663">
                  <c:v>1.1248043818466336E-2</c:v>
                </c:pt>
                <c:pt idx="664">
                  <c:v>-5.5904826385530515E-2</c:v>
                </c:pt>
                <c:pt idx="665">
                  <c:v>-4.2003893043744966E-3</c:v>
                </c:pt>
                <c:pt idx="666">
                  <c:v>-3.8065843621399198E-2</c:v>
                </c:pt>
                <c:pt idx="667">
                  <c:v>1.497326203208571E-2</c:v>
                </c:pt>
                <c:pt idx="668">
                  <c:v>-4.3940990516333045E-2</c:v>
                </c:pt>
                <c:pt idx="669">
                  <c:v>9.0598479003637156E-2</c:v>
                </c:pt>
                <c:pt idx="670">
                  <c:v>-8.2870136432542374E-3</c:v>
                </c:pt>
                <c:pt idx="671">
                  <c:v>5.2583307856924666E-2</c:v>
                </c:pt>
                <c:pt idx="672">
                  <c:v>-1.1908219575951229E-2</c:v>
                </c:pt>
                <c:pt idx="673">
                  <c:v>4.4091710758378255E-3</c:v>
                </c:pt>
                <c:pt idx="674">
                  <c:v>4.3410398985464616E-2</c:v>
                </c:pt>
                <c:pt idx="675">
                  <c:v>-1.4117427075542199E-2</c:v>
                </c:pt>
                <c:pt idx="676">
                  <c:v>1.9440493124702751E-3</c:v>
                </c:pt>
                <c:pt idx="677">
                  <c:v>4.3585253892385545E-2</c:v>
                </c:pt>
                <c:pt idx="678">
                  <c:v>5.4326138218755649E-2</c:v>
                </c:pt>
                <c:pt idx="679">
                  <c:v>3.3204301075268727E-2</c:v>
                </c:pt>
                <c:pt idx="680">
                  <c:v>3.4468403963033856E-2</c:v>
                </c:pt>
                <c:pt idx="681">
                  <c:v>-6.599597585512984E-3</c:v>
                </c:pt>
                <c:pt idx="682">
                  <c:v>1.6689621647897557E-2</c:v>
                </c:pt>
                <c:pt idx="683">
                  <c:v>3.0600047812574749E-2</c:v>
                </c:pt>
                <c:pt idx="684">
                  <c:v>7.9641227866698028E-3</c:v>
                </c:pt>
                <c:pt idx="685">
                  <c:v>-4.4492175513962673E-3</c:v>
                </c:pt>
                <c:pt idx="686">
                  <c:v>3.7756202804746453E-2</c:v>
                </c:pt>
                <c:pt idx="687">
                  <c:v>-3.4749034749034791E-2</c:v>
                </c:pt>
                <c:pt idx="688">
                  <c:v>1.7000000000000126E-2</c:v>
                </c:pt>
                <c:pt idx="689">
                  <c:v>5.5669011421223713E-2</c:v>
                </c:pt>
                <c:pt idx="690">
                  <c:v>-8.3112416708461812E-3</c:v>
                </c:pt>
                <c:pt idx="691">
                  <c:v>-3.7497290658189408E-2</c:v>
                </c:pt>
                <c:pt idx="692">
                  <c:v>3.002552169344419E-4</c:v>
                </c:pt>
                <c:pt idx="693">
                  <c:v>3.6470058532192873E-2</c:v>
                </c:pt>
                <c:pt idx="694">
                  <c:v>7.9640891977983408E-4</c:v>
                </c:pt>
                <c:pt idx="695">
                  <c:v>1.5626130362439428E-2</c:v>
                </c:pt>
                <c:pt idx="696">
                  <c:v>-8.0276372961036957E-2</c:v>
                </c:pt>
                <c:pt idx="697">
                  <c:v>-1.5489467162329573E-2</c:v>
                </c:pt>
                <c:pt idx="698">
                  <c:v>6.6079295154184425E-3</c:v>
                </c:pt>
                <c:pt idx="699">
                  <c:v>1.4301344170053021E-2</c:v>
                </c:pt>
                <c:pt idx="700">
                  <c:v>-3.5595962708991347E-2</c:v>
                </c:pt>
                <c:pt idx="701">
                  <c:v>2.0532076376128305E-2</c:v>
                </c:pt>
                <c:pt idx="702">
                  <c:v>8.5016439643024855E-2</c:v>
                </c:pt>
                <c:pt idx="703">
                  <c:v>3.5786435786435922E-2</c:v>
                </c:pt>
                <c:pt idx="704">
                  <c:v>1.1284480356645421E-2</c:v>
                </c:pt>
                <c:pt idx="705">
                  <c:v>1.0745281719245048E-2</c:v>
                </c:pt>
                <c:pt idx="706">
                  <c:v>1.9762845849802257E-3</c:v>
                </c:pt>
                <c:pt idx="707">
                  <c:v>2.6525198938991412E-3</c:v>
                </c:pt>
                <c:pt idx="708">
                  <c:v>1.7297517297517384E-2</c:v>
                </c:pt>
                <c:pt idx="709">
                  <c:v>2.300460092018386E-2</c:v>
                </c:pt>
                <c:pt idx="710">
                  <c:v>-9.6467214183286742E-3</c:v>
                </c:pt>
                <c:pt idx="711">
                  <c:v>-4.4096353823877776E-2</c:v>
                </c:pt>
                <c:pt idx="712">
                  <c:v>6.4582759570366299E-2</c:v>
                </c:pt>
                <c:pt idx="713">
                  <c:v>4.6565774155995499E-3</c:v>
                </c:pt>
                <c:pt idx="714">
                  <c:v>2.4333719582850577E-2</c:v>
                </c:pt>
                <c:pt idx="715">
                  <c:v>7.9751131221719396E-2</c:v>
                </c:pt>
                <c:pt idx="716">
                  <c:v>1.5365811070368274E-2</c:v>
                </c:pt>
                <c:pt idx="717">
                  <c:v>-2.8317569504155871E-2</c:v>
                </c:pt>
                <c:pt idx="718">
                  <c:v>3.2328476196094691E-2</c:v>
                </c:pt>
                <c:pt idx="719">
                  <c:v>1.8458197611292082E-2</c:v>
                </c:pt>
                <c:pt idx="720">
                  <c:v>-1.6103692065985831E-2</c:v>
                </c:pt>
                <c:pt idx="721">
                  <c:v>-5.3036783575706181E-3</c:v>
                </c:pt>
                <c:pt idx="722">
                  <c:v>2.5513129228299514E-2</c:v>
                </c:pt>
                <c:pt idx="723">
                  <c:v>8.4418851679990414E-3</c:v>
                </c:pt>
                <c:pt idx="724">
                  <c:v>2.6000665262224221E-2</c:v>
                </c:pt>
                <c:pt idx="725">
                  <c:v>5.7275625439023869E-3</c:v>
                </c:pt>
                <c:pt idx="726">
                  <c:v>-6.1784774082630389E-2</c:v>
                </c:pt>
                <c:pt idx="727">
                  <c:v>2.8574700795968688E-2</c:v>
                </c:pt>
                <c:pt idx="728">
                  <c:v>3.6688564747801022E-2</c:v>
                </c:pt>
                <c:pt idx="729">
                  <c:v>6.82025669942532E-3</c:v>
                </c:pt>
                <c:pt idx="730">
                  <c:v>-1.4828248346490325E-2</c:v>
                </c:pt>
                <c:pt idx="731">
                  <c:v>-2.1386031402273908E-2</c:v>
                </c:pt>
                <c:pt idx="732">
                  <c:v>-2.3845089903181238E-2</c:v>
                </c:pt>
                <c:pt idx="733">
                  <c:v>4.454772160507825E-2</c:v>
                </c:pt>
                <c:pt idx="734">
                  <c:v>-3.4725990233316351E-3</c:v>
                </c:pt>
                <c:pt idx="735">
                  <c:v>2.9511053032778012E-2</c:v>
                </c:pt>
                <c:pt idx="736">
                  <c:v>2.2054156970594319E-2</c:v>
                </c:pt>
                <c:pt idx="737">
                  <c:v>3.4928848641655907E-2</c:v>
                </c:pt>
                <c:pt idx="738">
                  <c:v>-2.7549999999999963E-2</c:v>
                </c:pt>
                <c:pt idx="739">
                  <c:v>-5.8409172708108414E-2</c:v>
                </c:pt>
                <c:pt idx="740">
                  <c:v>-3.4401791077376398E-3</c:v>
                </c:pt>
                <c:pt idx="741">
                  <c:v>-7.999999999999996E-2</c:v>
                </c:pt>
                <c:pt idx="742">
                  <c:v>-5.7176891006551767E-3</c:v>
                </c:pt>
                <c:pt idx="743">
                  <c:v>6.0620582245118015E-2</c:v>
                </c:pt>
                <c:pt idx="744">
                  <c:v>-1.1295606009265047E-4</c:v>
                </c:pt>
                <c:pt idx="745">
                  <c:v>8.2467239042025575E-3</c:v>
                </c:pt>
                <c:pt idx="746">
                  <c:v>-3.9831932773109369E-2</c:v>
                </c:pt>
                <c:pt idx="747">
                  <c:v>8.8103156543555716E-2</c:v>
                </c:pt>
                <c:pt idx="748">
                  <c:v>2.7400933025899521E-2</c:v>
                </c:pt>
                <c:pt idx="749">
                  <c:v>-1.894572025052188E-2</c:v>
                </c:pt>
                <c:pt idx="750">
                  <c:v>-7.7671968931213309E-3</c:v>
                </c:pt>
                <c:pt idx="751">
                  <c:v>1.2385394884992795E-2</c:v>
                </c:pt>
                <c:pt idx="752">
                  <c:v>9.0032835504727515E-4</c:v>
                </c:pt>
                <c:pt idx="753">
                  <c:v>-6.1378908936980947E-3</c:v>
                </c:pt>
                <c:pt idx="754">
                  <c:v>5.3772027897566854E-2</c:v>
                </c:pt>
                <c:pt idx="755">
                  <c:v>5.1785984944172192E-2</c:v>
                </c:pt>
                <c:pt idx="756">
                  <c:v>-2.6755692189451397E-2</c:v>
                </c:pt>
                <c:pt idx="757">
                  <c:v>-2.7096392083312826E-2</c:v>
                </c:pt>
                <c:pt idx="758">
                  <c:v>5.4636769480519431E-2</c:v>
                </c:pt>
                <c:pt idx="759">
                  <c:v>9.2067920534898429E-2</c:v>
                </c:pt>
                <c:pt idx="760">
                  <c:v>1.8940228163679684E-3</c:v>
                </c:pt>
                <c:pt idx="761">
                  <c:v>-1.11667985579883E-2</c:v>
                </c:pt>
                <c:pt idx="762">
                  <c:v>-5.2018495465053771E-3</c:v>
                </c:pt>
                <c:pt idx="763">
                  <c:v>1.9664804469272656E-3</c:v>
                </c:pt>
                <c:pt idx="764">
                  <c:v>-2.3417636825906585E-2</c:v>
                </c:pt>
                <c:pt idx="765">
                  <c:v>3.1972229834657862E-2</c:v>
                </c:pt>
                <c:pt idx="766">
                  <c:v>3.9435248296007863E-2</c:v>
                </c:pt>
                <c:pt idx="767">
                  <c:v>1.2050244837130242E-2</c:v>
                </c:pt>
                <c:pt idx="768">
                  <c:v>-3.5888589700437512E-2</c:v>
                </c:pt>
                <c:pt idx="769">
                  <c:v>-2.0510582587824899E-3</c:v>
                </c:pt>
                <c:pt idx="770">
                  <c:v>-5.2912366625852747E-2</c:v>
                </c:pt>
                <c:pt idx="771">
                  <c:v>-1.9854095484347689E-2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46-4C4D-8021-17855C7E5D66}"/>
            </c:ext>
          </c:extLst>
        </c:ser>
        <c:ser>
          <c:idx val="1"/>
          <c:order val="1"/>
          <c:tx>
            <c:strRef>
              <c:f>Backdoor!$DD$5</c:f>
              <c:strCache>
                <c:ptCount val="1"/>
                <c:pt idx="0">
                  <c:v>DJI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Backdoor!$DB$6:$DB$777</c:f>
              <c:numCache>
                <c:formatCode>m/d/yyyy</c:formatCode>
                <c:ptCount val="772"/>
                <c:pt idx="0">
                  <c:v>40238</c:v>
                </c:pt>
                <c:pt idx="1">
                  <c:v>40245</c:v>
                </c:pt>
                <c:pt idx="2">
                  <c:v>40252</c:v>
                </c:pt>
                <c:pt idx="3">
                  <c:v>40259</c:v>
                </c:pt>
                <c:pt idx="4">
                  <c:v>40266</c:v>
                </c:pt>
                <c:pt idx="5">
                  <c:v>40273</c:v>
                </c:pt>
                <c:pt idx="6">
                  <c:v>40280</c:v>
                </c:pt>
                <c:pt idx="7">
                  <c:v>40287</c:v>
                </c:pt>
                <c:pt idx="8">
                  <c:v>40294</c:v>
                </c:pt>
                <c:pt idx="9">
                  <c:v>40301</c:v>
                </c:pt>
                <c:pt idx="10">
                  <c:v>40308</c:v>
                </c:pt>
                <c:pt idx="11">
                  <c:v>40315</c:v>
                </c:pt>
                <c:pt idx="12">
                  <c:v>40322</c:v>
                </c:pt>
                <c:pt idx="13">
                  <c:v>40330</c:v>
                </c:pt>
                <c:pt idx="14">
                  <c:v>40336</c:v>
                </c:pt>
                <c:pt idx="15">
                  <c:v>40343</c:v>
                </c:pt>
                <c:pt idx="16">
                  <c:v>40350</c:v>
                </c:pt>
                <c:pt idx="17">
                  <c:v>40357</c:v>
                </c:pt>
                <c:pt idx="18">
                  <c:v>40365</c:v>
                </c:pt>
                <c:pt idx="19">
                  <c:v>40371</c:v>
                </c:pt>
                <c:pt idx="20">
                  <c:v>40378</c:v>
                </c:pt>
                <c:pt idx="21">
                  <c:v>40385</c:v>
                </c:pt>
                <c:pt idx="22">
                  <c:v>40392</c:v>
                </c:pt>
                <c:pt idx="23">
                  <c:v>40399</c:v>
                </c:pt>
                <c:pt idx="24">
                  <c:v>40406</c:v>
                </c:pt>
                <c:pt idx="25">
                  <c:v>40413</c:v>
                </c:pt>
                <c:pt idx="26">
                  <c:v>40420</c:v>
                </c:pt>
                <c:pt idx="27">
                  <c:v>40428</c:v>
                </c:pt>
                <c:pt idx="28">
                  <c:v>40434</c:v>
                </c:pt>
                <c:pt idx="29">
                  <c:v>40441</c:v>
                </c:pt>
                <c:pt idx="30">
                  <c:v>40448</c:v>
                </c:pt>
                <c:pt idx="31">
                  <c:v>40455</c:v>
                </c:pt>
                <c:pt idx="32">
                  <c:v>40462</c:v>
                </c:pt>
                <c:pt idx="33">
                  <c:v>40469</c:v>
                </c:pt>
                <c:pt idx="34">
                  <c:v>40476</c:v>
                </c:pt>
                <c:pt idx="35">
                  <c:v>40483</c:v>
                </c:pt>
                <c:pt idx="36">
                  <c:v>40490</c:v>
                </c:pt>
                <c:pt idx="37">
                  <c:v>40497</c:v>
                </c:pt>
                <c:pt idx="38">
                  <c:v>40504</c:v>
                </c:pt>
                <c:pt idx="39">
                  <c:v>40511</c:v>
                </c:pt>
                <c:pt idx="40">
                  <c:v>40518</c:v>
                </c:pt>
                <c:pt idx="41">
                  <c:v>40525</c:v>
                </c:pt>
                <c:pt idx="42">
                  <c:v>40532</c:v>
                </c:pt>
                <c:pt idx="43">
                  <c:v>40539</c:v>
                </c:pt>
                <c:pt idx="44">
                  <c:v>40546</c:v>
                </c:pt>
                <c:pt idx="45">
                  <c:v>40553</c:v>
                </c:pt>
                <c:pt idx="46">
                  <c:v>40561</c:v>
                </c:pt>
                <c:pt idx="47">
                  <c:v>40567</c:v>
                </c:pt>
                <c:pt idx="48">
                  <c:v>40574</c:v>
                </c:pt>
                <c:pt idx="49">
                  <c:v>40581</c:v>
                </c:pt>
                <c:pt idx="50">
                  <c:v>40588</c:v>
                </c:pt>
                <c:pt idx="51">
                  <c:v>40596</c:v>
                </c:pt>
                <c:pt idx="52">
                  <c:v>40602</c:v>
                </c:pt>
                <c:pt idx="53">
                  <c:v>40609</c:v>
                </c:pt>
                <c:pt idx="54">
                  <c:v>40616</c:v>
                </c:pt>
                <c:pt idx="55">
                  <c:v>40623</c:v>
                </c:pt>
                <c:pt idx="56">
                  <c:v>40630</c:v>
                </c:pt>
                <c:pt idx="57">
                  <c:v>40637</c:v>
                </c:pt>
                <c:pt idx="58">
                  <c:v>40644</c:v>
                </c:pt>
                <c:pt idx="59">
                  <c:v>40651</c:v>
                </c:pt>
                <c:pt idx="60">
                  <c:v>40658</c:v>
                </c:pt>
                <c:pt idx="61">
                  <c:v>40665</c:v>
                </c:pt>
                <c:pt idx="62">
                  <c:v>40672</c:v>
                </c:pt>
                <c:pt idx="63">
                  <c:v>40679</c:v>
                </c:pt>
                <c:pt idx="64">
                  <c:v>40686</c:v>
                </c:pt>
                <c:pt idx="65">
                  <c:v>40694</c:v>
                </c:pt>
                <c:pt idx="66">
                  <c:v>40700</c:v>
                </c:pt>
                <c:pt idx="67">
                  <c:v>40707</c:v>
                </c:pt>
                <c:pt idx="68">
                  <c:v>40714</c:v>
                </c:pt>
                <c:pt idx="69">
                  <c:v>40721</c:v>
                </c:pt>
                <c:pt idx="70">
                  <c:v>40729</c:v>
                </c:pt>
                <c:pt idx="71">
                  <c:v>40735</c:v>
                </c:pt>
                <c:pt idx="72">
                  <c:v>40742</c:v>
                </c:pt>
                <c:pt idx="73">
                  <c:v>40749</c:v>
                </c:pt>
                <c:pt idx="74">
                  <c:v>40756</c:v>
                </c:pt>
                <c:pt idx="75">
                  <c:v>40763</c:v>
                </c:pt>
                <c:pt idx="76">
                  <c:v>40770</c:v>
                </c:pt>
                <c:pt idx="77">
                  <c:v>40777</c:v>
                </c:pt>
                <c:pt idx="78">
                  <c:v>40784</c:v>
                </c:pt>
                <c:pt idx="79">
                  <c:v>40792</c:v>
                </c:pt>
                <c:pt idx="80">
                  <c:v>40798</c:v>
                </c:pt>
                <c:pt idx="81">
                  <c:v>40805</c:v>
                </c:pt>
                <c:pt idx="82">
                  <c:v>40812</c:v>
                </c:pt>
                <c:pt idx="83">
                  <c:v>40819</c:v>
                </c:pt>
                <c:pt idx="84">
                  <c:v>40826</c:v>
                </c:pt>
                <c:pt idx="85">
                  <c:v>40833</c:v>
                </c:pt>
                <c:pt idx="86">
                  <c:v>40840</c:v>
                </c:pt>
                <c:pt idx="87">
                  <c:v>40847</c:v>
                </c:pt>
                <c:pt idx="88">
                  <c:v>40854</c:v>
                </c:pt>
                <c:pt idx="89">
                  <c:v>40861</c:v>
                </c:pt>
                <c:pt idx="90">
                  <c:v>40868</c:v>
                </c:pt>
                <c:pt idx="91">
                  <c:v>40875</c:v>
                </c:pt>
                <c:pt idx="92">
                  <c:v>40882</c:v>
                </c:pt>
                <c:pt idx="93">
                  <c:v>40889</c:v>
                </c:pt>
                <c:pt idx="94">
                  <c:v>40896</c:v>
                </c:pt>
                <c:pt idx="95">
                  <c:v>40904</c:v>
                </c:pt>
                <c:pt idx="96">
                  <c:v>40911</c:v>
                </c:pt>
                <c:pt idx="97">
                  <c:v>40917</c:v>
                </c:pt>
                <c:pt idx="98">
                  <c:v>40925</c:v>
                </c:pt>
                <c:pt idx="99">
                  <c:v>40931</c:v>
                </c:pt>
                <c:pt idx="100">
                  <c:v>40938</c:v>
                </c:pt>
                <c:pt idx="101">
                  <c:v>40945</c:v>
                </c:pt>
                <c:pt idx="102">
                  <c:v>40952</c:v>
                </c:pt>
                <c:pt idx="103">
                  <c:v>40960</c:v>
                </c:pt>
                <c:pt idx="104">
                  <c:v>40966</c:v>
                </c:pt>
                <c:pt idx="105">
                  <c:v>40973</c:v>
                </c:pt>
                <c:pt idx="106">
                  <c:v>40980</c:v>
                </c:pt>
                <c:pt idx="107">
                  <c:v>40987</c:v>
                </c:pt>
                <c:pt idx="108">
                  <c:v>40994</c:v>
                </c:pt>
                <c:pt idx="109">
                  <c:v>41001</c:v>
                </c:pt>
                <c:pt idx="110">
                  <c:v>41008</c:v>
                </c:pt>
                <c:pt idx="111">
                  <c:v>41015</c:v>
                </c:pt>
                <c:pt idx="112">
                  <c:v>41022</c:v>
                </c:pt>
                <c:pt idx="113">
                  <c:v>41029</c:v>
                </c:pt>
                <c:pt idx="114">
                  <c:v>41036</c:v>
                </c:pt>
                <c:pt idx="115">
                  <c:v>41043</c:v>
                </c:pt>
                <c:pt idx="116">
                  <c:v>41050</c:v>
                </c:pt>
                <c:pt idx="117">
                  <c:v>41058</c:v>
                </c:pt>
                <c:pt idx="118">
                  <c:v>41064</c:v>
                </c:pt>
                <c:pt idx="119">
                  <c:v>41071</c:v>
                </c:pt>
                <c:pt idx="120">
                  <c:v>41078</c:v>
                </c:pt>
                <c:pt idx="121">
                  <c:v>41085</c:v>
                </c:pt>
                <c:pt idx="122">
                  <c:v>41092</c:v>
                </c:pt>
                <c:pt idx="123">
                  <c:v>41099</c:v>
                </c:pt>
                <c:pt idx="124">
                  <c:v>41106</c:v>
                </c:pt>
                <c:pt idx="125">
                  <c:v>41113</c:v>
                </c:pt>
                <c:pt idx="126">
                  <c:v>41120</c:v>
                </c:pt>
                <c:pt idx="127">
                  <c:v>41127</c:v>
                </c:pt>
                <c:pt idx="128">
                  <c:v>41134</c:v>
                </c:pt>
                <c:pt idx="129">
                  <c:v>41141</c:v>
                </c:pt>
                <c:pt idx="130">
                  <c:v>41148</c:v>
                </c:pt>
                <c:pt idx="131">
                  <c:v>41156</c:v>
                </c:pt>
                <c:pt idx="132">
                  <c:v>41162</c:v>
                </c:pt>
                <c:pt idx="133">
                  <c:v>41169</c:v>
                </c:pt>
                <c:pt idx="134">
                  <c:v>41176</c:v>
                </c:pt>
                <c:pt idx="135">
                  <c:v>41183</c:v>
                </c:pt>
                <c:pt idx="136">
                  <c:v>41190</c:v>
                </c:pt>
                <c:pt idx="137">
                  <c:v>41197</c:v>
                </c:pt>
                <c:pt idx="138">
                  <c:v>41204</c:v>
                </c:pt>
                <c:pt idx="139">
                  <c:v>41213</c:v>
                </c:pt>
                <c:pt idx="140">
                  <c:v>41218</c:v>
                </c:pt>
                <c:pt idx="141">
                  <c:v>41225</c:v>
                </c:pt>
                <c:pt idx="142">
                  <c:v>41232</c:v>
                </c:pt>
                <c:pt idx="143">
                  <c:v>41239</c:v>
                </c:pt>
                <c:pt idx="144">
                  <c:v>41246</c:v>
                </c:pt>
                <c:pt idx="145">
                  <c:v>41253</c:v>
                </c:pt>
                <c:pt idx="146">
                  <c:v>41260</c:v>
                </c:pt>
                <c:pt idx="147">
                  <c:v>41267</c:v>
                </c:pt>
                <c:pt idx="148">
                  <c:v>41274</c:v>
                </c:pt>
                <c:pt idx="149">
                  <c:v>41281</c:v>
                </c:pt>
                <c:pt idx="150">
                  <c:v>41288</c:v>
                </c:pt>
                <c:pt idx="151">
                  <c:v>41296</c:v>
                </c:pt>
                <c:pt idx="152">
                  <c:v>41302</c:v>
                </c:pt>
                <c:pt idx="153">
                  <c:v>41309</c:v>
                </c:pt>
                <c:pt idx="154">
                  <c:v>41316</c:v>
                </c:pt>
                <c:pt idx="155">
                  <c:v>41324</c:v>
                </c:pt>
                <c:pt idx="156">
                  <c:v>41330</c:v>
                </c:pt>
                <c:pt idx="157">
                  <c:v>41337</c:v>
                </c:pt>
                <c:pt idx="158">
                  <c:v>41344</c:v>
                </c:pt>
                <c:pt idx="159">
                  <c:v>41351</c:v>
                </c:pt>
                <c:pt idx="160">
                  <c:v>41358</c:v>
                </c:pt>
                <c:pt idx="161">
                  <c:v>41365</c:v>
                </c:pt>
                <c:pt idx="162">
                  <c:v>41372</c:v>
                </c:pt>
                <c:pt idx="163">
                  <c:v>41379</c:v>
                </c:pt>
                <c:pt idx="164">
                  <c:v>41386</c:v>
                </c:pt>
                <c:pt idx="165">
                  <c:v>41393</c:v>
                </c:pt>
                <c:pt idx="166">
                  <c:v>41400</c:v>
                </c:pt>
                <c:pt idx="167">
                  <c:v>41407</c:v>
                </c:pt>
                <c:pt idx="168">
                  <c:v>41414</c:v>
                </c:pt>
                <c:pt idx="169">
                  <c:v>41422</c:v>
                </c:pt>
                <c:pt idx="170">
                  <c:v>41428</c:v>
                </c:pt>
                <c:pt idx="171">
                  <c:v>41435</c:v>
                </c:pt>
                <c:pt idx="172">
                  <c:v>41442</c:v>
                </c:pt>
                <c:pt idx="173">
                  <c:v>41449</c:v>
                </c:pt>
                <c:pt idx="174">
                  <c:v>41456</c:v>
                </c:pt>
                <c:pt idx="175">
                  <c:v>41463</c:v>
                </c:pt>
                <c:pt idx="176">
                  <c:v>41470</c:v>
                </c:pt>
                <c:pt idx="177">
                  <c:v>41477</c:v>
                </c:pt>
                <c:pt idx="178">
                  <c:v>41484</c:v>
                </c:pt>
                <c:pt idx="179">
                  <c:v>41491</c:v>
                </c:pt>
                <c:pt idx="180">
                  <c:v>41498</c:v>
                </c:pt>
                <c:pt idx="181">
                  <c:v>41505</c:v>
                </c:pt>
                <c:pt idx="182">
                  <c:v>41512</c:v>
                </c:pt>
                <c:pt idx="183">
                  <c:v>41520</c:v>
                </c:pt>
                <c:pt idx="184">
                  <c:v>41526</c:v>
                </c:pt>
                <c:pt idx="185">
                  <c:v>41533</c:v>
                </c:pt>
                <c:pt idx="186">
                  <c:v>41540</c:v>
                </c:pt>
                <c:pt idx="187">
                  <c:v>41547</c:v>
                </c:pt>
                <c:pt idx="188">
                  <c:v>41554</c:v>
                </c:pt>
                <c:pt idx="189">
                  <c:v>41561</c:v>
                </c:pt>
                <c:pt idx="190">
                  <c:v>41568</c:v>
                </c:pt>
                <c:pt idx="191">
                  <c:v>41575</c:v>
                </c:pt>
                <c:pt idx="192">
                  <c:v>41582</c:v>
                </c:pt>
                <c:pt idx="193">
                  <c:v>41589</c:v>
                </c:pt>
                <c:pt idx="194">
                  <c:v>41596</c:v>
                </c:pt>
                <c:pt idx="195">
                  <c:v>41603</c:v>
                </c:pt>
                <c:pt idx="196">
                  <c:v>41610</c:v>
                </c:pt>
                <c:pt idx="197">
                  <c:v>41617</c:v>
                </c:pt>
                <c:pt idx="198">
                  <c:v>41624</c:v>
                </c:pt>
                <c:pt idx="199">
                  <c:v>41631</c:v>
                </c:pt>
                <c:pt idx="200">
                  <c:v>41638</c:v>
                </c:pt>
                <c:pt idx="201">
                  <c:v>41645</c:v>
                </c:pt>
                <c:pt idx="202">
                  <c:v>41652</c:v>
                </c:pt>
                <c:pt idx="203">
                  <c:v>41660</c:v>
                </c:pt>
                <c:pt idx="204">
                  <c:v>41666</c:v>
                </c:pt>
                <c:pt idx="205">
                  <c:v>41673</c:v>
                </c:pt>
                <c:pt idx="206">
                  <c:v>41680</c:v>
                </c:pt>
                <c:pt idx="207">
                  <c:v>41688</c:v>
                </c:pt>
                <c:pt idx="208">
                  <c:v>41694</c:v>
                </c:pt>
                <c:pt idx="209">
                  <c:v>41701</c:v>
                </c:pt>
                <c:pt idx="210">
                  <c:v>41708</c:v>
                </c:pt>
                <c:pt idx="211">
                  <c:v>41715</c:v>
                </c:pt>
                <c:pt idx="212">
                  <c:v>41722</c:v>
                </c:pt>
                <c:pt idx="213">
                  <c:v>41729</c:v>
                </c:pt>
                <c:pt idx="214">
                  <c:v>41736</c:v>
                </c:pt>
                <c:pt idx="215">
                  <c:v>41743</c:v>
                </c:pt>
                <c:pt idx="216">
                  <c:v>41750</c:v>
                </c:pt>
                <c:pt idx="217">
                  <c:v>41757</c:v>
                </c:pt>
                <c:pt idx="218">
                  <c:v>41764</c:v>
                </c:pt>
                <c:pt idx="219">
                  <c:v>41771</c:v>
                </c:pt>
                <c:pt idx="220">
                  <c:v>41778</c:v>
                </c:pt>
                <c:pt idx="221">
                  <c:v>41786</c:v>
                </c:pt>
                <c:pt idx="222">
                  <c:v>41792</c:v>
                </c:pt>
                <c:pt idx="223">
                  <c:v>41799</c:v>
                </c:pt>
                <c:pt idx="224">
                  <c:v>41806</c:v>
                </c:pt>
                <c:pt idx="225">
                  <c:v>41813</c:v>
                </c:pt>
                <c:pt idx="226">
                  <c:v>41820</c:v>
                </c:pt>
                <c:pt idx="227">
                  <c:v>41827</c:v>
                </c:pt>
                <c:pt idx="228">
                  <c:v>41834</c:v>
                </c:pt>
                <c:pt idx="229">
                  <c:v>41841</c:v>
                </c:pt>
                <c:pt idx="230">
                  <c:v>41848</c:v>
                </c:pt>
                <c:pt idx="231">
                  <c:v>41855</c:v>
                </c:pt>
                <c:pt idx="232">
                  <c:v>41862</c:v>
                </c:pt>
                <c:pt idx="233">
                  <c:v>41869</c:v>
                </c:pt>
                <c:pt idx="234">
                  <c:v>41876</c:v>
                </c:pt>
                <c:pt idx="235">
                  <c:v>41884</c:v>
                </c:pt>
                <c:pt idx="236">
                  <c:v>41890</c:v>
                </c:pt>
                <c:pt idx="237">
                  <c:v>41897</c:v>
                </c:pt>
                <c:pt idx="238">
                  <c:v>41904</c:v>
                </c:pt>
                <c:pt idx="239">
                  <c:v>41911</c:v>
                </c:pt>
                <c:pt idx="240">
                  <c:v>41918</c:v>
                </c:pt>
                <c:pt idx="241">
                  <c:v>41925</c:v>
                </c:pt>
                <c:pt idx="242">
                  <c:v>41932</c:v>
                </c:pt>
                <c:pt idx="243">
                  <c:v>41939</c:v>
                </c:pt>
                <c:pt idx="244">
                  <c:v>41946</c:v>
                </c:pt>
                <c:pt idx="245">
                  <c:v>41953</c:v>
                </c:pt>
                <c:pt idx="246">
                  <c:v>41960</c:v>
                </c:pt>
                <c:pt idx="247">
                  <c:v>41967</c:v>
                </c:pt>
                <c:pt idx="248">
                  <c:v>41974</c:v>
                </c:pt>
                <c:pt idx="249">
                  <c:v>41981</c:v>
                </c:pt>
                <c:pt idx="250">
                  <c:v>41988</c:v>
                </c:pt>
                <c:pt idx="251">
                  <c:v>41995</c:v>
                </c:pt>
                <c:pt idx="252">
                  <c:v>42002</c:v>
                </c:pt>
                <c:pt idx="253">
                  <c:v>42009</c:v>
                </c:pt>
                <c:pt idx="254">
                  <c:v>42016</c:v>
                </c:pt>
                <c:pt idx="255">
                  <c:v>42024</c:v>
                </c:pt>
                <c:pt idx="256">
                  <c:v>42030</c:v>
                </c:pt>
                <c:pt idx="257">
                  <c:v>42037</c:v>
                </c:pt>
                <c:pt idx="258">
                  <c:v>42044</c:v>
                </c:pt>
                <c:pt idx="259">
                  <c:v>42052</c:v>
                </c:pt>
                <c:pt idx="260">
                  <c:v>42058</c:v>
                </c:pt>
                <c:pt idx="261">
                  <c:v>42065</c:v>
                </c:pt>
                <c:pt idx="262">
                  <c:v>42072</c:v>
                </c:pt>
                <c:pt idx="263">
                  <c:v>42079</c:v>
                </c:pt>
                <c:pt idx="264">
                  <c:v>42086</c:v>
                </c:pt>
                <c:pt idx="265">
                  <c:v>42093</c:v>
                </c:pt>
                <c:pt idx="266">
                  <c:v>42100</c:v>
                </c:pt>
                <c:pt idx="267">
                  <c:v>42107</c:v>
                </c:pt>
                <c:pt idx="268">
                  <c:v>42114</c:v>
                </c:pt>
                <c:pt idx="269">
                  <c:v>42121</c:v>
                </c:pt>
                <c:pt idx="270">
                  <c:v>42128</c:v>
                </c:pt>
                <c:pt idx="271">
                  <c:v>42135</c:v>
                </c:pt>
                <c:pt idx="272">
                  <c:v>42142</c:v>
                </c:pt>
                <c:pt idx="273">
                  <c:v>42150</c:v>
                </c:pt>
                <c:pt idx="274">
                  <c:v>42156</c:v>
                </c:pt>
                <c:pt idx="275">
                  <c:v>42163</c:v>
                </c:pt>
                <c:pt idx="276">
                  <c:v>42170</c:v>
                </c:pt>
                <c:pt idx="277">
                  <c:v>42177</c:v>
                </c:pt>
                <c:pt idx="278">
                  <c:v>42184</c:v>
                </c:pt>
                <c:pt idx="279">
                  <c:v>42191</c:v>
                </c:pt>
                <c:pt idx="280">
                  <c:v>42198</c:v>
                </c:pt>
                <c:pt idx="281">
                  <c:v>42205</c:v>
                </c:pt>
                <c:pt idx="282">
                  <c:v>42212</c:v>
                </c:pt>
                <c:pt idx="283">
                  <c:v>42219</c:v>
                </c:pt>
                <c:pt idx="284">
                  <c:v>42226</c:v>
                </c:pt>
                <c:pt idx="285">
                  <c:v>42233</c:v>
                </c:pt>
                <c:pt idx="286">
                  <c:v>42240</c:v>
                </c:pt>
                <c:pt idx="287">
                  <c:v>42247</c:v>
                </c:pt>
                <c:pt idx="288">
                  <c:v>42255</c:v>
                </c:pt>
                <c:pt idx="289">
                  <c:v>42261</c:v>
                </c:pt>
                <c:pt idx="290">
                  <c:v>42268</c:v>
                </c:pt>
                <c:pt idx="291">
                  <c:v>42275</c:v>
                </c:pt>
                <c:pt idx="292">
                  <c:v>42282</c:v>
                </c:pt>
                <c:pt idx="293">
                  <c:v>42289</c:v>
                </c:pt>
                <c:pt idx="294">
                  <c:v>42296</c:v>
                </c:pt>
                <c:pt idx="295">
                  <c:v>42303</c:v>
                </c:pt>
                <c:pt idx="296">
                  <c:v>42310</c:v>
                </c:pt>
                <c:pt idx="297">
                  <c:v>42317</c:v>
                </c:pt>
                <c:pt idx="298">
                  <c:v>42324</c:v>
                </c:pt>
                <c:pt idx="299">
                  <c:v>42331</c:v>
                </c:pt>
                <c:pt idx="300">
                  <c:v>42338</c:v>
                </c:pt>
                <c:pt idx="301">
                  <c:v>42345</c:v>
                </c:pt>
                <c:pt idx="302">
                  <c:v>42352</c:v>
                </c:pt>
                <c:pt idx="303">
                  <c:v>42359</c:v>
                </c:pt>
                <c:pt idx="304">
                  <c:v>42366</c:v>
                </c:pt>
                <c:pt idx="305">
                  <c:v>42373</c:v>
                </c:pt>
                <c:pt idx="306">
                  <c:v>42380</c:v>
                </c:pt>
                <c:pt idx="307">
                  <c:v>42388</c:v>
                </c:pt>
                <c:pt idx="308">
                  <c:v>42394</c:v>
                </c:pt>
                <c:pt idx="309">
                  <c:v>42401</c:v>
                </c:pt>
                <c:pt idx="310">
                  <c:v>42408</c:v>
                </c:pt>
                <c:pt idx="311">
                  <c:v>42416</c:v>
                </c:pt>
                <c:pt idx="312">
                  <c:v>42422</c:v>
                </c:pt>
                <c:pt idx="313">
                  <c:v>42429</c:v>
                </c:pt>
                <c:pt idx="314">
                  <c:v>42436</c:v>
                </c:pt>
                <c:pt idx="315">
                  <c:v>42443</c:v>
                </c:pt>
                <c:pt idx="316">
                  <c:v>42450</c:v>
                </c:pt>
                <c:pt idx="317">
                  <c:v>42457</c:v>
                </c:pt>
                <c:pt idx="318">
                  <c:v>42464</c:v>
                </c:pt>
                <c:pt idx="319">
                  <c:v>42471</c:v>
                </c:pt>
                <c:pt idx="320">
                  <c:v>42478</c:v>
                </c:pt>
                <c:pt idx="321">
                  <c:v>42485</c:v>
                </c:pt>
                <c:pt idx="322">
                  <c:v>42492</c:v>
                </c:pt>
                <c:pt idx="323">
                  <c:v>42499</c:v>
                </c:pt>
                <c:pt idx="324">
                  <c:v>42506</c:v>
                </c:pt>
                <c:pt idx="325">
                  <c:v>42513</c:v>
                </c:pt>
                <c:pt idx="326">
                  <c:v>42521</c:v>
                </c:pt>
                <c:pt idx="327">
                  <c:v>42527</c:v>
                </c:pt>
                <c:pt idx="328">
                  <c:v>42534</c:v>
                </c:pt>
                <c:pt idx="329">
                  <c:v>42541</c:v>
                </c:pt>
                <c:pt idx="330">
                  <c:v>42548</c:v>
                </c:pt>
                <c:pt idx="331">
                  <c:v>42556</c:v>
                </c:pt>
                <c:pt idx="332">
                  <c:v>42562</c:v>
                </c:pt>
                <c:pt idx="333">
                  <c:v>42569</c:v>
                </c:pt>
                <c:pt idx="334">
                  <c:v>42576</c:v>
                </c:pt>
                <c:pt idx="335">
                  <c:v>42583</c:v>
                </c:pt>
                <c:pt idx="336">
                  <c:v>42590</c:v>
                </c:pt>
                <c:pt idx="337">
                  <c:v>42597</c:v>
                </c:pt>
                <c:pt idx="338">
                  <c:v>42604</c:v>
                </c:pt>
                <c:pt idx="339">
                  <c:v>42611</c:v>
                </c:pt>
                <c:pt idx="340">
                  <c:v>42619</c:v>
                </c:pt>
                <c:pt idx="341">
                  <c:v>42625</c:v>
                </c:pt>
                <c:pt idx="342">
                  <c:v>42632</c:v>
                </c:pt>
                <c:pt idx="343">
                  <c:v>42639</c:v>
                </c:pt>
                <c:pt idx="344">
                  <c:v>42646</c:v>
                </c:pt>
                <c:pt idx="345">
                  <c:v>42653</c:v>
                </c:pt>
                <c:pt idx="346">
                  <c:v>42660</c:v>
                </c:pt>
                <c:pt idx="347">
                  <c:v>42667</c:v>
                </c:pt>
                <c:pt idx="348">
                  <c:v>42674</c:v>
                </c:pt>
                <c:pt idx="349">
                  <c:v>42681</c:v>
                </c:pt>
                <c:pt idx="350">
                  <c:v>42688</c:v>
                </c:pt>
                <c:pt idx="351">
                  <c:v>42695</c:v>
                </c:pt>
                <c:pt idx="352">
                  <c:v>42702</c:v>
                </c:pt>
                <c:pt idx="353">
                  <c:v>42709</c:v>
                </c:pt>
                <c:pt idx="354">
                  <c:v>42716</c:v>
                </c:pt>
                <c:pt idx="355">
                  <c:v>42723</c:v>
                </c:pt>
                <c:pt idx="356">
                  <c:v>42731</c:v>
                </c:pt>
                <c:pt idx="357">
                  <c:v>42738</c:v>
                </c:pt>
                <c:pt idx="358">
                  <c:v>42744</c:v>
                </c:pt>
                <c:pt idx="359">
                  <c:v>42752</c:v>
                </c:pt>
                <c:pt idx="360">
                  <c:v>42758</c:v>
                </c:pt>
                <c:pt idx="361">
                  <c:v>42765</c:v>
                </c:pt>
                <c:pt idx="362">
                  <c:v>42772</c:v>
                </c:pt>
                <c:pt idx="363">
                  <c:v>42779</c:v>
                </c:pt>
                <c:pt idx="364">
                  <c:v>42787</c:v>
                </c:pt>
                <c:pt idx="365">
                  <c:v>42793</c:v>
                </c:pt>
                <c:pt idx="366">
                  <c:v>42800</c:v>
                </c:pt>
                <c:pt idx="367">
                  <c:v>42807</c:v>
                </c:pt>
                <c:pt idx="368">
                  <c:v>42814</c:v>
                </c:pt>
                <c:pt idx="369">
                  <c:v>42821</c:v>
                </c:pt>
                <c:pt idx="370">
                  <c:v>42828</c:v>
                </c:pt>
                <c:pt idx="371">
                  <c:v>42835</c:v>
                </c:pt>
                <c:pt idx="372">
                  <c:v>42842</c:v>
                </c:pt>
                <c:pt idx="373">
                  <c:v>42849</c:v>
                </c:pt>
                <c:pt idx="374">
                  <c:v>42856</c:v>
                </c:pt>
                <c:pt idx="375">
                  <c:v>42863</c:v>
                </c:pt>
                <c:pt idx="376">
                  <c:v>42870</c:v>
                </c:pt>
                <c:pt idx="377">
                  <c:v>42877</c:v>
                </c:pt>
                <c:pt idx="378">
                  <c:v>42885</c:v>
                </c:pt>
                <c:pt idx="379">
                  <c:v>42891</c:v>
                </c:pt>
                <c:pt idx="380">
                  <c:v>42898</c:v>
                </c:pt>
                <c:pt idx="381">
                  <c:v>42905</c:v>
                </c:pt>
                <c:pt idx="382">
                  <c:v>42912</c:v>
                </c:pt>
                <c:pt idx="383">
                  <c:v>42919</c:v>
                </c:pt>
                <c:pt idx="384">
                  <c:v>42926</c:v>
                </c:pt>
                <c:pt idx="385">
                  <c:v>42933</c:v>
                </c:pt>
                <c:pt idx="386">
                  <c:v>42940</c:v>
                </c:pt>
                <c:pt idx="387">
                  <c:v>42947</c:v>
                </c:pt>
                <c:pt idx="388">
                  <c:v>42954</c:v>
                </c:pt>
                <c:pt idx="389">
                  <c:v>42961</c:v>
                </c:pt>
                <c:pt idx="390">
                  <c:v>42968</c:v>
                </c:pt>
                <c:pt idx="391">
                  <c:v>42975</c:v>
                </c:pt>
                <c:pt idx="392">
                  <c:v>42983</c:v>
                </c:pt>
                <c:pt idx="393">
                  <c:v>42989</c:v>
                </c:pt>
                <c:pt idx="394">
                  <c:v>42996</c:v>
                </c:pt>
                <c:pt idx="395">
                  <c:v>43003</c:v>
                </c:pt>
                <c:pt idx="396">
                  <c:v>43010</c:v>
                </c:pt>
                <c:pt idx="397">
                  <c:v>43017</c:v>
                </c:pt>
                <c:pt idx="398">
                  <c:v>43024</c:v>
                </c:pt>
                <c:pt idx="399">
                  <c:v>43031</c:v>
                </c:pt>
                <c:pt idx="400">
                  <c:v>43038</c:v>
                </c:pt>
                <c:pt idx="401">
                  <c:v>43045</c:v>
                </c:pt>
                <c:pt idx="402">
                  <c:v>43052</c:v>
                </c:pt>
                <c:pt idx="403">
                  <c:v>43059</c:v>
                </c:pt>
                <c:pt idx="404">
                  <c:v>43066</c:v>
                </c:pt>
                <c:pt idx="405">
                  <c:v>43073</c:v>
                </c:pt>
                <c:pt idx="406">
                  <c:v>43080</c:v>
                </c:pt>
                <c:pt idx="407">
                  <c:v>43087</c:v>
                </c:pt>
                <c:pt idx="408">
                  <c:v>43095</c:v>
                </c:pt>
                <c:pt idx="409">
                  <c:v>43102</c:v>
                </c:pt>
                <c:pt idx="410">
                  <c:v>43108</c:v>
                </c:pt>
                <c:pt idx="411">
                  <c:v>43116</c:v>
                </c:pt>
                <c:pt idx="412">
                  <c:v>43122</c:v>
                </c:pt>
                <c:pt idx="413">
                  <c:v>43129</c:v>
                </c:pt>
                <c:pt idx="414">
                  <c:v>43136</c:v>
                </c:pt>
                <c:pt idx="415">
                  <c:v>43143</c:v>
                </c:pt>
                <c:pt idx="416">
                  <c:v>43151</c:v>
                </c:pt>
                <c:pt idx="417">
                  <c:v>43157</c:v>
                </c:pt>
                <c:pt idx="418">
                  <c:v>43164</c:v>
                </c:pt>
                <c:pt idx="419">
                  <c:v>43171</c:v>
                </c:pt>
                <c:pt idx="420">
                  <c:v>43178</c:v>
                </c:pt>
                <c:pt idx="421">
                  <c:v>43185</c:v>
                </c:pt>
                <c:pt idx="422">
                  <c:v>43192</c:v>
                </c:pt>
                <c:pt idx="423">
                  <c:v>43199</c:v>
                </c:pt>
                <c:pt idx="424">
                  <c:v>43206</c:v>
                </c:pt>
                <c:pt idx="425">
                  <c:v>43213</c:v>
                </c:pt>
                <c:pt idx="426">
                  <c:v>43220</c:v>
                </c:pt>
                <c:pt idx="427">
                  <c:v>43227</c:v>
                </c:pt>
                <c:pt idx="428">
                  <c:v>43234</c:v>
                </c:pt>
                <c:pt idx="429">
                  <c:v>43241</c:v>
                </c:pt>
                <c:pt idx="430">
                  <c:v>43249</c:v>
                </c:pt>
                <c:pt idx="431">
                  <c:v>43255</c:v>
                </c:pt>
                <c:pt idx="432">
                  <c:v>43262</c:v>
                </c:pt>
                <c:pt idx="433">
                  <c:v>43269</c:v>
                </c:pt>
                <c:pt idx="434">
                  <c:v>43276</c:v>
                </c:pt>
                <c:pt idx="435">
                  <c:v>43283</c:v>
                </c:pt>
                <c:pt idx="436">
                  <c:v>43290</c:v>
                </c:pt>
                <c:pt idx="437">
                  <c:v>43297</c:v>
                </c:pt>
                <c:pt idx="438">
                  <c:v>43304</c:v>
                </c:pt>
                <c:pt idx="439">
                  <c:v>43311</c:v>
                </c:pt>
                <c:pt idx="440">
                  <c:v>43318</c:v>
                </c:pt>
                <c:pt idx="441">
                  <c:v>43325</c:v>
                </c:pt>
                <c:pt idx="442">
                  <c:v>43332</c:v>
                </c:pt>
                <c:pt idx="443">
                  <c:v>43339</c:v>
                </c:pt>
                <c:pt idx="444">
                  <c:v>43347</c:v>
                </c:pt>
                <c:pt idx="445">
                  <c:v>43353</c:v>
                </c:pt>
                <c:pt idx="446">
                  <c:v>43360</c:v>
                </c:pt>
                <c:pt idx="447">
                  <c:v>43367</c:v>
                </c:pt>
                <c:pt idx="448">
                  <c:v>43374</c:v>
                </c:pt>
                <c:pt idx="449">
                  <c:v>43381</c:v>
                </c:pt>
                <c:pt idx="450">
                  <c:v>43388</c:v>
                </c:pt>
                <c:pt idx="451">
                  <c:v>43395</c:v>
                </c:pt>
                <c:pt idx="452">
                  <c:v>43402</c:v>
                </c:pt>
                <c:pt idx="453">
                  <c:v>43409</c:v>
                </c:pt>
                <c:pt idx="454">
                  <c:v>43416</c:v>
                </c:pt>
                <c:pt idx="455">
                  <c:v>43423</c:v>
                </c:pt>
                <c:pt idx="456">
                  <c:v>43430</c:v>
                </c:pt>
                <c:pt idx="457">
                  <c:v>43437</c:v>
                </c:pt>
                <c:pt idx="458">
                  <c:v>43444</c:v>
                </c:pt>
                <c:pt idx="459">
                  <c:v>43451</c:v>
                </c:pt>
                <c:pt idx="460">
                  <c:v>43458</c:v>
                </c:pt>
                <c:pt idx="461">
                  <c:v>43465</c:v>
                </c:pt>
                <c:pt idx="462">
                  <c:v>43472</c:v>
                </c:pt>
                <c:pt idx="463">
                  <c:v>43479</c:v>
                </c:pt>
                <c:pt idx="464">
                  <c:v>43487</c:v>
                </c:pt>
                <c:pt idx="465">
                  <c:v>43493</c:v>
                </c:pt>
                <c:pt idx="466">
                  <c:v>43500</c:v>
                </c:pt>
                <c:pt idx="467">
                  <c:v>43507</c:v>
                </c:pt>
                <c:pt idx="468">
                  <c:v>43515</c:v>
                </c:pt>
                <c:pt idx="469">
                  <c:v>43521</c:v>
                </c:pt>
                <c:pt idx="470">
                  <c:v>43528</c:v>
                </c:pt>
                <c:pt idx="471">
                  <c:v>43535</c:v>
                </c:pt>
                <c:pt idx="472">
                  <c:v>43542</c:v>
                </c:pt>
                <c:pt idx="473">
                  <c:v>43549</c:v>
                </c:pt>
                <c:pt idx="474">
                  <c:v>43556</c:v>
                </c:pt>
                <c:pt idx="475">
                  <c:v>43563</c:v>
                </c:pt>
                <c:pt idx="476">
                  <c:v>43570</c:v>
                </c:pt>
                <c:pt idx="477">
                  <c:v>43577</c:v>
                </c:pt>
                <c:pt idx="478">
                  <c:v>43584</c:v>
                </c:pt>
                <c:pt idx="479">
                  <c:v>43591</c:v>
                </c:pt>
                <c:pt idx="480">
                  <c:v>43598</c:v>
                </c:pt>
                <c:pt idx="481">
                  <c:v>43605</c:v>
                </c:pt>
                <c:pt idx="482">
                  <c:v>43613</c:v>
                </c:pt>
                <c:pt idx="483">
                  <c:v>43619</c:v>
                </c:pt>
                <c:pt idx="484">
                  <c:v>43626</c:v>
                </c:pt>
                <c:pt idx="485">
                  <c:v>43633</c:v>
                </c:pt>
                <c:pt idx="486">
                  <c:v>43640</c:v>
                </c:pt>
                <c:pt idx="487">
                  <c:v>43647</c:v>
                </c:pt>
                <c:pt idx="488">
                  <c:v>43654</c:v>
                </c:pt>
                <c:pt idx="489">
                  <c:v>43661</c:v>
                </c:pt>
                <c:pt idx="490">
                  <c:v>43668</c:v>
                </c:pt>
                <c:pt idx="491">
                  <c:v>43675</c:v>
                </c:pt>
                <c:pt idx="492">
                  <c:v>43682</c:v>
                </c:pt>
                <c:pt idx="493">
                  <c:v>43689</c:v>
                </c:pt>
                <c:pt idx="494">
                  <c:v>43696</c:v>
                </c:pt>
                <c:pt idx="495">
                  <c:v>43703</c:v>
                </c:pt>
                <c:pt idx="496">
                  <c:v>43711</c:v>
                </c:pt>
                <c:pt idx="497">
                  <c:v>43717</c:v>
                </c:pt>
                <c:pt idx="498">
                  <c:v>43724</c:v>
                </c:pt>
                <c:pt idx="499">
                  <c:v>43731</c:v>
                </c:pt>
                <c:pt idx="500">
                  <c:v>43738</c:v>
                </c:pt>
                <c:pt idx="501">
                  <c:v>43745</c:v>
                </c:pt>
                <c:pt idx="502">
                  <c:v>43752</c:v>
                </c:pt>
                <c:pt idx="503">
                  <c:v>43759</c:v>
                </c:pt>
                <c:pt idx="504">
                  <c:v>43766</c:v>
                </c:pt>
                <c:pt idx="505">
                  <c:v>43773</c:v>
                </c:pt>
                <c:pt idx="506">
                  <c:v>43780</c:v>
                </c:pt>
                <c:pt idx="507">
                  <c:v>43787</c:v>
                </c:pt>
                <c:pt idx="508">
                  <c:v>43794</c:v>
                </c:pt>
                <c:pt idx="509">
                  <c:v>43801</c:v>
                </c:pt>
                <c:pt idx="510">
                  <c:v>43808</c:v>
                </c:pt>
                <c:pt idx="511">
                  <c:v>43815</c:v>
                </c:pt>
                <c:pt idx="512">
                  <c:v>43822</c:v>
                </c:pt>
                <c:pt idx="513">
                  <c:v>43829</c:v>
                </c:pt>
                <c:pt idx="514">
                  <c:v>43836</c:v>
                </c:pt>
                <c:pt idx="515">
                  <c:v>43843</c:v>
                </c:pt>
                <c:pt idx="516">
                  <c:v>43851</c:v>
                </c:pt>
                <c:pt idx="517">
                  <c:v>43857</c:v>
                </c:pt>
                <c:pt idx="518">
                  <c:v>43864</c:v>
                </c:pt>
                <c:pt idx="519">
                  <c:v>43871</c:v>
                </c:pt>
                <c:pt idx="520">
                  <c:v>43879</c:v>
                </c:pt>
                <c:pt idx="521">
                  <c:v>43885</c:v>
                </c:pt>
                <c:pt idx="522">
                  <c:v>43892</c:v>
                </c:pt>
                <c:pt idx="523">
                  <c:v>43899</c:v>
                </c:pt>
                <c:pt idx="524">
                  <c:v>43906</c:v>
                </c:pt>
                <c:pt idx="525">
                  <c:v>43913</c:v>
                </c:pt>
                <c:pt idx="526">
                  <c:v>43920</c:v>
                </c:pt>
                <c:pt idx="527">
                  <c:v>43927</c:v>
                </c:pt>
                <c:pt idx="528">
                  <c:v>43934</c:v>
                </c:pt>
                <c:pt idx="529">
                  <c:v>43941</c:v>
                </c:pt>
                <c:pt idx="530">
                  <c:v>43948</c:v>
                </c:pt>
                <c:pt idx="531">
                  <c:v>43955</c:v>
                </c:pt>
                <c:pt idx="532">
                  <c:v>43962</c:v>
                </c:pt>
                <c:pt idx="533">
                  <c:v>43969</c:v>
                </c:pt>
                <c:pt idx="534">
                  <c:v>43977</c:v>
                </c:pt>
                <c:pt idx="535">
                  <c:v>43983</c:v>
                </c:pt>
                <c:pt idx="536">
                  <c:v>43990</c:v>
                </c:pt>
                <c:pt idx="537">
                  <c:v>43997</c:v>
                </c:pt>
                <c:pt idx="538">
                  <c:v>44004</c:v>
                </c:pt>
                <c:pt idx="539">
                  <c:v>44011</c:v>
                </c:pt>
                <c:pt idx="540">
                  <c:v>44018</c:v>
                </c:pt>
                <c:pt idx="541">
                  <c:v>44025</c:v>
                </c:pt>
                <c:pt idx="542">
                  <c:v>44032</c:v>
                </c:pt>
                <c:pt idx="543">
                  <c:v>44039</c:v>
                </c:pt>
                <c:pt idx="544">
                  <c:v>44046</c:v>
                </c:pt>
                <c:pt idx="545">
                  <c:v>44053</c:v>
                </c:pt>
                <c:pt idx="546">
                  <c:v>44060</c:v>
                </c:pt>
                <c:pt idx="547">
                  <c:v>44067</c:v>
                </c:pt>
                <c:pt idx="548">
                  <c:v>44074</c:v>
                </c:pt>
                <c:pt idx="549">
                  <c:v>44082</c:v>
                </c:pt>
                <c:pt idx="550">
                  <c:v>44088</c:v>
                </c:pt>
                <c:pt idx="551">
                  <c:v>44095</c:v>
                </c:pt>
                <c:pt idx="552">
                  <c:v>44102</c:v>
                </c:pt>
                <c:pt idx="553">
                  <c:v>44109</c:v>
                </c:pt>
                <c:pt idx="554">
                  <c:v>44116</c:v>
                </c:pt>
                <c:pt idx="555">
                  <c:v>44123</c:v>
                </c:pt>
                <c:pt idx="556">
                  <c:v>44130</c:v>
                </c:pt>
                <c:pt idx="557">
                  <c:v>44137</c:v>
                </c:pt>
                <c:pt idx="558">
                  <c:v>44144</c:v>
                </c:pt>
                <c:pt idx="559">
                  <c:v>44151</c:v>
                </c:pt>
                <c:pt idx="560">
                  <c:v>44158</c:v>
                </c:pt>
                <c:pt idx="561">
                  <c:v>44165</c:v>
                </c:pt>
                <c:pt idx="562">
                  <c:v>44172</c:v>
                </c:pt>
                <c:pt idx="563">
                  <c:v>44179</c:v>
                </c:pt>
                <c:pt idx="564">
                  <c:v>44186</c:v>
                </c:pt>
                <c:pt idx="565">
                  <c:v>44193</c:v>
                </c:pt>
                <c:pt idx="566">
                  <c:v>44200</c:v>
                </c:pt>
                <c:pt idx="567">
                  <c:v>44207</c:v>
                </c:pt>
                <c:pt idx="568">
                  <c:v>44215</c:v>
                </c:pt>
                <c:pt idx="569">
                  <c:v>44221</c:v>
                </c:pt>
                <c:pt idx="570">
                  <c:v>44228</c:v>
                </c:pt>
                <c:pt idx="571">
                  <c:v>44235</c:v>
                </c:pt>
                <c:pt idx="572">
                  <c:v>44243</c:v>
                </c:pt>
                <c:pt idx="573">
                  <c:v>44249</c:v>
                </c:pt>
                <c:pt idx="574">
                  <c:v>44256</c:v>
                </c:pt>
                <c:pt idx="575">
                  <c:v>44263</c:v>
                </c:pt>
                <c:pt idx="576">
                  <c:v>44270</c:v>
                </c:pt>
                <c:pt idx="577">
                  <c:v>44277</c:v>
                </c:pt>
                <c:pt idx="578">
                  <c:v>44284</c:v>
                </c:pt>
                <c:pt idx="579">
                  <c:v>44291</c:v>
                </c:pt>
                <c:pt idx="580">
                  <c:v>44298</c:v>
                </c:pt>
                <c:pt idx="581">
                  <c:v>44305</c:v>
                </c:pt>
                <c:pt idx="582">
                  <c:v>44312</c:v>
                </c:pt>
                <c:pt idx="583">
                  <c:v>44319</c:v>
                </c:pt>
                <c:pt idx="584">
                  <c:v>44326</c:v>
                </c:pt>
                <c:pt idx="585">
                  <c:v>44333</c:v>
                </c:pt>
                <c:pt idx="586">
                  <c:v>44340</c:v>
                </c:pt>
                <c:pt idx="587">
                  <c:v>44348</c:v>
                </c:pt>
                <c:pt idx="588">
                  <c:v>44354</c:v>
                </c:pt>
                <c:pt idx="589">
                  <c:v>44361</c:v>
                </c:pt>
                <c:pt idx="590">
                  <c:v>44368</c:v>
                </c:pt>
                <c:pt idx="591">
                  <c:v>44375</c:v>
                </c:pt>
                <c:pt idx="592">
                  <c:v>44383</c:v>
                </c:pt>
                <c:pt idx="593">
                  <c:v>44389</c:v>
                </c:pt>
                <c:pt idx="594">
                  <c:v>44396</c:v>
                </c:pt>
                <c:pt idx="595">
                  <c:v>44403</c:v>
                </c:pt>
                <c:pt idx="596">
                  <c:v>44410</c:v>
                </c:pt>
                <c:pt idx="597">
                  <c:v>44417</c:v>
                </c:pt>
                <c:pt idx="598">
                  <c:v>44424</c:v>
                </c:pt>
                <c:pt idx="599">
                  <c:v>44431</c:v>
                </c:pt>
                <c:pt idx="600">
                  <c:v>44438</c:v>
                </c:pt>
                <c:pt idx="601">
                  <c:v>44446</c:v>
                </c:pt>
                <c:pt idx="602">
                  <c:v>44452</c:v>
                </c:pt>
                <c:pt idx="603">
                  <c:v>44459</c:v>
                </c:pt>
                <c:pt idx="604">
                  <c:v>44466</c:v>
                </c:pt>
                <c:pt idx="605">
                  <c:v>44473</c:v>
                </c:pt>
                <c:pt idx="606">
                  <c:v>44480</c:v>
                </c:pt>
                <c:pt idx="607">
                  <c:v>44487</c:v>
                </c:pt>
                <c:pt idx="608">
                  <c:v>44494</c:v>
                </c:pt>
                <c:pt idx="609">
                  <c:v>44501</c:v>
                </c:pt>
                <c:pt idx="610">
                  <c:v>44508</c:v>
                </c:pt>
                <c:pt idx="611">
                  <c:v>44515</c:v>
                </c:pt>
                <c:pt idx="612">
                  <c:v>44522</c:v>
                </c:pt>
                <c:pt idx="613">
                  <c:v>44529</c:v>
                </c:pt>
                <c:pt idx="614">
                  <c:v>44536</c:v>
                </c:pt>
                <c:pt idx="615">
                  <c:v>44543</c:v>
                </c:pt>
                <c:pt idx="616">
                  <c:v>44550</c:v>
                </c:pt>
                <c:pt idx="617">
                  <c:v>44557</c:v>
                </c:pt>
                <c:pt idx="618">
                  <c:v>44564</c:v>
                </c:pt>
                <c:pt idx="619">
                  <c:v>44571</c:v>
                </c:pt>
                <c:pt idx="620">
                  <c:v>44579</c:v>
                </c:pt>
                <c:pt idx="621">
                  <c:v>44585</c:v>
                </c:pt>
                <c:pt idx="622">
                  <c:v>44592</c:v>
                </c:pt>
                <c:pt idx="623">
                  <c:v>44599</c:v>
                </c:pt>
                <c:pt idx="624">
                  <c:v>44606</c:v>
                </c:pt>
                <c:pt idx="625">
                  <c:v>44614</c:v>
                </c:pt>
                <c:pt idx="626">
                  <c:v>44620</c:v>
                </c:pt>
                <c:pt idx="627">
                  <c:v>44627</c:v>
                </c:pt>
                <c:pt idx="628">
                  <c:v>44634</c:v>
                </c:pt>
                <c:pt idx="629">
                  <c:v>44641</c:v>
                </c:pt>
                <c:pt idx="630">
                  <c:v>44648</c:v>
                </c:pt>
                <c:pt idx="631">
                  <c:v>44655</c:v>
                </c:pt>
                <c:pt idx="632">
                  <c:v>44662</c:v>
                </c:pt>
                <c:pt idx="633">
                  <c:v>44669</c:v>
                </c:pt>
                <c:pt idx="634">
                  <c:v>44676</c:v>
                </c:pt>
                <c:pt idx="635">
                  <c:v>44683</c:v>
                </c:pt>
                <c:pt idx="636">
                  <c:v>44690</c:v>
                </c:pt>
                <c:pt idx="637">
                  <c:v>44697</c:v>
                </c:pt>
                <c:pt idx="638">
                  <c:v>44704</c:v>
                </c:pt>
                <c:pt idx="639">
                  <c:v>44712</c:v>
                </c:pt>
                <c:pt idx="640">
                  <c:v>44718</c:v>
                </c:pt>
                <c:pt idx="641">
                  <c:v>44725</c:v>
                </c:pt>
                <c:pt idx="642">
                  <c:v>44733</c:v>
                </c:pt>
                <c:pt idx="643">
                  <c:v>44739</c:v>
                </c:pt>
                <c:pt idx="644">
                  <c:v>44747</c:v>
                </c:pt>
                <c:pt idx="645">
                  <c:v>44753</c:v>
                </c:pt>
                <c:pt idx="646">
                  <c:v>44760</c:v>
                </c:pt>
                <c:pt idx="647">
                  <c:v>44767</c:v>
                </c:pt>
                <c:pt idx="648">
                  <c:v>44774</c:v>
                </c:pt>
                <c:pt idx="649">
                  <c:v>44781</c:v>
                </c:pt>
                <c:pt idx="650">
                  <c:v>44788</c:v>
                </c:pt>
                <c:pt idx="651">
                  <c:v>44795</c:v>
                </c:pt>
                <c:pt idx="652">
                  <c:v>44802</c:v>
                </c:pt>
                <c:pt idx="653">
                  <c:v>44810</c:v>
                </c:pt>
                <c:pt idx="654">
                  <c:v>44816</c:v>
                </c:pt>
                <c:pt idx="655">
                  <c:v>44823</c:v>
                </c:pt>
                <c:pt idx="656">
                  <c:v>44830</c:v>
                </c:pt>
                <c:pt idx="657">
                  <c:v>44837</c:v>
                </c:pt>
                <c:pt idx="658">
                  <c:v>44844</c:v>
                </c:pt>
                <c:pt idx="659">
                  <c:v>44851</c:v>
                </c:pt>
                <c:pt idx="660">
                  <c:v>44858</c:v>
                </c:pt>
                <c:pt idx="661">
                  <c:v>44865</c:v>
                </c:pt>
                <c:pt idx="662">
                  <c:v>44872</c:v>
                </c:pt>
                <c:pt idx="663">
                  <c:v>44879</c:v>
                </c:pt>
                <c:pt idx="664">
                  <c:v>44886</c:v>
                </c:pt>
                <c:pt idx="665">
                  <c:v>44893</c:v>
                </c:pt>
                <c:pt idx="666">
                  <c:v>44900</c:v>
                </c:pt>
                <c:pt idx="667">
                  <c:v>44907</c:v>
                </c:pt>
                <c:pt idx="668">
                  <c:v>44914</c:v>
                </c:pt>
                <c:pt idx="669">
                  <c:v>44922</c:v>
                </c:pt>
                <c:pt idx="670">
                  <c:v>44929</c:v>
                </c:pt>
                <c:pt idx="671">
                  <c:v>44935</c:v>
                </c:pt>
                <c:pt idx="672">
                  <c:v>44943</c:v>
                </c:pt>
                <c:pt idx="673">
                  <c:v>44949</c:v>
                </c:pt>
                <c:pt idx="674">
                  <c:v>44956</c:v>
                </c:pt>
                <c:pt idx="675">
                  <c:v>44963</c:v>
                </c:pt>
                <c:pt idx="676">
                  <c:v>44970</c:v>
                </c:pt>
                <c:pt idx="677">
                  <c:v>44978</c:v>
                </c:pt>
                <c:pt idx="678">
                  <c:v>44984</c:v>
                </c:pt>
                <c:pt idx="679">
                  <c:v>44991</c:v>
                </c:pt>
                <c:pt idx="680">
                  <c:v>44998</c:v>
                </c:pt>
                <c:pt idx="681">
                  <c:v>45005</c:v>
                </c:pt>
                <c:pt idx="682">
                  <c:v>45012</c:v>
                </c:pt>
                <c:pt idx="683">
                  <c:v>45019</c:v>
                </c:pt>
                <c:pt idx="684">
                  <c:v>45026</c:v>
                </c:pt>
                <c:pt idx="685">
                  <c:v>45033</c:v>
                </c:pt>
                <c:pt idx="686">
                  <c:v>45040</c:v>
                </c:pt>
                <c:pt idx="687">
                  <c:v>45047</c:v>
                </c:pt>
                <c:pt idx="688">
                  <c:v>45054</c:v>
                </c:pt>
                <c:pt idx="689">
                  <c:v>45061</c:v>
                </c:pt>
                <c:pt idx="690">
                  <c:v>45068</c:v>
                </c:pt>
                <c:pt idx="691">
                  <c:v>45076</c:v>
                </c:pt>
                <c:pt idx="692">
                  <c:v>45082</c:v>
                </c:pt>
                <c:pt idx="693">
                  <c:v>45089</c:v>
                </c:pt>
                <c:pt idx="694">
                  <c:v>45097</c:v>
                </c:pt>
                <c:pt idx="695">
                  <c:v>45103</c:v>
                </c:pt>
                <c:pt idx="696">
                  <c:v>45110</c:v>
                </c:pt>
                <c:pt idx="697">
                  <c:v>45117</c:v>
                </c:pt>
                <c:pt idx="698">
                  <c:v>45124</c:v>
                </c:pt>
                <c:pt idx="699">
                  <c:v>45131</c:v>
                </c:pt>
                <c:pt idx="700">
                  <c:v>45138</c:v>
                </c:pt>
                <c:pt idx="701">
                  <c:v>45145</c:v>
                </c:pt>
                <c:pt idx="702">
                  <c:v>45152</c:v>
                </c:pt>
                <c:pt idx="703">
                  <c:v>45159</c:v>
                </c:pt>
                <c:pt idx="704">
                  <c:v>45166</c:v>
                </c:pt>
                <c:pt idx="705">
                  <c:v>45174</c:v>
                </c:pt>
                <c:pt idx="706">
                  <c:v>45180</c:v>
                </c:pt>
                <c:pt idx="707">
                  <c:v>45187</c:v>
                </c:pt>
                <c:pt idx="708">
                  <c:v>45194</c:v>
                </c:pt>
                <c:pt idx="709">
                  <c:v>45201</c:v>
                </c:pt>
                <c:pt idx="710">
                  <c:v>45208</c:v>
                </c:pt>
                <c:pt idx="711">
                  <c:v>45215</c:v>
                </c:pt>
                <c:pt idx="712">
                  <c:v>45222</c:v>
                </c:pt>
                <c:pt idx="713">
                  <c:v>45229</c:v>
                </c:pt>
                <c:pt idx="714">
                  <c:v>45236</c:v>
                </c:pt>
                <c:pt idx="715">
                  <c:v>45243</c:v>
                </c:pt>
                <c:pt idx="716">
                  <c:v>45250</c:v>
                </c:pt>
                <c:pt idx="717">
                  <c:v>45257</c:v>
                </c:pt>
                <c:pt idx="718">
                  <c:v>45264</c:v>
                </c:pt>
                <c:pt idx="719">
                  <c:v>45271</c:v>
                </c:pt>
                <c:pt idx="720">
                  <c:v>45278</c:v>
                </c:pt>
                <c:pt idx="721">
                  <c:v>45286</c:v>
                </c:pt>
                <c:pt idx="722">
                  <c:v>45293</c:v>
                </c:pt>
                <c:pt idx="723">
                  <c:v>45299</c:v>
                </c:pt>
                <c:pt idx="724">
                  <c:v>45307</c:v>
                </c:pt>
                <c:pt idx="725">
                  <c:v>45313</c:v>
                </c:pt>
                <c:pt idx="726">
                  <c:v>45320</c:v>
                </c:pt>
                <c:pt idx="727">
                  <c:v>45327</c:v>
                </c:pt>
                <c:pt idx="728">
                  <c:v>45334</c:v>
                </c:pt>
                <c:pt idx="729">
                  <c:v>45342</c:v>
                </c:pt>
                <c:pt idx="730">
                  <c:v>45348</c:v>
                </c:pt>
                <c:pt idx="731">
                  <c:v>45355</c:v>
                </c:pt>
                <c:pt idx="732">
                  <c:v>45362</c:v>
                </c:pt>
                <c:pt idx="733">
                  <c:v>45369</c:v>
                </c:pt>
                <c:pt idx="734">
                  <c:v>45376</c:v>
                </c:pt>
                <c:pt idx="735">
                  <c:v>45383</c:v>
                </c:pt>
                <c:pt idx="736">
                  <c:v>45390</c:v>
                </c:pt>
                <c:pt idx="737">
                  <c:v>45397</c:v>
                </c:pt>
                <c:pt idx="738">
                  <c:v>45404</c:v>
                </c:pt>
                <c:pt idx="739">
                  <c:v>45411</c:v>
                </c:pt>
                <c:pt idx="740">
                  <c:v>45418</c:v>
                </c:pt>
                <c:pt idx="741">
                  <c:v>45425</c:v>
                </c:pt>
                <c:pt idx="742">
                  <c:v>45432</c:v>
                </c:pt>
                <c:pt idx="743">
                  <c:v>45440</c:v>
                </c:pt>
                <c:pt idx="744">
                  <c:v>45446</c:v>
                </c:pt>
                <c:pt idx="745">
                  <c:v>45453</c:v>
                </c:pt>
                <c:pt idx="746">
                  <c:v>45460</c:v>
                </c:pt>
                <c:pt idx="747">
                  <c:v>45467</c:v>
                </c:pt>
                <c:pt idx="748">
                  <c:v>45474</c:v>
                </c:pt>
                <c:pt idx="749">
                  <c:v>45481</c:v>
                </c:pt>
                <c:pt idx="750">
                  <c:v>45488</c:v>
                </c:pt>
                <c:pt idx="751">
                  <c:v>45495</c:v>
                </c:pt>
                <c:pt idx="752">
                  <c:v>45502</c:v>
                </c:pt>
                <c:pt idx="753">
                  <c:v>45509</c:v>
                </c:pt>
                <c:pt idx="754">
                  <c:v>45516</c:v>
                </c:pt>
                <c:pt idx="755">
                  <c:v>45523</c:v>
                </c:pt>
                <c:pt idx="756">
                  <c:v>45530</c:v>
                </c:pt>
                <c:pt idx="757">
                  <c:v>45538</c:v>
                </c:pt>
                <c:pt idx="758">
                  <c:v>45544</c:v>
                </c:pt>
                <c:pt idx="759">
                  <c:v>45551</c:v>
                </c:pt>
                <c:pt idx="760">
                  <c:v>45558</c:v>
                </c:pt>
                <c:pt idx="761">
                  <c:v>45565</c:v>
                </c:pt>
                <c:pt idx="762">
                  <c:v>45572</c:v>
                </c:pt>
                <c:pt idx="763">
                  <c:v>45579</c:v>
                </c:pt>
                <c:pt idx="764">
                  <c:v>45586</c:v>
                </c:pt>
                <c:pt idx="765">
                  <c:v>45593</c:v>
                </c:pt>
                <c:pt idx="766">
                  <c:v>45600</c:v>
                </c:pt>
                <c:pt idx="767">
                  <c:v>45607</c:v>
                </c:pt>
                <c:pt idx="768">
                  <c:v>45614</c:v>
                </c:pt>
                <c:pt idx="769">
                  <c:v>45621</c:v>
                </c:pt>
                <c:pt idx="770">
                  <c:v>45628</c:v>
                </c:pt>
                <c:pt idx="771">
                  <c:v>45635</c:v>
                </c:pt>
              </c:numCache>
            </c:numRef>
          </c:cat>
          <c:val>
            <c:numRef>
              <c:f>Backdoor!$DD$6:$DD$777</c:f>
              <c:numCache>
                <c:formatCode>0.00%</c:formatCode>
                <c:ptCount val="772"/>
                <c:pt idx="0">
                  <c:v>5.5360502729204786E-3</c:v>
                </c:pt>
                <c:pt idx="1">
                  <c:v>1.1039585484846626E-2</c:v>
                </c:pt>
                <c:pt idx="2">
                  <c:v>1.0088852668807435E-2</c:v>
                </c:pt>
                <c:pt idx="3">
                  <c:v>7.0696739810145459E-3</c:v>
                </c:pt>
                <c:pt idx="4">
                  <c:v>6.4321649558050087E-3</c:v>
                </c:pt>
                <c:pt idx="5">
                  <c:v>1.9379301313813269E-3</c:v>
                </c:pt>
                <c:pt idx="6">
                  <c:v>1.6845217953007419E-2</c:v>
                </c:pt>
                <c:pt idx="7">
                  <c:v>-1.7463270272885079E-2</c:v>
                </c:pt>
                <c:pt idx="8">
                  <c:v>-5.7062439847665791E-2</c:v>
                </c:pt>
                <c:pt idx="9">
                  <c:v>2.3093783050158301E-2</c:v>
                </c:pt>
                <c:pt idx="10">
                  <c:v>-4.0185023991027524E-2</c:v>
                </c:pt>
                <c:pt idx="11">
                  <c:v>-5.5679924864224795E-3</c:v>
                </c:pt>
                <c:pt idx="12">
                  <c:v>-2.0189816735836419E-2</c:v>
                </c:pt>
                <c:pt idx="13">
                  <c:v>2.8100961851165618E-2</c:v>
                </c:pt>
                <c:pt idx="14">
                  <c:v>2.3462014445653878E-2</c:v>
                </c:pt>
                <c:pt idx="15">
                  <c:v>-2.936029728695666E-2</c:v>
                </c:pt>
                <c:pt idx="16">
                  <c:v>-4.5084364015313905E-2</c:v>
                </c:pt>
                <c:pt idx="17">
                  <c:v>5.2810058817740257E-2</c:v>
                </c:pt>
                <c:pt idx="18">
                  <c:v>-9.8184785957595722E-3</c:v>
                </c:pt>
                <c:pt idx="19">
                  <c:v>3.2355747264561696E-2</c:v>
                </c:pt>
                <c:pt idx="20">
                  <c:v>3.963980698427072E-3</c:v>
                </c:pt>
                <c:pt idx="21">
                  <c:v>1.7926618360087021E-2</c:v>
                </c:pt>
                <c:pt idx="22">
                  <c:v>-3.28916973971497E-2</c:v>
                </c:pt>
                <c:pt idx="23">
                  <c:v>-8.6899054299908185E-3</c:v>
                </c:pt>
                <c:pt idx="24">
                  <c:v>-6.1651520562741036E-3</c:v>
                </c:pt>
                <c:pt idx="25">
                  <c:v>2.9287203550212748E-2</c:v>
                </c:pt>
                <c:pt idx="26">
                  <c:v>1.4198024617750882E-3</c:v>
                </c:pt>
                <c:pt idx="27">
                  <c:v>1.386678205743741E-2</c:v>
                </c:pt>
                <c:pt idx="28">
                  <c:v>2.3794064909206325E-2</c:v>
                </c:pt>
                <c:pt idx="29">
                  <c:v>-2.8154126876817065E-3</c:v>
                </c:pt>
                <c:pt idx="30">
                  <c:v>1.6325165316534385E-2</c:v>
                </c:pt>
                <c:pt idx="31">
                  <c:v>5.1159338902981855E-3</c:v>
                </c:pt>
                <c:pt idx="32">
                  <c:v>6.3076348496264867E-3</c:v>
                </c:pt>
                <c:pt idx="33">
                  <c:v>-1.2644975927692537E-3</c:v>
                </c:pt>
                <c:pt idx="34">
                  <c:v>2.9283634698988648E-2</c:v>
                </c:pt>
                <c:pt idx="35">
                  <c:v>-2.1976059352208366E-2</c:v>
                </c:pt>
                <c:pt idx="36">
                  <c:v>9.8047987253280233E-4</c:v>
                </c:pt>
                <c:pt idx="37">
                  <c:v>-9.9573039974536481E-3</c:v>
                </c:pt>
                <c:pt idx="38">
                  <c:v>2.6153467849231005E-2</c:v>
                </c:pt>
                <c:pt idx="39">
                  <c:v>2.4801943916863411E-3</c:v>
                </c:pt>
                <c:pt idx="40">
                  <c:v>7.1502542675945246E-3</c:v>
                </c:pt>
                <c:pt idx="41">
                  <c:v>7.0994823992764911E-3</c:v>
                </c:pt>
                <c:pt idx="42">
                  <c:v>3.4658502633089228E-4</c:v>
                </c:pt>
                <c:pt idx="43">
                  <c:v>8.4001770329464875E-3</c:v>
                </c:pt>
                <c:pt idx="44">
                  <c:v>9.646177624341723E-3</c:v>
                </c:pt>
                <c:pt idx="45">
                  <c:v>7.1655134031995971E-3</c:v>
                </c:pt>
                <c:pt idx="46">
                  <c:v>-4.0545194411126806E-3</c:v>
                </c:pt>
                <c:pt idx="47">
                  <c:v>2.2704289812264244E-2</c:v>
                </c:pt>
                <c:pt idx="48">
                  <c:v>1.4977498588816029E-2</c:v>
                </c:pt>
                <c:pt idx="49">
                  <c:v>9.6136048711219502E-3</c:v>
                </c:pt>
                <c:pt idx="50">
                  <c:v>-2.104749179041876E-2</c:v>
                </c:pt>
                <c:pt idx="51">
                  <c:v>3.2505805803517696E-3</c:v>
                </c:pt>
                <c:pt idx="52">
                  <c:v>-1.0310940303976945E-2</c:v>
                </c:pt>
                <c:pt idx="53">
                  <c:v>-1.5432761616574142E-2</c:v>
                </c:pt>
                <c:pt idx="54">
                  <c:v>3.0532406654315336E-2</c:v>
                </c:pt>
                <c:pt idx="55">
                  <c:v>1.2776366320790489E-2</c:v>
                </c:pt>
                <c:pt idx="56">
                  <c:v>2.6905346989281043E-4</c:v>
                </c:pt>
                <c:pt idx="57">
                  <c:v>-3.0872245124656805E-3</c:v>
                </c:pt>
                <c:pt idx="58">
                  <c:v>1.3300869757423506E-2</c:v>
                </c:pt>
                <c:pt idx="59">
                  <c:v>2.4352308127311595E-2</c:v>
                </c:pt>
                <c:pt idx="60">
                  <c:v>-1.3410919141043531E-2</c:v>
                </c:pt>
                <c:pt idx="61">
                  <c:v>-3.4013048629056852E-3</c:v>
                </c:pt>
                <c:pt idx="62">
                  <c:v>-6.6455513425381918E-3</c:v>
                </c:pt>
                <c:pt idx="63">
                  <c:v>-5.6314700560751163E-3</c:v>
                </c:pt>
                <c:pt idx="64">
                  <c:v>-2.3334756464181594E-2</c:v>
                </c:pt>
                <c:pt idx="65">
                  <c:v>-1.6405687860568063E-2</c:v>
                </c:pt>
                <c:pt idx="66">
                  <c:v>4.3882938724906229E-3</c:v>
                </c:pt>
                <c:pt idx="67">
                  <c:v>-5.8128879840325665E-3</c:v>
                </c:pt>
                <c:pt idx="68">
                  <c:v>5.4311907080098365E-2</c:v>
                </c:pt>
                <c:pt idx="69">
                  <c:v>5.9155973750708579E-3</c:v>
                </c:pt>
                <c:pt idx="70">
                  <c:v>-1.4021848300087458E-2</c:v>
                </c:pt>
                <c:pt idx="71">
                  <c:v>1.614067359005511E-2</c:v>
                </c:pt>
                <c:pt idx="72">
                  <c:v>-4.2418783167613161E-2</c:v>
                </c:pt>
                <c:pt idx="73">
                  <c:v>-5.7532657123298359E-2</c:v>
                </c:pt>
                <c:pt idx="74">
                  <c:v>-1.5342188142237645E-2</c:v>
                </c:pt>
                <c:pt idx="75">
                  <c:v>-4.0054536060489032E-2</c:v>
                </c:pt>
                <c:pt idx="76">
                  <c:v>4.3160085465548947E-2</c:v>
                </c:pt>
                <c:pt idx="77">
                  <c:v>-3.9234932116261056E-3</c:v>
                </c:pt>
                <c:pt idx="78">
                  <c:v>-2.207491425621777E-2</c:v>
                </c:pt>
                <c:pt idx="79">
                  <c:v>4.7029542481985764E-2</c:v>
                </c:pt>
                <c:pt idx="80">
                  <c:v>-6.408932495547881E-2</c:v>
                </c:pt>
                <c:pt idx="81">
                  <c:v>1.3174254461221224E-2</c:v>
                </c:pt>
                <c:pt idx="82">
                  <c:v>1.738581599358624E-2</c:v>
                </c:pt>
                <c:pt idx="83">
                  <c:v>4.8757714822736942E-2</c:v>
                </c:pt>
                <c:pt idx="84">
                  <c:v>1.4110412672751815E-2</c:v>
                </c:pt>
                <c:pt idx="85">
                  <c:v>3.5762575693269572E-2</c:v>
                </c:pt>
                <c:pt idx="86">
                  <c:v>-2.0264951974257928E-2</c:v>
                </c:pt>
                <c:pt idx="87">
                  <c:v>1.4223093038142398E-2</c:v>
                </c:pt>
                <c:pt idx="88">
                  <c:v>-2.9417255174135182E-2</c:v>
                </c:pt>
                <c:pt idx="89">
                  <c:v>-4.7843605855575566E-2</c:v>
                </c:pt>
                <c:pt idx="90">
                  <c:v>7.0125668186336032E-2</c:v>
                </c:pt>
                <c:pt idx="91">
                  <c:v>1.3714329500564171E-2</c:v>
                </c:pt>
                <c:pt idx="92">
                  <c:v>-2.6088578072201662E-2</c:v>
                </c:pt>
                <c:pt idx="93">
                  <c:v>3.6035460255799734E-2</c:v>
                </c:pt>
                <c:pt idx="94">
                  <c:v>-6.2176833722328295E-3</c:v>
                </c:pt>
                <c:pt idx="95">
                  <c:v>1.1652113938070308E-2</c:v>
                </c:pt>
                <c:pt idx="96">
                  <c:v>5.0272168826202002E-3</c:v>
                </c:pt>
                <c:pt idx="97">
                  <c:v>2.4023349499712188E-2</c:v>
                </c:pt>
                <c:pt idx="98">
                  <c:v>-4.7181333006280912E-3</c:v>
                </c:pt>
                <c:pt idx="99">
                  <c:v>1.5937155452849794E-2</c:v>
                </c:pt>
                <c:pt idx="100">
                  <c:v>-4.7426222069337776E-3</c:v>
                </c:pt>
                <c:pt idx="101">
                  <c:v>1.1611540634947515E-2</c:v>
                </c:pt>
                <c:pt idx="102">
                  <c:v>2.5539789513591149E-3</c:v>
                </c:pt>
                <c:pt idx="103">
                  <c:v>-4.1389683103876251E-4</c:v>
                </c:pt>
                <c:pt idx="104">
                  <c:v>-4.2805773243299594E-3</c:v>
                </c:pt>
                <c:pt idx="105">
                  <c:v>2.4036829410979843E-2</c:v>
                </c:pt>
                <c:pt idx="106">
                  <c:v>-1.147893953737722E-2</c:v>
                </c:pt>
                <c:pt idx="107">
                  <c:v>1.0038477750508701E-2</c:v>
                </c:pt>
                <c:pt idx="108">
                  <c:v>-1.1496817497259948E-2</c:v>
                </c:pt>
                <c:pt idx="109">
                  <c:v>-1.6121654109057415E-2</c:v>
                </c:pt>
                <c:pt idx="110">
                  <c:v>1.3982724773645261E-2</c:v>
                </c:pt>
                <c:pt idx="111">
                  <c:v>1.5276926201132968E-2</c:v>
                </c:pt>
                <c:pt idx="112">
                  <c:v>-1.4366218247608642E-2</c:v>
                </c:pt>
                <c:pt idx="113">
                  <c:v>-1.6694339049582507E-2</c:v>
                </c:pt>
                <c:pt idx="114">
                  <c:v>-3.5195219769938002E-2</c:v>
                </c:pt>
                <c:pt idx="115">
                  <c:v>6.9079044515139021E-3</c:v>
                </c:pt>
                <c:pt idx="116">
                  <c:v>-2.6998455667052501E-2</c:v>
                </c:pt>
                <c:pt idx="117">
                  <c:v>3.5947594493048074E-2</c:v>
                </c:pt>
                <c:pt idx="118">
                  <c:v>1.696427571478587E-2</c:v>
                </c:pt>
                <c:pt idx="119">
                  <c:v>-9.89970190971734E-3</c:v>
                </c:pt>
                <c:pt idx="120">
                  <c:v>1.8931638646918714E-2</c:v>
                </c:pt>
                <c:pt idx="121">
                  <c:v>-8.3556624961321768E-3</c:v>
                </c:pt>
                <c:pt idx="122">
                  <c:v>3.6145709982893237E-4</c:v>
                </c:pt>
                <c:pt idx="123">
                  <c:v>3.5599429441146579E-3</c:v>
                </c:pt>
                <c:pt idx="124">
                  <c:v>1.9737459078511765E-2</c:v>
                </c:pt>
                <c:pt idx="125">
                  <c:v>1.5685788649635324E-3</c:v>
                </c:pt>
                <c:pt idx="126">
                  <c:v>8.5356497076620741E-3</c:v>
                </c:pt>
                <c:pt idx="127">
                  <c:v>5.0915615077946619E-3</c:v>
                </c:pt>
                <c:pt idx="128">
                  <c:v>-8.8308266757630705E-3</c:v>
                </c:pt>
                <c:pt idx="129">
                  <c:v>-5.1020711773771543E-3</c:v>
                </c:pt>
                <c:pt idx="130">
                  <c:v>1.6484881501696469E-2</c:v>
                </c:pt>
                <c:pt idx="131">
                  <c:v>2.1547741649335039E-2</c:v>
                </c:pt>
                <c:pt idx="132">
                  <c:v>-1.0224766917739103E-3</c:v>
                </c:pt>
                <c:pt idx="133">
                  <c:v>-1.048202391917108E-2</c:v>
                </c:pt>
                <c:pt idx="134">
                  <c:v>1.2876271935781336E-2</c:v>
                </c:pt>
                <c:pt idx="135">
                  <c:v>-2.0668527680119841E-2</c:v>
                </c:pt>
                <c:pt idx="136">
                  <c:v>1.100462918569356E-3</c:v>
                </c:pt>
                <c:pt idx="137">
                  <c:v>-1.770894189994876E-2</c:v>
                </c:pt>
                <c:pt idx="138">
                  <c:v>-1.0722034691477145E-3</c:v>
                </c:pt>
                <c:pt idx="139">
                  <c:v>-2.1214817345737491E-2</c:v>
                </c:pt>
                <c:pt idx="140">
                  <c:v>-1.7719638692883954E-2</c:v>
                </c:pt>
                <c:pt idx="141">
                  <c:v>3.3473643437516909E-2</c:v>
                </c:pt>
                <c:pt idx="142">
                  <c:v>1.2219128928079304E-3</c:v>
                </c:pt>
                <c:pt idx="143">
                  <c:v>9.9461058940006897E-3</c:v>
                </c:pt>
                <c:pt idx="144">
                  <c:v>-1.5294713075518773E-3</c:v>
                </c:pt>
                <c:pt idx="145">
                  <c:v>4.2504942667132006E-3</c:v>
                </c:pt>
                <c:pt idx="146">
                  <c:v>-1.9159782491247612E-2</c:v>
                </c:pt>
                <c:pt idx="147">
                  <c:v>3.842112892190408E-2</c:v>
                </c:pt>
                <c:pt idx="148">
                  <c:v>3.9611745468455251E-3</c:v>
                </c:pt>
                <c:pt idx="149">
                  <c:v>1.1956205832226674E-2</c:v>
                </c:pt>
                <c:pt idx="150">
                  <c:v>1.8043111668870404E-2</c:v>
                </c:pt>
                <c:pt idx="151">
                  <c:v>8.1901962492805236E-3</c:v>
                </c:pt>
                <c:pt idx="152">
                  <c:v>-1.2004605008223423E-3</c:v>
                </c:pt>
                <c:pt idx="153">
                  <c:v>-8.0126651005574256E-4</c:v>
                </c:pt>
                <c:pt idx="154">
                  <c:v>1.345667488601876E-3</c:v>
                </c:pt>
                <c:pt idx="155">
                  <c:v>6.3627887166262109E-3</c:v>
                </c:pt>
                <c:pt idx="156">
                  <c:v>2.181828038177458E-2</c:v>
                </c:pt>
                <c:pt idx="157">
                  <c:v>8.1291750640062332E-3</c:v>
                </c:pt>
                <c:pt idx="158">
                  <c:v>-1.4286102085792063E-4</c:v>
                </c:pt>
                <c:pt idx="159">
                  <c:v>4.5827419419024462E-3</c:v>
                </c:pt>
                <c:pt idx="160">
                  <c:v>-9.1131912862529862E-4</c:v>
                </c:pt>
                <c:pt idx="161">
                  <c:v>2.0583880469432714E-2</c:v>
                </c:pt>
                <c:pt idx="162">
                  <c:v>-2.1362111992933586E-2</c:v>
                </c:pt>
                <c:pt idx="163">
                  <c:v>1.1344441578738707E-2</c:v>
                </c:pt>
                <c:pt idx="164">
                  <c:v>1.776793837455215E-2</c:v>
                </c:pt>
                <c:pt idx="165">
                  <c:v>9.6520245116238357E-3</c:v>
                </c:pt>
                <c:pt idx="166">
                  <c:v>1.5604446106574299E-2</c:v>
                </c:pt>
                <c:pt idx="167">
                  <c:v>-3.3410224205676631E-3</c:v>
                </c:pt>
                <c:pt idx="168">
                  <c:v>-1.2254665593228409E-2</c:v>
                </c:pt>
                <c:pt idx="169">
                  <c:v>8.7690321497548851E-3</c:v>
                </c:pt>
                <c:pt idx="170">
                  <c:v>-1.1669309954848495E-2</c:v>
                </c:pt>
                <c:pt idx="171">
                  <c:v>-1.7967978448461541E-2</c:v>
                </c:pt>
                <c:pt idx="172">
                  <c:v>7.4463486731659589E-3</c:v>
                </c:pt>
                <c:pt idx="173">
                  <c:v>1.5174066511833617E-2</c:v>
                </c:pt>
                <c:pt idx="174">
                  <c:v>2.1700411800022801E-2</c:v>
                </c:pt>
                <c:pt idx="175">
                  <c:v>5.1373111991301901E-3</c:v>
                </c:pt>
                <c:pt idx="176">
                  <c:v>9.7082808387294328E-4</c:v>
                </c:pt>
                <c:pt idx="177">
                  <c:v>6.3968109172212184E-3</c:v>
                </c:pt>
                <c:pt idx="178">
                  <c:v>-1.4870250219533032E-2</c:v>
                </c:pt>
                <c:pt idx="179">
                  <c:v>-2.2303541751625966E-2</c:v>
                </c:pt>
                <c:pt idx="180">
                  <c:v>-4.7050451432767426E-3</c:v>
                </c:pt>
                <c:pt idx="181">
                  <c:v>-1.3337693300206954E-2</c:v>
                </c:pt>
                <c:pt idx="182">
                  <c:v>7.5756773695290214E-3</c:v>
                </c:pt>
                <c:pt idx="183">
                  <c:v>3.0393947085596729E-2</c:v>
                </c:pt>
                <c:pt idx="184">
                  <c:v>4.8796057148041694E-3</c:v>
                </c:pt>
                <c:pt idx="185">
                  <c:v>-1.2481400175922808E-2</c:v>
                </c:pt>
                <c:pt idx="186">
                  <c:v>-1.2167763195794934E-2</c:v>
                </c:pt>
                <c:pt idx="187">
                  <c:v>1.0915877080397429E-2</c:v>
                </c:pt>
                <c:pt idx="188">
                  <c:v>1.066735264112717E-2</c:v>
                </c:pt>
                <c:pt idx="189">
                  <c:v>1.1080208382955758E-2</c:v>
                </c:pt>
                <c:pt idx="190">
                  <c:v>2.9077643023533994E-3</c:v>
                </c:pt>
                <c:pt idx="191">
                  <c:v>9.3642407750242906E-3</c:v>
                </c:pt>
                <c:pt idx="192">
                  <c:v>1.2683553971470696E-2</c:v>
                </c:pt>
                <c:pt idx="193">
                  <c:v>6.4574777903931846E-3</c:v>
                </c:pt>
                <c:pt idx="194">
                  <c:v>1.3471715904629367E-3</c:v>
                </c:pt>
                <c:pt idx="195">
                  <c:v>-4.1159150561784763E-3</c:v>
                </c:pt>
                <c:pt idx="196">
                  <c:v>-1.6531709553396112E-2</c:v>
                </c:pt>
                <c:pt idx="197">
                  <c:v>2.9563534353209464E-2</c:v>
                </c:pt>
                <c:pt idx="198">
                  <c:v>1.585975765259251E-2</c:v>
                </c:pt>
                <c:pt idx="199">
                  <c:v>-5.1052873036872004E-4</c:v>
                </c:pt>
                <c:pt idx="200">
                  <c:v>-2.0002800365337414E-3</c:v>
                </c:pt>
                <c:pt idx="201">
                  <c:v>1.3088419708031651E-3</c:v>
                </c:pt>
                <c:pt idx="202">
                  <c:v>-3.5206761795750441E-2</c:v>
                </c:pt>
                <c:pt idx="203">
                  <c:v>-1.1352286045299254E-2</c:v>
                </c:pt>
                <c:pt idx="204">
                  <c:v>6.0665351202664475E-3</c:v>
                </c:pt>
                <c:pt idx="205">
                  <c:v>2.2812567756780533E-2</c:v>
                </c:pt>
                <c:pt idx="206">
                  <c:v>-3.1624041001221403E-3</c:v>
                </c:pt>
                <c:pt idx="207">
                  <c:v>1.356309542607792E-2</c:v>
                </c:pt>
                <c:pt idx="208">
                  <c:v>8.0265972115300954E-3</c:v>
                </c:pt>
                <c:pt idx="209">
                  <c:v>-2.3525048030359597E-2</c:v>
                </c:pt>
                <c:pt idx="210">
                  <c:v>1.4758079337355623E-2</c:v>
                </c:pt>
                <c:pt idx="211">
                  <c:v>1.2447826185473243E-3</c:v>
                </c:pt>
                <c:pt idx="212">
                  <c:v>5.4922607768950193E-3</c:v>
                </c:pt>
                <c:pt idx="213">
                  <c:v>-2.3515878709147509E-2</c:v>
                </c:pt>
                <c:pt idx="214">
                  <c:v>2.3821734346802348E-2</c:v>
                </c:pt>
                <c:pt idx="215">
                  <c:v>-2.8688056371246606E-3</c:v>
                </c:pt>
                <c:pt idx="216">
                  <c:v>9.2552604205093925E-3</c:v>
                </c:pt>
                <c:pt idx="217">
                  <c:v>4.2662907179948917E-3</c:v>
                </c:pt>
                <c:pt idx="218">
                  <c:v>-5.549340047653839E-3</c:v>
                </c:pt>
                <c:pt idx="219">
                  <c:v>6.970517638596796E-3</c:v>
                </c:pt>
                <c:pt idx="220">
                  <c:v>6.6786289371933982E-3</c:v>
                </c:pt>
                <c:pt idx="221">
                  <c:v>1.2388929497823886E-2</c:v>
                </c:pt>
                <c:pt idx="222">
                  <c:v>-8.7767205637614421E-3</c:v>
                </c:pt>
                <c:pt idx="223">
                  <c:v>1.0213419459275119E-2</c:v>
                </c:pt>
                <c:pt idx="224">
                  <c:v>-5.619705345475845E-3</c:v>
                </c:pt>
                <c:pt idx="225">
                  <c:v>1.2842500296006421E-2</c:v>
                </c:pt>
                <c:pt idx="226">
                  <c:v>-7.2917437895805293E-3</c:v>
                </c:pt>
                <c:pt idx="227">
                  <c:v>9.2290070256060286E-3</c:v>
                </c:pt>
                <c:pt idx="228">
                  <c:v>-8.1644345264202389E-3</c:v>
                </c:pt>
                <c:pt idx="229">
                  <c:v>-2.7546066606371045E-2</c:v>
                </c:pt>
                <c:pt idx="230">
                  <c:v>3.6717178317313692E-3</c:v>
                </c:pt>
                <c:pt idx="231">
                  <c:v>6.583361648867081E-3</c:v>
                </c:pt>
                <c:pt idx="232">
                  <c:v>2.0303081167224679E-2</c:v>
                </c:pt>
                <c:pt idx="233">
                  <c:v>5.7189021231107695E-3</c:v>
                </c:pt>
                <c:pt idx="234">
                  <c:v>2.2760606431717623E-3</c:v>
                </c:pt>
                <c:pt idx="235">
                  <c:v>-8.7444199627186858E-3</c:v>
                </c:pt>
                <c:pt idx="236">
                  <c:v>1.7202695100613674E-2</c:v>
                </c:pt>
                <c:pt idx="237">
                  <c:v>-9.6405051333620095E-3</c:v>
                </c:pt>
                <c:pt idx="238">
                  <c:v>-6.0455022070948772E-3</c:v>
                </c:pt>
                <c:pt idx="239">
                  <c:v>-2.737212561492941E-2</c:v>
                </c:pt>
                <c:pt idx="240">
                  <c:v>-9.8944982403156301E-3</c:v>
                </c:pt>
                <c:pt idx="241">
                  <c:v>2.5945923348085653E-2</c:v>
                </c:pt>
                <c:pt idx="242">
                  <c:v>3.4816402363324395E-2</c:v>
                </c:pt>
                <c:pt idx="243">
                  <c:v>1.0546604585013775E-2</c:v>
                </c:pt>
                <c:pt idx="244">
                  <c:v>3.4605753717895649E-3</c:v>
                </c:pt>
                <c:pt idx="245">
                  <c:v>9.941698498904028E-3</c:v>
                </c:pt>
                <c:pt idx="246">
                  <c:v>1.0204399900337613E-3</c:v>
                </c:pt>
                <c:pt idx="247">
                  <c:v>7.3231191019755837E-3</c:v>
                </c:pt>
                <c:pt idx="248">
                  <c:v>-3.7751163358962447E-2</c:v>
                </c:pt>
                <c:pt idx="249">
                  <c:v>3.0320708852546785E-2</c:v>
                </c:pt>
                <c:pt idx="250">
                  <c:v>1.3980210332648291E-2</c:v>
                </c:pt>
                <c:pt idx="251">
                  <c:v>-1.2225874022921746E-2</c:v>
                </c:pt>
                <c:pt idx="252">
                  <c:v>-5.3621353400830074E-3</c:v>
                </c:pt>
                <c:pt idx="253">
                  <c:v>-2.8725551575018438E-2</c:v>
                </c:pt>
                <c:pt idx="254">
                  <c:v>3.8412105872472013E-2</c:v>
                </c:pt>
                <c:pt idx="255">
                  <c:v>1.0943876683853215E-2</c:v>
                </c:pt>
                <c:pt idx="256">
                  <c:v>6.7197692365652539E-3</c:v>
                </c:pt>
                <c:pt idx="257">
                  <c:v>-4.26588334423883E-4</c:v>
                </c:pt>
                <c:pt idx="258">
                  <c:v>-1.5216657211465701E-2</c:v>
                </c:pt>
                <c:pt idx="259">
                  <c:v>-6.0185199548439261E-3</c:v>
                </c:pt>
                <c:pt idx="260">
                  <c:v>2.1315898079828699E-2</c:v>
                </c:pt>
                <c:pt idx="261">
                  <c:v>-2.2892670834564255E-2</c:v>
                </c:pt>
                <c:pt idx="262">
                  <c:v>2.8556349932002956E-3</c:v>
                </c:pt>
                <c:pt idx="263">
                  <c:v>1.657412932653668E-2</c:v>
                </c:pt>
                <c:pt idx="264">
                  <c:v>-1.2811797076121789E-2</c:v>
                </c:pt>
                <c:pt idx="265">
                  <c:v>1.423956490451439E-2</c:v>
                </c:pt>
                <c:pt idx="266">
                  <c:v>-3.1020829543378925E-3</c:v>
                </c:pt>
                <c:pt idx="267">
                  <c:v>9.2685687313509568E-3</c:v>
                </c:pt>
                <c:pt idx="268">
                  <c:v>4.4770872458435029E-3</c:v>
                </c:pt>
                <c:pt idx="269">
                  <c:v>-2.2185237553132842E-3</c:v>
                </c:pt>
                <c:pt idx="270">
                  <c:v>-1.2140268772550145E-2</c:v>
                </c:pt>
                <c:pt idx="271">
                  <c:v>-8.9512628801033944E-3</c:v>
                </c:pt>
                <c:pt idx="272">
                  <c:v>2.7664593203169385E-3</c:v>
                </c:pt>
                <c:pt idx="273">
                  <c:v>6.5428940135665581E-3</c:v>
                </c:pt>
                <c:pt idx="274">
                  <c:v>-3.8446602549622177E-3</c:v>
                </c:pt>
                <c:pt idx="275">
                  <c:v>-1.2067399864365003E-2</c:v>
                </c:pt>
                <c:pt idx="276">
                  <c:v>1.7088723381641913E-3</c:v>
                </c:pt>
                <c:pt idx="277">
                  <c:v>1.8357389767039933E-2</c:v>
                </c:pt>
                <c:pt idx="278">
                  <c:v>-2.863549232846796E-2</c:v>
                </c:pt>
                <c:pt idx="279">
                  <c:v>6.9059667944255665E-3</c:v>
                </c:pt>
                <c:pt idx="280">
                  <c:v>-1.7890526086077108E-2</c:v>
                </c:pt>
                <c:pt idx="281">
                  <c:v>5.9875399022837339E-3</c:v>
                </c:pt>
                <c:pt idx="282">
                  <c:v>-5.8226963791210506E-2</c:v>
                </c:pt>
                <c:pt idx="283">
                  <c:v>1.1133883366504227E-2</c:v>
                </c:pt>
                <c:pt idx="284">
                  <c:v>-3.2483900325804171E-2</c:v>
                </c:pt>
                <c:pt idx="285">
                  <c:v>2.0538053702851222E-2</c:v>
                </c:pt>
                <c:pt idx="286">
                  <c:v>-2.9516300383031213E-3</c:v>
                </c:pt>
                <c:pt idx="287">
                  <c:v>-4.2672426812595532E-3</c:v>
                </c:pt>
                <c:pt idx="288">
                  <c:v>9.6665099753578954E-3</c:v>
                </c:pt>
                <c:pt idx="289">
                  <c:v>3.7160217915890081E-2</c:v>
                </c:pt>
                <c:pt idx="290">
                  <c:v>7.6960385614770477E-3</c:v>
                </c:pt>
                <c:pt idx="291">
                  <c:v>2.5019014753722812E-2</c:v>
                </c:pt>
                <c:pt idx="292">
                  <c:v>9.540707111455049E-4</c:v>
                </c:pt>
                <c:pt idx="293">
                  <c:v>1.3972156629154187E-2</c:v>
                </c:pt>
                <c:pt idx="294">
                  <c:v>-3.7134856829556639E-2</c:v>
                </c:pt>
                <c:pt idx="295">
                  <c:v>3.3550029693416805E-2</c:v>
                </c:pt>
                <c:pt idx="296">
                  <c:v>-1.4206330285703173E-3</c:v>
                </c:pt>
                <c:pt idx="297">
                  <c:v>2.7608516107180403E-3</c:v>
                </c:pt>
                <c:pt idx="298">
                  <c:v>-3.2632882455049583E-2</c:v>
                </c:pt>
                <c:pt idx="299">
                  <c:v>-7.9153787445309653E-3</c:v>
                </c:pt>
                <c:pt idx="300">
                  <c:v>2.4731535542557248E-2</c:v>
                </c:pt>
                <c:pt idx="301">
                  <c:v>-7.2434927795272941E-3</c:v>
                </c:pt>
                <c:pt idx="302">
                  <c:v>-6.1898073086100514E-2</c:v>
                </c:pt>
                <c:pt idx="303">
                  <c:v>-2.1923557361343216E-2</c:v>
                </c:pt>
                <c:pt idx="304">
                  <c:v>6.5942749875804729E-3</c:v>
                </c:pt>
                <c:pt idx="305">
                  <c:v>2.3163883499276672E-2</c:v>
                </c:pt>
                <c:pt idx="306">
                  <c:v>-1.5870706972361037E-2</c:v>
                </c:pt>
                <c:pt idx="307">
                  <c:v>-1.426295424437396E-2</c:v>
                </c:pt>
                <c:pt idx="308">
                  <c:v>2.6177694411175123E-2</c:v>
                </c:pt>
                <c:pt idx="309">
                  <c:v>1.5127970121366019E-2</c:v>
                </c:pt>
                <c:pt idx="310">
                  <c:v>2.2043054051070765E-2</c:v>
                </c:pt>
                <c:pt idx="311">
                  <c:v>1.2144888649240348E-2</c:v>
                </c:pt>
                <c:pt idx="312">
                  <c:v>2.2597881070308912E-2</c:v>
                </c:pt>
                <c:pt idx="313">
                  <c:v>-4.9176989817248939E-3</c:v>
                </c:pt>
                <c:pt idx="314">
                  <c:v>1.5815174545976474E-2</c:v>
                </c:pt>
                <c:pt idx="315">
                  <c:v>-1.2127996635033611E-2</c:v>
                </c:pt>
                <c:pt idx="316">
                  <c:v>1.8234167087359365E-2</c:v>
                </c:pt>
                <c:pt idx="317">
                  <c:v>5.938602527270298E-3</c:v>
                </c:pt>
                <c:pt idx="318">
                  <c:v>-1.2780868150120583E-2</c:v>
                </c:pt>
                <c:pt idx="319">
                  <c:v>-1.857177028127599E-3</c:v>
                </c:pt>
                <c:pt idx="320">
                  <c:v>-1.1573014072879584E-2</c:v>
                </c:pt>
                <c:pt idx="321">
                  <c:v>-1.960528717558585E-3</c:v>
                </c:pt>
                <c:pt idx="322">
                  <c:v>2.1271683182453538E-2</c:v>
                </c:pt>
                <c:pt idx="323">
                  <c:v>-3.7013370754835906E-3</c:v>
                </c:pt>
                <c:pt idx="324">
                  <c:v>3.2728138982160981E-3</c:v>
                </c:pt>
                <c:pt idx="325">
                  <c:v>-1.0645069571914911E-2</c:v>
                </c:pt>
                <c:pt idx="326">
                  <c:v>-1.5525287873717764E-2</c:v>
                </c:pt>
                <c:pt idx="327">
                  <c:v>3.1528448823192612E-2</c:v>
                </c:pt>
                <c:pt idx="328">
                  <c:v>1.0995839904153426E-2</c:v>
                </c:pt>
                <c:pt idx="329">
                  <c:v>2.0378824547452323E-2</c:v>
                </c:pt>
                <c:pt idx="330">
                  <c:v>2.9328955310605753E-3</c:v>
                </c:pt>
                <c:pt idx="331">
                  <c:v>-7.4638405982259126E-3</c:v>
                </c:pt>
                <c:pt idx="332">
                  <c:v>6.0375228629909738E-3</c:v>
                </c:pt>
                <c:pt idx="333">
                  <c:v>1.7763823824266112E-3</c:v>
                </c:pt>
                <c:pt idx="334">
                  <c:v>-1.2866060928343748E-3</c:v>
                </c:pt>
                <c:pt idx="335">
                  <c:v>-8.4715433869436696E-3</c:v>
                </c:pt>
                <c:pt idx="336">
                  <c:v>5.2492087845719126E-3</c:v>
                </c:pt>
                <c:pt idx="337">
                  <c:v>-2.1983394493419461E-2</c:v>
                </c:pt>
                <c:pt idx="338">
                  <c:v>2.120522755587384E-3</c:v>
                </c:pt>
                <c:pt idx="339">
                  <c:v>7.5950531932418297E-3</c:v>
                </c:pt>
                <c:pt idx="340">
                  <c:v>2.557601141802035E-3</c:v>
                </c:pt>
                <c:pt idx="341">
                  <c:v>-3.6956976775167627E-3</c:v>
                </c:pt>
                <c:pt idx="342">
                  <c:v>-5.597897249701278E-3</c:v>
                </c:pt>
                <c:pt idx="343">
                  <c:v>4.0398858914847402E-4</c:v>
                </c:pt>
                <c:pt idx="344">
                  <c:v>8.5293983487999547E-4</c:v>
                </c:pt>
                <c:pt idx="345">
                  <c:v>-1.5026846948920758E-2</c:v>
                </c:pt>
                <c:pt idx="346">
                  <c:v>5.3631793204345968E-2</c:v>
                </c:pt>
                <c:pt idx="347">
                  <c:v>1.0755179111376911E-3</c:v>
                </c:pt>
                <c:pt idx="348">
                  <c:v>1.5062862099777918E-2</c:v>
                </c:pt>
                <c:pt idx="349">
                  <c:v>9.5472882380098767E-4</c:v>
                </c:pt>
                <c:pt idx="350">
                  <c:v>3.0589895633508446E-2</c:v>
                </c:pt>
                <c:pt idx="351">
                  <c:v>4.3814027140556266E-3</c:v>
                </c:pt>
                <c:pt idx="352">
                  <c:v>4.5555579688953962E-3</c:v>
                </c:pt>
                <c:pt idx="353">
                  <c:v>-8.5888210775674212E-3</c:v>
                </c:pt>
                <c:pt idx="354">
                  <c:v>1.0181029378681705E-2</c:v>
                </c:pt>
                <c:pt idx="355">
                  <c:v>-3.9106227383286507E-3</c:v>
                </c:pt>
                <c:pt idx="356">
                  <c:v>-2.9410333588129056E-3</c:v>
                </c:pt>
                <c:pt idx="357">
                  <c:v>1.3442940414269522E-2</c:v>
                </c:pt>
                <c:pt idx="358">
                  <c:v>-1.1110650216771267E-3</c:v>
                </c:pt>
                <c:pt idx="359">
                  <c:v>9.8605891012004676E-3</c:v>
                </c:pt>
                <c:pt idx="360">
                  <c:v>1.7498038814656169E-2</c:v>
                </c:pt>
                <c:pt idx="361">
                  <c:v>9.5864251910926512E-3</c:v>
                </c:pt>
                <c:pt idx="362">
                  <c:v>8.8343062034006437E-3</c:v>
                </c:pt>
                <c:pt idx="363">
                  <c:v>-4.8903285104626715E-3</c:v>
                </c:pt>
                <c:pt idx="364">
                  <c:v>5.5696363225843371E-4</c:v>
                </c:pt>
                <c:pt idx="365">
                  <c:v>-1.5199839033195439E-2</c:v>
                </c:pt>
                <c:pt idx="366">
                  <c:v>3.2285328639083399E-3</c:v>
                </c:pt>
                <c:pt idx="367">
                  <c:v>-3.4468488555250421E-4</c:v>
                </c:pt>
                <c:pt idx="368">
                  <c:v>-9.8202038034402861E-3</c:v>
                </c:pt>
                <c:pt idx="369">
                  <c:v>4.6206198107852092E-3</c:v>
                </c:pt>
                <c:pt idx="370">
                  <c:v>1.9114055769703819E-2</c:v>
                </c:pt>
                <c:pt idx="371">
                  <c:v>3.1722580731488037E-3</c:v>
                </c:pt>
                <c:pt idx="372">
                  <c:v>-5.2519029415333263E-3</c:v>
                </c:pt>
                <c:pt idx="373">
                  <c:v>-4.3915014222138948E-3</c:v>
                </c:pt>
                <c:pt idx="374">
                  <c:v>1.3239195513898627E-2</c:v>
                </c:pt>
                <c:pt idx="375">
                  <c:v>5.9775761271068095E-3</c:v>
                </c:pt>
                <c:pt idx="376">
                  <c:v>3.0969722637892438E-3</c:v>
                </c:pt>
                <c:pt idx="377">
                  <c:v>5.2798312092225963E-3</c:v>
                </c:pt>
                <c:pt idx="378">
                  <c:v>4.8998609506645252E-4</c:v>
                </c:pt>
                <c:pt idx="379">
                  <c:v>-2.1094138745190172E-3</c:v>
                </c:pt>
                <c:pt idx="380">
                  <c:v>3.0312753132339942E-3</c:v>
                </c:pt>
                <c:pt idx="381">
                  <c:v>1.0431890642274899E-2</c:v>
                </c:pt>
                <c:pt idx="382">
                  <c:v>-2.6649229106522343E-3</c:v>
                </c:pt>
                <c:pt idx="383">
                  <c:v>1.1595766700277732E-2</c:v>
                </c:pt>
                <c:pt idx="384">
                  <c:v>1.2024381952008056E-2</c:v>
                </c:pt>
                <c:pt idx="385">
                  <c:v>-1.0613698742638622E-2</c:v>
                </c:pt>
                <c:pt idx="386">
                  <c:v>-8.409099751157556E-3</c:v>
                </c:pt>
                <c:pt idx="387">
                  <c:v>6.4203429355180752E-3</c:v>
                </c:pt>
                <c:pt idx="388">
                  <c:v>7.9714280813034666E-3</c:v>
                </c:pt>
                <c:pt idx="389">
                  <c:v>-8.6304635614365965E-3</c:v>
                </c:pt>
                <c:pt idx="390">
                  <c:v>2.1587098191146792E-2</c:v>
                </c:pt>
                <c:pt idx="391">
                  <c:v>3.6485963783514652E-3</c:v>
                </c:pt>
                <c:pt idx="392">
                  <c:v>2.4831146361308232E-3</c:v>
                </c:pt>
                <c:pt idx="393">
                  <c:v>1.6450624230950561E-2</c:v>
                </c:pt>
                <c:pt idx="394">
                  <c:v>4.3053541307864762E-3</c:v>
                </c:pt>
                <c:pt idx="395">
                  <c:v>1.9977421544865814E-2</c:v>
                </c:pt>
                <c:pt idx="396">
                  <c:v>4.524645685094475E-3</c:v>
                </c:pt>
                <c:pt idx="397">
                  <c:v>4.4807613574102678E-3</c:v>
                </c:pt>
                <c:pt idx="398">
                  <c:v>-4.9697376801421944E-3</c:v>
                </c:pt>
                <c:pt idx="399">
                  <c:v>-2.7309894992174621E-3</c:v>
                </c:pt>
                <c:pt idx="400">
                  <c:v>8.5514445443659604E-3</c:v>
                </c:pt>
                <c:pt idx="401">
                  <c:v>2.8593389094010657E-2</c:v>
                </c:pt>
                <c:pt idx="402">
                  <c:v>4.026425818419499E-3</c:v>
                </c:pt>
                <c:pt idx="403">
                  <c:v>1.3259107278226656E-2</c:v>
                </c:pt>
                <c:pt idx="404">
                  <c:v>4.1505265447858708E-3</c:v>
                </c:pt>
                <c:pt idx="405">
                  <c:v>-1.4074581567383726E-3</c:v>
                </c:pt>
                <c:pt idx="406">
                  <c:v>2.3328234776496926E-2</c:v>
                </c:pt>
                <c:pt idx="407">
                  <c:v>2.0055417894100147E-2</c:v>
                </c:pt>
                <c:pt idx="408">
                  <c:v>1.0406941085401522E-2</c:v>
                </c:pt>
                <c:pt idx="409">
                  <c:v>2.0903208841836385E-2</c:v>
                </c:pt>
                <c:pt idx="410">
                  <c:v>-4.116772205830066E-2</c:v>
                </c:pt>
                <c:pt idx="411">
                  <c:v>-5.2116413702481101E-2</c:v>
                </c:pt>
                <c:pt idx="412">
                  <c:v>4.2515099615714647E-2</c:v>
                </c:pt>
                <c:pt idx="413">
                  <c:v>3.5929716023301861E-3</c:v>
                </c:pt>
                <c:pt idx="414">
                  <c:v>-3.0498904227058588E-2</c:v>
                </c:pt>
                <c:pt idx="415">
                  <c:v>3.2507800708019285E-2</c:v>
                </c:pt>
                <c:pt idx="416">
                  <c:v>-1.5363040814340589E-2</c:v>
                </c:pt>
                <c:pt idx="417">
                  <c:v>-5.6653453927645314E-2</c:v>
                </c:pt>
                <c:pt idx="418">
                  <c:v>2.4217191238056879E-2</c:v>
                </c:pt>
                <c:pt idx="419">
                  <c:v>-7.0673832359493538E-3</c:v>
                </c:pt>
                <c:pt idx="420">
                  <c:v>1.7857504360998977E-2</c:v>
                </c:pt>
                <c:pt idx="421">
                  <c:v>4.2199919423293597E-3</c:v>
                </c:pt>
                <c:pt idx="422">
                  <c:v>-6.2034691830532562E-3</c:v>
                </c:pt>
                <c:pt idx="423">
                  <c:v>-2.0023745612605115E-3</c:v>
                </c:pt>
                <c:pt idx="424">
                  <c:v>2.3438168630703249E-2</c:v>
                </c:pt>
                <c:pt idx="425">
                  <c:v>-4.6751151649113698E-3</c:v>
                </c:pt>
                <c:pt idx="426">
                  <c:v>1.5378299839849952E-3</c:v>
                </c:pt>
                <c:pt idx="427">
                  <c:v>-4.762180552350781E-3</c:v>
                </c:pt>
                <c:pt idx="428">
                  <c:v>2.7656117809275571E-2</c:v>
                </c:pt>
                <c:pt idx="429">
                  <c:v>-8.9289096110729549E-3</c:v>
                </c:pt>
                <c:pt idx="430">
                  <c:v>-2.0310153411532417E-2</c:v>
                </c:pt>
                <c:pt idx="431">
                  <c:v>-1.2590216124245379E-2</c:v>
                </c:pt>
                <c:pt idx="432">
                  <c:v>7.6252265839735767E-3</c:v>
                </c:pt>
                <c:pt idx="433">
                  <c:v>2.3017248893359987E-2</c:v>
                </c:pt>
                <c:pt idx="434">
                  <c:v>1.5474787912528321E-3</c:v>
                </c:pt>
                <c:pt idx="435">
                  <c:v>1.5680851337831037E-2</c:v>
                </c:pt>
                <c:pt idx="436">
                  <c:v>4.529045938668208E-4</c:v>
                </c:pt>
                <c:pt idx="437">
                  <c:v>-5.8691297318330671E-3</c:v>
                </c:pt>
                <c:pt idx="438">
                  <c:v>1.4071036222678357E-2</c:v>
                </c:pt>
                <c:pt idx="439">
                  <c:v>4.7150759505469875E-3</c:v>
                </c:pt>
                <c:pt idx="440">
                  <c:v>6.7646802617389312E-3</c:v>
                </c:pt>
                <c:pt idx="441">
                  <c:v>-1.8593429215565394E-3</c:v>
                </c:pt>
                <c:pt idx="442">
                  <c:v>9.1884486957869438E-3</c:v>
                </c:pt>
                <c:pt idx="443">
                  <c:v>2.2513097372695245E-2</c:v>
                </c:pt>
                <c:pt idx="444">
                  <c:v>-1.0663893875324626E-2</c:v>
                </c:pt>
                <c:pt idx="445">
                  <c:v>-4.2541272455387524E-4</c:v>
                </c:pt>
                <c:pt idx="446">
                  <c:v>-4.1859488737991724E-2</c:v>
                </c:pt>
                <c:pt idx="447">
                  <c:v>4.1180994616170086E-3</c:v>
                </c:pt>
                <c:pt idx="448">
                  <c:v>-2.9713127430432196E-2</c:v>
                </c:pt>
                <c:pt idx="449">
                  <c:v>2.3594841345125905E-2</c:v>
                </c:pt>
                <c:pt idx="450">
                  <c:v>2.8430678367230122E-2</c:v>
                </c:pt>
                <c:pt idx="451">
                  <c:v>-2.2165868336699868E-2</c:v>
                </c:pt>
                <c:pt idx="452">
                  <c:v>-4.4357464168816585E-2</c:v>
                </c:pt>
                <c:pt idx="453">
                  <c:v>5.1573131318732202E-2</c:v>
                </c:pt>
                <c:pt idx="454">
                  <c:v>-4.5010789375495852E-2</c:v>
                </c:pt>
                <c:pt idx="455">
                  <c:v>-1.1826851575045483E-2</c:v>
                </c:pt>
                <c:pt idx="456">
                  <c:v>-6.8676217265511208E-2</c:v>
                </c:pt>
                <c:pt idx="457">
                  <c:v>2.7490287464393637E-2</c:v>
                </c:pt>
                <c:pt idx="458">
                  <c:v>1.6076394012065842E-2</c:v>
                </c:pt>
                <c:pt idx="459">
                  <c:v>2.4016619488019808E-2</c:v>
                </c:pt>
                <c:pt idx="460">
                  <c:v>2.9604912372275693E-2</c:v>
                </c:pt>
                <c:pt idx="461">
                  <c:v>1.2487276498787114E-3</c:v>
                </c:pt>
                <c:pt idx="462">
                  <c:v>1.3206292760802096E-2</c:v>
                </c:pt>
                <c:pt idx="463">
                  <c:v>1.6935242799918093E-3</c:v>
                </c:pt>
                <c:pt idx="464">
                  <c:v>3.094498556909886E-2</c:v>
                </c:pt>
                <c:pt idx="465">
                  <c:v>5.7396893049088682E-3</c:v>
                </c:pt>
                <c:pt idx="466">
                  <c:v>-2.1098418071929803E-4</c:v>
                </c:pt>
                <c:pt idx="467">
                  <c:v>-2.2134337930838743E-2</c:v>
                </c:pt>
                <c:pt idx="468">
                  <c:v>1.5663049552389507E-2</c:v>
                </c:pt>
                <c:pt idx="469">
                  <c:v>-1.3406922468097049E-2</c:v>
                </c:pt>
                <c:pt idx="470">
                  <c:v>1.6718512610413239E-2</c:v>
                </c:pt>
                <c:pt idx="471">
                  <c:v>1.9141273357588418E-2</c:v>
                </c:pt>
                <c:pt idx="472">
                  <c:v>-4.7995107297160722E-4</c:v>
                </c:pt>
                <c:pt idx="473">
                  <c:v>5.5747014104505777E-3</c:v>
                </c:pt>
                <c:pt idx="474">
                  <c:v>-6.1030417119523062E-4</c:v>
                </c:pt>
                <c:pt idx="475">
                  <c:v>-1.4462011550334664E-3</c:v>
                </c:pt>
                <c:pt idx="476">
                  <c:v>-2.122547176740619E-2</c:v>
                </c:pt>
                <c:pt idx="477">
                  <c:v>-6.8756563876816168E-3</c:v>
                </c:pt>
                <c:pt idx="478">
                  <c:v>-6.9206228723214247E-3</c:v>
                </c:pt>
                <c:pt idx="479">
                  <c:v>-3.0120610647049406E-2</c:v>
                </c:pt>
                <c:pt idx="480">
                  <c:v>4.710470624173646E-2</c:v>
                </c:pt>
                <c:pt idx="481">
                  <c:v>4.0665886046065136E-3</c:v>
                </c:pt>
                <c:pt idx="482">
                  <c:v>2.4129148068360751E-2</c:v>
                </c:pt>
                <c:pt idx="483">
                  <c:v>-4.4598200463688009E-3</c:v>
                </c:pt>
                <c:pt idx="484">
                  <c:v>1.21110122216741E-2</c:v>
                </c:pt>
                <c:pt idx="485">
                  <c:v>1.5225908642683583E-2</c:v>
                </c:pt>
                <c:pt idx="486">
                  <c:v>-6.5062197298612068E-3</c:v>
                </c:pt>
                <c:pt idx="487">
                  <c:v>1.4086695949377948E-3</c:v>
                </c:pt>
                <c:pt idx="488">
                  <c:v>-2.6016294623381175E-2</c:v>
                </c:pt>
                <c:pt idx="489">
                  <c:v>-7.4594768943108125E-3</c:v>
                </c:pt>
                <c:pt idx="490">
                  <c:v>-1.5271017420750987E-2</c:v>
                </c:pt>
                <c:pt idx="491">
                  <c:v>-9.9324550132432465E-3</c:v>
                </c:pt>
                <c:pt idx="492">
                  <c:v>3.0215383375437943E-2</c:v>
                </c:pt>
                <c:pt idx="493">
                  <c:v>1.4929166590776477E-2</c:v>
                </c:pt>
                <c:pt idx="494">
                  <c:v>1.5749764325622806E-2</c:v>
                </c:pt>
                <c:pt idx="495">
                  <c:v>-1.0449991485887988E-2</c:v>
                </c:pt>
                <c:pt idx="496">
                  <c:v>-4.262914277119445E-3</c:v>
                </c:pt>
                <c:pt idx="497">
                  <c:v>-9.191991331743532E-3</c:v>
                </c:pt>
                <c:pt idx="498">
                  <c:v>9.1394475140416098E-3</c:v>
                </c:pt>
                <c:pt idx="499">
                  <c:v>-1.729899483480124E-3</c:v>
                </c:pt>
                <c:pt idx="500">
                  <c:v>7.0177219838911675E-3</c:v>
                </c:pt>
                <c:pt idx="501">
                  <c:v>1.444079653972774E-2</c:v>
                </c:pt>
                <c:pt idx="502">
                  <c:v>1.2209065733284064E-2</c:v>
                </c:pt>
                <c:pt idx="503">
                  <c:v>1.1691837090965551E-2</c:v>
                </c:pt>
                <c:pt idx="504">
                  <c:v>-4.6159047443465884E-3</c:v>
                </c:pt>
                <c:pt idx="505">
                  <c:v>6.306352757822431E-3</c:v>
                </c:pt>
                <c:pt idx="506">
                  <c:v>-1.2959203847067169E-3</c:v>
                </c:pt>
                <c:pt idx="507">
                  <c:v>4.294671885468837E-3</c:v>
                </c:pt>
                <c:pt idx="508">
                  <c:v>1.1363309332790728E-2</c:v>
                </c:pt>
                <c:pt idx="509">
                  <c:v>6.6832228851916309E-3</c:v>
                </c:pt>
                <c:pt idx="510">
                  <c:v>-3.622484088153799E-4</c:v>
                </c:pt>
                <c:pt idx="511">
                  <c:v>6.5962586745202945E-3</c:v>
                </c:pt>
                <c:pt idx="512">
                  <c:v>1.819084589596387E-2</c:v>
                </c:pt>
                <c:pt idx="513">
                  <c:v>-1.221098997718606E-2</c:v>
                </c:pt>
                <c:pt idx="514">
                  <c:v>-2.530875576189473E-2</c:v>
                </c:pt>
                <c:pt idx="515">
                  <c:v>2.9957539367620356E-2</c:v>
                </c:pt>
                <c:pt idx="516">
                  <c:v>1.0156047174413319E-2</c:v>
                </c:pt>
                <c:pt idx="517">
                  <c:v>-1.3799363767973971E-2</c:v>
                </c:pt>
                <c:pt idx="518">
                  <c:v>-0.12358575548606099</c:v>
                </c:pt>
                <c:pt idx="519">
                  <c:v>1.7923397345015246E-2</c:v>
                </c:pt>
                <c:pt idx="520">
                  <c:v>-0.10358318199271366</c:v>
                </c:pt>
                <c:pt idx="521">
                  <c:v>-0.17302303391220542</c:v>
                </c:pt>
                <c:pt idx="522">
                  <c:v>0.12844520093276435</c:v>
                </c:pt>
                <c:pt idx="523">
                  <c:v>-2.7002463749090322E-2</c:v>
                </c:pt>
                <c:pt idx="524">
                  <c:v>0.12667539682679907</c:v>
                </c:pt>
                <c:pt idx="525">
                  <c:v>2.2054571172686721E-2</c:v>
                </c:pt>
                <c:pt idx="526">
                  <c:v>-1.9272827610440246E-2</c:v>
                </c:pt>
                <c:pt idx="527">
                  <c:v>-2.1694052360838878E-3</c:v>
                </c:pt>
                <c:pt idx="528">
                  <c:v>2.561241095084088E-2</c:v>
                </c:pt>
                <c:pt idx="529">
                  <c:v>-2.6545753897806112E-2</c:v>
                </c:pt>
                <c:pt idx="530">
                  <c:v>3.2920781537777888E-2</c:v>
                </c:pt>
                <c:pt idx="531">
                  <c:v>3.7520589734845178E-2</c:v>
                </c:pt>
                <c:pt idx="532">
                  <c:v>6.8071582665165664E-2</c:v>
                </c:pt>
                <c:pt idx="533">
                  <c:v>-5.5528710959015237E-2</c:v>
                </c:pt>
                <c:pt idx="534">
                  <c:v>1.0385079633558947E-2</c:v>
                </c:pt>
                <c:pt idx="535">
                  <c:v>-3.3083156352264775E-2</c:v>
                </c:pt>
                <c:pt idx="536">
                  <c:v>3.2452116341337156E-2</c:v>
                </c:pt>
                <c:pt idx="537">
                  <c:v>9.6001114910859719E-3</c:v>
                </c:pt>
                <c:pt idx="538">
                  <c:v>2.2881691056783726E-2</c:v>
                </c:pt>
                <c:pt idx="539">
                  <c:v>-7.5757568940744147E-3</c:v>
                </c:pt>
                <c:pt idx="540">
                  <c:v>-1.570252169478259E-3</c:v>
                </c:pt>
                <c:pt idx="541">
                  <c:v>3.8033323353888537E-2</c:v>
                </c:pt>
                <c:pt idx="542">
                  <c:v>1.813613432333927E-2</c:v>
                </c:pt>
                <c:pt idx="543">
                  <c:v>-2.4556927632146675E-5</c:v>
                </c:pt>
                <c:pt idx="544">
                  <c:v>2.5904979735185796E-2</c:v>
                </c:pt>
                <c:pt idx="545">
                  <c:v>-1.8166975317848277E-2</c:v>
                </c:pt>
                <c:pt idx="546">
                  <c:v>-1.6623402891629557E-2</c:v>
                </c:pt>
                <c:pt idx="547">
                  <c:v>-2.972748674856529E-4</c:v>
                </c:pt>
                <c:pt idx="548">
                  <c:v>-1.7480381167185866E-2</c:v>
                </c:pt>
                <c:pt idx="549">
                  <c:v>1.8725985760343011E-2</c:v>
                </c:pt>
                <c:pt idx="550">
                  <c:v>3.2658890347507352E-2</c:v>
                </c:pt>
                <c:pt idx="551">
                  <c:v>6.7896473603501484E-4</c:v>
                </c:pt>
                <c:pt idx="552">
                  <c:v>-9.4645783775727521E-3</c:v>
                </c:pt>
                <c:pt idx="553">
                  <c:v>-6.47233100031257E-2</c:v>
                </c:pt>
                <c:pt idx="554">
                  <c:v>6.8743015868610646E-2</c:v>
                </c:pt>
                <c:pt idx="555">
                  <c:v>4.0828940030568583E-2</c:v>
                </c:pt>
                <c:pt idx="556">
                  <c:v>-7.3383853266649757E-3</c:v>
                </c:pt>
                <c:pt idx="557">
                  <c:v>2.2105956240310087E-2</c:v>
                </c:pt>
                <c:pt idx="558">
                  <c:v>1.029368668304298E-2</c:v>
                </c:pt>
                <c:pt idx="559">
                  <c:v>-5.6882692405965107E-3</c:v>
                </c:pt>
                <c:pt idx="560">
                  <c:v>4.4156980477370045E-3</c:v>
                </c:pt>
                <c:pt idx="561">
                  <c:v>6.9002180496346988E-4</c:v>
                </c:pt>
                <c:pt idx="562">
                  <c:v>1.3464080913856868E-2</c:v>
                </c:pt>
                <c:pt idx="563">
                  <c:v>1.6058335874189256E-2</c:v>
                </c:pt>
                <c:pt idx="564">
                  <c:v>-9.1230511446964702E-3</c:v>
                </c:pt>
                <c:pt idx="565">
                  <c:v>5.9294908116711564E-3</c:v>
                </c:pt>
                <c:pt idx="566">
                  <c:v>-3.2724561401352381E-2</c:v>
                </c:pt>
                <c:pt idx="567">
                  <c:v>3.8876708793567749E-2</c:v>
                </c:pt>
                <c:pt idx="568">
                  <c:v>9.9574805518871656E-3</c:v>
                </c:pt>
                <c:pt idx="569">
                  <c:v>1.1419557764773547E-3</c:v>
                </c:pt>
                <c:pt idx="570">
                  <c:v>-1.784307938141505E-2</c:v>
                </c:pt>
                <c:pt idx="571">
                  <c:v>1.8231049049689751E-2</c:v>
                </c:pt>
                <c:pt idx="572">
                  <c:v>4.0714180475155182E-2</c:v>
                </c:pt>
                <c:pt idx="573">
                  <c:v>-4.5966119695060037E-3</c:v>
                </c:pt>
                <c:pt idx="574">
                  <c:v>1.3635729615396164E-2</c:v>
                </c:pt>
                <c:pt idx="575">
                  <c:v>2.4290538078635127E-3</c:v>
                </c:pt>
                <c:pt idx="576">
                  <c:v>1.952723515307353E-2</c:v>
                </c:pt>
                <c:pt idx="577">
                  <c:v>1.1836087202736767E-2</c:v>
                </c:pt>
                <c:pt idx="578">
                  <c:v>-4.5959448889412169E-3</c:v>
                </c:pt>
                <c:pt idx="579">
                  <c:v>-4.9534526527993394E-3</c:v>
                </c:pt>
                <c:pt idx="580">
                  <c:v>2.6654157682864277E-2</c:v>
                </c:pt>
                <c:pt idx="581">
                  <c:v>-1.1375824763088627E-2</c:v>
                </c:pt>
                <c:pt idx="582">
                  <c:v>-5.0692345041757347E-3</c:v>
                </c:pt>
                <c:pt idx="583">
                  <c:v>9.4015369791118353E-3</c:v>
                </c:pt>
                <c:pt idx="584">
                  <c:v>6.5723492629590208E-3</c:v>
                </c:pt>
                <c:pt idx="585">
                  <c:v>-7.9636581807371876E-3</c:v>
                </c:pt>
                <c:pt idx="586">
                  <c:v>-3.4499155222237898E-2</c:v>
                </c:pt>
                <c:pt idx="587">
                  <c:v>3.4357342273669156E-2</c:v>
                </c:pt>
                <c:pt idx="588">
                  <c:v>1.0237114838403505E-2</c:v>
                </c:pt>
                <c:pt idx="589">
                  <c:v>2.4093735146202278E-3</c:v>
                </c:pt>
                <c:pt idx="590">
                  <c:v>-5.2282182022742596E-3</c:v>
                </c:pt>
                <c:pt idx="591">
                  <c:v>1.0773322585439393E-2</c:v>
                </c:pt>
                <c:pt idx="592">
                  <c:v>-3.5960214837713611E-3</c:v>
                </c:pt>
                <c:pt idx="593">
                  <c:v>7.8154147712017341E-3</c:v>
                </c:pt>
                <c:pt idx="594">
                  <c:v>8.7159788574617814E-3</c:v>
                </c:pt>
                <c:pt idx="595">
                  <c:v>-1.1130351506019043E-2</c:v>
                </c:pt>
                <c:pt idx="596">
                  <c:v>9.559037337854015E-3</c:v>
                </c:pt>
                <c:pt idx="597">
                  <c:v>-2.4455858543509512E-3</c:v>
                </c:pt>
                <c:pt idx="598">
                  <c:v>-2.1526274216746577E-2</c:v>
                </c:pt>
                <c:pt idx="599">
                  <c:v>-6.6014743026776568E-4</c:v>
                </c:pt>
                <c:pt idx="600">
                  <c:v>6.1622742126974384E-3</c:v>
                </c:pt>
                <c:pt idx="601">
                  <c:v>-1.3550790586833505E-2</c:v>
                </c:pt>
                <c:pt idx="602">
                  <c:v>1.222936517995854E-2</c:v>
                </c:pt>
                <c:pt idx="603">
                  <c:v>1.5786063425964558E-2</c:v>
                </c:pt>
                <c:pt idx="604">
                  <c:v>1.0830572080366307E-2</c:v>
                </c:pt>
                <c:pt idx="605">
                  <c:v>3.9953422677403427E-3</c:v>
                </c:pt>
                <c:pt idx="606">
                  <c:v>1.41930775900867E-2</c:v>
                </c:pt>
                <c:pt idx="607">
                  <c:v>-6.2663871412155236E-3</c:v>
                </c:pt>
                <c:pt idx="608">
                  <c:v>-1.380396916976756E-2</c:v>
                </c:pt>
                <c:pt idx="609">
                  <c:v>-1.9736013148505482E-2</c:v>
                </c:pt>
                <c:pt idx="610">
                  <c:v>-9.1479246055353736E-3</c:v>
                </c:pt>
                <c:pt idx="611">
                  <c:v>4.0222995319204147E-2</c:v>
                </c:pt>
                <c:pt idx="612">
                  <c:v>-1.6834652708865305E-2</c:v>
                </c:pt>
                <c:pt idx="613">
                  <c:v>1.6545188685971102E-2</c:v>
                </c:pt>
                <c:pt idx="614">
                  <c:v>1.0785216323913493E-2</c:v>
                </c:pt>
                <c:pt idx="615">
                  <c:v>-2.9346063726041205E-3</c:v>
                </c:pt>
                <c:pt idx="616">
                  <c:v>-8.8279037710419228E-3</c:v>
                </c:pt>
                <c:pt idx="617">
                  <c:v>-4.5846709562212484E-2</c:v>
                </c:pt>
                <c:pt idx="618">
                  <c:v>1.3427582538489968E-2</c:v>
                </c:pt>
                <c:pt idx="619">
                  <c:v>1.049003442927976E-2</c:v>
                </c:pt>
                <c:pt idx="620">
                  <c:v>-1.002238725385729E-2</c:v>
                </c:pt>
                <c:pt idx="621">
                  <c:v>-1.8967049015490955E-2</c:v>
                </c:pt>
                <c:pt idx="622">
                  <c:v>-5.9952729734225052E-4</c:v>
                </c:pt>
                <c:pt idx="623">
                  <c:v>-1.3034937852153927E-2</c:v>
                </c:pt>
                <c:pt idx="624">
                  <c:v>-1.9949845242409614E-2</c:v>
                </c:pt>
                <c:pt idx="625">
                  <c:v>5.4964048574141167E-2</c:v>
                </c:pt>
                <c:pt idx="626">
                  <c:v>3.0588175785002392E-3</c:v>
                </c:pt>
                <c:pt idx="627">
                  <c:v>-1.2326525830606005E-3</c:v>
                </c:pt>
                <c:pt idx="628">
                  <c:v>-2.7901386094705272E-3</c:v>
                </c:pt>
                <c:pt idx="629">
                  <c:v>-7.7731271728703755E-3</c:v>
                </c:pt>
                <c:pt idx="630">
                  <c:v>-1.8572085437865038E-2</c:v>
                </c:pt>
                <c:pt idx="631">
                  <c:v>-2.4671936457406951E-2</c:v>
                </c:pt>
                <c:pt idx="632">
                  <c:v>-2.360324222486998E-3</c:v>
                </c:pt>
                <c:pt idx="633">
                  <c:v>-2.1359284452435623E-2</c:v>
                </c:pt>
                <c:pt idx="634">
                  <c:v>-2.9033064790077945E-2</c:v>
                </c:pt>
                <c:pt idx="635">
                  <c:v>6.2410269555283726E-2</c:v>
                </c:pt>
                <c:pt idx="636">
                  <c:v>-9.4318306796784546E-3</c:v>
                </c:pt>
                <c:pt idx="637">
                  <c:v>-4.5803208767311698E-2</c:v>
                </c:pt>
                <c:pt idx="638">
                  <c:v>-4.7909469498656487E-2</c:v>
                </c:pt>
                <c:pt idx="639">
                  <c:v>5.3930030817789465E-2</c:v>
                </c:pt>
                <c:pt idx="640">
                  <c:v>-1.2806724187882867E-2</c:v>
                </c:pt>
                <c:pt idx="641">
                  <c:v>7.7464161237186246E-3</c:v>
                </c:pt>
                <c:pt idx="642">
                  <c:v>-1.5920531263520221E-3</c:v>
                </c:pt>
                <c:pt idx="643">
                  <c:v>1.9529035336329548E-2</c:v>
                </c:pt>
                <c:pt idx="644">
                  <c:v>2.9650825087232269E-2</c:v>
                </c:pt>
                <c:pt idx="645">
                  <c:v>-1.2681820002898858E-3</c:v>
                </c:pt>
                <c:pt idx="646">
                  <c:v>2.9191170156022128E-2</c:v>
                </c:pt>
                <c:pt idx="647">
                  <c:v>-1.6085964824413823E-3</c:v>
                </c:pt>
                <c:pt idx="648">
                  <c:v>-4.222719183192869E-2</c:v>
                </c:pt>
                <c:pt idx="649">
                  <c:v>-2.98900853287829E-2</c:v>
                </c:pt>
                <c:pt idx="650">
                  <c:v>2.6606369886105208E-2</c:v>
                </c:pt>
                <c:pt idx="651">
                  <c:v>-4.1344321616397561E-2</c:v>
                </c:pt>
                <c:pt idx="652">
                  <c:v>-3.9971260403598774E-2</c:v>
                </c:pt>
                <c:pt idx="653">
                  <c:v>-2.922925507086549E-2</c:v>
                </c:pt>
                <c:pt idx="654">
                  <c:v>1.9887802639008578E-2</c:v>
                </c:pt>
                <c:pt idx="655">
                  <c:v>1.1538470925154254E-2</c:v>
                </c:pt>
                <c:pt idx="656">
                  <c:v>4.8852199227964688E-2</c:v>
                </c:pt>
                <c:pt idx="657">
                  <c:v>5.7242455942456916E-2</c:v>
                </c:pt>
                <c:pt idx="658">
                  <c:v>-1.3954964844198892E-2</c:v>
                </c:pt>
                <c:pt idx="659">
                  <c:v>4.1497339216374662E-2</c:v>
                </c:pt>
                <c:pt idx="660">
                  <c:v>-6.4448522174131995E-5</c:v>
                </c:pt>
                <c:pt idx="661">
                  <c:v>1.7819792901787368E-2</c:v>
                </c:pt>
                <c:pt idx="662">
                  <c:v>2.4120221768924033E-3</c:v>
                </c:pt>
                <c:pt idx="663">
                  <c:v>-2.7691635699908401E-2</c:v>
                </c:pt>
                <c:pt idx="664">
                  <c:v>-1.6608588537311508E-2</c:v>
                </c:pt>
                <c:pt idx="665">
                  <c:v>8.6107149601428734E-3</c:v>
                </c:pt>
                <c:pt idx="666">
                  <c:v>-1.707041958799338E-3</c:v>
                </c:pt>
                <c:pt idx="667">
                  <c:v>1.4582398898056237E-2</c:v>
                </c:pt>
                <c:pt idx="668">
                  <c:v>1.9981617998902523E-2</c:v>
                </c:pt>
                <c:pt idx="669">
                  <c:v>-2.7027754652714564E-2</c:v>
                </c:pt>
                <c:pt idx="670">
                  <c:v>1.8054969775496588E-2</c:v>
                </c:pt>
                <c:pt idx="671">
                  <c:v>-1.5323702855850607E-3</c:v>
                </c:pt>
                <c:pt idx="672">
                  <c:v>-1.6726545547001148E-3</c:v>
                </c:pt>
                <c:pt idx="673">
                  <c:v>-1.2570777145619605E-3</c:v>
                </c:pt>
                <c:pt idx="674">
                  <c:v>-2.9851297806994026E-2</c:v>
                </c:pt>
                <c:pt idx="675">
                  <c:v>1.7492662588272534E-2</c:v>
                </c:pt>
                <c:pt idx="676">
                  <c:v>-4.4363472730960862E-2</c:v>
                </c:pt>
                <c:pt idx="677">
                  <c:v>-1.4933169778136302E-3</c:v>
                </c:pt>
                <c:pt idx="678">
                  <c:v>1.1786510218572799E-2</c:v>
                </c:pt>
                <c:pt idx="679">
                  <c:v>3.2155941894001838E-2</c:v>
                </c:pt>
                <c:pt idx="680">
                  <c:v>6.3453154222381514E-3</c:v>
                </c:pt>
                <c:pt idx="681">
                  <c:v>1.1980774745360856E-2</c:v>
                </c:pt>
                <c:pt idx="682">
                  <c:v>-2.2872640286328849E-3</c:v>
                </c:pt>
                <c:pt idx="683">
                  <c:v>8.5540221126580995E-3</c:v>
                </c:pt>
                <c:pt idx="684">
                  <c:v>-1.2428411247343507E-2</c:v>
                </c:pt>
                <c:pt idx="685">
                  <c:v>-1.1099302396609056E-2</c:v>
                </c:pt>
                <c:pt idx="686">
                  <c:v>3.7841763014860863E-3</c:v>
                </c:pt>
                <c:pt idx="687">
                  <c:v>-9.9709390694230349E-3</c:v>
                </c:pt>
                <c:pt idx="688">
                  <c:v>2.0228353527127041E-2</c:v>
                </c:pt>
                <c:pt idx="689">
                  <c:v>3.3770995325361763E-3</c:v>
                </c:pt>
                <c:pt idx="690">
                  <c:v>1.2466828348109749E-2</c:v>
                </c:pt>
                <c:pt idx="691">
                  <c:v>-1.666756372574596E-2</c:v>
                </c:pt>
                <c:pt idx="692">
                  <c:v>2.0166571703416736E-2</c:v>
                </c:pt>
                <c:pt idx="693">
                  <c:v>-1.9551468337086875E-2</c:v>
                </c:pt>
                <c:pt idx="694">
                  <c:v>2.2948084642409716E-2</c:v>
                </c:pt>
                <c:pt idx="695">
                  <c:v>2.0825177195568756E-2</c:v>
                </c:pt>
                <c:pt idx="696">
                  <c:v>6.5743541662530713E-3</c:v>
                </c:pt>
                <c:pt idx="697">
                  <c:v>-1.1101920696506284E-2</c:v>
                </c:pt>
                <c:pt idx="698">
                  <c:v>6.1536510909980802E-3</c:v>
                </c:pt>
                <c:pt idx="699">
                  <c:v>-2.2128986701212217E-2</c:v>
                </c:pt>
                <c:pt idx="700">
                  <c:v>-4.4567986166200724E-3</c:v>
                </c:pt>
                <c:pt idx="701">
                  <c:v>1.4289910172938569E-2</c:v>
                </c:pt>
                <c:pt idx="702">
                  <c:v>-7.4954977670320666E-3</c:v>
                </c:pt>
                <c:pt idx="703">
                  <c:v>1.204676447678299E-3</c:v>
                </c:pt>
                <c:pt idx="704">
                  <c:v>-1.8903233921136908E-2</c:v>
                </c:pt>
                <c:pt idx="705">
                  <c:v>-1.3436182351550641E-2</c:v>
                </c:pt>
                <c:pt idx="706">
                  <c:v>-2.9818966348115206E-3</c:v>
                </c:pt>
                <c:pt idx="707">
                  <c:v>7.8637145130124875E-3</c:v>
                </c:pt>
                <c:pt idx="708">
                  <c:v>-1.6127359729732893E-2</c:v>
                </c:pt>
                <c:pt idx="709">
                  <c:v>-2.1423226847394838E-2</c:v>
                </c:pt>
                <c:pt idx="710">
                  <c:v>5.0705072258127259E-2</c:v>
                </c:pt>
                <c:pt idx="711">
                  <c:v>6.5111743228563057E-3</c:v>
                </c:pt>
                <c:pt idx="712">
                  <c:v>1.9373510337472144E-2</c:v>
                </c:pt>
                <c:pt idx="713">
                  <c:v>1.2672406672033176E-2</c:v>
                </c:pt>
                <c:pt idx="714">
                  <c:v>2.4169128571043696E-2</c:v>
                </c:pt>
                <c:pt idx="715">
                  <c:v>6.5461919952491954E-5</c:v>
                </c:pt>
                <c:pt idx="716">
                  <c:v>2.9168332649504691E-2</c:v>
                </c:pt>
                <c:pt idx="717">
                  <c:v>2.1659951277948064E-3</c:v>
                </c:pt>
                <c:pt idx="718">
                  <c:v>8.1199053809637434E-3</c:v>
                </c:pt>
                <c:pt idx="719">
                  <c:v>-5.9280884163293024E-3</c:v>
                </c:pt>
                <c:pt idx="720">
                  <c:v>3.3863191044809504E-3</c:v>
                </c:pt>
                <c:pt idx="721">
                  <c:v>7.2038554218407658E-3</c:v>
                </c:pt>
                <c:pt idx="722">
                  <c:v>6.4874030034505203E-3</c:v>
                </c:pt>
                <c:pt idx="723">
                  <c:v>1.4300661428626515E-2</c:v>
                </c:pt>
                <c:pt idx="724">
                  <c:v>4.4672248530663872E-4</c:v>
                </c:pt>
                <c:pt idx="725">
                  <c:v>-1.1299402449197471E-3</c:v>
                </c:pt>
                <c:pt idx="726">
                  <c:v>1.3035473602107217E-2</c:v>
                </c:pt>
                <c:pt idx="727">
                  <c:v>-1.1283075742875015E-3</c:v>
                </c:pt>
                <c:pt idx="728">
                  <c:v>-9.3299432294203788E-3</c:v>
                </c:pt>
                <c:pt idx="729">
                  <c:v>-2.046990889689182E-4</c:v>
                </c:pt>
                <c:pt idx="730">
                  <c:v>1.9660131439356299E-2</c:v>
                </c:pt>
                <c:pt idx="731">
                  <c:v>8.3967804765154863E-3</c:v>
                </c:pt>
                <c:pt idx="732">
                  <c:v>-2.2692682231529759E-2</c:v>
                </c:pt>
                <c:pt idx="733">
                  <c:v>-2.3668360352019246E-2</c:v>
                </c:pt>
                <c:pt idx="734">
                  <c:v>8.3020819211965247E-5</c:v>
                </c:pt>
                <c:pt idx="735">
                  <c:v>6.6670708464402484E-3</c:v>
                </c:pt>
                <c:pt idx="736">
                  <c:v>1.1402409357511134E-2</c:v>
                </c:pt>
                <c:pt idx="737">
                  <c:v>2.1645742681617897E-2</c:v>
                </c:pt>
                <c:pt idx="738">
                  <c:v>1.2419984560462893E-2</c:v>
                </c:pt>
                <c:pt idx="739">
                  <c:v>-2.3347893417540955E-2</c:v>
                </c:pt>
                <c:pt idx="740">
                  <c:v>-9.8099411188377061E-3</c:v>
                </c:pt>
                <c:pt idx="741">
                  <c:v>2.9123626766904831E-3</c:v>
                </c:pt>
                <c:pt idx="742">
                  <c:v>-5.4082051438941736E-3</c:v>
                </c:pt>
                <c:pt idx="743">
                  <c:v>1.4542297238434809E-2</c:v>
                </c:pt>
                <c:pt idx="744">
                  <c:v>-8.0378372060108116E-4</c:v>
                </c:pt>
                <c:pt idx="745">
                  <c:v>6.5697894163296855E-3</c:v>
                </c:pt>
                <c:pt idx="746">
                  <c:v>1.5873466394716873E-2</c:v>
                </c:pt>
                <c:pt idx="747">
                  <c:v>7.1656265600275049E-3</c:v>
                </c:pt>
                <c:pt idx="748">
                  <c:v>7.4913329446886223E-3</c:v>
                </c:pt>
                <c:pt idx="749">
                  <c:v>-2.0992626605393361E-2</c:v>
                </c:pt>
                <c:pt idx="750">
                  <c:v>-6.0326353046723513E-3</c:v>
                </c:pt>
                <c:pt idx="751">
                  <c:v>2.9425123691247723E-2</c:v>
                </c:pt>
                <c:pt idx="752">
                  <c:v>1.2673955773472301E-2</c:v>
                </c:pt>
                <c:pt idx="753">
                  <c:v>9.4231753769513649E-3</c:v>
                </c:pt>
                <c:pt idx="754">
                  <c:v>-2.9296914473133318E-2</c:v>
                </c:pt>
                <c:pt idx="755">
                  <c:v>2.5984864201404667E-2</c:v>
                </c:pt>
                <c:pt idx="756">
                  <c:v>1.6175860237939155E-2</c:v>
                </c:pt>
                <c:pt idx="757">
                  <c:v>5.9348563690584388E-3</c:v>
                </c:pt>
                <c:pt idx="758">
                  <c:v>9.3942759908305362E-4</c:v>
                </c:pt>
                <c:pt idx="759">
                  <c:v>1.2067929473292827E-2</c:v>
                </c:pt>
                <c:pt idx="760">
                  <c:v>9.6129933235131748E-3</c:v>
                </c:pt>
                <c:pt idx="761">
                  <c:v>-2.6839643579996353E-2</c:v>
                </c:pt>
                <c:pt idx="762">
                  <c:v>-1.4771669547708477E-3</c:v>
                </c:pt>
                <c:pt idx="763">
                  <c:v>4.6057054341283932E-2</c:v>
                </c:pt>
                <c:pt idx="764">
                  <c:v>-1.2366730856971264E-2</c:v>
                </c:pt>
                <c:pt idx="765">
                  <c:v>1.9599958476224755E-2</c:v>
                </c:pt>
                <c:pt idx="766">
                  <c:v>1.3864297661373204E-2</c:v>
                </c:pt>
                <c:pt idx="767">
                  <c:v>-5.9702988044039174E-3</c:v>
                </c:pt>
                <c:pt idx="768">
                  <c:v>-1.8244041779003517E-2</c:v>
                </c:pt>
                <c:pt idx="769">
                  <c:v>-2.2538072641134388E-2</c:v>
                </c:pt>
                <c:pt idx="770">
                  <c:v>3.5468972410530597E-3</c:v>
                </c:pt>
                <c:pt idx="771">
                  <c:v>-6.0494680315341665E-3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46-4C4D-8021-17855C7E5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5764944"/>
        <c:axId val="1625769744"/>
      </c:lineChart>
      <c:dateAx>
        <c:axId val="1625764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625769744"/>
        <c:crosses val="autoZero"/>
        <c:auto val="1"/>
        <c:lblOffset val="100"/>
        <c:baseTimeUnit val="days"/>
      </c:dateAx>
      <c:valAx>
        <c:axId val="162576974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62576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v>Y</c:v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Returns!YAXIS</c:f>
              <c:numCache>
                <c:formatCode>_([$$-409]* #,##0.00_);_([$$-409]* \(#,##0.00\);_([$$-409]* "-"??_);_(@_)</c:formatCode>
                <c:ptCount val="782"/>
                <c:pt idx="0">
                  <c:v>6.5910000000000002</c:v>
                </c:pt>
                <c:pt idx="1">
                  <c:v>6.5175000000000001</c:v>
                </c:pt>
                <c:pt idx="2">
                  <c:v>6.7530000000000001</c:v>
                </c:pt>
                <c:pt idx="3">
                  <c:v>6.5904999999999996</c:v>
                </c:pt>
                <c:pt idx="4">
                  <c:v>7.0030000000000001</c:v>
                </c:pt>
                <c:pt idx="5">
                  <c:v>7.1086</c:v>
                </c:pt>
                <c:pt idx="6">
                  <c:v>7.1814999999999998</c:v>
                </c:pt>
                <c:pt idx="7">
                  <c:v>6.8550000000000004</c:v>
                </c:pt>
                <c:pt idx="8">
                  <c:v>6.2489999999999997</c:v>
                </c:pt>
                <c:pt idx="9">
                  <c:v>6.4265999999999996</c:v>
                </c:pt>
                <c:pt idx="10">
                  <c:v>6.1360000000000001</c:v>
                </c:pt>
                <c:pt idx="11">
                  <c:v>6.2729999999999997</c:v>
                </c:pt>
                <c:pt idx="12">
                  <c:v>6.1384999999999996</c:v>
                </c:pt>
                <c:pt idx="13">
                  <c:v>6.1515000000000004</c:v>
                </c:pt>
                <c:pt idx="14">
                  <c:v>6.2915000000000001</c:v>
                </c:pt>
                <c:pt idx="15">
                  <c:v>6.05</c:v>
                </c:pt>
                <c:pt idx="16">
                  <c:v>5.4569999999999999</c:v>
                </c:pt>
                <c:pt idx="17">
                  <c:v>5.8630000000000004</c:v>
                </c:pt>
                <c:pt idx="18">
                  <c:v>5.9245000000000001</c:v>
                </c:pt>
                <c:pt idx="19">
                  <c:v>5.9435000000000002</c:v>
                </c:pt>
                <c:pt idx="20">
                  <c:v>5.8944999999999999</c:v>
                </c:pt>
                <c:pt idx="21">
                  <c:v>6.4160000000000004</c:v>
                </c:pt>
                <c:pt idx="22">
                  <c:v>6.2344999999999997</c:v>
                </c:pt>
                <c:pt idx="23">
                  <c:v>6.3879999999999999</c:v>
                </c:pt>
                <c:pt idx="24">
                  <c:v>6.3319999999999999</c:v>
                </c:pt>
                <c:pt idx="25">
                  <c:v>6.9394999999999998</c:v>
                </c:pt>
                <c:pt idx="26">
                  <c:v>7.1219999999999999</c:v>
                </c:pt>
                <c:pt idx="27">
                  <c:v>7.4162999999999997</c:v>
                </c:pt>
                <c:pt idx="28">
                  <c:v>8.0365000000000002</c:v>
                </c:pt>
                <c:pt idx="29">
                  <c:v>7.6855000000000002</c:v>
                </c:pt>
                <c:pt idx="30">
                  <c:v>7.7774999999999999</c:v>
                </c:pt>
                <c:pt idx="31">
                  <c:v>8.2319999999999993</c:v>
                </c:pt>
                <c:pt idx="32">
                  <c:v>8.4565000000000001</c:v>
                </c:pt>
                <c:pt idx="33">
                  <c:v>8.2614999999999998</c:v>
                </c:pt>
                <c:pt idx="34">
                  <c:v>8.5385000000000009</c:v>
                </c:pt>
                <c:pt idx="35">
                  <c:v>8.2840000000000007</c:v>
                </c:pt>
                <c:pt idx="36">
                  <c:v>8.2409999999999997</c:v>
                </c:pt>
                <c:pt idx="37">
                  <c:v>8.875</c:v>
                </c:pt>
                <c:pt idx="38">
                  <c:v>8.7840000000000007</c:v>
                </c:pt>
                <c:pt idx="39">
                  <c:v>8.7810000000000006</c:v>
                </c:pt>
                <c:pt idx="40">
                  <c:v>8.8789999999999996</c:v>
                </c:pt>
                <c:pt idx="41">
                  <c:v>9.1295000000000002</c:v>
                </c:pt>
                <c:pt idx="42">
                  <c:v>9</c:v>
                </c:pt>
                <c:pt idx="43">
                  <c:v>9.2744999999999997</c:v>
                </c:pt>
                <c:pt idx="44">
                  <c:v>9.4375</c:v>
                </c:pt>
                <c:pt idx="45">
                  <c:v>8.8710000000000004</c:v>
                </c:pt>
                <c:pt idx="46">
                  <c:v>8.5570000000000004</c:v>
                </c:pt>
                <c:pt idx="47">
                  <c:v>8.7965</c:v>
                </c:pt>
                <c:pt idx="48">
                  <c:v>9.4625000000000004</c:v>
                </c:pt>
                <c:pt idx="49">
                  <c:v>9.3249999999999993</c:v>
                </c:pt>
                <c:pt idx="50">
                  <c:v>8.8620000000000001</c:v>
                </c:pt>
                <c:pt idx="51">
                  <c:v>8.5835000000000008</c:v>
                </c:pt>
                <c:pt idx="52">
                  <c:v>8.4034999999999993</c:v>
                </c:pt>
                <c:pt idx="53">
                  <c:v>8.0909999999999993</c:v>
                </c:pt>
                <c:pt idx="54">
                  <c:v>8.5489999999999995</c:v>
                </c:pt>
                <c:pt idx="55">
                  <c:v>9.0065000000000008</c:v>
                </c:pt>
                <c:pt idx="56">
                  <c:v>9.2355</c:v>
                </c:pt>
                <c:pt idx="57">
                  <c:v>9.0005000000000006</c:v>
                </c:pt>
                <c:pt idx="58">
                  <c:v>9.2944999999999993</c:v>
                </c:pt>
                <c:pt idx="59">
                  <c:v>9.7904999999999998</c:v>
                </c:pt>
                <c:pt idx="60">
                  <c:v>9.8800000000000008</c:v>
                </c:pt>
                <c:pt idx="61">
                  <c:v>10.128</c:v>
                </c:pt>
                <c:pt idx="62">
                  <c:v>9.9324999999999992</c:v>
                </c:pt>
                <c:pt idx="63">
                  <c:v>9.7065000000000001</c:v>
                </c:pt>
                <c:pt idx="64">
                  <c:v>9.4160000000000004</c:v>
                </c:pt>
                <c:pt idx="65">
                  <c:v>9.3264999999999993</c:v>
                </c:pt>
                <c:pt idx="66">
                  <c:v>9.3185000000000002</c:v>
                </c:pt>
                <c:pt idx="67">
                  <c:v>9.6274999999999995</c:v>
                </c:pt>
                <c:pt idx="68">
                  <c:v>10.474500000000001</c:v>
                </c:pt>
                <c:pt idx="69">
                  <c:v>10.914</c:v>
                </c:pt>
                <c:pt idx="70">
                  <c:v>10.6435</c:v>
                </c:pt>
                <c:pt idx="71">
                  <c:v>10.826000000000001</c:v>
                </c:pt>
                <c:pt idx="72">
                  <c:v>11.125999999999999</c:v>
                </c:pt>
                <c:pt idx="73">
                  <c:v>10.135</c:v>
                </c:pt>
                <c:pt idx="74">
                  <c:v>10.115</c:v>
                </c:pt>
                <c:pt idx="75">
                  <c:v>8.9465000000000003</c:v>
                </c:pt>
                <c:pt idx="76">
                  <c:v>9.9634999999999998</c:v>
                </c:pt>
                <c:pt idx="77">
                  <c:v>10.5</c:v>
                </c:pt>
                <c:pt idx="78">
                  <c:v>10.5695</c:v>
                </c:pt>
                <c:pt idx="79">
                  <c:v>11.965</c:v>
                </c:pt>
                <c:pt idx="80">
                  <c:v>11.1805</c:v>
                </c:pt>
                <c:pt idx="81">
                  <c:v>10.811500000000001</c:v>
                </c:pt>
                <c:pt idx="82">
                  <c:v>11.237</c:v>
                </c:pt>
                <c:pt idx="83">
                  <c:v>12.3355</c:v>
                </c:pt>
                <c:pt idx="84">
                  <c:v>11.739000000000001</c:v>
                </c:pt>
                <c:pt idx="85">
                  <c:v>10.866</c:v>
                </c:pt>
                <c:pt idx="86">
                  <c:v>10.824</c:v>
                </c:pt>
                <c:pt idx="87">
                  <c:v>10.8695</c:v>
                </c:pt>
                <c:pt idx="88">
                  <c:v>9.8569999999999993</c:v>
                </c:pt>
                <c:pt idx="89">
                  <c:v>9.1199999999999992</c:v>
                </c:pt>
                <c:pt idx="90">
                  <c:v>9.8015000000000008</c:v>
                </c:pt>
                <c:pt idx="91">
                  <c:v>9.6515000000000004</c:v>
                </c:pt>
                <c:pt idx="92">
                  <c:v>9.0630000000000006</c:v>
                </c:pt>
                <c:pt idx="93">
                  <c:v>8.8640000000000008</c:v>
                </c:pt>
                <c:pt idx="94">
                  <c:v>8.6549999999999994</c:v>
                </c:pt>
                <c:pt idx="95">
                  <c:v>9.1304999999999996</c:v>
                </c:pt>
                <c:pt idx="96">
                  <c:v>8.9209999999999994</c:v>
                </c:pt>
                <c:pt idx="97">
                  <c:v>9.5465</c:v>
                </c:pt>
                <c:pt idx="98">
                  <c:v>9.7684999999999995</c:v>
                </c:pt>
                <c:pt idx="99">
                  <c:v>9.3840000000000003</c:v>
                </c:pt>
                <c:pt idx="100">
                  <c:v>9.2769999999999992</c:v>
                </c:pt>
                <c:pt idx="101">
                  <c:v>9.125</c:v>
                </c:pt>
                <c:pt idx="102">
                  <c:v>8.9565000000000001</c:v>
                </c:pt>
                <c:pt idx="103">
                  <c:v>8.9649999999999999</c:v>
                </c:pt>
                <c:pt idx="104">
                  <c:v>9.2159999999999993</c:v>
                </c:pt>
                <c:pt idx="105">
                  <c:v>9.2524999999999995</c:v>
                </c:pt>
                <c:pt idx="106">
                  <c:v>9.7520000000000007</c:v>
                </c:pt>
                <c:pt idx="107">
                  <c:v>10.125500000000001</c:v>
                </c:pt>
                <c:pt idx="108">
                  <c:v>9.7195</c:v>
                </c:pt>
                <c:pt idx="109">
                  <c:v>9.423</c:v>
                </c:pt>
                <c:pt idx="110">
                  <c:v>9.4990000000000006</c:v>
                </c:pt>
                <c:pt idx="111">
                  <c:v>11.342499999999999</c:v>
                </c:pt>
                <c:pt idx="112">
                  <c:v>11.1995</c:v>
                </c:pt>
                <c:pt idx="113">
                  <c:v>11.384</c:v>
                </c:pt>
                <c:pt idx="114">
                  <c:v>10.692500000000001</c:v>
                </c:pt>
                <c:pt idx="115">
                  <c:v>10.644500000000001</c:v>
                </c:pt>
                <c:pt idx="116">
                  <c:v>10.411</c:v>
                </c:pt>
                <c:pt idx="117">
                  <c:v>10.923999999999999</c:v>
                </c:pt>
                <c:pt idx="118">
                  <c:v>10.9175</c:v>
                </c:pt>
                <c:pt idx="119">
                  <c:v>11.108000000000001</c:v>
                </c:pt>
                <c:pt idx="120">
                  <c:v>11.4175</c:v>
                </c:pt>
                <c:pt idx="121">
                  <c:v>11.2525</c:v>
                </c:pt>
                <c:pt idx="122">
                  <c:v>10.919499999999999</c:v>
                </c:pt>
                <c:pt idx="123">
                  <c:v>11.4145</c:v>
                </c:pt>
                <c:pt idx="124">
                  <c:v>11.866</c:v>
                </c:pt>
                <c:pt idx="125">
                  <c:v>11.7485</c:v>
                </c:pt>
                <c:pt idx="126">
                  <c:v>11.637499999999999</c:v>
                </c:pt>
                <c:pt idx="127">
                  <c:v>12.0585</c:v>
                </c:pt>
                <c:pt idx="128">
                  <c:v>12.287000000000001</c:v>
                </c:pt>
                <c:pt idx="129">
                  <c:v>12.413500000000001</c:v>
                </c:pt>
                <c:pt idx="130">
                  <c:v>12.957000000000001</c:v>
                </c:pt>
                <c:pt idx="131">
                  <c:v>13.063499999999999</c:v>
                </c:pt>
                <c:pt idx="132">
                  <c:v>12.8735</c:v>
                </c:pt>
                <c:pt idx="133">
                  <c:v>12.715999999999999</c:v>
                </c:pt>
                <c:pt idx="134">
                  <c:v>12.9255</c:v>
                </c:pt>
                <c:pt idx="135">
                  <c:v>12.118</c:v>
                </c:pt>
                <c:pt idx="136">
                  <c:v>12</c:v>
                </c:pt>
                <c:pt idx="137">
                  <c:v>11.912000000000001</c:v>
                </c:pt>
                <c:pt idx="138">
                  <c:v>11.6211</c:v>
                </c:pt>
                <c:pt idx="139">
                  <c:v>11.3155</c:v>
                </c:pt>
                <c:pt idx="140">
                  <c:v>11.2615</c:v>
                </c:pt>
                <c:pt idx="141">
                  <c:v>11.994</c:v>
                </c:pt>
                <c:pt idx="142">
                  <c:v>12.602499999999999</c:v>
                </c:pt>
                <c:pt idx="143">
                  <c:v>12.663399999999999</c:v>
                </c:pt>
                <c:pt idx="144">
                  <c:v>12.4595</c:v>
                </c:pt>
                <c:pt idx="145">
                  <c:v>12.846</c:v>
                </c:pt>
                <c:pt idx="146">
                  <c:v>12.259</c:v>
                </c:pt>
                <c:pt idx="147">
                  <c:v>12.9575</c:v>
                </c:pt>
                <c:pt idx="148">
                  <c:v>13.397</c:v>
                </c:pt>
                <c:pt idx="149">
                  <c:v>13.606</c:v>
                </c:pt>
                <c:pt idx="150">
                  <c:v>14.1995</c:v>
                </c:pt>
                <c:pt idx="151">
                  <c:v>13.25</c:v>
                </c:pt>
                <c:pt idx="152">
                  <c:v>13.0975</c:v>
                </c:pt>
                <c:pt idx="153">
                  <c:v>13.2545</c:v>
                </c:pt>
                <c:pt idx="154">
                  <c:v>13.271000000000001</c:v>
                </c:pt>
                <c:pt idx="155">
                  <c:v>13.287000000000001</c:v>
                </c:pt>
                <c:pt idx="156">
                  <c:v>13.7095</c:v>
                </c:pt>
                <c:pt idx="157">
                  <c:v>13.090999999999999</c:v>
                </c:pt>
                <c:pt idx="158">
                  <c:v>12.887499999999999</c:v>
                </c:pt>
                <c:pt idx="159">
                  <c:v>13.3245</c:v>
                </c:pt>
                <c:pt idx="160">
                  <c:v>12.773999999999999</c:v>
                </c:pt>
                <c:pt idx="161">
                  <c:v>13.6435</c:v>
                </c:pt>
                <c:pt idx="162">
                  <c:v>13.016</c:v>
                </c:pt>
                <c:pt idx="163">
                  <c:v>12.740500000000001</c:v>
                </c:pt>
                <c:pt idx="164">
                  <c:v>12.9025</c:v>
                </c:pt>
                <c:pt idx="165">
                  <c:v>13.1815</c:v>
                </c:pt>
                <c:pt idx="166">
                  <c:v>13.494999999999999</c:v>
                </c:pt>
                <c:pt idx="167">
                  <c:v>13.087</c:v>
                </c:pt>
                <c:pt idx="168">
                  <c:v>13.46</c:v>
                </c:pt>
                <c:pt idx="169">
                  <c:v>13.843500000000001</c:v>
                </c:pt>
                <c:pt idx="170">
                  <c:v>13.6995</c:v>
                </c:pt>
                <c:pt idx="171">
                  <c:v>13.667999999999999</c:v>
                </c:pt>
                <c:pt idx="172">
                  <c:v>13.884499999999999</c:v>
                </c:pt>
                <c:pt idx="173">
                  <c:v>14.294</c:v>
                </c:pt>
                <c:pt idx="174">
                  <c:v>15.3775</c:v>
                </c:pt>
                <c:pt idx="175">
                  <c:v>15.2615</c:v>
                </c:pt>
                <c:pt idx="176">
                  <c:v>15.6005</c:v>
                </c:pt>
                <c:pt idx="177">
                  <c:v>15.2105</c:v>
                </c:pt>
                <c:pt idx="178">
                  <c:v>14.863</c:v>
                </c:pt>
                <c:pt idx="179">
                  <c:v>14.241</c:v>
                </c:pt>
                <c:pt idx="180">
                  <c:v>14.500500000000001</c:v>
                </c:pt>
                <c:pt idx="181">
                  <c:v>14.048999999999999</c:v>
                </c:pt>
                <c:pt idx="182">
                  <c:v>14.792999999999999</c:v>
                </c:pt>
                <c:pt idx="183">
                  <c:v>14.896000000000001</c:v>
                </c:pt>
                <c:pt idx="184">
                  <c:v>15.817</c:v>
                </c:pt>
                <c:pt idx="185">
                  <c:v>15.8005</c:v>
                </c:pt>
                <c:pt idx="186">
                  <c:v>15.952</c:v>
                </c:pt>
                <c:pt idx="187">
                  <c:v>15.544499999999999</c:v>
                </c:pt>
                <c:pt idx="188">
                  <c:v>16.4465</c:v>
                </c:pt>
                <c:pt idx="189">
                  <c:v>18.169499999999999</c:v>
                </c:pt>
                <c:pt idx="190">
                  <c:v>17.950099999999999</c:v>
                </c:pt>
                <c:pt idx="191">
                  <c:v>17.515499999999999</c:v>
                </c:pt>
                <c:pt idx="192">
                  <c:v>18.458500000000001</c:v>
                </c:pt>
                <c:pt idx="193">
                  <c:v>18.615500000000001</c:v>
                </c:pt>
                <c:pt idx="194">
                  <c:v>19.681000000000001</c:v>
                </c:pt>
                <c:pt idx="195">
                  <c:v>19.3475</c:v>
                </c:pt>
                <c:pt idx="196">
                  <c:v>19.212</c:v>
                </c:pt>
                <c:pt idx="197">
                  <c:v>20.11</c:v>
                </c:pt>
                <c:pt idx="198">
                  <c:v>19.904</c:v>
                </c:pt>
                <c:pt idx="199">
                  <c:v>19.821999999999999</c:v>
                </c:pt>
                <c:pt idx="200">
                  <c:v>19.882999999999999</c:v>
                </c:pt>
                <c:pt idx="201">
                  <c:v>19.980499999999999</c:v>
                </c:pt>
                <c:pt idx="202">
                  <c:v>19.38</c:v>
                </c:pt>
                <c:pt idx="203">
                  <c:v>17.9345</c:v>
                </c:pt>
                <c:pt idx="204">
                  <c:v>18.053999999999998</c:v>
                </c:pt>
                <c:pt idx="205">
                  <c:v>17.8675</c:v>
                </c:pt>
                <c:pt idx="206">
                  <c:v>17.338000000000001</c:v>
                </c:pt>
                <c:pt idx="207">
                  <c:v>18.105</c:v>
                </c:pt>
                <c:pt idx="208">
                  <c:v>18.603000000000002</c:v>
                </c:pt>
                <c:pt idx="209">
                  <c:v>18.687000000000001</c:v>
                </c:pt>
                <c:pt idx="210">
                  <c:v>18.030999999999999</c:v>
                </c:pt>
                <c:pt idx="211">
                  <c:v>16.9145</c:v>
                </c:pt>
                <c:pt idx="212">
                  <c:v>16.149999999999999</c:v>
                </c:pt>
                <c:pt idx="213">
                  <c:v>15.586499999999999</c:v>
                </c:pt>
                <c:pt idx="214">
                  <c:v>16.2455</c:v>
                </c:pt>
                <c:pt idx="215">
                  <c:v>15.1915</c:v>
                </c:pt>
                <c:pt idx="216">
                  <c:v>15.400499999999999</c:v>
                </c:pt>
                <c:pt idx="217">
                  <c:v>14.612</c:v>
                </c:pt>
                <c:pt idx="218">
                  <c:v>14.885</c:v>
                </c:pt>
                <c:pt idx="219">
                  <c:v>15.612</c:v>
                </c:pt>
                <c:pt idx="220">
                  <c:v>15.6275</c:v>
                </c:pt>
                <c:pt idx="221">
                  <c:v>16.483499999999999</c:v>
                </c:pt>
                <c:pt idx="222">
                  <c:v>16.313500000000001</c:v>
                </c:pt>
                <c:pt idx="223">
                  <c:v>16.21</c:v>
                </c:pt>
                <c:pt idx="224">
                  <c:v>16.2285</c:v>
                </c:pt>
                <c:pt idx="225">
                  <c:v>16.874600000000001</c:v>
                </c:pt>
                <c:pt idx="226">
                  <c:v>17.309999999999999</c:v>
                </c:pt>
                <c:pt idx="227">
                  <c:v>17.933</c:v>
                </c:pt>
                <c:pt idx="228">
                  <c:v>16.200500000000002</c:v>
                </c:pt>
                <c:pt idx="229">
                  <c:v>15.353</c:v>
                </c:pt>
                <c:pt idx="230">
                  <c:v>15.84</c:v>
                </c:pt>
                <c:pt idx="231">
                  <c:v>16.6815</c:v>
                </c:pt>
                <c:pt idx="232">
                  <c:v>16.579499999999999</c:v>
                </c:pt>
                <c:pt idx="233">
                  <c:v>16.952000000000002</c:v>
                </c:pt>
                <c:pt idx="234">
                  <c:v>17.318999999999999</c:v>
                </c:pt>
                <c:pt idx="235">
                  <c:v>16.5595</c:v>
                </c:pt>
                <c:pt idx="236">
                  <c:v>16.565999999999999</c:v>
                </c:pt>
                <c:pt idx="237">
                  <c:v>16.160499999999999</c:v>
                </c:pt>
                <c:pt idx="238">
                  <c:v>16.137</c:v>
                </c:pt>
                <c:pt idx="239">
                  <c:v>15.5695</c:v>
                </c:pt>
                <c:pt idx="240">
                  <c:v>15.182</c:v>
                </c:pt>
                <c:pt idx="241">
                  <c:v>14.353</c:v>
                </c:pt>
                <c:pt idx="242">
                  <c:v>15.273</c:v>
                </c:pt>
                <c:pt idx="243">
                  <c:v>14.993</c:v>
                </c:pt>
                <c:pt idx="244">
                  <c:v>16.390999999999998</c:v>
                </c:pt>
                <c:pt idx="245">
                  <c:v>16.631499999999999</c:v>
                </c:pt>
                <c:pt idx="246">
                  <c:v>16.931999999999999</c:v>
                </c:pt>
                <c:pt idx="247">
                  <c:v>15.631500000000001</c:v>
                </c:pt>
                <c:pt idx="248">
                  <c:v>15.366</c:v>
                </c:pt>
                <c:pt idx="249">
                  <c:v>14.994999999999999</c:v>
                </c:pt>
                <c:pt idx="250">
                  <c:v>15.454499999999999</c:v>
                </c:pt>
                <c:pt idx="251">
                  <c:v>15.426</c:v>
                </c:pt>
                <c:pt idx="252">
                  <c:v>14.846500000000001</c:v>
                </c:pt>
                <c:pt idx="253">
                  <c:v>14.537000000000001</c:v>
                </c:pt>
                <c:pt idx="254">
                  <c:v>15.6195</c:v>
                </c:pt>
                <c:pt idx="255">
                  <c:v>17.726500000000001</c:v>
                </c:pt>
                <c:pt idx="256">
                  <c:v>18.713999999999999</c:v>
                </c:pt>
                <c:pt idx="257">
                  <c:v>19.0915</c:v>
                </c:pt>
                <c:pt idx="258">
                  <c:v>19.183</c:v>
                </c:pt>
                <c:pt idx="259">
                  <c:v>19.007999999999999</c:v>
                </c:pt>
                <c:pt idx="260">
                  <c:v>19.0045</c:v>
                </c:pt>
                <c:pt idx="261">
                  <c:v>18.529</c:v>
                </c:pt>
                <c:pt idx="262">
                  <c:v>18.924499999999998</c:v>
                </c:pt>
                <c:pt idx="263">
                  <c:v>18.527999999999999</c:v>
                </c:pt>
                <c:pt idx="264">
                  <c:v>18.612500000000001</c:v>
                </c:pt>
                <c:pt idx="265">
                  <c:v>19.1325</c:v>
                </c:pt>
                <c:pt idx="266">
                  <c:v>18.777999999999999</c:v>
                </c:pt>
                <c:pt idx="267">
                  <c:v>22.254999999999999</c:v>
                </c:pt>
                <c:pt idx="268">
                  <c:v>21.1435</c:v>
                </c:pt>
                <c:pt idx="269">
                  <c:v>21.6845</c:v>
                </c:pt>
                <c:pt idx="270">
                  <c:v>21.3</c:v>
                </c:pt>
                <c:pt idx="271">
                  <c:v>21.381499999999999</c:v>
                </c:pt>
                <c:pt idx="272">
                  <c:v>21.461500000000001</c:v>
                </c:pt>
                <c:pt idx="273">
                  <c:v>21.3475</c:v>
                </c:pt>
                <c:pt idx="274">
                  <c:v>21.495999999999999</c:v>
                </c:pt>
                <c:pt idx="275">
                  <c:v>21.745999999999999</c:v>
                </c:pt>
                <c:pt idx="276">
                  <c:v>21.905000000000001</c:v>
                </c:pt>
                <c:pt idx="277">
                  <c:v>21.8855</c:v>
                </c:pt>
                <c:pt idx="278">
                  <c:v>22.1755</c:v>
                </c:pt>
                <c:pt idx="279">
                  <c:v>24.150500000000001</c:v>
                </c:pt>
                <c:pt idx="280">
                  <c:v>26.471</c:v>
                </c:pt>
                <c:pt idx="281">
                  <c:v>26.807500000000001</c:v>
                </c:pt>
                <c:pt idx="282">
                  <c:v>26.131</c:v>
                </c:pt>
                <c:pt idx="283">
                  <c:v>26.576000000000001</c:v>
                </c:pt>
                <c:pt idx="284">
                  <c:v>24.723500000000001</c:v>
                </c:pt>
                <c:pt idx="285">
                  <c:v>25.900500000000001</c:v>
                </c:pt>
                <c:pt idx="286">
                  <c:v>24.95</c:v>
                </c:pt>
                <c:pt idx="287">
                  <c:v>26.472000000000001</c:v>
                </c:pt>
                <c:pt idx="288">
                  <c:v>27.013000000000002</c:v>
                </c:pt>
                <c:pt idx="289">
                  <c:v>26.212499999999999</c:v>
                </c:pt>
                <c:pt idx="290">
                  <c:v>26.626999999999999</c:v>
                </c:pt>
                <c:pt idx="291">
                  <c:v>26.99</c:v>
                </c:pt>
                <c:pt idx="292">
                  <c:v>28.538</c:v>
                </c:pt>
                <c:pt idx="293">
                  <c:v>29.951499999999999</c:v>
                </c:pt>
                <c:pt idx="294">
                  <c:v>31.295000000000002</c:v>
                </c:pt>
                <c:pt idx="295">
                  <c:v>32.968499999999999</c:v>
                </c:pt>
                <c:pt idx="296">
                  <c:v>32.1175</c:v>
                </c:pt>
                <c:pt idx="297">
                  <c:v>33.422499999999999</c:v>
                </c:pt>
                <c:pt idx="298">
                  <c:v>33.662999999999997</c:v>
                </c:pt>
                <c:pt idx="299">
                  <c:v>33.631999999999998</c:v>
                </c:pt>
                <c:pt idx="300">
                  <c:v>32.0075</c:v>
                </c:pt>
                <c:pt idx="301">
                  <c:v>33.207000000000001</c:v>
                </c:pt>
                <c:pt idx="302">
                  <c:v>33.139499999999998</c:v>
                </c:pt>
                <c:pt idx="303">
                  <c:v>33.794499999999999</c:v>
                </c:pt>
                <c:pt idx="304">
                  <c:v>30.352499999999999</c:v>
                </c:pt>
                <c:pt idx="305">
                  <c:v>28.509</c:v>
                </c:pt>
                <c:pt idx="306">
                  <c:v>29.818999999999999</c:v>
                </c:pt>
                <c:pt idx="307">
                  <c:v>29.35</c:v>
                </c:pt>
                <c:pt idx="308">
                  <c:v>25.1065</c:v>
                </c:pt>
                <c:pt idx="309">
                  <c:v>25.353999999999999</c:v>
                </c:pt>
                <c:pt idx="310">
                  <c:v>26.745000000000001</c:v>
                </c:pt>
                <c:pt idx="311">
                  <c:v>27.761500000000002</c:v>
                </c:pt>
                <c:pt idx="312">
                  <c:v>28.757000000000001</c:v>
                </c:pt>
                <c:pt idx="313">
                  <c:v>28.480499999999999</c:v>
                </c:pt>
                <c:pt idx="314">
                  <c:v>27.603999999999999</c:v>
                </c:pt>
                <c:pt idx="315">
                  <c:v>29.147500000000001</c:v>
                </c:pt>
                <c:pt idx="316">
                  <c:v>29.925000000000001</c:v>
                </c:pt>
                <c:pt idx="317">
                  <c:v>29.73</c:v>
                </c:pt>
                <c:pt idx="318">
                  <c:v>31.294499999999999</c:v>
                </c:pt>
                <c:pt idx="319">
                  <c:v>31.024999999999999</c:v>
                </c:pt>
                <c:pt idx="320">
                  <c:v>32.979500000000002</c:v>
                </c:pt>
                <c:pt idx="321">
                  <c:v>33.697499999999998</c:v>
                </c:pt>
                <c:pt idx="322">
                  <c:v>35.496000000000002</c:v>
                </c:pt>
                <c:pt idx="323">
                  <c:v>35.14</c:v>
                </c:pt>
                <c:pt idx="324">
                  <c:v>35.612000000000002</c:v>
                </c:pt>
                <c:pt idx="325">
                  <c:v>36.277000000000001</c:v>
                </c:pt>
                <c:pt idx="326">
                  <c:v>35.895499999999998</c:v>
                </c:pt>
                <c:pt idx="327">
                  <c:v>35.319499999999998</c:v>
                </c:pt>
                <c:pt idx="328">
                  <c:v>34.948</c:v>
                </c:pt>
                <c:pt idx="329">
                  <c:v>36.283999999999999</c:v>
                </c:pt>
                <c:pt idx="330">
                  <c:v>37.290500000000002</c:v>
                </c:pt>
                <c:pt idx="331">
                  <c:v>36.771999999999998</c:v>
                </c:pt>
                <c:pt idx="332">
                  <c:v>37.243000000000002</c:v>
                </c:pt>
                <c:pt idx="333">
                  <c:v>37.9405</c:v>
                </c:pt>
                <c:pt idx="334">
                  <c:v>38.298999999999999</c:v>
                </c:pt>
                <c:pt idx="335">
                  <c:v>38.628</c:v>
                </c:pt>
                <c:pt idx="336">
                  <c:v>37.865499999999997</c:v>
                </c:pt>
                <c:pt idx="337">
                  <c:v>38.450000000000003</c:v>
                </c:pt>
                <c:pt idx="338">
                  <c:v>38.622</c:v>
                </c:pt>
                <c:pt idx="339">
                  <c:v>38.006999999999998</c:v>
                </c:pt>
                <c:pt idx="340">
                  <c:v>38.926000000000002</c:v>
                </c:pt>
                <c:pt idx="341">
                  <c:v>40.287500000000001</c:v>
                </c:pt>
                <c:pt idx="342">
                  <c:v>41.865499999999997</c:v>
                </c:pt>
                <c:pt idx="343">
                  <c:v>41.971499999999999</c:v>
                </c:pt>
                <c:pt idx="344">
                  <c:v>41.148000000000003</c:v>
                </c:pt>
                <c:pt idx="345">
                  <c:v>40.9495</c:v>
                </c:pt>
                <c:pt idx="346">
                  <c:v>38.816000000000003</c:v>
                </c:pt>
                <c:pt idx="347">
                  <c:v>37.752499999999998</c:v>
                </c:pt>
                <c:pt idx="348">
                  <c:v>36.950499999999998</c:v>
                </c:pt>
                <c:pt idx="349">
                  <c:v>38.008000000000003</c:v>
                </c:pt>
                <c:pt idx="350">
                  <c:v>39.018500000000003</c:v>
                </c:pt>
                <c:pt idx="351">
                  <c:v>37.017000000000003</c:v>
                </c:pt>
                <c:pt idx="352">
                  <c:v>38.433</c:v>
                </c:pt>
                <c:pt idx="353">
                  <c:v>37.888500000000001</c:v>
                </c:pt>
                <c:pt idx="354">
                  <c:v>38.029499999999999</c:v>
                </c:pt>
                <c:pt idx="355">
                  <c:v>37.493499999999997</c:v>
                </c:pt>
                <c:pt idx="356">
                  <c:v>39.799500000000002</c:v>
                </c:pt>
                <c:pt idx="357">
                  <c:v>40.856999999999999</c:v>
                </c:pt>
                <c:pt idx="358">
                  <c:v>40.416499999999999</c:v>
                </c:pt>
                <c:pt idx="359">
                  <c:v>41.788499999999999</c:v>
                </c:pt>
                <c:pt idx="360">
                  <c:v>40.51</c:v>
                </c:pt>
                <c:pt idx="361">
                  <c:v>41.372999999999998</c:v>
                </c:pt>
                <c:pt idx="362">
                  <c:v>42.253500000000003</c:v>
                </c:pt>
                <c:pt idx="363">
                  <c:v>42.262</c:v>
                </c:pt>
                <c:pt idx="364">
                  <c:v>42.494</c:v>
                </c:pt>
                <c:pt idx="365">
                  <c:v>42.622999999999998</c:v>
                </c:pt>
                <c:pt idx="366">
                  <c:v>42.615499999999997</c:v>
                </c:pt>
                <c:pt idx="367">
                  <c:v>42.280500000000004</c:v>
                </c:pt>
                <c:pt idx="368">
                  <c:v>44.326999999999998</c:v>
                </c:pt>
                <c:pt idx="369">
                  <c:v>44.744</c:v>
                </c:pt>
                <c:pt idx="370">
                  <c:v>44.233499999999999</c:v>
                </c:pt>
                <c:pt idx="371">
                  <c:v>44.926499999999997</c:v>
                </c:pt>
                <c:pt idx="372">
                  <c:v>46.249499999999998</c:v>
                </c:pt>
                <c:pt idx="373">
                  <c:v>46.707500000000003</c:v>
                </c:pt>
                <c:pt idx="374">
                  <c:v>48.067500000000003</c:v>
                </c:pt>
                <c:pt idx="375">
                  <c:v>47.991999999999997</c:v>
                </c:pt>
                <c:pt idx="376">
                  <c:v>49.789000000000001</c:v>
                </c:pt>
                <c:pt idx="377">
                  <c:v>50.336500000000001</c:v>
                </c:pt>
                <c:pt idx="378">
                  <c:v>48.915500000000002</c:v>
                </c:pt>
                <c:pt idx="379">
                  <c:v>49.3855</c:v>
                </c:pt>
                <c:pt idx="380">
                  <c:v>50.186999999999998</c:v>
                </c:pt>
                <c:pt idx="381">
                  <c:v>48.4</c:v>
                </c:pt>
                <c:pt idx="382">
                  <c:v>48.938000000000002</c:v>
                </c:pt>
                <c:pt idx="383">
                  <c:v>50.090499999999999</c:v>
                </c:pt>
                <c:pt idx="384">
                  <c:v>51.283499999999997</c:v>
                </c:pt>
                <c:pt idx="385">
                  <c:v>51.002000000000002</c:v>
                </c:pt>
                <c:pt idx="386">
                  <c:v>49.378999999999998</c:v>
                </c:pt>
                <c:pt idx="387">
                  <c:v>48.399500000000003</c:v>
                </c:pt>
                <c:pt idx="388">
                  <c:v>47.923499999999997</c:v>
                </c:pt>
                <c:pt idx="389">
                  <c:v>47.262999999999998</c:v>
                </c:pt>
                <c:pt idx="390">
                  <c:v>48.912500000000001</c:v>
                </c:pt>
                <c:pt idx="391">
                  <c:v>48.295000000000002</c:v>
                </c:pt>
                <c:pt idx="392">
                  <c:v>49.339500000000001</c:v>
                </c:pt>
                <c:pt idx="393">
                  <c:v>47.755000000000003</c:v>
                </c:pt>
                <c:pt idx="394">
                  <c:v>48.067500000000003</c:v>
                </c:pt>
                <c:pt idx="395">
                  <c:v>49.478999999999999</c:v>
                </c:pt>
                <c:pt idx="396">
                  <c:v>50.146999999999998</c:v>
                </c:pt>
                <c:pt idx="397">
                  <c:v>49.145499999999998</c:v>
                </c:pt>
                <c:pt idx="398">
                  <c:v>55.047499999999999</c:v>
                </c:pt>
                <c:pt idx="399">
                  <c:v>55.58</c:v>
                </c:pt>
                <c:pt idx="400">
                  <c:v>56.267499999999998</c:v>
                </c:pt>
                <c:pt idx="401">
                  <c:v>56.494</c:v>
                </c:pt>
                <c:pt idx="402">
                  <c:v>59.3</c:v>
                </c:pt>
                <c:pt idx="403">
                  <c:v>58.1175</c:v>
                </c:pt>
                <c:pt idx="404">
                  <c:v>58.1</c:v>
                </c:pt>
                <c:pt idx="405">
                  <c:v>58.957000000000001</c:v>
                </c:pt>
                <c:pt idx="406">
                  <c:v>58.417999999999999</c:v>
                </c:pt>
                <c:pt idx="407">
                  <c:v>58.473500000000001</c:v>
                </c:pt>
                <c:pt idx="408">
                  <c:v>61.457000000000001</c:v>
                </c:pt>
                <c:pt idx="409">
                  <c:v>65.260000000000005</c:v>
                </c:pt>
                <c:pt idx="410">
                  <c:v>64.728999999999999</c:v>
                </c:pt>
                <c:pt idx="411">
                  <c:v>70.102500000000006</c:v>
                </c:pt>
                <c:pt idx="412">
                  <c:v>71.497500000000002</c:v>
                </c:pt>
                <c:pt idx="413">
                  <c:v>66.98</c:v>
                </c:pt>
                <c:pt idx="414">
                  <c:v>72.4345</c:v>
                </c:pt>
                <c:pt idx="415">
                  <c:v>75</c:v>
                </c:pt>
                <c:pt idx="416">
                  <c:v>75.012500000000003</c:v>
                </c:pt>
                <c:pt idx="417">
                  <c:v>78.944500000000005</c:v>
                </c:pt>
                <c:pt idx="418">
                  <c:v>78.584000000000003</c:v>
                </c:pt>
                <c:pt idx="419">
                  <c:v>74.778000000000006</c:v>
                </c:pt>
                <c:pt idx="420">
                  <c:v>72.367000000000004</c:v>
                </c:pt>
                <c:pt idx="421">
                  <c:v>70.261499999999998</c:v>
                </c:pt>
                <c:pt idx="422">
                  <c:v>71.539500000000004</c:v>
                </c:pt>
                <c:pt idx="423">
                  <c:v>76.374499999999998</c:v>
                </c:pt>
                <c:pt idx="424">
                  <c:v>78.631</c:v>
                </c:pt>
                <c:pt idx="425">
                  <c:v>79.047499999999999</c:v>
                </c:pt>
                <c:pt idx="426">
                  <c:v>80.145499999999998</c:v>
                </c:pt>
                <c:pt idx="427">
                  <c:v>78.718500000000006</c:v>
                </c:pt>
                <c:pt idx="428">
                  <c:v>80.507499999999993</c:v>
                </c:pt>
                <c:pt idx="429">
                  <c:v>82.076999999999998</c:v>
                </c:pt>
                <c:pt idx="430">
                  <c:v>84.1995</c:v>
                </c:pt>
                <c:pt idx="431">
                  <c:v>85.798500000000004</c:v>
                </c:pt>
                <c:pt idx="432">
                  <c:v>85.783500000000004</c:v>
                </c:pt>
                <c:pt idx="433">
                  <c:v>84.99</c:v>
                </c:pt>
                <c:pt idx="434">
                  <c:v>85.531499999999994</c:v>
                </c:pt>
                <c:pt idx="435">
                  <c:v>90.651499999999999</c:v>
                </c:pt>
                <c:pt idx="436">
                  <c:v>90.685000000000002</c:v>
                </c:pt>
                <c:pt idx="437">
                  <c:v>90.863500000000002</c:v>
                </c:pt>
                <c:pt idx="438">
                  <c:v>91.164500000000004</c:v>
                </c:pt>
                <c:pt idx="439">
                  <c:v>94.314999999999998</c:v>
                </c:pt>
                <c:pt idx="440">
                  <c:v>94.111000000000004</c:v>
                </c:pt>
                <c:pt idx="441">
                  <c:v>95.269499999999994</c:v>
                </c:pt>
                <c:pt idx="442">
                  <c:v>100.63549999999999</c:v>
                </c:pt>
                <c:pt idx="443">
                  <c:v>97.603499999999997</c:v>
                </c:pt>
                <c:pt idx="444">
                  <c:v>98.509500000000003</c:v>
                </c:pt>
                <c:pt idx="445">
                  <c:v>95.750500000000002</c:v>
                </c:pt>
                <c:pt idx="446">
                  <c:v>100.15</c:v>
                </c:pt>
                <c:pt idx="447">
                  <c:v>94.482500000000002</c:v>
                </c:pt>
                <c:pt idx="448">
                  <c:v>89.430499999999995</c:v>
                </c:pt>
                <c:pt idx="449">
                  <c:v>88.201499999999996</c:v>
                </c:pt>
                <c:pt idx="450">
                  <c:v>82.140500000000003</c:v>
                </c:pt>
                <c:pt idx="451">
                  <c:v>83.276499999999999</c:v>
                </c:pt>
                <c:pt idx="452">
                  <c:v>85.621499999999997</c:v>
                </c:pt>
                <c:pt idx="453">
                  <c:v>79.670500000000004</c:v>
                </c:pt>
                <c:pt idx="454">
                  <c:v>75.102999999999994</c:v>
                </c:pt>
                <c:pt idx="455">
                  <c:v>84.508499999999998</c:v>
                </c:pt>
                <c:pt idx="456">
                  <c:v>81.456500000000005</c:v>
                </c:pt>
                <c:pt idx="457">
                  <c:v>79.595500000000001</c:v>
                </c:pt>
                <c:pt idx="458">
                  <c:v>68.872500000000002</c:v>
                </c:pt>
                <c:pt idx="459">
                  <c:v>73.900999999999996</c:v>
                </c:pt>
                <c:pt idx="460">
                  <c:v>78.769499999999994</c:v>
                </c:pt>
                <c:pt idx="461">
                  <c:v>82.028000000000006</c:v>
                </c:pt>
                <c:pt idx="462">
                  <c:v>84.81</c:v>
                </c:pt>
                <c:pt idx="463">
                  <c:v>83.528499999999994</c:v>
                </c:pt>
                <c:pt idx="464">
                  <c:v>81.311499999999995</c:v>
                </c:pt>
                <c:pt idx="465">
                  <c:v>79.411000000000001</c:v>
                </c:pt>
                <c:pt idx="466">
                  <c:v>80.397499999999994</c:v>
                </c:pt>
                <c:pt idx="467">
                  <c:v>81.578000000000003</c:v>
                </c:pt>
                <c:pt idx="468">
                  <c:v>83.586500000000001</c:v>
                </c:pt>
                <c:pt idx="469">
                  <c:v>81.040000000000006</c:v>
                </c:pt>
                <c:pt idx="470">
                  <c:v>85.617999999999995</c:v>
                </c:pt>
                <c:pt idx="471">
                  <c:v>88.238500000000002</c:v>
                </c:pt>
                <c:pt idx="472">
                  <c:v>89.037499999999994</c:v>
                </c:pt>
                <c:pt idx="473">
                  <c:v>91.864000000000004</c:v>
                </c:pt>
                <c:pt idx="474">
                  <c:v>92.153000000000006</c:v>
                </c:pt>
                <c:pt idx="475">
                  <c:v>93.084500000000006</c:v>
                </c:pt>
                <c:pt idx="476">
                  <c:v>97.531499999999994</c:v>
                </c:pt>
                <c:pt idx="477">
                  <c:v>98.123000000000005</c:v>
                </c:pt>
                <c:pt idx="478">
                  <c:v>94.498999999999995</c:v>
                </c:pt>
                <c:pt idx="479">
                  <c:v>93.45</c:v>
                </c:pt>
                <c:pt idx="480">
                  <c:v>91.164000000000001</c:v>
                </c:pt>
                <c:pt idx="481">
                  <c:v>88.753500000000003</c:v>
                </c:pt>
                <c:pt idx="482">
                  <c:v>90.201499999999996</c:v>
                </c:pt>
                <c:pt idx="483">
                  <c:v>93.483500000000006</c:v>
                </c:pt>
                <c:pt idx="484">
                  <c:v>95.564999999999998</c:v>
                </c:pt>
                <c:pt idx="485">
                  <c:v>94.6815</c:v>
                </c:pt>
                <c:pt idx="486">
                  <c:v>97.145499999999998</c:v>
                </c:pt>
                <c:pt idx="487">
                  <c:v>100.55</c:v>
                </c:pt>
                <c:pt idx="488">
                  <c:v>98.225999999999999</c:v>
                </c:pt>
                <c:pt idx="489">
                  <c:v>97.152500000000003</c:v>
                </c:pt>
                <c:pt idx="490">
                  <c:v>91.162000000000006</c:v>
                </c:pt>
                <c:pt idx="491">
                  <c:v>90.379000000000005</c:v>
                </c:pt>
                <c:pt idx="492">
                  <c:v>89.628500000000003</c:v>
                </c:pt>
                <c:pt idx="493">
                  <c:v>87.480999999999995</c:v>
                </c:pt>
                <c:pt idx="494">
                  <c:v>88.814499999999995</c:v>
                </c:pt>
                <c:pt idx="495">
                  <c:v>91.6755</c:v>
                </c:pt>
                <c:pt idx="496">
                  <c:v>91.966999999999999</c:v>
                </c:pt>
                <c:pt idx="497">
                  <c:v>89.707999999999998</c:v>
                </c:pt>
                <c:pt idx="498">
                  <c:v>86.272499999999994</c:v>
                </c:pt>
                <c:pt idx="499">
                  <c:v>86.982500000000002</c:v>
                </c:pt>
                <c:pt idx="500">
                  <c:v>86.596000000000004</c:v>
                </c:pt>
                <c:pt idx="501">
                  <c:v>87.875500000000002</c:v>
                </c:pt>
                <c:pt idx="502">
                  <c:v>88.066500000000005</c:v>
                </c:pt>
                <c:pt idx="503">
                  <c:v>89.572000000000003</c:v>
                </c:pt>
                <c:pt idx="504">
                  <c:v>89.293999999999997</c:v>
                </c:pt>
                <c:pt idx="505">
                  <c:v>86.974500000000006</c:v>
                </c:pt>
                <c:pt idx="506">
                  <c:v>87.286000000000001</c:v>
                </c:pt>
                <c:pt idx="507">
                  <c:v>90.04</c:v>
                </c:pt>
                <c:pt idx="508">
                  <c:v>87.58</c:v>
                </c:pt>
                <c:pt idx="509">
                  <c:v>88.046999999999997</c:v>
                </c:pt>
                <c:pt idx="510">
                  <c:v>89.325000000000003</c:v>
                </c:pt>
                <c:pt idx="511">
                  <c:v>93.49</c:v>
                </c:pt>
                <c:pt idx="512">
                  <c:v>93.748500000000007</c:v>
                </c:pt>
                <c:pt idx="513">
                  <c:v>94.158000000000001</c:v>
                </c:pt>
                <c:pt idx="514">
                  <c:v>93.236000000000004</c:v>
                </c:pt>
                <c:pt idx="515">
                  <c:v>93.081999999999994</c:v>
                </c:pt>
                <c:pt idx="516">
                  <c:v>100.43600000000001</c:v>
                </c:pt>
                <c:pt idx="517">
                  <c:v>103.964</c:v>
                </c:pt>
                <c:pt idx="518">
                  <c:v>106.7435</c:v>
                </c:pt>
                <c:pt idx="519">
                  <c:v>104.7985</c:v>
                </c:pt>
                <c:pt idx="520">
                  <c:v>94.1875</c:v>
                </c:pt>
                <c:pt idx="521">
                  <c:v>95.054500000000004</c:v>
                </c:pt>
                <c:pt idx="522">
                  <c:v>89.25</c:v>
                </c:pt>
                <c:pt idx="523">
                  <c:v>92.304500000000004</c:v>
                </c:pt>
                <c:pt idx="524">
                  <c:v>95.004999999999995</c:v>
                </c:pt>
                <c:pt idx="525">
                  <c:v>95.329499999999996</c:v>
                </c:pt>
                <c:pt idx="526">
                  <c:v>102.13800000000001</c:v>
                </c:pt>
                <c:pt idx="527">
                  <c:v>118.75</c:v>
                </c:pt>
                <c:pt idx="528">
                  <c:v>120.511</c:v>
                </c:pt>
                <c:pt idx="529">
                  <c:v>114.30200000000001</c:v>
                </c:pt>
                <c:pt idx="530">
                  <c:v>118.98050000000001</c:v>
                </c:pt>
                <c:pt idx="531">
                  <c:v>120.489</c:v>
                </c:pt>
                <c:pt idx="532">
                  <c:v>121.84399999999999</c:v>
                </c:pt>
                <c:pt idx="533">
                  <c:v>122.1185</c:v>
                </c:pt>
                <c:pt idx="534">
                  <c:v>124.15</c:v>
                </c:pt>
                <c:pt idx="535">
                  <c:v>127.251</c:v>
                </c:pt>
                <c:pt idx="536">
                  <c:v>133.75049999999999</c:v>
                </c:pt>
                <c:pt idx="537">
                  <c:v>134.64349999999999</c:v>
                </c:pt>
                <c:pt idx="538">
                  <c:v>144.51499999999999</c:v>
                </c:pt>
                <c:pt idx="539">
                  <c:v>160</c:v>
                </c:pt>
                <c:pt idx="540">
                  <c:v>148.0985</c:v>
                </c:pt>
                <c:pt idx="541">
                  <c:v>150.44550000000001</c:v>
                </c:pt>
                <c:pt idx="542">
                  <c:v>158.23400000000001</c:v>
                </c:pt>
                <c:pt idx="543">
                  <c:v>158.37299999999999</c:v>
                </c:pt>
                <c:pt idx="544">
                  <c:v>157.40100000000001</c:v>
                </c:pt>
                <c:pt idx="545">
                  <c:v>164.23599999999999</c:v>
                </c:pt>
                <c:pt idx="546">
                  <c:v>170.09</c:v>
                </c:pt>
                <c:pt idx="547">
                  <c:v>164.73099999999999</c:v>
                </c:pt>
                <c:pt idx="548">
                  <c:v>155.81100000000001</c:v>
                </c:pt>
                <c:pt idx="549">
                  <c:v>147.74549999999999</c:v>
                </c:pt>
                <c:pt idx="550">
                  <c:v>154.75649999999999</c:v>
                </c:pt>
                <c:pt idx="551">
                  <c:v>156.25</c:v>
                </c:pt>
                <c:pt idx="552">
                  <c:v>164.33250000000001</c:v>
                </c:pt>
                <c:pt idx="553">
                  <c:v>163.63550000000001</c:v>
                </c:pt>
                <c:pt idx="554">
                  <c:v>160.22</c:v>
                </c:pt>
                <c:pt idx="555">
                  <c:v>151.8075</c:v>
                </c:pt>
                <c:pt idx="556">
                  <c:v>165.5685</c:v>
                </c:pt>
                <c:pt idx="557">
                  <c:v>156.44049999999999</c:v>
                </c:pt>
                <c:pt idx="558">
                  <c:v>154.97</c:v>
                </c:pt>
                <c:pt idx="559">
                  <c:v>159.767</c:v>
                </c:pt>
                <c:pt idx="560">
                  <c:v>158.12899999999999</c:v>
                </c:pt>
                <c:pt idx="561">
                  <c:v>155.821</c:v>
                </c:pt>
                <c:pt idx="562">
                  <c:v>160.08250000000001</c:v>
                </c:pt>
                <c:pt idx="563">
                  <c:v>158.6345</c:v>
                </c:pt>
                <c:pt idx="564">
                  <c:v>162.84649999999999</c:v>
                </c:pt>
                <c:pt idx="565">
                  <c:v>159.13499999999999</c:v>
                </c:pt>
                <c:pt idx="566">
                  <c:v>155.21250000000001</c:v>
                </c:pt>
                <c:pt idx="567">
                  <c:v>164.61150000000001</c:v>
                </c:pt>
                <c:pt idx="568">
                  <c:v>160.31</c:v>
                </c:pt>
                <c:pt idx="569">
                  <c:v>167.60749999999999</c:v>
                </c:pt>
                <c:pt idx="570">
                  <c:v>163.88550000000001</c:v>
                </c:pt>
                <c:pt idx="571">
                  <c:v>162.495</c:v>
                </c:pt>
                <c:pt idx="572">
                  <c:v>154.6465</c:v>
                </c:pt>
                <c:pt idx="573">
                  <c:v>150.023</c:v>
                </c:pt>
                <c:pt idx="574">
                  <c:v>154.47450000000001</c:v>
                </c:pt>
                <c:pt idx="575">
                  <c:v>153.74799999999999</c:v>
                </c:pt>
                <c:pt idx="576">
                  <c:v>152.60149999999999</c:v>
                </c:pt>
                <c:pt idx="577">
                  <c:v>158.05000000000001</c:v>
                </c:pt>
                <c:pt idx="578">
                  <c:v>168.61</c:v>
                </c:pt>
                <c:pt idx="579">
                  <c:v>169.97200000000001</c:v>
                </c:pt>
                <c:pt idx="580">
                  <c:v>167.04400000000001</c:v>
                </c:pt>
                <c:pt idx="581">
                  <c:v>173.37100000000001</c:v>
                </c:pt>
                <c:pt idx="582">
                  <c:v>164.5805</c:v>
                </c:pt>
                <c:pt idx="583">
                  <c:v>161.14500000000001</c:v>
                </c:pt>
                <c:pt idx="584">
                  <c:v>160.154</c:v>
                </c:pt>
                <c:pt idx="585">
                  <c:v>161.15350000000001</c:v>
                </c:pt>
                <c:pt idx="586">
                  <c:v>160.31100000000001</c:v>
                </c:pt>
                <c:pt idx="587">
                  <c:v>167.3415</c:v>
                </c:pt>
                <c:pt idx="588">
                  <c:v>174.345</c:v>
                </c:pt>
                <c:pt idx="589">
                  <c:v>170.07300000000001</c:v>
                </c:pt>
                <c:pt idx="590">
                  <c:v>175.54900000000001</c:v>
                </c:pt>
                <c:pt idx="591">
                  <c:v>185.96700000000001</c:v>
                </c:pt>
                <c:pt idx="592">
                  <c:v>178.6815</c:v>
                </c:pt>
                <c:pt idx="593">
                  <c:v>182.83199999999999</c:v>
                </c:pt>
                <c:pt idx="594">
                  <c:v>166.37950000000001</c:v>
                </c:pt>
                <c:pt idx="595">
                  <c:v>167.24700000000001</c:v>
                </c:pt>
                <c:pt idx="596">
                  <c:v>164.6985</c:v>
                </c:pt>
                <c:pt idx="597">
                  <c:v>159.9975</c:v>
                </c:pt>
                <c:pt idx="598">
                  <c:v>167.48150000000001</c:v>
                </c:pt>
                <c:pt idx="599">
                  <c:v>173.9025</c:v>
                </c:pt>
                <c:pt idx="600">
                  <c:v>173.45750000000001</c:v>
                </c:pt>
                <c:pt idx="601">
                  <c:v>173.126</c:v>
                </c:pt>
                <c:pt idx="602">
                  <c:v>171.27600000000001</c:v>
                </c:pt>
                <c:pt idx="603">
                  <c:v>164.16300000000001</c:v>
                </c:pt>
                <c:pt idx="604">
                  <c:v>164.43100000000001</c:v>
                </c:pt>
                <c:pt idx="605">
                  <c:v>170.45099999999999</c:v>
                </c:pt>
                <c:pt idx="606">
                  <c:v>166.7775</c:v>
                </c:pt>
                <c:pt idx="607">
                  <c:v>168.6215</c:v>
                </c:pt>
                <c:pt idx="608">
                  <c:v>175.9495</c:v>
                </c:pt>
                <c:pt idx="609">
                  <c:v>176.25749999999999</c:v>
                </c:pt>
                <c:pt idx="610">
                  <c:v>183.82849999999999</c:v>
                </c:pt>
                <c:pt idx="611">
                  <c:v>175.22800000000001</c:v>
                </c:pt>
                <c:pt idx="612">
                  <c:v>169.48949999999999</c:v>
                </c:pt>
                <c:pt idx="613">
                  <c:v>172.21199999999999</c:v>
                </c:pt>
                <c:pt idx="614">
                  <c:v>170.01750000000001</c:v>
                </c:pt>
                <c:pt idx="615">
                  <c:v>171.0685</c:v>
                </c:pt>
                <c:pt idx="616">
                  <c:v>166.71700000000001</c:v>
                </c:pt>
                <c:pt idx="617">
                  <c:v>162.554</c:v>
                </c:pt>
                <c:pt idx="618">
                  <c:v>162.13800000000001</c:v>
                </c:pt>
                <c:pt idx="619">
                  <c:v>142.643</c:v>
                </c:pt>
                <c:pt idx="620">
                  <c:v>143.97800000000001</c:v>
                </c:pt>
                <c:pt idx="621">
                  <c:v>157.6395</c:v>
                </c:pt>
                <c:pt idx="622">
                  <c:v>153.29349999999999</c:v>
                </c:pt>
                <c:pt idx="623">
                  <c:v>152.60149999999999</c:v>
                </c:pt>
                <c:pt idx="624">
                  <c:v>153.7885</c:v>
                </c:pt>
                <c:pt idx="625">
                  <c:v>145.64099999999999</c:v>
                </c:pt>
                <c:pt idx="626">
                  <c:v>145.52449999999999</c:v>
                </c:pt>
                <c:pt idx="627">
                  <c:v>161.25049999999999</c:v>
                </c:pt>
                <c:pt idx="628">
                  <c:v>164.77350000000001</c:v>
                </c:pt>
                <c:pt idx="629">
                  <c:v>163.56</c:v>
                </c:pt>
                <c:pt idx="630">
                  <c:v>154.4605</c:v>
                </c:pt>
                <c:pt idx="631">
                  <c:v>151.70650000000001</c:v>
                </c:pt>
                <c:pt idx="632">
                  <c:v>144.35</c:v>
                </c:pt>
                <c:pt idx="633">
                  <c:v>124.28149999999999</c:v>
                </c:pt>
                <c:pt idx="634">
                  <c:v>114.77249999999999</c:v>
                </c:pt>
                <c:pt idx="635">
                  <c:v>113.05500000000001</c:v>
                </c:pt>
                <c:pt idx="636">
                  <c:v>107.59099999999999</c:v>
                </c:pt>
                <c:pt idx="637">
                  <c:v>115.1465</c:v>
                </c:pt>
                <c:pt idx="638">
                  <c:v>122.35</c:v>
                </c:pt>
                <c:pt idx="639">
                  <c:v>109.65</c:v>
                </c:pt>
                <c:pt idx="640">
                  <c:v>106.22</c:v>
                </c:pt>
                <c:pt idx="641">
                  <c:v>116.46</c:v>
                </c:pt>
                <c:pt idx="642">
                  <c:v>109.56</c:v>
                </c:pt>
                <c:pt idx="643">
                  <c:v>115.54</c:v>
                </c:pt>
                <c:pt idx="644">
                  <c:v>113.55</c:v>
                </c:pt>
                <c:pt idx="645">
                  <c:v>122.42</c:v>
                </c:pt>
                <c:pt idx="646">
                  <c:v>134.94999999999999</c:v>
                </c:pt>
                <c:pt idx="647">
                  <c:v>140.80000000000001</c:v>
                </c:pt>
                <c:pt idx="648">
                  <c:v>143.55000000000001</c:v>
                </c:pt>
                <c:pt idx="649">
                  <c:v>138.22999999999999</c:v>
                </c:pt>
                <c:pt idx="650">
                  <c:v>130.75</c:v>
                </c:pt>
                <c:pt idx="651">
                  <c:v>127.51</c:v>
                </c:pt>
                <c:pt idx="652">
                  <c:v>133.27000000000001</c:v>
                </c:pt>
                <c:pt idx="653">
                  <c:v>123.53</c:v>
                </c:pt>
                <c:pt idx="654">
                  <c:v>113.78</c:v>
                </c:pt>
                <c:pt idx="655">
                  <c:v>113</c:v>
                </c:pt>
                <c:pt idx="656">
                  <c:v>114.56</c:v>
                </c:pt>
                <c:pt idx="657">
                  <c:v>106.9</c:v>
                </c:pt>
                <c:pt idx="658">
                  <c:v>119.32</c:v>
                </c:pt>
                <c:pt idx="659">
                  <c:v>103.41</c:v>
                </c:pt>
                <c:pt idx="660">
                  <c:v>90.98</c:v>
                </c:pt>
                <c:pt idx="661">
                  <c:v>100.79</c:v>
                </c:pt>
                <c:pt idx="662">
                  <c:v>94.14</c:v>
                </c:pt>
                <c:pt idx="663">
                  <c:v>93.41</c:v>
                </c:pt>
                <c:pt idx="664">
                  <c:v>94.13</c:v>
                </c:pt>
                <c:pt idx="665">
                  <c:v>89.09</c:v>
                </c:pt>
                <c:pt idx="666">
                  <c:v>87.86</c:v>
                </c:pt>
                <c:pt idx="667">
                  <c:v>85.25</c:v>
                </c:pt>
                <c:pt idx="668">
                  <c:v>84</c:v>
                </c:pt>
                <c:pt idx="669">
                  <c:v>86.08</c:v>
                </c:pt>
                <c:pt idx="670">
                  <c:v>98.12</c:v>
                </c:pt>
                <c:pt idx="671">
                  <c:v>97.25</c:v>
                </c:pt>
                <c:pt idx="672">
                  <c:v>102.24</c:v>
                </c:pt>
                <c:pt idx="673">
                  <c:v>103.39</c:v>
                </c:pt>
                <c:pt idx="674">
                  <c:v>97.61</c:v>
                </c:pt>
                <c:pt idx="675">
                  <c:v>97.2</c:v>
                </c:pt>
                <c:pt idx="676">
                  <c:v>93.5</c:v>
                </c:pt>
                <c:pt idx="677">
                  <c:v>94.9</c:v>
                </c:pt>
                <c:pt idx="678">
                  <c:v>90.73</c:v>
                </c:pt>
                <c:pt idx="679">
                  <c:v>98.95</c:v>
                </c:pt>
                <c:pt idx="680">
                  <c:v>98.13</c:v>
                </c:pt>
                <c:pt idx="681">
                  <c:v>103.29</c:v>
                </c:pt>
                <c:pt idx="682">
                  <c:v>102.06</c:v>
                </c:pt>
                <c:pt idx="683">
                  <c:v>102.51</c:v>
                </c:pt>
                <c:pt idx="684">
                  <c:v>106.96</c:v>
                </c:pt>
                <c:pt idx="685">
                  <c:v>105.45</c:v>
                </c:pt>
                <c:pt idx="686">
                  <c:v>105.655</c:v>
                </c:pt>
                <c:pt idx="687">
                  <c:v>110.26</c:v>
                </c:pt>
                <c:pt idx="688">
                  <c:v>116.25</c:v>
                </c:pt>
                <c:pt idx="689">
                  <c:v>120.11</c:v>
                </c:pt>
                <c:pt idx="690">
                  <c:v>124.25</c:v>
                </c:pt>
                <c:pt idx="691">
                  <c:v>123.43</c:v>
                </c:pt>
                <c:pt idx="692">
                  <c:v>125.49</c:v>
                </c:pt>
                <c:pt idx="693">
                  <c:v>129.33000000000001</c:v>
                </c:pt>
                <c:pt idx="694">
                  <c:v>130.36000000000001</c:v>
                </c:pt>
                <c:pt idx="695">
                  <c:v>129.78</c:v>
                </c:pt>
                <c:pt idx="696">
                  <c:v>134.68</c:v>
                </c:pt>
                <c:pt idx="697">
                  <c:v>130</c:v>
                </c:pt>
                <c:pt idx="698">
                  <c:v>132.21</c:v>
                </c:pt>
                <c:pt idx="699">
                  <c:v>139.57</c:v>
                </c:pt>
                <c:pt idx="700">
                  <c:v>138.41</c:v>
                </c:pt>
                <c:pt idx="701">
                  <c:v>133.22</c:v>
                </c:pt>
                <c:pt idx="702">
                  <c:v>133.26</c:v>
                </c:pt>
                <c:pt idx="703">
                  <c:v>138.12</c:v>
                </c:pt>
                <c:pt idx="704">
                  <c:v>138.22999999999999</c:v>
                </c:pt>
                <c:pt idx="705">
                  <c:v>140.38999999999999</c:v>
                </c:pt>
                <c:pt idx="706">
                  <c:v>129.12</c:v>
                </c:pt>
                <c:pt idx="707">
                  <c:v>127.12</c:v>
                </c:pt>
                <c:pt idx="708">
                  <c:v>127.96</c:v>
                </c:pt>
                <c:pt idx="709">
                  <c:v>129.79</c:v>
                </c:pt>
                <c:pt idx="710">
                  <c:v>125.17</c:v>
                </c:pt>
                <c:pt idx="711">
                  <c:v>127.74</c:v>
                </c:pt>
                <c:pt idx="712">
                  <c:v>138.6</c:v>
                </c:pt>
                <c:pt idx="713">
                  <c:v>143.56</c:v>
                </c:pt>
                <c:pt idx="714">
                  <c:v>145.18</c:v>
                </c:pt>
                <c:pt idx="715">
                  <c:v>146.74</c:v>
                </c:pt>
                <c:pt idx="716">
                  <c:v>147.03</c:v>
                </c:pt>
                <c:pt idx="717">
                  <c:v>147.41999999999999</c:v>
                </c:pt>
                <c:pt idx="718">
                  <c:v>149.97</c:v>
                </c:pt>
                <c:pt idx="719">
                  <c:v>153.41999999999999</c:v>
                </c:pt>
                <c:pt idx="720">
                  <c:v>151.94</c:v>
                </c:pt>
                <c:pt idx="721">
                  <c:v>145.24</c:v>
                </c:pt>
                <c:pt idx="722">
                  <c:v>154.62</c:v>
                </c:pt>
                <c:pt idx="723">
                  <c:v>155.34</c:v>
                </c:pt>
                <c:pt idx="724">
                  <c:v>159.12</c:v>
                </c:pt>
                <c:pt idx="725">
                  <c:v>171.81</c:v>
                </c:pt>
                <c:pt idx="726">
                  <c:v>174.45</c:v>
                </c:pt>
                <c:pt idx="727">
                  <c:v>169.51</c:v>
                </c:pt>
                <c:pt idx="728">
                  <c:v>174.99</c:v>
                </c:pt>
                <c:pt idx="729">
                  <c:v>178.22</c:v>
                </c:pt>
                <c:pt idx="730">
                  <c:v>175.35</c:v>
                </c:pt>
                <c:pt idx="731">
                  <c:v>174.42</c:v>
                </c:pt>
                <c:pt idx="732">
                  <c:v>178.87</c:v>
                </c:pt>
                <c:pt idx="733">
                  <c:v>180.38</c:v>
                </c:pt>
                <c:pt idx="734">
                  <c:v>185.07</c:v>
                </c:pt>
                <c:pt idx="735">
                  <c:v>186.13</c:v>
                </c:pt>
                <c:pt idx="736">
                  <c:v>174.63</c:v>
                </c:pt>
                <c:pt idx="737">
                  <c:v>179.62</c:v>
                </c:pt>
                <c:pt idx="738">
                  <c:v>186.21</c:v>
                </c:pt>
                <c:pt idx="739">
                  <c:v>187.48</c:v>
                </c:pt>
                <c:pt idx="740">
                  <c:v>184.7</c:v>
                </c:pt>
                <c:pt idx="741">
                  <c:v>180.75</c:v>
                </c:pt>
                <c:pt idx="742">
                  <c:v>176.44</c:v>
                </c:pt>
                <c:pt idx="743">
                  <c:v>184.3</c:v>
                </c:pt>
                <c:pt idx="744">
                  <c:v>183.66</c:v>
                </c:pt>
                <c:pt idx="745">
                  <c:v>189.08</c:v>
                </c:pt>
                <c:pt idx="746">
                  <c:v>193.25</c:v>
                </c:pt>
                <c:pt idx="747">
                  <c:v>200</c:v>
                </c:pt>
                <c:pt idx="748">
                  <c:v>194.49</c:v>
                </c:pt>
                <c:pt idx="749">
                  <c:v>183.13</c:v>
                </c:pt>
                <c:pt idx="750">
                  <c:v>182.5</c:v>
                </c:pt>
                <c:pt idx="751">
                  <c:v>167.9</c:v>
                </c:pt>
                <c:pt idx="752">
                  <c:v>166.94</c:v>
                </c:pt>
                <c:pt idx="753">
                  <c:v>177.06</c:v>
                </c:pt>
                <c:pt idx="754">
                  <c:v>177.04</c:v>
                </c:pt>
                <c:pt idx="755">
                  <c:v>178.5</c:v>
                </c:pt>
                <c:pt idx="756">
                  <c:v>171.39</c:v>
                </c:pt>
                <c:pt idx="757">
                  <c:v>186.49</c:v>
                </c:pt>
                <c:pt idx="758">
                  <c:v>191.6</c:v>
                </c:pt>
                <c:pt idx="759">
                  <c:v>187.97</c:v>
                </c:pt>
                <c:pt idx="760">
                  <c:v>186.51</c:v>
                </c:pt>
                <c:pt idx="761">
                  <c:v>188.82</c:v>
                </c:pt>
                <c:pt idx="762">
                  <c:v>188.99</c:v>
                </c:pt>
                <c:pt idx="763">
                  <c:v>187.83</c:v>
                </c:pt>
                <c:pt idx="764">
                  <c:v>197.93</c:v>
                </c:pt>
                <c:pt idx="765">
                  <c:v>208.18</c:v>
                </c:pt>
                <c:pt idx="766">
                  <c:v>202.61</c:v>
                </c:pt>
                <c:pt idx="767">
                  <c:v>197.12</c:v>
                </c:pt>
                <c:pt idx="768">
                  <c:v>207.89</c:v>
                </c:pt>
                <c:pt idx="769">
                  <c:v>227.03</c:v>
                </c:pt>
                <c:pt idx="770">
                  <c:v>227.46</c:v>
                </c:pt>
                <c:pt idx="771">
                  <c:v>224.92</c:v>
                </c:pt>
                <c:pt idx="772">
                  <c:v>223.75</c:v>
                </c:pt>
                <c:pt idx="773">
                  <c:v>224.19</c:v>
                </c:pt>
                <c:pt idx="774">
                  <c:v>218.94</c:v>
                </c:pt>
                <c:pt idx="775">
                  <c:v>225.94</c:v>
                </c:pt>
                <c:pt idx="776">
                  <c:v>234.85</c:v>
                </c:pt>
                <c:pt idx="777">
                  <c:v>237.68</c:v>
                </c:pt>
                <c:pt idx="778">
                  <c:v>229.15</c:v>
                </c:pt>
                <c:pt idx="779">
                  <c:v>228.68</c:v>
                </c:pt>
                <c:pt idx="780">
                  <c:v>216.58</c:v>
                </c:pt>
                <c:pt idx="781">
                  <c:v>212.28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A-48CC-94AE-AEB7B57AF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4332512"/>
        <c:axId val="1104332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XAXIS</c:v>
                </c:tx>
                <c:spPr>
                  <a:ln w="28575" cap="rnd">
                    <a:solidFill>
                      <a:schemeClr val="accent1">
                        <a:shade val="76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Returns!XAXIS</c15:sqref>
                        </c15:formulaRef>
                      </c:ext>
                    </c:extLst>
                    <c:numCache>
                      <c:formatCode>m/d/yyyy</c:formatCode>
                      <c:ptCount val="782"/>
                      <c:pt idx="0">
                        <c:v>40245</c:v>
                      </c:pt>
                      <c:pt idx="1">
                        <c:v>40252</c:v>
                      </c:pt>
                      <c:pt idx="2">
                        <c:v>40259</c:v>
                      </c:pt>
                      <c:pt idx="3">
                        <c:v>40266</c:v>
                      </c:pt>
                      <c:pt idx="4">
                        <c:v>40273</c:v>
                      </c:pt>
                      <c:pt idx="5">
                        <c:v>40280</c:v>
                      </c:pt>
                      <c:pt idx="6">
                        <c:v>40287</c:v>
                      </c:pt>
                      <c:pt idx="7">
                        <c:v>40294</c:v>
                      </c:pt>
                      <c:pt idx="8">
                        <c:v>40301</c:v>
                      </c:pt>
                      <c:pt idx="9">
                        <c:v>40308</c:v>
                      </c:pt>
                      <c:pt idx="10">
                        <c:v>40315</c:v>
                      </c:pt>
                      <c:pt idx="11">
                        <c:v>40322</c:v>
                      </c:pt>
                      <c:pt idx="12">
                        <c:v>40330</c:v>
                      </c:pt>
                      <c:pt idx="13">
                        <c:v>40336</c:v>
                      </c:pt>
                      <c:pt idx="14">
                        <c:v>40343</c:v>
                      </c:pt>
                      <c:pt idx="15">
                        <c:v>40350</c:v>
                      </c:pt>
                      <c:pt idx="16">
                        <c:v>40357</c:v>
                      </c:pt>
                      <c:pt idx="17">
                        <c:v>40365</c:v>
                      </c:pt>
                      <c:pt idx="18">
                        <c:v>40371</c:v>
                      </c:pt>
                      <c:pt idx="19">
                        <c:v>40378</c:v>
                      </c:pt>
                      <c:pt idx="20">
                        <c:v>40385</c:v>
                      </c:pt>
                      <c:pt idx="21">
                        <c:v>40392</c:v>
                      </c:pt>
                      <c:pt idx="22">
                        <c:v>40399</c:v>
                      </c:pt>
                      <c:pt idx="23">
                        <c:v>40406</c:v>
                      </c:pt>
                      <c:pt idx="24">
                        <c:v>40413</c:v>
                      </c:pt>
                      <c:pt idx="25">
                        <c:v>40420</c:v>
                      </c:pt>
                      <c:pt idx="26">
                        <c:v>40428</c:v>
                      </c:pt>
                      <c:pt idx="27">
                        <c:v>40434</c:v>
                      </c:pt>
                      <c:pt idx="28">
                        <c:v>40441</c:v>
                      </c:pt>
                      <c:pt idx="29">
                        <c:v>40448</c:v>
                      </c:pt>
                      <c:pt idx="30">
                        <c:v>40455</c:v>
                      </c:pt>
                      <c:pt idx="31">
                        <c:v>40462</c:v>
                      </c:pt>
                      <c:pt idx="32">
                        <c:v>40469</c:v>
                      </c:pt>
                      <c:pt idx="33">
                        <c:v>40476</c:v>
                      </c:pt>
                      <c:pt idx="34">
                        <c:v>40483</c:v>
                      </c:pt>
                      <c:pt idx="35">
                        <c:v>40490</c:v>
                      </c:pt>
                      <c:pt idx="36">
                        <c:v>40497</c:v>
                      </c:pt>
                      <c:pt idx="37">
                        <c:v>40504</c:v>
                      </c:pt>
                      <c:pt idx="38">
                        <c:v>40511</c:v>
                      </c:pt>
                      <c:pt idx="39">
                        <c:v>40518</c:v>
                      </c:pt>
                      <c:pt idx="40">
                        <c:v>40525</c:v>
                      </c:pt>
                      <c:pt idx="41">
                        <c:v>40532</c:v>
                      </c:pt>
                      <c:pt idx="42">
                        <c:v>40539</c:v>
                      </c:pt>
                      <c:pt idx="43">
                        <c:v>40546</c:v>
                      </c:pt>
                      <c:pt idx="44">
                        <c:v>40553</c:v>
                      </c:pt>
                      <c:pt idx="45">
                        <c:v>40561</c:v>
                      </c:pt>
                      <c:pt idx="46">
                        <c:v>40567</c:v>
                      </c:pt>
                      <c:pt idx="47">
                        <c:v>40574</c:v>
                      </c:pt>
                      <c:pt idx="48">
                        <c:v>40581</c:v>
                      </c:pt>
                      <c:pt idx="49">
                        <c:v>40588</c:v>
                      </c:pt>
                      <c:pt idx="50">
                        <c:v>40596</c:v>
                      </c:pt>
                      <c:pt idx="51">
                        <c:v>40602</c:v>
                      </c:pt>
                      <c:pt idx="52">
                        <c:v>40609</c:v>
                      </c:pt>
                      <c:pt idx="53">
                        <c:v>40616</c:v>
                      </c:pt>
                      <c:pt idx="54">
                        <c:v>40623</c:v>
                      </c:pt>
                      <c:pt idx="55">
                        <c:v>40630</c:v>
                      </c:pt>
                      <c:pt idx="56">
                        <c:v>40637</c:v>
                      </c:pt>
                      <c:pt idx="57">
                        <c:v>40644</c:v>
                      </c:pt>
                      <c:pt idx="58">
                        <c:v>40651</c:v>
                      </c:pt>
                      <c:pt idx="59">
                        <c:v>40658</c:v>
                      </c:pt>
                      <c:pt idx="60">
                        <c:v>40665</c:v>
                      </c:pt>
                      <c:pt idx="61">
                        <c:v>40672</c:v>
                      </c:pt>
                      <c:pt idx="62">
                        <c:v>40679</c:v>
                      </c:pt>
                      <c:pt idx="63">
                        <c:v>40686</c:v>
                      </c:pt>
                      <c:pt idx="64">
                        <c:v>40694</c:v>
                      </c:pt>
                      <c:pt idx="65">
                        <c:v>40700</c:v>
                      </c:pt>
                      <c:pt idx="66">
                        <c:v>40707</c:v>
                      </c:pt>
                      <c:pt idx="67">
                        <c:v>40714</c:v>
                      </c:pt>
                      <c:pt idx="68">
                        <c:v>40721</c:v>
                      </c:pt>
                      <c:pt idx="69">
                        <c:v>40729</c:v>
                      </c:pt>
                      <c:pt idx="70">
                        <c:v>40735</c:v>
                      </c:pt>
                      <c:pt idx="71">
                        <c:v>40742</c:v>
                      </c:pt>
                      <c:pt idx="72">
                        <c:v>40749</c:v>
                      </c:pt>
                      <c:pt idx="73">
                        <c:v>40756</c:v>
                      </c:pt>
                      <c:pt idx="74">
                        <c:v>40763</c:v>
                      </c:pt>
                      <c:pt idx="75">
                        <c:v>40770</c:v>
                      </c:pt>
                      <c:pt idx="76">
                        <c:v>40777</c:v>
                      </c:pt>
                      <c:pt idx="77">
                        <c:v>40784</c:v>
                      </c:pt>
                      <c:pt idx="78">
                        <c:v>40792</c:v>
                      </c:pt>
                      <c:pt idx="79">
                        <c:v>40798</c:v>
                      </c:pt>
                      <c:pt idx="80">
                        <c:v>40805</c:v>
                      </c:pt>
                      <c:pt idx="81">
                        <c:v>40812</c:v>
                      </c:pt>
                      <c:pt idx="82">
                        <c:v>40819</c:v>
                      </c:pt>
                      <c:pt idx="83">
                        <c:v>40826</c:v>
                      </c:pt>
                      <c:pt idx="84">
                        <c:v>40833</c:v>
                      </c:pt>
                      <c:pt idx="85">
                        <c:v>40840</c:v>
                      </c:pt>
                      <c:pt idx="86">
                        <c:v>40847</c:v>
                      </c:pt>
                      <c:pt idx="87">
                        <c:v>40854</c:v>
                      </c:pt>
                      <c:pt idx="88">
                        <c:v>40861</c:v>
                      </c:pt>
                      <c:pt idx="89">
                        <c:v>40868</c:v>
                      </c:pt>
                      <c:pt idx="90">
                        <c:v>40875</c:v>
                      </c:pt>
                      <c:pt idx="91">
                        <c:v>40882</c:v>
                      </c:pt>
                      <c:pt idx="92">
                        <c:v>40889</c:v>
                      </c:pt>
                      <c:pt idx="93">
                        <c:v>40896</c:v>
                      </c:pt>
                      <c:pt idx="94">
                        <c:v>40904</c:v>
                      </c:pt>
                      <c:pt idx="95">
                        <c:v>40911</c:v>
                      </c:pt>
                      <c:pt idx="96">
                        <c:v>40917</c:v>
                      </c:pt>
                      <c:pt idx="97">
                        <c:v>40925</c:v>
                      </c:pt>
                      <c:pt idx="98">
                        <c:v>40931</c:v>
                      </c:pt>
                      <c:pt idx="99">
                        <c:v>40938</c:v>
                      </c:pt>
                      <c:pt idx="100">
                        <c:v>40945</c:v>
                      </c:pt>
                      <c:pt idx="101">
                        <c:v>40952</c:v>
                      </c:pt>
                      <c:pt idx="102">
                        <c:v>40960</c:v>
                      </c:pt>
                      <c:pt idx="103">
                        <c:v>40966</c:v>
                      </c:pt>
                      <c:pt idx="104">
                        <c:v>40973</c:v>
                      </c:pt>
                      <c:pt idx="105">
                        <c:v>40980</c:v>
                      </c:pt>
                      <c:pt idx="106">
                        <c:v>40987</c:v>
                      </c:pt>
                      <c:pt idx="107">
                        <c:v>40994</c:v>
                      </c:pt>
                      <c:pt idx="108">
                        <c:v>41001</c:v>
                      </c:pt>
                      <c:pt idx="109">
                        <c:v>41008</c:v>
                      </c:pt>
                      <c:pt idx="110">
                        <c:v>41015</c:v>
                      </c:pt>
                      <c:pt idx="111">
                        <c:v>41022</c:v>
                      </c:pt>
                      <c:pt idx="112">
                        <c:v>41029</c:v>
                      </c:pt>
                      <c:pt idx="113">
                        <c:v>41036</c:v>
                      </c:pt>
                      <c:pt idx="114">
                        <c:v>41043</c:v>
                      </c:pt>
                      <c:pt idx="115">
                        <c:v>41050</c:v>
                      </c:pt>
                      <c:pt idx="116">
                        <c:v>41058</c:v>
                      </c:pt>
                      <c:pt idx="117">
                        <c:v>41064</c:v>
                      </c:pt>
                      <c:pt idx="118">
                        <c:v>41071</c:v>
                      </c:pt>
                      <c:pt idx="119">
                        <c:v>41078</c:v>
                      </c:pt>
                      <c:pt idx="120">
                        <c:v>41085</c:v>
                      </c:pt>
                      <c:pt idx="121">
                        <c:v>41092</c:v>
                      </c:pt>
                      <c:pt idx="122">
                        <c:v>41099</c:v>
                      </c:pt>
                      <c:pt idx="123">
                        <c:v>41106</c:v>
                      </c:pt>
                      <c:pt idx="124">
                        <c:v>41113</c:v>
                      </c:pt>
                      <c:pt idx="125">
                        <c:v>41120</c:v>
                      </c:pt>
                      <c:pt idx="126">
                        <c:v>41127</c:v>
                      </c:pt>
                      <c:pt idx="127">
                        <c:v>41134</c:v>
                      </c:pt>
                      <c:pt idx="128">
                        <c:v>41141</c:v>
                      </c:pt>
                      <c:pt idx="129">
                        <c:v>41148</c:v>
                      </c:pt>
                      <c:pt idx="130">
                        <c:v>41156</c:v>
                      </c:pt>
                      <c:pt idx="131">
                        <c:v>41162</c:v>
                      </c:pt>
                      <c:pt idx="132">
                        <c:v>41169</c:v>
                      </c:pt>
                      <c:pt idx="133">
                        <c:v>41176</c:v>
                      </c:pt>
                      <c:pt idx="134">
                        <c:v>41183</c:v>
                      </c:pt>
                      <c:pt idx="135">
                        <c:v>41190</c:v>
                      </c:pt>
                      <c:pt idx="136">
                        <c:v>41197</c:v>
                      </c:pt>
                      <c:pt idx="137">
                        <c:v>41204</c:v>
                      </c:pt>
                      <c:pt idx="138">
                        <c:v>41213</c:v>
                      </c:pt>
                      <c:pt idx="139">
                        <c:v>41218</c:v>
                      </c:pt>
                      <c:pt idx="140">
                        <c:v>41225</c:v>
                      </c:pt>
                      <c:pt idx="141">
                        <c:v>41232</c:v>
                      </c:pt>
                      <c:pt idx="142">
                        <c:v>41239</c:v>
                      </c:pt>
                      <c:pt idx="143">
                        <c:v>41246</c:v>
                      </c:pt>
                      <c:pt idx="144">
                        <c:v>41253</c:v>
                      </c:pt>
                      <c:pt idx="145">
                        <c:v>41260</c:v>
                      </c:pt>
                      <c:pt idx="146">
                        <c:v>41267</c:v>
                      </c:pt>
                      <c:pt idx="147">
                        <c:v>41274</c:v>
                      </c:pt>
                      <c:pt idx="148">
                        <c:v>41281</c:v>
                      </c:pt>
                      <c:pt idx="149">
                        <c:v>41288</c:v>
                      </c:pt>
                      <c:pt idx="150">
                        <c:v>41296</c:v>
                      </c:pt>
                      <c:pt idx="151">
                        <c:v>41302</c:v>
                      </c:pt>
                      <c:pt idx="152">
                        <c:v>41309</c:v>
                      </c:pt>
                      <c:pt idx="153">
                        <c:v>41316</c:v>
                      </c:pt>
                      <c:pt idx="154">
                        <c:v>41324</c:v>
                      </c:pt>
                      <c:pt idx="155">
                        <c:v>41330</c:v>
                      </c:pt>
                      <c:pt idx="156">
                        <c:v>41337</c:v>
                      </c:pt>
                      <c:pt idx="157">
                        <c:v>41344</c:v>
                      </c:pt>
                      <c:pt idx="158">
                        <c:v>41351</c:v>
                      </c:pt>
                      <c:pt idx="159">
                        <c:v>41358</c:v>
                      </c:pt>
                      <c:pt idx="160">
                        <c:v>41365</c:v>
                      </c:pt>
                      <c:pt idx="161">
                        <c:v>41372</c:v>
                      </c:pt>
                      <c:pt idx="162">
                        <c:v>41379</c:v>
                      </c:pt>
                      <c:pt idx="163">
                        <c:v>41386</c:v>
                      </c:pt>
                      <c:pt idx="164">
                        <c:v>41393</c:v>
                      </c:pt>
                      <c:pt idx="165">
                        <c:v>41400</c:v>
                      </c:pt>
                      <c:pt idx="166">
                        <c:v>41407</c:v>
                      </c:pt>
                      <c:pt idx="167">
                        <c:v>41414</c:v>
                      </c:pt>
                      <c:pt idx="168">
                        <c:v>41422</c:v>
                      </c:pt>
                      <c:pt idx="169">
                        <c:v>41428</c:v>
                      </c:pt>
                      <c:pt idx="170">
                        <c:v>41435</c:v>
                      </c:pt>
                      <c:pt idx="171">
                        <c:v>41442</c:v>
                      </c:pt>
                      <c:pt idx="172">
                        <c:v>41449</c:v>
                      </c:pt>
                      <c:pt idx="173">
                        <c:v>41456</c:v>
                      </c:pt>
                      <c:pt idx="174">
                        <c:v>41463</c:v>
                      </c:pt>
                      <c:pt idx="175">
                        <c:v>41470</c:v>
                      </c:pt>
                      <c:pt idx="176">
                        <c:v>41477</c:v>
                      </c:pt>
                      <c:pt idx="177">
                        <c:v>41484</c:v>
                      </c:pt>
                      <c:pt idx="178">
                        <c:v>41491</c:v>
                      </c:pt>
                      <c:pt idx="179">
                        <c:v>41498</c:v>
                      </c:pt>
                      <c:pt idx="180">
                        <c:v>41505</c:v>
                      </c:pt>
                      <c:pt idx="181">
                        <c:v>41512</c:v>
                      </c:pt>
                      <c:pt idx="182">
                        <c:v>41520</c:v>
                      </c:pt>
                      <c:pt idx="183">
                        <c:v>41526</c:v>
                      </c:pt>
                      <c:pt idx="184">
                        <c:v>41533</c:v>
                      </c:pt>
                      <c:pt idx="185">
                        <c:v>41540</c:v>
                      </c:pt>
                      <c:pt idx="186">
                        <c:v>41547</c:v>
                      </c:pt>
                      <c:pt idx="187">
                        <c:v>41554</c:v>
                      </c:pt>
                      <c:pt idx="188">
                        <c:v>41561</c:v>
                      </c:pt>
                      <c:pt idx="189">
                        <c:v>41568</c:v>
                      </c:pt>
                      <c:pt idx="190">
                        <c:v>41575</c:v>
                      </c:pt>
                      <c:pt idx="191">
                        <c:v>41582</c:v>
                      </c:pt>
                      <c:pt idx="192">
                        <c:v>41589</c:v>
                      </c:pt>
                      <c:pt idx="193">
                        <c:v>41596</c:v>
                      </c:pt>
                      <c:pt idx="194">
                        <c:v>41603</c:v>
                      </c:pt>
                      <c:pt idx="195">
                        <c:v>41610</c:v>
                      </c:pt>
                      <c:pt idx="196">
                        <c:v>41617</c:v>
                      </c:pt>
                      <c:pt idx="197">
                        <c:v>41624</c:v>
                      </c:pt>
                      <c:pt idx="198">
                        <c:v>41631</c:v>
                      </c:pt>
                      <c:pt idx="199">
                        <c:v>41638</c:v>
                      </c:pt>
                      <c:pt idx="200">
                        <c:v>41645</c:v>
                      </c:pt>
                      <c:pt idx="201">
                        <c:v>41652</c:v>
                      </c:pt>
                      <c:pt idx="202">
                        <c:v>41660</c:v>
                      </c:pt>
                      <c:pt idx="203">
                        <c:v>41666</c:v>
                      </c:pt>
                      <c:pt idx="204">
                        <c:v>41673</c:v>
                      </c:pt>
                      <c:pt idx="205">
                        <c:v>41680</c:v>
                      </c:pt>
                      <c:pt idx="206">
                        <c:v>41688</c:v>
                      </c:pt>
                      <c:pt idx="207">
                        <c:v>41694</c:v>
                      </c:pt>
                      <c:pt idx="208">
                        <c:v>41701</c:v>
                      </c:pt>
                      <c:pt idx="209">
                        <c:v>41708</c:v>
                      </c:pt>
                      <c:pt idx="210">
                        <c:v>41715</c:v>
                      </c:pt>
                      <c:pt idx="211">
                        <c:v>41722</c:v>
                      </c:pt>
                      <c:pt idx="212">
                        <c:v>41729</c:v>
                      </c:pt>
                      <c:pt idx="213">
                        <c:v>41736</c:v>
                      </c:pt>
                      <c:pt idx="214">
                        <c:v>41743</c:v>
                      </c:pt>
                      <c:pt idx="215">
                        <c:v>41750</c:v>
                      </c:pt>
                      <c:pt idx="216">
                        <c:v>41757</c:v>
                      </c:pt>
                      <c:pt idx="217">
                        <c:v>41764</c:v>
                      </c:pt>
                      <c:pt idx="218">
                        <c:v>41771</c:v>
                      </c:pt>
                      <c:pt idx="219">
                        <c:v>41778</c:v>
                      </c:pt>
                      <c:pt idx="220">
                        <c:v>41786</c:v>
                      </c:pt>
                      <c:pt idx="221">
                        <c:v>41792</c:v>
                      </c:pt>
                      <c:pt idx="222">
                        <c:v>41799</c:v>
                      </c:pt>
                      <c:pt idx="223">
                        <c:v>41806</c:v>
                      </c:pt>
                      <c:pt idx="224">
                        <c:v>41813</c:v>
                      </c:pt>
                      <c:pt idx="225">
                        <c:v>41820</c:v>
                      </c:pt>
                      <c:pt idx="226">
                        <c:v>41827</c:v>
                      </c:pt>
                      <c:pt idx="227">
                        <c:v>41834</c:v>
                      </c:pt>
                      <c:pt idx="228">
                        <c:v>41841</c:v>
                      </c:pt>
                      <c:pt idx="229">
                        <c:v>41848</c:v>
                      </c:pt>
                      <c:pt idx="230">
                        <c:v>41855</c:v>
                      </c:pt>
                      <c:pt idx="231">
                        <c:v>41862</c:v>
                      </c:pt>
                      <c:pt idx="232">
                        <c:v>41869</c:v>
                      </c:pt>
                      <c:pt idx="233">
                        <c:v>41876</c:v>
                      </c:pt>
                      <c:pt idx="234">
                        <c:v>41884</c:v>
                      </c:pt>
                      <c:pt idx="235">
                        <c:v>41890</c:v>
                      </c:pt>
                      <c:pt idx="236">
                        <c:v>41897</c:v>
                      </c:pt>
                      <c:pt idx="237">
                        <c:v>41904</c:v>
                      </c:pt>
                      <c:pt idx="238">
                        <c:v>41911</c:v>
                      </c:pt>
                      <c:pt idx="239">
                        <c:v>41918</c:v>
                      </c:pt>
                      <c:pt idx="240">
                        <c:v>41925</c:v>
                      </c:pt>
                      <c:pt idx="241">
                        <c:v>41932</c:v>
                      </c:pt>
                      <c:pt idx="242">
                        <c:v>41939</c:v>
                      </c:pt>
                      <c:pt idx="243">
                        <c:v>41946</c:v>
                      </c:pt>
                      <c:pt idx="244">
                        <c:v>41953</c:v>
                      </c:pt>
                      <c:pt idx="245">
                        <c:v>41960</c:v>
                      </c:pt>
                      <c:pt idx="246">
                        <c:v>41967</c:v>
                      </c:pt>
                      <c:pt idx="247">
                        <c:v>41974</c:v>
                      </c:pt>
                      <c:pt idx="248">
                        <c:v>41981</c:v>
                      </c:pt>
                      <c:pt idx="249">
                        <c:v>41988</c:v>
                      </c:pt>
                      <c:pt idx="250">
                        <c:v>41995</c:v>
                      </c:pt>
                      <c:pt idx="251">
                        <c:v>42002</c:v>
                      </c:pt>
                      <c:pt idx="252">
                        <c:v>42009</c:v>
                      </c:pt>
                      <c:pt idx="253">
                        <c:v>42016</c:v>
                      </c:pt>
                      <c:pt idx="254">
                        <c:v>42024</c:v>
                      </c:pt>
                      <c:pt idx="255">
                        <c:v>42030</c:v>
                      </c:pt>
                      <c:pt idx="256">
                        <c:v>42037</c:v>
                      </c:pt>
                      <c:pt idx="257">
                        <c:v>42044</c:v>
                      </c:pt>
                      <c:pt idx="258">
                        <c:v>42052</c:v>
                      </c:pt>
                      <c:pt idx="259">
                        <c:v>42058</c:v>
                      </c:pt>
                      <c:pt idx="260">
                        <c:v>42065</c:v>
                      </c:pt>
                      <c:pt idx="261">
                        <c:v>42072</c:v>
                      </c:pt>
                      <c:pt idx="262">
                        <c:v>42079</c:v>
                      </c:pt>
                      <c:pt idx="263">
                        <c:v>42086</c:v>
                      </c:pt>
                      <c:pt idx="264">
                        <c:v>42093</c:v>
                      </c:pt>
                      <c:pt idx="265">
                        <c:v>42100</c:v>
                      </c:pt>
                      <c:pt idx="266">
                        <c:v>42107</c:v>
                      </c:pt>
                      <c:pt idx="267">
                        <c:v>42114</c:v>
                      </c:pt>
                      <c:pt idx="268">
                        <c:v>42121</c:v>
                      </c:pt>
                      <c:pt idx="269">
                        <c:v>42128</c:v>
                      </c:pt>
                      <c:pt idx="270">
                        <c:v>42135</c:v>
                      </c:pt>
                      <c:pt idx="271">
                        <c:v>42142</c:v>
                      </c:pt>
                      <c:pt idx="272">
                        <c:v>42150</c:v>
                      </c:pt>
                      <c:pt idx="273">
                        <c:v>42156</c:v>
                      </c:pt>
                      <c:pt idx="274">
                        <c:v>42163</c:v>
                      </c:pt>
                      <c:pt idx="275">
                        <c:v>42170</c:v>
                      </c:pt>
                      <c:pt idx="276">
                        <c:v>42177</c:v>
                      </c:pt>
                      <c:pt idx="277">
                        <c:v>42184</c:v>
                      </c:pt>
                      <c:pt idx="278">
                        <c:v>42191</c:v>
                      </c:pt>
                      <c:pt idx="279">
                        <c:v>42198</c:v>
                      </c:pt>
                      <c:pt idx="280">
                        <c:v>42205</c:v>
                      </c:pt>
                      <c:pt idx="281">
                        <c:v>42212</c:v>
                      </c:pt>
                      <c:pt idx="282">
                        <c:v>42219</c:v>
                      </c:pt>
                      <c:pt idx="283">
                        <c:v>42226</c:v>
                      </c:pt>
                      <c:pt idx="284">
                        <c:v>42233</c:v>
                      </c:pt>
                      <c:pt idx="285">
                        <c:v>42240</c:v>
                      </c:pt>
                      <c:pt idx="286">
                        <c:v>42247</c:v>
                      </c:pt>
                      <c:pt idx="287">
                        <c:v>42255</c:v>
                      </c:pt>
                      <c:pt idx="288">
                        <c:v>42261</c:v>
                      </c:pt>
                      <c:pt idx="289">
                        <c:v>42268</c:v>
                      </c:pt>
                      <c:pt idx="290">
                        <c:v>42275</c:v>
                      </c:pt>
                      <c:pt idx="291">
                        <c:v>42282</c:v>
                      </c:pt>
                      <c:pt idx="292">
                        <c:v>42289</c:v>
                      </c:pt>
                      <c:pt idx="293">
                        <c:v>42296</c:v>
                      </c:pt>
                      <c:pt idx="294">
                        <c:v>42303</c:v>
                      </c:pt>
                      <c:pt idx="295">
                        <c:v>42310</c:v>
                      </c:pt>
                      <c:pt idx="296">
                        <c:v>42317</c:v>
                      </c:pt>
                      <c:pt idx="297">
                        <c:v>42324</c:v>
                      </c:pt>
                      <c:pt idx="298">
                        <c:v>42331</c:v>
                      </c:pt>
                      <c:pt idx="299">
                        <c:v>42338</c:v>
                      </c:pt>
                      <c:pt idx="300">
                        <c:v>42345</c:v>
                      </c:pt>
                      <c:pt idx="301">
                        <c:v>42352</c:v>
                      </c:pt>
                      <c:pt idx="302">
                        <c:v>42359</c:v>
                      </c:pt>
                      <c:pt idx="303">
                        <c:v>42366</c:v>
                      </c:pt>
                      <c:pt idx="304">
                        <c:v>42373</c:v>
                      </c:pt>
                      <c:pt idx="305">
                        <c:v>42380</c:v>
                      </c:pt>
                      <c:pt idx="306">
                        <c:v>42388</c:v>
                      </c:pt>
                      <c:pt idx="307">
                        <c:v>42394</c:v>
                      </c:pt>
                      <c:pt idx="308">
                        <c:v>42401</c:v>
                      </c:pt>
                      <c:pt idx="309">
                        <c:v>42408</c:v>
                      </c:pt>
                      <c:pt idx="310">
                        <c:v>42416</c:v>
                      </c:pt>
                      <c:pt idx="311">
                        <c:v>42422</c:v>
                      </c:pt>
                      <c:pt idx="312">
                        <c:v>42429</c:v>
                      </c:pt>
                      <c:pt idx="313">
                        <c:v>42436</c:v>
                      </c:pt>
                      <c:pt idx="314">
                        <c:v>42443</c:v>
                      </c:pt>
                      <c:pt idx="315">
                        <c:v>42450</c:v>
                      </c:pt>
                      <c:pt idx="316">
                        <c:v>42457</c:v>
                      </c:pt>
                      <c:pt idx="317">
                        <c:v>42464</c:v>
                      </c:pt>
                      <c:pt idx="318">
                        <c:v>42471</c:v>
                      </c:pt>
                      <c:pt idx="319">
                        <c:v>42478</c:v>
                      </c:pt>
                      <c:pt idx="320">
                        <c:v>42485</c:v>
                      </c:pt>
                      <c:pt idx="321">
                        <c:v>42492</c:v>
                      </c:pt>
                      <c:pt idx="322">
                        <c:v>42499</c:v>
                      </c:pt>
                      <c:pt idx="323">
                        <c:v>42506</c:v>
                      </c:pt>
                      <c:pt idx="324">
                        <c:v>42513</c:v>
                      </c:pt>
                      <c:pt idx="325">
                        <c:v>42521</c:v>
                      </c:pt>
                      <c:pt idx="326">
                        <c:v>42527</c:v>
                      </c:pt>
                      <c:pt idx="327">
                        <c:v>42534</c:v>
                      </c:pt>
                      <c:pt idx="328">
                        <c:v>42541</c:v>
                      </c:pt>
                      <c:pt idx="329">
                        <c:v>42548</c:v>
                      </c:pt>
                      <c:pt idx="330">
                        <c:v>42556</c:v>
                      </c:pt>
                      <c:pt idx="331">
                        <c:v>42562</c:v>
                      </c:pt>
                      <c:pt idx="332">
                        <c:v>42569</c:v>
                      </c:pt>
                      <c:pt idx="333">
                        <c:v>42576</c:v>
                      </c:pt>
                      <c:pt idx="334">
                        <c:v>42583</c:v>
                      </c:pt>
                      <c:pt idx="335">
                        <c:v>42590</c:v>
                      </c:pt>
                      <c:pt idx="336">
                        <c:v>42597</c:v>
                      </c:pt>
                      <c:pt idx="337">
                        <c:v>42604</c:v>
                      </c:pt>
                      <c:pt idx="338">
                        <c:v>42611</c:v>
                      </c:pt>
                      <c:pt idx="339">
                        <c:v>42619</c:v>
                      </c:pt>
                      <c:pt idx="340">
                        <c:v>42625</c:v>
                      </c:pt>
                      <c:pt idx="341">
                        <c:v>42632</c:v>
                      </c:pt>
                      <c:pt idx="342">
                        <c:v>42639</c:v>
                      </c:pt>
                      <c:pt idx="343">
                        <c:v>42646</c:v>
                      </c:pt>
                      <c:pt idx="344">
                        <c:v>42653</c:v>
                      </c:pt>
                      <c:pt idx="345">
                        <c:v>42660</c:v>
                      </c:pt>
                      <c:pt idx="346">
                        <c:v>42667</c:v>
                      </c:pt>
                      <c:pt idx="347">
                        <c:v>42674</c:v>
                      </c:pt>
                      <c:pt idx="348">
                        <c:v>42681</c:v>
                      </c:pt>
                      <c:pt idx="349">
                        <c:v>42688</c:v>
                      </c:pt>
                      <c:pt idx="350">
                        <c:v>42695</c:v>
                      </c:pt>
                      <c:pt idx="351">
                        <c:v>42702</c:v>
                      </c:pt>
                      <c:pt idx="352">
                        <c:v>42709</c:v>
                      </c:pt>
                      <c:pt idx="353">
                        <c:v>42716</c:v>
                      </c:pt>
                      <c:pt idx="354">
                        <c:v>42723</c:v>
                      </c:pt>
                      <c:pt idx="355">
                        <c:v>42731</c:v>
                      </c:pt>
                      <c:pt idx="356">
                        <c:v>42738</c:v>
                      </c:pt>
                      <c:pt idx="357">
                        <c:v>42744</c:v>
                      </c:pt>
                      <c:pt idx="358">
                        <c:v>42752</c:v>
                      </c:pt>
                      <c:pt idx="359">
                        <c:v>42758</c:v>
                      </c:pt>
                      <c:pt idx="360">
                        <c:v>42765</c:v>
                      </c:pt>
                      <c:pt idx="361">
                        <c:v>42772</c:v>
                      </c:pt>
                      <c:pt idx="362">
                        <c:v>42779</c:v>
                      </c:pt>
                      <c:pt idx="363">
                        <c:v>42787</c:v>
                      </c:pt>
                      <c:pt idx="364">
                        <c:v>42793</c:v>
                      </c:pt>
                      <c:pt idx="365">
                        <c:v>42800</c:v>
                      </c:pt>
                      <c:pt idx="366">
                        <c:v>42807</c:v>
                      </c:pt>
                      <c:pt idx="367">
                        <c:v>42814</c:v>
                      </c:pt>
                      <c:pt idx="368">
                        <c:v>42821</c:v>
                      </c:pt>
                      <c:pt idx="369">
                        <c:v>42828</c:v>
                      </c:pt>
                      <c:pt idx="370">
                        <c:v>42835</c:v>
                      </c:pt>
                      <c:pt idx="371">
                        <c:v>42842</c:v>
                      </c:pt>
                      <c:pt idx="372">
                        <c:v>42849</c:v>
                      </c:pt>
                      <c:pt idx="373">
                        <c:v>42856</c:v>
                      </c:pt>
                      <c:pt idx="374">
                        <c:v>42863</c:v>
                      </c:pt>
                      <c:pt idx="375">
                        <c:v>42870</c:v>
                      </c:pt>
                      <c:pt idx="376">
                        <c:v>42877</c:v>
                      </c:pt>
                      <c:pt idx="377">
                        <c:v>42885</c:v>
                      </c:pt>
                      <c:pt idx="378">
                        <c:v>42891</c:v>
                      </c:pt>
                      <c:pt idx="379">
                        <c:v>42898</c:v>
                      </c:pt>
                      <c:pt idx="380">
                        <c:v>42905</c:v>
                      </c:pt>
                      <c:pt idx="381">
                        <c:v>42912</c:v>
                      </c:pt>
                      <c:pt idx="382">
                        <c:v>42919</c:v>
                      </c:pt>
                      <c:pt idx="383">
                        <c:v>42926</c:v>
                      </c:pt>
                      <c:pt idx="384">
                        <c:v>42933</c:v>
                      </c:pt>
                      <c:pt idx="385">
                        <c:v>42940</c:v>
                      </c:pt>
                      <c:pt idx="386">
                        <c:v>42947</c:v>
                      </c:pt>
                      <c:pt idx="387">
                        <c:v>42954</c:v>
                      </c:pt>
                      <c:pt idx="388">
                        <c:v>42961</c:v>
                      </c:pt>
                      <c:pt idx="389">
                        <c:v>42968</c:v>
                      </c:pt>
                      <c:pt idx="390">
                        <c:v>42975</c:v>
                      </c:pt>
                      <c:pt idx="391">
                        <c:v>42983</c:v>
                      </c:pt>
                      <c:pt idx="392">
                        <c:v>42989</c:v>
                      </c:pt>
                      <c:pt idx="393">
                        <c:v>42996</c:v>
                      </c:pt>
                      <c:pt idx="394">
                        <c:v>43003</c:v>
                      </c:pt>
                      <c:pt idx="395">
                        <c:v>43010</c:v>
                      </c:pt>
                      <c:pt idx="396">
                        <c:v>43017</c:v>
                      </c:pt>
                      <c:pt idx="397">
                        <c:v>43024</c:v>
                      </c:pt>
                      <c:pt idx="398">
                        <c:v>43031</c:v>
                      </c:pt>
                      <c:pt idx="399">
                        <c:v>43038</c:v>
                      </c:pt>
                      <c:pt idx="400">
                        <c:v>43045</c:v>
                      </c:pt>
                      <c:pt idx="401">
                        <c:v>43052</c:v>
                      </c:pt>
                      <c:pt idx="402">
                        <c:v>43059</c:v>
                      </c:pt>
                      <c:pt idx="403">
                        <c:v>43066</c:v>
                      </c:pt>
                      <c:pt idx="404">
                        <c:v>43073</c:v>
                      </c:pt>
                      <c:pt idx="405">
                        <c:v>43080</c:v>
                      </c:pt>
                      <c:pt idx="406">
                        <c:v>43087</c:v>
                      </c:pt>
                      <c:pt idx="407">
                        <c:v>43095</c:v>
                      </c:pt>
                      <c:pt idx="408">
                        <c:v>43102</c:v>
                      </c:pt>
                      <c:pt idx="409">
                        <c:v>43108</c:v>
                      </c:pt>
                      <c:pt idx="410">
                        <c:v>43116</c:v>
                      </c:pt>
                      <c:pt idx="411">
                        <c:v>43122</c:v>
                      </c:pt>
                      <c:pt idx="412">
                        <c:v>43129</c:v>
                      </c:pt>
                      <c:pt idx="413">
                        <c:v>43136</c:v>
                      </c:pt>
                      <c:pt idx="414">
                        <c:v>43143</c:v>
                      </c:pt>
                      <c:pt idx="415">
                        <c:v>43151</c:v>
                      </c:pt>
                      <c:pt idx="416">
                        <c:v>43157</c:v>
                      </c:pt>
                      <c:pt idx="417">
                        <c:v>43164</c:v>
                      </c:pt>
                      <c:pt idx="418">
                        <c:v>43171</c:v>
                      </c:pt>
                      <c:pt idx="419">
                        <c:v>43178</c:v>
                      </c:pt>
                      <c:pt idx="420">
                        <c:v>43185</c:v>
                      </c:pt>
                      <c:pt idx="421">
                        <c:v>43192</c:v>
                      </c:pt>
                      <c:pt idx="422">
                        <c:v>43199</c:v>
                      </c:pt>
                      <c:pt idx="423">
                        <c:v>43206</c:v>
                      </c:pt>
                      <c:pt idx="424">
                        <c:v>43213</c:v>
                      </c:pt>
                      <c:pt idx="425">
                        <c:v>43220</c:v>
                      </c:pt>
                      <c:pt idx="426">
                        <c:v>43227</c:v>
                      </c:pt>
                      <c:pt idx="427">
                        <c:v>43234</c:v>
                      </c:pt>
                      <c:pt idx="428">
                        <c:v>43241</c:v>
                      </c:pt>
                      <c:pt idx="429">
                        <c:v>43249</c:v>
                      </c:pt>
                      <c:pt idx="430">
                        <c:v>43255</c:v>
                      </c:pt>
                      <c:pt idx="431">
                        <c:v>43262</c:v>
                      </c:pt>
                      <c:pt idx="432">
                        <c:v>43269</c:v>
                      </c:pt>
                      <c:pt idx="433">
                        <c:v>43276</c:v>
                      </c:pt>
                      <c:pt idx="434">
                        <c:v>43283</c:v>
                      </c:pt>
                      <c:pt idx="435">
                        <c:v>43290</c:v>
                      </c:pt>
                      <c:pt idx="436">
                        <c:v>43297</c:v>
                      </c:pt>
                      <c:pt idx="437">
                        <c:v>43304</c:v>
                      </c:pt>
                      <c:pt idx="438">
                        <c:v>43311</c:v>
                      </c:pt>
                      <c:pt idx="439">
                        <c:v>43318</c:v>
                      </c:pt>
                      <c:pt idx="440">
                        <c:v>43325</c:v>
                      </c:pt>
                      <c:pt idx="441">
                        <c:v>43332</c:v>
                      </c:pt>
                      <c:pt idx="442">
                        <c:v>43339</c:v>
                      </c:pt>
                      <c:pt idx="443">
                        <c:v>43347</c:v>
                      </c:pt>
                      <c:pt idx="444">
                        <c:v>43353</c:v>
                      </c:pt>
                      <c:pt idx="445">
                        <c:v>43360</c:v>
                      </c:pt>
                      <c:pt idx="446">
                        <c:v>43367</c:v>
                      </c:pt>
                      <c:pt idx="447">
                        <c:v>43374</c:v>
                      </c:pt>
                      <c:pt idx="448">
                        <c:v>43381</c:v>
                      </c:pt>
                      <c:pt idx="449">
                        <c:v>43388</c:v>
                      </c:pt>
                      <c:pt idx="450">
                        <c:v>43395</c:v>
                      </c:pt>
                      <c:pt idx="451">
                        <c:v>43402</c:v>
                      </c:pt>
                      <c:pt idx="452">
                        <c:v>43409</c:v>
                      </c:pt>
                      <c:pt idx="453">
                        <c:v>43416</c:v>
                      </c:pt>
                      <c:pt idx="454">
                        <c:v>43423</c:v>
                      </c:pt>
                      <c:pt idx="455">
                        <c:v>43430</c:v>
                      </c:pt>
                      <c:pt idx="456">
                        <c:v>43437</c:v>
                      </c:pt>
                      <c:pt idx="457">
                        <c:v>43444</c:v>
                      </c:pt>
                      <c:pt idx="458">
                        <c:v>43451</c:v>
                      </c:pt>
                      <c:pt idx="459">
                        <c:v>43458</c:v>
                      </c:pt>
                      <c:pt idx="460">
                        <c:v>43465</c:v>
                      </c:pt>
                      <c:pt idx="461">
                        <c:v>43472</c:v>
                      </c:pt>
                      <c:pt idx="462">
                        <c:v>43479</c:v>
                      </c:pt>
                      <c:pt idx="463">
                        <c:v>43487</c:v>
                      </c:pt>
                      <c:pt idx="464">
                        <c:v>43493</c:v>
                      </c:pt>
                      <c:pt idx="465">
                        <c:v>43500</c:v>
                      </c:pt>
                      <c:pt idx="466">
                        <c:v>43507</c:v>
                      </c:pt>
                      <c:pt idx="467">
                        <c:v>43515</c:v>
                      </c:pt>
                      <c:pt idx="468">
                        <c:v>43521</c:v>
                      </c:pt>
                      <c:pt idx="469">
                        <c:v>43528</c:v>
                      </c:pt>
                      <c:pt idx="470">
                        <c:v>43535</c:v>
                      </c:pt>
                      <c:pt idx="471">
                        <c:v>43542</c:v>
                      </c:pt>
                      <c:pt idx="472">
                        <c:v>43549</c:v>
                      </c:pt>
                      <c:pt idx="473">
                        <c:v>43556</c:v>
                      </c:pt>
                      <c:pt idx="474">
                        <c:v>43563</c:v>
                      </c:pt>
                      <c:pt idx="475">
                        <c:v>43570</c:v>
                      </c:pt>
                      <c:pt idx="476">
                        <c:v>43577</c:v>
                      </c:pt>
                      <c:pt idx="477">
                        <c:v>43584</c:v>
                      </c:pt>
                      <c:pt idx="478">
                        <c:v>43591</c:v>
                      </c:pt>
                      <c:pt idx="479">
                        <c:v>43598</c:v>
                      </c:pt>
                      <c:pt idx="480">
                        <c:v>43605</c:v>
                      </c:pt>
                      <c:pt idx="481">
                        <c:v>43613</c:v>
                      </c:pt>
                      <c:pt idx="482">
                        <c:v>43619</c:v>
                      </c:pt>
                      <c:pt idx="483">
                        <c:v>43626</c:v>
                      </c:pt>
                      <c:pt idx="484">
                        <c:v>43633</c:v>
                      </c:pt>
                      <c:pt idx="485">
                        <c:v>43640</c:v>
                      </c:pt>
                      <c:pt idx="486">
                        <c:v>43647</c:v>
                      </c:pt>
                      <c:pt idx="487">
                        <c:v>43654</c:v>
                      </c:pt>
                      <c:pt idx="488">
                        <c:v>43661</c:v>
                      </c:pt>
                      <c:pt idx="489">
                        <c:v>43668</c:v>
                      </c:pt>
                      <c:pt idx="490">
                        <c:v>43675</c:v>
                      </c:pt>
                      <c:pt idx="491">
                        <c:v>43682</c:v>
                      </c:pt>
                      <c:pt idx="492">
                        <c:v>43689</c:v>
                      </c:pt>
                      <c:pt idx="493">
                        <c:v>43696</c:v>
                      </c:pt>
                      <c:pt idx="494">
                        <c:v>43703</c:v>
                      </c:pt>
                      <c:pt idx="495">
                        <c:v>43711</c:v>
                      </c:pt>
                      <c:pt idx="496">
                        <c:v>43717</c:v>
                      </c:pt>
                      <c:pt idx="497">
                        <c:v>43724</c:v>
                      </c:pt>
                      <c:pt idx="498">
                        <c:v>43731</c:v>
                      </c:pt>
                      <c:pt idx="499">
                        <c:v>43738</c:v>
                      </c:pt>
                      <c:pt idx="500">
                        <c:v>43745</c:v>
                      </c:pt>
                      <c:pt idx="501">
                        <c:v>43752</c:v>
                      </c:pt>
                      <c:pt idx="502">
                        <c:v>43759</c:v>
                      </c:pt>
                      <c:pt idx="503">
                        <c:v>43766</c:v>
                      </c:pt>
                      <c:pt idx="504">
                        <c:v>43773</c:v>
                      </c:pt>
                      <c:pt idx="505">
                        <c:v>43780</c:v>
                      </c:pt>
                      <c:pt idx="506">
                        <c:v>43787</c:v>
                      </c:pt>
                      <c:pt idx="507">
                        <c:v>43794</c:v>
                      </c:pt>
                      <c:pt idx="508">
                        <c:v>43801</c:v>
                      </c:pt>
                      <c:pt idx="509">
                        <c:v>43808</c:v>
                      </c:pt>
                      <c:pt idx="510">
                        <c:v>43815</c:v>
                      </c:pt>
                      <c:pt idx="511">
                        <c:v>43822</c:v>
                      </c:pt>
                      <c:pt idx="512">
                        <c:v>43829</c:v>
                      </c:pt>
                      <c:pt idx="513">
                        <c:v>43836</c:v>
                      </c:pt>
                      <c:pt idx="514">
                        <c:v>43843</c:v>
                      </c:pt>
                      <c:pt idx="515">
                        <c:v>43851</c:v>
                      </c:pt>
                      <c:pt idx="516">
                        <c:v>43857</c:v>
                      </c:pt>
                      <c:pt idx="517">
                        <c:v>43864</c:v>
                      </c:pt>
                      <c:pt idx="518">
                        <c:v>43871</c:v>
                      </c:pt>
                      <c:pt idx="519">
                        <c:v>43879</c:v>
                      </c:pt>
                      <c:pt idx="520">
                        <c:v>43885</c:v>
                      </c:pt>
                      <c:pt idx="521">
                        <c:v>43892</c:v>
                      </c:pt>
                      <c:pt idx="522">
                        <c:v>43899</c:v>
                      </c:pt>
                      <c:pt idx="523">
                        <c:v>43906</c:v>
                      </c:pt>
                      <c:pt idx="524">
                        <c:v>43913</c:v>
                      </c:pt>
                      <c:pt idx="525">
                        <c:v>43920</c:v>
                      </c:pt>
                      <c:pt idx="526">
                        <c:v>43927</c:v>
                      </c:pt>
                      <c:pt idx="527">
                        <c:v>43934</c:v>
                      </c:pt>
                      <c:pt idx="528">
                        <c:v>43941</c:v>
                      </c:pt>
                      <c:pt idx="529">
                        <c:v>43948</c:v>
                      </c:pt>
                      <c:pt idx="530">
                        <c:v>43955</c:v>
                      </c:pt>
                      <c:pt idx="531">
                        <c:v>43962</c:v>
                      </c:pt>
                      <c:pt idx="532">
                        <c:v>43969</c:v>
                      </c:pt>
                      <c:pt idx="533">
                        <c:v>43977</c:v>
                      </c:pt>
                      <c:pt idx="534">
                        <c:v>43983</c:v>
                      </c:pt>
                      <c:pt idx="535">
                        <c:v>43990</c:v>
                      </c:pt>
                      <c:pt idx="536">
                        <c:v>43997</c:v>
                      </c:pt>
                      <c:pt idx="537">
                        <c:v>44004</c:v>
                      </c:pt>
                      <c:pt idx="538">
                        <c:v>44011</c:v>
                      </c:pt>
                      <c:pt idx="539">
                        <c:v>44018</c:v>
                      </c:pt>
                      <c:pt idx="540">
                        <c:v>44025</c:v>
                      </c:pt>
                      <c:pt idx="541">
                        <c:v>44032</c:v>
                      </c:pt>
                      <c:pt idx="542">
                        <c:v>44039</c:v>
                      </c:pt>
                      <c:pt idx="543">
                        <c:v>44046</c:v>
                      </c:pt>
                      <c:pt idx="544">
                        <c:v>44053</c:v>
                      </c:pt>
                      <c:pt idx="545">
                        <c:v>44060</c:v>
                      </c:pt>
                      <c:pt idx="546">
                        <c:v>44067</c:v>
                      </c:pt>
                      <c:pt idx="547">
                        <c:v>44074</c:v>
                      </c:pt>
                      <c:pt idx="548">
                        <c:v>44082</c:v>
                      </c:pt>
                      <c:pt idx="549">
                        <c:v>44088</c:v>
                      </c:pt>
                      <c:pt idx="550">
                        <c:v>44095</c:v>
                      </c:pt>
                      <c:pt idx="551">
                        <c:v>44102</c:v>
                      </c:pt>
                      <c:pt idx="552">
                        <c:v>44109</c:v>
                      </c:pt>
                      <c:pt idx="553">
                        <c:v>44116</c:v>
                      </c:pt>
                      <c:pt idx="554">
                        <c:v>44123</c:v>
                      </c:pt>
                      <c:pt idx="555">
                        <c:v>44130</c:v>
                      </c:pt>
                      <c:pt idx="556">
                        <c:v>44137</c:v>
                      </c:pt>
                      <c:pt idx="557">
                        <c:v>44144</c:v>
                      </c:pt>
                      <c:pt idx="558">
                        <c:v>44151</c:v>
                      </c:pt>
                      <c:pt idx="559">
                        <c:v>44158</c:v>
                      </c:pt>
                      <c:pt idx="560">
                        <c:v>44165</c:v>
                      </c:pt>
                      <c:pt idx="561">
                        <c:v>44172</c:v>
                      </c:pt>
                      <c:pt idx="562">
                        <c:v>44179</c:v>
                      </c:pt>
                      <c:pt idx="563">
                        <c:v>44186</c:v>
                      </c:pt>
                      <c:pt idx="564">
                        <c:v>44193</c:v>
                      </c:pt>
                      <c:pt idx="565">
                        <c:v>44200</c:v>
                      </c:pt>
                      <c:pt idx="566">
                        <c:v>44207</c:v>
                      </c:pt>
                      <c:pt idx="567">
                        <c:v>44215</c:v>
                      </c:pt>
                      <c:pt idx="568">
                        <c:v>44221</c:v>
                      </c:pt>
                      <c:pt idx="569">
                        <c:v>44228</c:v>
                      </c:pt>
                      <c:pt idx="570">
                        <c:v>44235</c:v>
                      </c:pt>
                      <c:pt idx="571">
                        <c:v>44243</c:v>
                      </c:pt>
                      <c:pt idx="572">
                        <c:v>44249</c:v>
                      </c:pt>
                      <c:pt idx="573">
                        <c:v>44256</c:v>
                      </c:pt>
                      <c:pt idx="574">
                        <c:v>44263</c:v>
                      </c:pt>
                      <c:pt idx="575">
                        <c:v>44270</c:v>
                      </c:pt>
                      <c:pt idx="576">
                        <c:v>44277</c:v>
                      </c:pt>
                      <c:pt idx="577">
                        <c:v>44284</c:v>
                      </c:pt>
                      <c:pt idx="578">
                        <c:v>44291</c:v>
                      </c:pt>
                      <c:pt idx="579">
                        <c:v>44298</c:v>
                      </c:pt>
                      <c:pt idx="580">
                        <c:v>44305</c:v>
                      </c:pt>
                      <c:pt idx="581">
                        <c:v>44312</c:v>
                      </c:pt>
                      <c:pt idx="582">
                        <c:v>44319</c:v>
                      </c:pt>
                      <c:pt idx="583">
                        <c:v>44326</c:v>
                      </c:pt>
                      <c:pt idx="584">
                        <c:v>44333</c:v>
                      </c:pt>
                      <c:pt idx="585">
                        <c:v>44340</c:v>
                      </c:pt>
                      <c:pt idx="586">
                        <c:v>44348</c:v>
                      </c:pt>
                      <c:pt idx="587">
                        <c:v>44354</c:v>
                      </c:pt>
                      <c:pt idx="588">
                        <c:v>44361</c:v>
                      </c:pt>
                      <c:pt idx="589">
                        <c:v>44368</c:v>
                      </c:pt>
                      <c:pt idx="590">
                        <c:v>44375</c:v>
                      </c:pt>
                      <c:pt idx="591">
                        <c:v>44383</c:v>
                      </c:pt>
                      <c:pt idx="592">
                        <c:v>44389</c:v>
                      </c:pt>
                      <c:pt idx="593">
                        <c:v>44396</c:v>
                      </c:pt>
                      <c:pt idx="594">
                        <c:v>44403</c:v>
                      </c:pt>
                      <c:pt idx="595">
                        <c:v>44410</c:v>
                      </c:pt>
                      <c:pt idx="596">
                        <c:v>44417</c:v>
                      </c:pt>
                      <c:pt idx="597">
                        <c:v>44424</c:v>
                      </c:pt>
                      <c:pt idx="598">
                        <c:v>44431</c:v>
                      </c:pt>
                      <c:pt idx="599">
                        <c:v>44438</c:v>
                      </c:pt>
                      <c:pt idx="600">
                        <c:v>44446</c:v>
                      </c:pt>
                      <c:pt idx="601">
                        <c:v>44452</c:v>
                      </c:pt>
                      <c:pt idx="602">
                        <c:v>44459</c:v>
                      </c:pt>
                      <c:pt idx="603">
                        <c:v>44466</c:v>
                      </c:pt>
                      <c:pt idx="604">
                        <c:v>44473</c:v>
                      </c:pt>
                      <c:pt idx="605">
                        <c:v>44480</c:v>
                      </c:pt>
                      <c:pt idx="606">
                        <c:v>44487</c:v>
                      </c:pt>
                      <c:pt idx="607">
                        <c:v>44494</c:v>
                      </c:pt>
                      <c:pt idx="608">
                        <c:v>44501</c:v>
                      </c:pt>
                      <c:pt idx="609">
                        <c:v>44508</c:v>
                      </c:pt>
                      <c:pt idx="610">
                        <c:v>44515</c:v>
                      </c:pt>
                      <c:pt idx="611">
                        <c:v>44522</c:v>
                      </c:pt>
                      <c:pt idx="612">
                        <c:v>44529</c:v>
                      </c:pt>
                      <c:pt idx="613">
                        <c:v>44536</c:v>
                      </c:pt>
                      <c:pt idx="614">
                        <c:v>44543</c:v>
                      </c:pt>
                      <c:pt idx="615">
                        <c:v>44550</c:v>
                      </c:pt>
                      <c:pt idx="616">
                        <c:v>44557</c:v>
                      </c:pt>
                      <c:pt idx="617">
                        <c:v>44564</c:v>
                      </c:pt>
                      <c:pt idx="618">
                        <c:v>44571</c:v>
                      </c:pt>
                      <c:pt idx="619">
                        <c:v>44579</c:v>
                      </c:pt>
                      <c:pt idx="620">
                        <c:v>44585</c:v>
                      </c:pt>
                      <c:pt idx="621">
                        <c:v>44592</c:v>
                      </c:pt>
                      <c:pt idx="622">
                        <c:v>44599</c:v>
                      </c:pt>
                      <c:pt idx="623">
                        <c:v>44606</c:v>
                      </c:pt>
                      <c:pt idx="624">
                        <c:v>44614</c:v>
                      </c:pt>
                      <c:pt idx="625">
                        <c:v>44620</c:v>
                      </c:pt>
                      <c:pt idx="626">
                        <c:v>44627</c:v>
                      </c:pt>
                      <c:pt idx="627">
                        <c:v>44634</c:v>
                      </c:pt>
                      <c:pt idx="628">
                        <c:v>44641</c:v>
                      </c:pt>
                      <c:pt idx="629">
                        <c:v>44648</c:v>
                      </c:pt>
                      <c:pt idx="630">
                        <c:v>44655</c:v>
                      </c:pt>
                      <c:pt idx="631">
                        <c:v>44662</c:v>
                      </c:pt>
                      <c:pt idx="632">
                        <c:v>44669</c:v>
                      </c:pt>
                      <c:pt idx="633">
                        <c:v>44676</c:v>
                      </c:pt>
                      <c:pt idx="634">
                        <c:v>44683</c:v>
                      </c:pt>
                      <c:pt idx="635">
                        <c:v>44690</c:v>
                      </c:pt>
                      <c:pt idx="636">
                        <c:v>44697</c:v>
                      </c:pt>
                      <c:pt idx="637">
                        <c:v>44704</c:v>
                      </c:pt>
                      <c:pt idx="638">
                        <c:v>44712</c:v>
                      </c:pt>
                      <c:pt idx="639">
                        <c:v>44718</c:v>
                      </c:pt>
                      <c:pt idx="640">
                        <c:v>44725</c:v>
                      </c:pt>
                      <c:pt idx="641">
                        <c:v>44733</c:v>
                      </c:pt>
                      <c:pt idx="642">
                        <c:v>44739</c:v>
                      </c:pt>
                      <c:pt idx="643">
                        <c:v>44747</c:v>
                      </c:pt>
                      <c:pt idx="644">
                        <c:v>44753</c:v>
                      </c:pt>
                      <c:pt idx="645">
                        <c:v>44760</c:v>
                      </c:pt>
                      <c:pt idx="646">
                        <c:v>44767</c:v>
                      </c:pt>
                      <c:pt idx="647">
                        <c:v>44774</c:v>
                      </c:pt>
                      <c:pt idx="648">
                        <c:v>44781</c:v>
                      </c:pt>
                      <c:pt idx="649">
                        <c:v>44788</c:v>
                      </c:pt>
                      <c:pt idx="650">
                        <c:v>44795</c:v>
                      </c:pt>
                      <c:pt idx="651">
                        <c:v>44802</c:v>
                      </c:pt>
                      <c:pt idx="652">
                        <c:v>44810</c:v>
                      </c:pt>
                      <c:pt idx="653">
                        <c:v>44816</c:v>
                      </c:pt>
                      <c:pt idx="654">
                        <c:v>44823</c:v>
                      </c:pt>
                      <c:pt idx="655">
                        <c:v>44830</c:v>
                      </c:pt>
                      <c:pt idx="656">
                        <c:v>44837</c:v>
                      </c:pt>
                      <c:pt idx="657">
                        <c:v>44844</c:v>
                      </c:pt>
                      <c:pt idx="658">
                        <c:v>44851</c:v>
                      </c:pt>
                      <c:pt idx="659">
                        <c:v>44858</c:v>
                      </c:pt>
                      <c:pt idx="660">
                        <c:v>44865</c:v>
                      </c:pt>
                      <c:pt idx="661">
                        <c:v>44872</c:v>
                      </c:pt>
                      <c:pt idx="662">
                        <c:v>44879</c:v>
                      </c:pt>
                      <c:pt idx="663">
                        <c:v>44886</c:v>
                      </c:pt>
                      <c:pt idx="664">
                        <c:v>44893</c:v>
                      </c:pt>
                      <c:pt idx="665">
                        <c:v>44900</c:v>
                      </c:pt>
                      <c:pt idx="666">
                        <c:v>44907</c:v>
                      </c:pt>
                      <c:pt idx="667">
                        <c:v>44914</c:v>
                      </c:pt>
                      <c:pt idx="668">
                        <c:v>44922</c:v>
                      </c:pt>
                      <c:pt idx="669">
                        <c:v>44929</c:v>
                      </c:pt>
                      <c:pt idx="670">
                        <c:v>44935</c:v>
                      </c:pt>
                      <c:pt idx="671">
                        <c:v>44943</c:v>
                      </c:pt>
                      <c:pt idx="672">
                        <c:v>44949</c:v>
                      </c:pt>
                      <c:pt idx="673">
                        <c:v>44956</c:v>
                      </c:pt>
                      <c:pt idx="674">
                        <c:v>44963</c:v>
                      </c:pt>
                      <c:pt idx="675">
                        <c:v>44970</c:v>
                      </c:pt>
                      <c:pt idx="676">
                        <c:v>44978</c:v>
                      </c:pt>
                      <c:pt idx="677">
                        <c:v>44984</c:v>
                      </c:pt>
                      <c:pt idx="678">
                        <c:v>44991</c:v>
                      </c:pt>
                      <c:pt idx="679">
                        <c:v>44998</c:v>
                      </c:pt>
                      <c:pt idx="680">
                        <c:v>45005</c:v>
                      </c:pt>
                      <c:pt idx="681">
                        <c:v>45012</c:v>
                      </c:pt>
                      <c:pt idx="682">
                        <c:v>45019</c:v>
                      </c:pt>
                      <c:pt idx="683">
                        <c:v>45026</c:v>
                      </c:pt>
                      <c:pt idx="684">
                        <c:v>45033</c:v>
                      </c:pt>
                      <c:pt idx="685">
                        <c:v>45040</c:v>
                      </c:pt>
                      <c:pt idx="686">
                        <c:v>45047</c:v>
                      </c:pt>
                      <c:pt idx="687">
                        <c:v>45054</c:v>
                      </c:pt>
                      <c:pt idx="688">
                        <c:v>45061</c:v>
                      </c:pt>
                      <c:pt idx="689">
                        <c:v>45068</c:v>
                      </c:pt>
                      <c:pt idx="690">
                        <c:v>45076</c:v>
                      </c:pt>
                      <c:pt idx="691">
                        <c:v>45082</c:v>
                      </c:pt>
                      <c:pt idx="692">
                        <c:v>45089</c:v>
                      </c:pt>
                      <c:pt idx="693">
                        <c:v>45097</c:v>
                      </c:pt>
                      <c:pt idx="694">
                        <c:v>45103</c:v>
                      </c:pt>
                      <c:pt idx="695">
                        <c:v>45110</c:v>
                      </c:pt>
                      <c:pt idx="696">
                        <c:v>45117</c:v>
                      </c:pt>
                      <c:pt idx="697">
                        <c:v>45124</c:v>
                      </c:pt>
                      <c:pt idx="698">
                        <c:v>45131</c:v>
                      </c:pt>
                      <c:pt idx="699">
                        <c:v>45138</c:v>
                      </c:pt>
                      <c:pt idx="700">
                        <c:v>45145</c:v>
                      </c:pt>
                      <c:pt idx="701">
                        <c:v>45152</c:v>
                      </c:pt>
                      <c:pt idx="702">
                        <c:v>45159</c:v>
                      </c:pt>
                      <c:pt idx="703">
                        <c:v>45166</c:v>
                      </c:pt>
                      <c:pt idx="704">
                        <c:v>45174</c:v>
                      </c:pt>
                      <c:pt idx="705">
                        <c:v>45180</c:v>
                      </c:pt>
                      <c:pt idx="706">
                        <c:v>45187</c:v>
                      </c:pt>
                      <c:pt idx="707">
                        <c:v>45194</c:v>
                      </c:pt>
                      <c:pt idx="708">
                        <c:v>45201</c:v>
                      </c:pt>
                      <c:pt idx="709">
                        <c:v>45208</c:v>
                      </c:pt>
                      <c:pt idx="710">
                        <c:v>45215</c:v>
                      </c:pt>
                      <c:pt idx="711">
                        <c:v>45222</c:v>
                      </c:pt>
                      <c:pt idx="712">
                        <c:v>45229</c:v>
                      </c:pt>
                      <c:pt idx="713">
                        <c:v>45236</c:v>
                      </c:pt>
                      <c:pt idx="714">
                        <c:v>45243</c:v>
                      </c:pt>
                      <c:pt idx="715">
                        <c:v>45250</c:v>
                      </c:pt>
                      <c:pt idx="716">
                        <c:v>45257</c:v>
                      </c:pt>
                      <c:pt idx="717">
                        <c:v>45264</c:v>
                      </c:pt>
                      <c:pt idx="718">
                        <c:v>45271</c:v>
                      </c:pt>
                      <c:pt idx="719">
                        <c:v>45278</c:v>
                      </c:pt>
                      <c:pt idx="720">
                        <c:v>45286</c:v>
                      </c:pt>
                      <c:pt idx="721">
                        <c:v>45293</c:v>
                      </c:pt>
                      <c:pt idx="722">
                        <c:v>45299</c:v>
                      </c:pt>
                      <c:pt idx="723">
                        <c:v>45307</c:v>
                      </c:pt>
                      <c:pt idx="724">
                        <c:v>45313</c:v>
                      </c:pt>
                      <c:pt idx="725">
                        <c:v>45320</c:v>
                      </c:pt>
                      <c:pt idx="726">
                        <c:v>45327</c:v>
                      </c:pt>
                      <c:pt idx="727">
                        <c:v>45334</c:v>
                      </c:pt>
                      <c:pt idx="728">
                        <c:v>45342</c:v>
                      </c:pt>
                      <c:pt idx="729">
                        <c:v>45348</c:v>
                      </c:pt>
                      <c:pt idx="730">
                        <c:v>45355</c:v>
                      </c:pt>
                      <c:pt idx="731">
                        <c:v>45362</c:v>
                      </c:pt>
                      <c:pt idx="732">
                        <c:v>45369</c:v>
                      </c:pt>
                      <c:pt idx="733">
                        <c:v>45376</c:v>
                      </c:pt>
                      <c:pt idx="734">
                        <c:v>45383</c:v>
                      </c:pt>
                      <c:pt idx="735">
                        <c:v>45390</c:v>
                      </c:pt>
                      <c:pt idx="736">
                        <c:v>45397</c:v>
                      </c:pt>
                      <c:pt idx="737">
                        <c:v>45404</c:v>
                      </c:pt>
                      <c:pt idx="738">
                        <c:v>45411</c:v>
                      </c:pt>
                      <c:pt idx="739">
                        <c:v>45418</c:v>
                      </c:pt>
                      <c:pt idx="740">
                        <c:v>45425</c:v>
                      </c:pt>
                      <c:pt idx="741">
                        <c:v>45432</c:v>
                      </c:pt>
                      <c:pt idx="742">
                        <c:v>45440</c:v>
                      </c:pt>
                      <c:pt idx="743">
                        <c:v>45446</c:v>
                      </c:pt>
                      <c:pt idx="744">
                        <c:v>45453</c:v>
                      </c:pt>
                      <c:pt idx="745">
                        <c:v>45460</c:v>
                      </c:pt>
                      <c:pt idx="746">
                        <c:v>45467</c:v>
                      </c:pt>
                      <c:pt idx="747">
                        <c:v>45474</c:v>
                      </c:pt>
                      <c:pt idx="748">
                        <c:v>45481</c:v>
                      </c:pt>
                      <c:pt idx="749">
                        <c:v>45488</c:v>
                      </c:pt>
                      <c:pt idx="750">
                        <c:v>45495</c:v>
                      </c:pt>
                      <c:pt idx="751">
                        <c:v>45502</c:v>
                      </c:pt>
                      <c:pt idx="752">
                        <c:v>45509</c:v>
                      </c:pt>
                      <c:pt idx="753">
                        <c:v>45516</c:v>
                      </c:pt>
                      <c:pt idx="754">
                        <c:v>45523</c:v>
                      </c:pt>
                      <c:pt idx="755">
                        <c:v>45530</c:v>
                      </c:pt>
                      <c:pt idx="756">
                        <c:v>45538</c:v>
                      </c:pt>
                      <c:pt idx="757">
                        <c:v>45544</c:v>
                      </c:pt>
                      <c:pt idx="758">
                        <c:v>45551</c:v>
                      </c:pt>
                      <c:pt idx="759">
                        <c:v>45558</c:v>
                      </c:pt>
                      <c:pt idx="760">
                        <c:v>45565</c:v>
                      </c:pt>
                      <c:pt idx="761">
                        <c:v>45572</c:v>
                      </c:pt>
                      <c:pt idx="762">
                        <c:v>45579</c:v>
                      </c:pt>
                      <c:pt idx="763">
                        <c:v>45586</c:v>
                      </c:pt>
                      <c:pt idx="764">
                        <c:v>45593</c:v>
                      </c:pt>
                      <c:pt idx="765">
                        <c:v>45600</c:v>
                      </c:pt>
                      <c:pt idx="766">
                        <c:v>45607</c:v>
                      </c:pt>
                      <c:pt idx="767">
                        <c:v>45614</c:v>
                      </c:pt>
                      <c:pt idx="768">
                        <c:v>45621</c:v>
                      </c:pt>
                      <c:pt idx="769">
                        <c:v>45628</c:v>
                      </c:pt>
                      <c:pt idx="770">
                        <c:v>45635</c:v>
                      </c:pt>
                      <c:pt idx="771">
                        <c:v>45642</c:v>
                      </c:pt>
                      <c:pt idx="772">
                        <c:v>45649</c:v>
                      </c:pt>
                      <c:pt idx="773">
                        <c:v>45656</c:v>
                      </c:pt>
                      <c:pt idx="774">
                        <c:v>45663</c:v>
                      </c:pt>
                      <c:pt idx="775">
                        <c:v>45670</c:v>
                      </c:pt>
                      <c:pt idx="776">
                        <c:v>45678</c:v>
                      </c:pt>
                      <c:pt idx="777">
                        <c:v>45684</c:v>
                      </c:pt>
                      <c:pt idx="778">
                        <c:v>45691</c:v>
                      </c:pt>
                      <c:pt idx="779">
                        <c:v>45698</c:v>
                      </c:pt>
                      <c:pt idx="780">
                        <c:v>45706</c:v>
                      </c:pt>
                      <c:pt idx="781">
                        <c:v>45712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00A-48CC-94AE-AEB7B57AF13D}"/>
                  </c:ext>
                </c:extLst>
              </c15:ser>
            </c15:filteredLineSeries>
          </c:ext>
        </c:extLst>
      </c:lineChart>
      <c:catAx>
        <c:axId val="11043325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04332032"/>
        <c:crosses val="autoZero"/>
        <c:auto val="1"/>
        <c:lblAlgn val="ctr"/>
        <c:lblOffset val="100"/>
        <c:noMultiLvlLbl val="0"/>
      </c:catAx>
      <c:valAx>
        <c:axId val="1104332032"/>
        <c:scaling>
          <c:orientation val="minMax"/>
        </c:scaling>
        <c:delete val="1"/>
        <c:axPos val="l"/>
        <c:numFmt formatCode="_([$$-409]* #,##0.00_);_([$$-409]* \(#,##0.00\);_([$$-409]* &quot;-&quot;??_);_(@_)" sourceLinked="1"/>
        <c:majorTickMark val="none"/>
        <c:minorTickMark val="none"/>
        <c:tickLblPos val="nextTo"/>
        <c:crossAx val="110433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109</xdr:col>
      <xdr:colOff>32425</xdr:colOff>
      <xdr:row>22</xdr:row>
      <xdr:rowOff>97276</xdr:rowOff>
    </xdr:from>
    <xdr:to>
      <xdr:col>113</xdr:col>
      <xdr:colOff>273766</xdr:colOff>
      <xdr:row>28</xdr:row>
      <xdr:rowOff>14915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48A7D0-812B-4A7B-80DE-577C886FD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23191" y="4207212"/>
          <a:ext cx="2981299" cy="1036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137160</xdr:rowOff>
        </xdr:from>
        <xdr:to>
          <xdr:col>1</xdr:col>
          <xdr:colOff>2171700</xdr:colOff>
          <xdr:row>2</xdr:row>
          <xdr:rowOff>175260</xdr:rowOff>
        </xdr:to>
        <xdr:sp macro="" textlink="">
          <xdr:nvSpPr>
            <xdr:cNvPr id="5121" name="SearchBox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1</xdr:row>
          <xdr:rowOff>121920</xdr:rowOff>
        </xdr:from>
        <xdr:to>
          <xdr:col>3</xdr:col>
          <xdr:colOff>236220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26</xdr:row>
      <xdr:rowOff>76200</xdr:rowOff>
    </xdr:from>
    <xdr:to>
      <xdr:col>11</xdr:col>
      <xdr:colOff>480060</xdr:colOff>
      <xdr:row>39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F99264-F82E-4D57-821D-AF730D6D26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723900</xdr:colOff>
      <xdr:row>10</xdr:row>
      <xdr:rowOff>53340</xdr:rowOff>
    </xdr:from>
    <xdr:to>
      <xdr:col>10</xdr:col>
      <xdr:colOff>442628</xdr:colOff>
      <xdr:row>23</xdr:row>
      <xdr:rowOff>137747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56045C-D227-4E64-BBB3-D254DBA7A1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167640</xdr:rowOff>
        </xdr:from>
        <xdr:to>
          <xdr:col>2</xdr:col>
          <xdr:colOff>45720</xdr:colOff>
          <xdr:row>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754380</xdr:colOff>
          <xdr:row>1</xdr:row>
          <xdr:rowOff>152400</xdr:rowOff>
        </xdr:from>
        <xdr:to>
          <xdr:col>7</xdr:col>
          <xdr:colOff>373380</xdr:colOff>
          <xdr:row>2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All…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3">
  <a r="1" c="5">
    <v t="i">0</v>
    <v t="i">1</v>
    <v t="i">2</v>
    <v t="i">5</v>
    <v t="i">6</v>
  </a>
  <a r="1" c="5">
    <v>43433.120000000003</v>
    <v>43239.5</v>
    <v>43840.91</v>
    <v>43191.24</v>
    <v>42520.99</v>
  </a>
  <a r="1" c="4039">
    <v t="i">0</v>
    <v t="i">1</v>
    <v t="i">2</v>
    <v t="i">3</v>
    <v t="i">4</v>
    <v t="i">5</v>
    <v t="i">6</v>
    <v t="i">7</v>
    <v t="i">8</v>
    <v t="i">9</v>
    <v t="i">10</v>
    <v t="i">11</v>
    <v t="i">12</v>
    <v t="i">13</v>
    <v t="i">14</v>
    <v t="i">15</v>
    <v t="i">16</v>
    <v t="i">17</v>
    <v t="i">18</v>
    <v t="i">19</v>
    <v t="i">20</v>
    <v t="i">21</v>
    <v t="i">22</v>
    <v t="i">23</v>
    <v t="i">24</v>
    <v t="i">25</v>
    <v t="i">26</v>
    <v t="i">27</v>
    <v t="i">28</v>
    <v t="i">29</v>
    <v t="i">30</v>
    <v t="i">31</v>
    <v t="i">32</v>
    <v t="i">33</v>
    <v t="i">34</v>
    <v t="i">35</v>
    <v t="i">36</v>
    <v t="i">37</v>
    <v t="i">38</v>
    <v t="i">39</v>
    <v t="i">40</v>
    <v t="i">41</v>
    <v t="i">42</v>
    <v t="i">43</v>
    <v t="i">44</v>
    <v t="i">45</v>
    <v t="i">46</v>
    <v t="i">47</v>
    <v t="i">48</v>
    <v t="i">49</v>
    <v t="i">50</v>
    <v t="i">51</v>
    <v t="i">52</v>
    <v t="i">53</v>
    <v t="i">54</v>
    <v t="i">55</v>
    <v t="i">56</v>
    <v t="i">57</v>
    <v t="i">58</v>
    <v t="i">59</v>
    <v t="i">60</v>
    <v t="i">61</v>
    <v t="i">62</v>
    <v t="i">63</v>
    <v t="i">64</v>
    <v t="i">65</v>
    <v t="i">66</v>
    <v t="i">67</v>
    <v t="i">68</v>
    <v t="i">69</v>
    <v t="i">70</v>
    <v t="i">71</v>
    <v t="i">72</v>
    <v t="i">73</v>
    <v t="i">74</v>
    <v t="i">75</v>
    <v t="i">76</v>
    <v t="i">77</v>
    <v t="i">78</v>
    <v t="i">79</v>
    <v t="i">80</v>
    <v t="i">81</v>
    <v t="i">82</v>
    <v t="i">83</v>
    <v t="i">84</v>
    <v t="i">85</v>
    <v t="i">86</v>
    <v t="i">87</v>
    <v t="i">88</v>
    <v t="i">89</v>
    <v t="i">90</v>
    <v t="i">91</v>
    <v t="i">92</v>
    <v t="i">93</v>
    <v t="i">94</v>
    <v t="i">95</v>
    <v t="i">96</v>
    <v t="i">97</v>
    <v t="i">98</v>
    <v t="i">99</v>
    <v t="i">100</v>
    <v t="i">101</v>
    <v t="i">102</v>
    <v t="i">103</v>
    <v t="i">104</v>
    <v t="i">105</v>
    <v t="i">106</v>
    <v t="i">107</v>
    <v t="i">108</v>
    <v t="i">109</v>
    <v t="i">110</v>
    <v t="i">111</v>
    <v t="i">112</v>
    <v t="i">113</v>
    <v t="i">114</v>
    <v t="i">115</v>
    <v t="i">116</v>
    <v t="i">117</v>
    <v t="i">118</v>
    <v t="i">119</v>
    <v t="i">120</v>
    <v t="i">121</v>
    <v t="i">122</v>
    <v t="i">123</v>
    <v t="i">124</v>
    <v t="i">125</v>
    <v t="i">126</v>
    <v t="i">127</v>
    <v t="i">128</v>
    <v t="i">129</v>
    <v t="i">130</v>
    <v t="i">131</v>
    <v t="i">132</v>
    <v t="i">133</v>
    <v t="i">134</v>
    <v t="i">135</v>
    <v t="i">136</v>
    <v t="i">137</v>
    <v t="i">138</v>
    <v t="i">139</v>
    <v t="i">140</v>
    <v t="i">141</v>
    <v t="i">142</v>
    <v t="i">143</v>
    <v t="i">144</v>
    <v t="i">145</v>
    <v t="i">146</v>
    <v t="i">147</v>
    <v t="i">148</v>
    <v t="i">149</v>
    <v t="i">150</v>
    <v t="i">151</v>
    <v t="i">152</v>
    <v t="i">153</v>
    <v t="i">154</v>
    <v t="i">155</v>
    <v t="i">156</v>
    <v t="i">157</v>
    <v t="i">158</v>
    <v t="i">159</v>
    <v t="i">160</v>
    <v t="i">161</v>
    <v t="i">162</v>
    <v t="i">163</v>
    <v t="i">164</v>
    <v t="i">165</v>
    <v t="i">166</v>
    <v t="i">167</v>
    <v t="i">168</v>
    <v t="i">169</v>
    <v t="i">170</v>
    <v t="i">171</v>
    <v t="i">172</v>
    <v t="i">173</v>
    <v t="i">174</v>
    <v t="i">175</v>
    <v t="i">176</v>
    <v t="i">177</v>
    <v t="i">178</v>
    <v t="i">179</v>
    <v t="i">180</v>
    <v t="i">181</v>
    <v t="i">182</v>
    <v t="i">183</v>
    <v t="i">184</v>
    <v t="i">185</v>
    <v t="i">186</v>
    <v t="i">187</v>
    <v t="i">188</v>
    <v t="i">189</v>
    <v t="i">190</v>
    <v t="i">191</v>
    <v t="i">192</v>
    <v t="i">193</v>
    <v t="i">194</v>
    <v t="i">195</v>
    <v t="i">196</v>
    <v t="i">197</v>
    <v t="i">198</v>
    <v t="i">199</v>
    <v t="i">200</v>
    <v t="i">201</v>
    <v t="i">202</v>
    <v t="i">203</v>
    <v t="i">204</v>
    <v t="i">205</v>
    <v t="i">206</v>
    <v t="i">207</v>
    <v t="i">208</v>
    <v t="i">209</v>
    <v t="i">210</v>
    <v t="i">211</v>
    <v t="i">212</v>
    <v t="i">213</v>
    <v t="i">214</v>
    <v t="i">215</v>
    <v t="i">216</v>
    <v t="i">217</v>
    <v t="i">218</v>
    <v t="i">219</v>
    <v t="i">220</v>
    <v t="i">221</v>
    <v t="i">222</v>
    <v t="i">223</v>
    <v t="i">224</v>
    <v t="i">225</v>
    <v t="i">226</v>
    <v t="i">227</v>
    <v t="i">228</v>
    <v t="i">229</v>
    <v t="i">230</v>
    <v t="i">231</v>
    <v t="i">232</v>
    <v t="i">233</v>
    <v t="i">234</v>
    <v t="i">235</v>
    <v t="i">236</v>
    <v t="i">237</v>
    <v t="i">238</v>
    <v t="i">239</v>
    <v t="i">240</v>
    <v t="i">241</v>
    <v t="i">242</v>
    <v t="i">243</v>
    <v t="i">244</v>
    <v t="i">245</v>
    <v t="i">246</v>
    <v t="i">247</v>
    <v t="i">248</v>
    <v t="i">249</v>
    <v t="i">250</v>
    <v t="i">251</v>
    <v t="i">252</v>
    <v t="i">253</v>
    <v t="i">254</v>
    <v t="i">255</v>
    <v t="i">256</v>
    <v t="i">257</v>
    <v t="i">258</v>
    <v t="i">259</v>
    <v t="i">260</v>
    <v t="i">261</v>
    <v t="i">262</v>
    <v t="i">263</v>
    <v t="i">264</v>
    <v t="i">265</v>
    <v t="i">266</v>
    <v t="i">267</v>
    <v t="i">268</v>
    <v t="i">269</v>
    <v t="i">270</v>
    <v t="i">271</v>
    <v t="i">272</v>
    <v t="i">273</v>
    <v t="i">274</v>
    <v t="i">275</v>
    <v t="i">276</v>
    <v t="i">277</v>
    <v t="i">278</v>
    <v t="i">279</v>
    <v t="i">280</v>
    <v t="i">281</v>
    <v t="i">282</v>
    <v t="i">283</v>
    <v t="i">284</v>
    <v t="i">285</v>
    <v t="i">286</v>
    <v t="i">287</v>
    <v t="i">288</v>
    <v t="i">289</v>
    <v t="i">290</v>
    <v t="i">291</v>
    <v t="i">292</v>
    <v t="i">293</v>
    <v t="i">294</v>
    <v t="i">295</v>
    <v t="i">296</v>
    <v t="i">297</v>
    <v t="i">298</v>
    <v t="i">299</v>
    <v t="i">300</v>
    <v t="i">301</v>
    <v t="i">302</v>
    <v t="i">303</v>
    <v t="i">304</v>
    <v t="i">305</v>
    <v t="i">306</v>
    <v t="i">307</v>
    <v t="i">308</v>
    <v t="i">309</v>
    <v t="i">310</v>
    <v t="i">311</v>
    <v t="i">312</v>
    <v t="i">313</v>
    <v t="i">314</v>
    <v t="i">315</v>
    <v t="i">316</v>
    <v t="i">317</v>
    <v t="i">318</v>
    <v t="i">319</v>
    <v t="i">320</v>
    <v t="i">321</v>
    <v t="i">322</v>
    <v t="i">323</v>
    <v t="i">324</v>
    <v t="i">325</v>
    <v t="i">326</v>
    <v t="i">327</v>
    <v t="i">328</v>
    <v t="i">329</v>
    <v t="i">330</v>
    <v t="i">331</v>
    <v t="i">332</v>
    <v t="i">333</v>
    <v t="i">334</v>
    <v t="i">335</v>
    <v t="i">336</v>
    <v t="i">337</v>
    <v t="i">338</v>
    <v t="i">339</v>
    <v t="i">340</v>
    <v t="i">341</v>
    <v t="i">342</v>
    <v t="i">343</v>
    <v t="i">344</v>
    <v t="i">345</v>
    <v t="i">346</v>
    <v t="i">347</v>
    <v t="i">348</v>
    <v t="i">349</v>
    <v t="i">350</v>
    <v t="i">351</v>
    <v t="i">352</v>
    <v t="i">353</v>
    <v t="i">354</v>
    <v t="i">355</v>
    <v t="i">356</v>
    <v t="i">357</v>
    <v t="i">358</v>
    <v t="i">359</v>
    <v t="i">360</v>
    <v t="i">361</v>
    <v t="i">362</v>
    <v t="i">363</v>
    <v t="i">364</v>
    <v t="i">365</v>
    <v t="i">366</v>
    <v t="i">367</v>
    <v t="i">368</v>
    <v t="i">369</v>
    <v t="i">370</v>
    <v t="i">371</v>
    <v t="i">372</v>
    <v t="i">373</v>
    <v t="i">374</v>
    <v t="i">375</v>
    <v t="i">376</v>
    <v t="i">377</v>
    <v t="i">378</v>
    <v t="i">379</v>
    <v t="i">380</v>
    <v t="i">381</v>
    <v t="i">382</v>
    <v t="i">383</v>
    <v t="i">384</v>
    <v t="i">385</v>
    <v t="i">386</v>
    <v t="i">387</v>
    <v t="i">388</v>
    <v t="i">389</v>
    <v t="i">390</v>
    <v t="i">391</v>
    <v t="i">392</v>
    <v t="i">393</v>
    <v t="i">394</v>
    <v t="i">395</v>
    <v t="i">396</v>
    <v t="i">397</v>
    <v t="i">398</v>
    <v t="i">399</v>
    <v t="i">400</v>
    <v t="i">401</v>
    <v t="i">402</v>
    <v t="i">403</v>
    <v t="i">404</v>
    <v t="i">405</v>
    <v t="i">406</v>
    <v t="i">407</v>
    <v t="i">408</v>
    <v t="i">409</v>
    <v t="i">410</v>
    <v t="i">411</v>
    <v t="i">412</v>
    <v t="i">413</v>
    <v t="i">414</v>
    <v t="i">415</v>
    <v t="i">416</v>
    <v t="i">417</v>
    <v t="i">418</v>
    <v t="i">419</v>
    <v t="i">420</v>
    <v t="i">421</v>
    <v t="i">422</v>
    <v t="i">423</v>
    <v t="i">424</v>
    <v t="i">425</v>
    <v t="i">426</v>
    <v t="i">427</v>
    <v t="i">428</v>
    <v t="i">429</v>
    <v t="i">430</v>
    <v t="i">431</v>
    <v t="i">432</v>
    <v t="i">433</v>
    <v t="i">434</v>
    <v t="i">435</v>
    <v t="i">436</v>
    <v t="i">437</v>
    <v t="i">438</v>
    <v t="i">439</v>
    <v t="i">440</v>
    <v t="i">441</v>
    <v t="i">442</v>
    <v t="i">443</v>
    <v t="i">444</v>
    <v t="i">445</v>
    <v t="i">446</v>
    <v t="i">447</v>
    <v t="i">448</v>
    <v t="i">449</v>
    <v t="i">450</v>
    <v t="i">451</v>
    <v t="i">452</v>
    <v t="i">453</v>
    <v t="i">454</v>
    <v t="i">455</v>
    <v t="i">456</v>
    <v t="i">457</v>
    <v t="i">458</v>
    <v t="i">459</v>
    <v t="i">460</v>
    <v t="i">461</v>
    <v t="i">462</v>
    <v t="i">463</v>
    <v t="i">464</v>
    <v t="i">465</v>
    <v t="i">466</v>
    <v t="i">467</v>
    <v t="i">468</v>
    <v t="i">469</v>
    <v t="i">470</v>
    <v t="i">471</v>
    <v t="i">472</v>
    <v t="i">473</v>
    <v t="i">474</v>
    <v t="i">475</v>
    <v t="i">476</v>
    <v t="i">477</v>
    <v t="i">478</v>
    <v t="i">479</v>
    <v t="i">480</v>
    <v t="i">481</v>
    <v t="i">482</v>
    <v t="i">483</v>
    <v t="i">484</v>
    <v t="i">485</v>
    <v t="i">486</v>
    <v t="i">487</v>
    <v t="i">488</v>
    <v t="i">489</v>
    <v t="i">490</v>
    <v t="i">491</v>
    <v t="i">492</v>
    <v t="i">493</v>
    <v t="i">494</v>
    <v t="i">495</v>
    <v t="i">496</v>
    <v t="i">497</v>
    <v t="i">498</v>
    <v t="i">499</v>
    <v t="i">500</v>
    <v t="i">501</v>
    <v t="i">502</v>
    <v t="i">503</v>
    <v t="i">504</v>
    <v t="i">505</v>
    <v t="i">506</v>
    <v t="i">507</v>
    <v t="i">508</v>
    <v t="i">509</v>
    <v t="i">510</v>
    <v t="i">511</v>
    <v t="i">512</v>
    <v t="i">513</v>
    <v t="i">514</v>
    <v t="i">515</v>
    <v t="i">516</v>
    <v t="i">517</v>
    <v t="i">518</v>
    <v t="i">519</v>
    <v t="i">520</v>
    <v t="i">521</v>
    <v t="i">522</v>
    <v t="i">523</v>
    <v t="i">524</v>
    <v t="i">525</v>
    <v t="i">526</v>
    <v t="i">527</v>
    <v t="i">528</v>
    <v t="i">529</v>
    <v t="i">530</v>
    <v t="i">531</v>
    <v t="i">532</v>
    <v t="i">533</v>
    <v t="i">534</v>
    <v t="i">535</v>
    <v t="i">536</v>
    <v t="i">537</v>
    <v t="i">538</v>
    <v t="i">539</v>
    <v t="i">540</v>
    <v t="i">541</v>
    <v t="i">542</v>
    <v t="i">543</v>
    <v t="i">544</v>
    <v t="i">545</v>
    <v t="i">546</v>
    <v t="i">547</v>
    <v t="i">548</v>
    <v t="i">549</v>
    <v t="i">550</v>
    <v t="i">551</v>
    <v t="i">552</v>
    <v t="i">553</v>
    <v t="i">554</v>
    <v t="i">555</v>
    <v t="i">556</v>
    <v t="i">557</v>
    <v t="i">558</v>
    <v t="i">559</v>
    <v t="i">560</v>
    <v t="i">561</v>
    <v t="i">562</v>
    <v t="i">563</v>
    <v t="i">564</v>
    <v t="i">565</v>
    <v t="i">566</v>
    <v t="i">567</v>
    <v t="i">568</v>
    <v t="i">569</v>
    <v t="i">570</v>
    <v t="i">571</v>
    <v t="i">572</v>
    <v t="i">573</v>
    <v t="i">574</v>
    <v t="i">575</v>
    <v t="i">576</v>
    <v t="i">577</v>
    <v t="i">578</v>
    <v t="i">579</v>
    <v t="i">580</v>
    <v t="i">581</v>
    <v t="i">582</v>
    <v t="i">583</v>
    <v t="i">584</v>
    <v t="i">585</v>
    <v t="i">586</v>
    <v t="i">587</v>
    <v t="i">588</v>
    <v t="i">589</v>
    <v t="i">590</v>
    <v t="i">591</v>
    <v t="i">592</v>
    <v t="i">593</v>
    <v t="i">594</v>
    <v t="i">595</v>
    <v t="i">596</v>
    <v t="i">597</v>
    <v t="i">598</v>
    <v t="i">599</v>
    <v t="i">600</v>
    <v t="i">601</v>
    <v t="i">602</v>
    <v t="i">603</v>
    <v t="i">604</v>
    <v t="i">605</v>
    <v t="i">606</v>
    <v t="i">607</v>
    <v t="i">608</v>
    <v t="i">609</v>
    <v t="i">610</v>
    <v t="i">611</v>
    <v t="i">612</v>
    <v t="i">613</v>
    <v t="i">614</v>
    <v t="i">615</v>
    <v t="i">616</v>
    <v t="i">617</v>
    <v t="i">618</v>
    <v t="i">619</v>
    <v t="i">620</v>
    <v t="i">621</v>
    <v t="i">622</v>
    <v t="i">623</v>
    <v t="i">624</v>
    <v t="i">625</v>
    <v t="i">626</v>
    <v t="i">627</v>
    <v t="i">628</v>
    <v t="i">629</v>
    <v t="i">630</v>
    <v t="i">631</v>
    <v t="i">632</v>
    <v t="i">633</v>
    <v t="i">634</v>
    <v t="i">635</v>
    <v t="i">636</v>
    <v t="i">637</v>
    <v t="i">638</v>
    <v t="i">639</v>
    <v t="i">640</v>
    <v t="i">641</v>
    <v t="i">642</v>
    <v t="i">643</v>
    <v t="i">644</v>
    <v t="i">645</v>
    <v t="i">646</v>
    <v t="i">647</v>
    <v t="i">648</v>
    <v t="i">649</v>
    <v t="i">650</v>
    <v t="i">651</v>
    <v t="i">652</v>
    <v t="i">653</v>
    <v t="i">654</v>
    <v t="i">655</v>
    <v t="i">656</v>
    <v t="i">657</v>
    <v t="i">658</v>
    <v t="i">659</v>
    <v t="i">660</v>
    <v t="i">661</v>
    <v t="i">662</v>
    <v t="i">663</v>
    <v t="i">664</v>
    <v t="i">665</v>
    <v t="i">666</v>
    <v t="i">667</v>
    <v t="i">668</v>
    <v t="i">669</v>
    <v t="i">670</v>
    <v t="i">671</v>
    <v t="i">672</v>
    <v t="i">673</v>
    <v t="i">674</v>
    <v t="i">675</v>
    <v t="i">676</v>
    <v t="i">677</v>
    <v t="i">678</v>
    <v t="i">679</v>
    <v t="i">680</v>
    <v t="i">681</v>
    <v t="i">682</v>
    <v t="i">683</v>
    <v t="i">684</v>
    <v t="i">685</v>
    <v t="i">686</v>
    <v t="i">687</v>
    <v t="i">688</v>
    <v t="i">689</v>
    <v t="i">690</v>
    <v t="i">691</v>
    <v t="i">692</v>
    <v t="i">693</v>
    <v t="i">694</v>
    <v t="i">695</v>
    <v t="i">696</v>
    <v t="i">697</v>
    <v t="i">698</v>
    <v t="i">699</v>
    <v t="i">700</v>
    <v t="i">701</v>
    <v t="i">702</v>
    <v t="i">703</v>
    <v t="i">704</v>
    <v t="i">705</v>
    <v t="i">706</v>
    <v t="i">707</v>
    <v t="i">708</v>
    <v t="i">709</v>
    <v t="i">710</v>
    <v t="i">711</v>
    <v t="i">712</v>
    <v t="i">713</v>
    <v t="i">714</v>
    <v t="i">715</v>
    <v t="i">716</v>
    <v t="i">717</v>
    <v t="i">718</v>
    <v t="i">719</v>
    <v t="i">720</v>
    <v t="i">721</v>
    <v t="i">722</v>
    <v t="i">723</v>
    <v t="i">724</v>
    <v t="i">725</v>
    <v t="i">726</v>
    <v t="i">727</v>
    <v t="i">728</v>
    <v t="i">729</v>
    <v t="i">730</v>
    <v t="i">731</v>
    <v t="i">732</v>
    <v t="i">733</v>
    <v t="i">734</v>
    <v t="i">735</v>
    <v t="i">736</v>
    <v t="i">737</v>
    <v t="i">738</v>
    <v t="i">739</v>
    <v t="i">740</v>
    <v t="i">741</v>
    <v t="i">742</v>
    <v t="i">743</v>
    <v t="i">744</v>
    <v t="i">745</v>
    <v t="i">746</v>
    <v t="i">747</v>
    <v t="i">748</v>
    <v t="i">749</v>
    <v t="i">750</v>
    <v t="i">751</v>
    <v t="i">752</v>
    <v t="i">753</v>
    <v t="i">754</v>
    <v t="i">755</v>
    <v t="i">756</v>
    <v t="i">757</v>
    <v t="i">758</v>
    <v t="i">759</v>
    <v t="i">760</v>
    <v t="i">761</v>
    <v t="i">762</v>
    <v t="i">763</v>
    <v t="i">764</v>
    <v t="i">765</v>
    <v t="i">766</v>
    <v t="i">767</v>
    <v t="i">768</v>
    <v t="i">769</v>
    <v t="i">770</v>
    <v t="i">771</v>
    <v t="i">772</v>
    <v t="i">773</v>
    <v t="i">774</v>
    <v t="i">775</v>
    <v t="i">776</v>
    <v t="i">777</v>
    <v t="i">778</v>
    <v t="i">779</v>
    <v t="i">780</v>
    <v t="i">781</v>
    <v t="i">782</v>
    <v t="i">783</v>
    <v t="i">784</v>
    <v t="i">785</v>
    <v t="i">786</v>
    <v t="i">787</v>
    <v t="i">788</v>
    <v t="i">789</v>
    <v t="i">790</v>
    <v t="i">791</v>
    <v t="i">792</v>
    <v t="i">793</v>
    <v t="i">794</v>
    <v t="i">795</v>
    <v t="i">796</v>
    <v t="i">797</v>
    <v t="i">798</v>
    <v t="i">799</v>
    <v t="i">800</v>
    <v t="i">801</v>
    <v t="i">802</v>
    <v t="i">803</v>
    <v t="i">804</v>
    <v t="i">805</v>
    <v t="i">806</v>
    <v t="i">807</v>
    <v t="i">808</v>
    <v t="i">809</v>
    <v t="i">810</v>
    <v t="i">811</v>
    <v t="i">812</v>
    <v t="i">813</v>
    <v t="i">814</v>
    <v t="i">815</v>
    <v t="i">816</v>
    <v t="i">817</v>
    <v t="i">818</v>
    <v t="i">819</v>
    <v t="i">820</v>
    <v t="i">821</v>
    <v t="i">822</v>
    <v t="i">823</v>
    <v t="i">824</v>
    <v t="i">825</v>
    <v t="i">826</v>
    <v t="i">827</v>
    <v t="i">828</v>
    <v t="i">829</v>
    <v t="i">830</v>
    <v t="i">831</v>
    <v t="i">832</v>
    <v t="i">833</v>
    <v t="i">834</v>
    <v t="i">835</v>
    <v t="i">836</v>
    <v t="i">837</v>
    <v t="i">838</v>
    <v t="i">839</v>
    <v t="i">840</v>
    <v t="i">841</v>
    <v t="i">842</v>
    <v t="i">843</v>
    <v t="i">844</v>
    <v t="i">845</v>
    <v t="i">846</v>
    <v t="i">847</v>
    <v t="i">848</v>
    <v t="i">849</v>
    <v t="i">850</v>
    <v t="i">851</v>
    <v t="i">852</v>
    <v t="i">853</v>
    <v t="i">854</v>
    <v t="i">857</v>
    <v t="i">858</v>
    <v t="i">859</v>
    <v t="i">860</v>
    <v t="i">861</v>
    <v t="i">864</v>
    <v t="i">865</v>
    <v t="i">866</v>
    <v t="i">867</v>
    <v t="i">868</v>
    <v t="i">871</v>
    <v t="i">872</v>
    <v t="i">873</v>
    <v t="i">874</v>
    <v t="i">875</v>
    <v t="i">878</v>
    <v t="i">879</v>
    <v t="i">880</v>
    <v t="i">881</v>
    <v t="i">882</v>
    <v t="i">885</v>
    <v t="i">886</v>
    <v t="i">887</v>
    <v t="i">888</v>
    <v t="i">889</v>
    <v t="i">892</v>
    <v t="i">893</v>
    <v t="i">894</v>
    <v t="i">895</v>
    <v t="i">896</v>
    <v t="i">899</v>
    <v t="i">900</v>
    <v t="i">901</v>
    <v t="i">902</v>
    <v t="i">903</v>
    <v t="i">906</v>
    <v t="i">907</v>
    <v t="i">908</v>
    <v t="i">909</v>
    <v t="i">910</v>
    <v t="i">914</v>
    <v t="i">915</v>
    <v t="i">916</v>
    <v t="i">917</v>
    <v t="i">920</v>
    <v t="i">921</v>
    <v t="i">922</v>
    <v t="i">923</v>
    <v t="i">924</v>
    <v t="i">927</v>
    <v t="i">928</v>
    <v t="i">929</v>
    <v t="i">930</v>
    <v t="i">931</v>
    <v t="i">934</v>
    <v t="i">935</v>
    <v t="i">936</v>
    <v t="i">937</v>
    <v t="i">938</v>
    <v t="i">941</v>
    <v t="i">942</v>
    <v t="i">943</v>
    <v t="i">944</v>
    <v t="i">945</v>
    <v t="i">948</v>
    <v t="i">949</v>
    <v t="i">950</v>
    <v t="i">951</v>
    <v t="i">952</v>
    <v t="i">955</v>
    <v t="i">956</v>
    <v t="i">957</v>
    <v t="i">958</v>
    <v t="i">959</v>
    <v t="i">962</v>
    <v t="i">963</v>
    <v t="i">964</v>
    <v t="i">965</v>
    <v t="i">966</v>
    <v t="i">970</v>
    <v t="i">971</v>
    <v t="i">972</v>
    <v t="i">973</v>
    <v t="i">976</v>
    <v t="i">977</v>
    <v t="i">978</v>
    <v t="i">979</v>
    <v t="i">980</v>
    <v t="i">983</v>
    <v t="i">984</v>
    <v t="i">985</v>
    <v t="i">986</v>
    <v t="i">987</v>
    <v t="i">990</v>
    <v t="i">991</v>
    <v t="i">992</v>
    <v t="i">994</v>
    <v t="i">997</v>
    <v t="i">998</v>
    <v t="i">999</v>
    <v t="i">1000</v>
    <v t="i">1001</v>
    <v t="i">1004</v>
    <v t="i">1005</v>
    <v t="i">1006</v>
    <v t="i">1007</v>
    <v t="i">1008</v>
    <v t="i">1011</v>
    <v t="i">1012</v>
    <v t="i">1013</v>
    <v t="i">1014</v>
    <v t="i">1015</v>
    <v t="i">1018</v>
    <v t="i">1019</v>
    <v t="i">1020</v>
    <v t="i">1021</v>
    <v t="i">1022</v>
    <v t="i">1025</v>
    <v t="i">1027</v>
    <v t="i">1028</v>
    <v t="i">1029</v>
    <v t="i">1032</v>
    <v t="i">1034</v>
    <v t="i">1035</v>
    <v t="i">1036</v>
    <v t="i">1039</v>
    <v t="i">1040</v>
    <v t="i">1041</v>
    <v t="i">1042</v>
    <v t="i">1043</v>
    <v t="i">1046</v>
    <v t="i">1047</v>
    <v t="i">1048</v>
    <v t="i">1049</v>
    <v t="i">1050</v>
    <v t="i">1054</v>
    <v t="i">1055</v>
    <v t="i">1056</v>
    <v t="i">1057</v>
    <v t="i">1060</v>
    <v t="i">1061</v>
    <v t="i">1062</v>
    <v t="i">1063</v>
    <v t="i">1064</v>
    <v t="i">1067</v>
    <v t="i">1068</v>
    <v t="i">1069</v>
    <v t="i">1070</v>
    <v t="i">1071</v>
    <v t="i">1074</v>
    <v t="i">1075</v>
    <v t="i">1076</v>
    <v t="i">1077</v>
    <v t="i">1078</v>
    <v t="i">1082</v>
    <v t="i">1083</v>
    <v t="i">1084</v>
    <v t="i">1085</v>
    <v t="i">1088</v>
    <v t="i">1089</v>
    <v t="i">1090</v>
    <v t="i">1091</v>
    <v t="i">1092</v>
    <v t="i">1095</v>
    <v t="i">1096</v>
    <v t="i">1097</v>
    <v t="i">1098</v>
    <v t="i">1099</v>
    <v t="i">1102</v>
    <v t="i">1103</v>
    <v t="i">1104</v>
    <v t="i">1105</v>
    <v t="i">1106</v>
    <v t="i">1109</v>
    <v t="i">1110</v>
    <v t="i">1111</v>
    <v t="i">1112</v>
    <v t="i">1113</v>
    <v t="i">1116</v>
    <v t="i">1117</v>
    <v t="i">1118</v>
    <v t="i">1119</v>
    <v t="i">1123</v>
    <v t="i">1124</v>
    <v t="i">1125</v>
    <v t="i">1126</v>
    <v t="i">1127</v>
    <v t="i">1130</v>
    <v t="i">1131</v>
    <v t="i">1132</v>
    <v t="i">1133</v>
    <v t="i">1134</v>
    <v t="i">1137</v>
    <v t="i">1138</v>
    <v t="i">1139</v>
    <v t="i">1140</v>
    <v t="i">1141</v>
    <v t="i">1144</v>
    <v t="i">1145</v>
    <v t="i">1146</v>
    <v t="i">1147</v>
    <v t="i">1148</v>
    <v t="i">1151</v>
    <v t="i">1152</v>
    <v t="i">1153</v>
    <v t="i">1154</v>
    <v t="i">1155</v>
    <v t="i">1158</v>
    <v t="i">1159</v>
    <v t="i">1160</v>
    <v t="i">1161</v>
    <v t="i">1162</v>
    <v t="i">1165</v>
    <v t="i">1166</v>
    <v t="i">1167</v>
    <v t="i">1168</v>
    <v t="i">1169</v>
    <v t="i">1172</v>
    <v t="i">1173</v>
    <v t="i">1174</v>
    <v t="i">1175</v>
    <v t="i">1176</v>
    <v t="i">1180</v>
    <v t="i">1181</v>
    <v t="i">1182</v>
    <v t="i">1183</v>
    <v t="i">1186</v>
    <v t="i">1187</v>
    <v t="i">1188</v>
    <v t="i">1189</v>
    <v t="i">1190</v>
    <v t="i">1193</v>
    <v t="i">1194</v>
    <v t="i">1195</v>
    <v t="i">1196</v>
    <v t="i">1197</v>
    <v t="i">1200</v>
    <v t="i">1201</v>
    <v t="i">1202</v>
    <v t="i">1203</v>
    <v t="i">1204</v>
    <v t="i">1207</v>
    <v t="i">1208</v>
    <v t="i">1209</v>
    <v t="i">1210</v>
    <v t="i">1211</v>
    <v t="i">1214</v>
    <v t="i">1215</v>
    <v t="i">1216</v>
    <v t="i">1218</v>
    <v t="i">1221</v>
    <v t="i">1222</v>
    <v t="i">1223</v>
    <v t="i">1224</v>
    <v t="i">1225</v>
    <v t="i">1228</v>
    <v t="i">1229</v>
    <v t="i">1230</v>
    <v t="i">1231</v>
    <v t="i">1232</v>
    <v t="i">1235</v>
    <v t="i">1236</v>
    <v t="i">1237</v>
    <v t="i">1238</v>
    <v t="i">1239</v>
    <v t="i">1242</v>
    <v t="i">1243</v>
    <v t="i">1244</v>
    <v t="i">1245</v>
    <v t="i">1246</v>
    <v t="i">1249</v>
    <v t="i">1250</v>
    <v t="i">1251</v>
    <v t="i">1252</v>
    <v t="i">1253</v>
    <v t="i">1256</v>
    <v t="i">1257</v>
    <v t="i">1258</v>
    <v t="i">1259</v>
    <v t="i">1260</v>
    <v t="i">1263</v>
    <v t="i">1264</v>
    <v t="i">1265</v>
    <v t="i">1266</v>
    <v t="i">1267</v>
    <v t="i">1270</v>
    <v t="i">1271</v>
    <v t="i">1272</v>
    <v t="i">1273</v>
    <v t="i">1274</v>
    <v t="i">1278</v>
    <v t="i">1279</v>
    <v t="i">1280</v>
    <v t="i">1281</v>
    <v t="i">1284</v>
    <v t="i">1285</v>
    <v t="i">1286</v>
    <v t="i">1287</v>
    <v t="i">1288</v>
    <v t="i">1291</v>
    <v t="i">1292</v>
    <v t="i">1293</v>
    <v t="i">1294</v>
    <v t="i">1295</v>
    <v t="i">1298</v>
    <v t="i">1299</v>
    <v t="i">1300</v>
    <v t="i">1301</v>
    <v t="i">1302</v>
    <v t="i">1305</v>
    <v t="i">1306</v>
    <v t="i">1307</v>
    <v t="i">1308</v>
    <v t="i">1309</v>
    <v t="i">1312</v>
    <v t="i">1313</v>
    <v t="i">1314</v>
    <v t="i">1315</v>
    <v t="i">1316</v>
    <v t="i">1319</v>
    <v t="i">1320</v>
    <v t="i">1321</v>
    <v t="i">1322</v>
    <v t="i">1323</v>
    <v t="i">1326</v>
    <v t="i">1327</v>
    <v t="i">1328</v>
    <v t="i">1329</v>
    <v t="i">1330</v>
    <v t="i">1333</v>
    <v t="i">1334</v>
    <v t="i">1335</v>
    <v t="i">1336</v>
    <v t="i">1337</v>
    <v t="i">1340</v>
    <v t="i">1341</v>
    <v t="i">1342</v>
    <v t="i">1343</v>
    <v t="i">1344</v>
    <v t="i">1347</v>
    <v t="i">1348</v>
    <v t="i">1349</v>
    <v t="i">1350</v>
    <v t="i">1351</v>
    <v t="i">1354</v>
    <v t="i">1355</v>
    <v t="i">1356</v>
    <v t="i">1357</v>
    <v t="i">1358</v>
    <v t="i">1361</v>
    <v t="i">1362</v>
    <v t="i">1363</v>
    <v t="i">1365</v>
    <v t="i">1368</v>
    <v t="i">1369</v>
    <v t="i">1370</v>
    <v t="i">1371</v>
    <v t="i">1372</v>
    <v t="i">1375</v>
    <v t="i">1376</v>
    <v t="i">1377</v>
    <v t="i">1378</v>
    <v t="i">1379</v>
    <v t="i">1382</v>
    <v t="i">1383</v>
    <v t="i">1384</v>
    <v t="i">1385</v>
    <v t="i">1386</v>
    <v t="i">1389</v>
    <v t="i">1390</v>
    <v t="i">1392</v>
    <v t="i">1393</v>
    <v t="i">1396</v>
    <v t="i">1397</v>
    <v t="i">1399</v>
    <v t="i">1400</v>
    <v t="i">1403</v>
    <v t="i">1404</v>
    <v t="i">1405</v>
    <v t="i">1406</v>
    <v t="i">1407</v>
    <v t="i">1410</v>
    <v t="i">1411</v>
    <v t="i">1412</v>
    <v t="i">1413</v>
    <v t="i">1414</v>
    <v t="i">1418</v>
    <v t="i">1419</v>
    <v t="i">1420</v>
    <v t="i">1421</v>
    <v t="i">1424</v>
    <v t="i">1425</v>
    <v t="i">1426</v>
    <v t="i">1427</v>
    <v t="i">1428</v>
    <v t="i">1431</v>
    <v t="i">1432</v>
    <v t="i">1433</v>
    <v t="i">1434</v>
    <v t="i">1435</v>
    <v t="i">1438</v>
    <v t="i">1439</v>
    <v t="i">1440</v>
    <v t="i">1441</v>
    <v t="i">1442</v>
    <v t="i">1446</v>
    <v t="i">1447</v>
    <v t="i">1448</v>
    <v t="i">1449</v>
    <v t="i">1452</v>
    <v t="i">1453</v>
    <v t="i">1454</v>
    <v t="i">1455</v>
    <v t="i">1456</v>
    <v t="i">1459</v>
    <v t="i">1460</v>
    <v t="i">1461</v>
    <v t="i">1462</v>
    <v t="i">1463</v>
    <v t="i">1466</v>
    <v t="i">1467</v>
    <v t="i">1468</v>
    <v t="i">1469</v>
    <v t="i">1470</v>
    <v t="i">1473</v>
    <v t="i">1474</v>
    <v t="i">1475</v>
    <v t="i">1476</v>
    <v t="i">1477</v>
    <v t="i">1480</v>
    <v t="i">1481</v>
    <v t="i">1482</v>
    <v t="i">1483</v>
    <v t="i">1484</v>
    <v t="i">1487</v>
    <v t="i">1488</v>
    <v t="i">1489</v>
    <v t="i">1490</v>
    <v t="i">1491</v>
    <v t="i">1494</v>
    <v t="i">1495</v>
    <v t="i">1496</v>
    <v t="i">1497</v>
    <v t="i">1498</v>
    <v t="i">1501</v>
    <v t="i">1502</v>
    <v t="i">1503</v>
    <v t="i">1504</v>
    <v t="i">1508</v>
    <v t="i">1509</v>
    <v t="i">1510</v>
    <v t="i">1511</v>
    <v t="i">1512</v>
    <v t="i">1515</v>
    <v t="i">1516</v>
    <v t="i">1517</v>
    <v t="i">1518</v>
    <v t="i">1519</v>
    <v t="i">1522</v>
    <v t="i">1523</v>
    <v t="i">1524</v>
    <v t="i">1525</v>
    <v t="i">1526</v>
    <v t="i">1529</v>
    <v t="i">1530</v>
    <v t="i">1531</v>
    <v t="i">1532</v>
    <v t="i">1533</v>
    <v t="i">1536</v>
    <v t="i">1537</v>
    <v t="i">1538</v>
    <v t="i">1539</v>
    <v t="i">1540</v>
    <v t="i">1544</v>
    <v t="i">1545</v>
    <v t="i">1546</v>
    <v t="i">1547</v>
    <v t="i">1550</v>
    <v t="i">1551</v>
    <v t="i">1552</v>
    <v t="i">1553</v>
    <v t="i">1554</v>
    <v t="i">1557</v>
    <v t="i">1558</v>
    <v t="i">1559</v>
    <v t="i">1560</v>
    <v t="i">1561</v>
    <v t="i">1564</v>
    <v t="i">1565</v>
    <v t="i">1566</v>
    <v t="i">1567</v>
    <v t="i">1568</v>
    <v t="i">1571</v>
    <v t="i">1572</v>
    <v t="i">1573</v>
    <v t="i">1574</v>
    <v t="i">1575</v>
    <v t="i">1578</v>
    <v t="i">1579</v>
    <v t="i">1580</v>
    <v t="i">1581</v>
    <v t="i">1585</v>
    <v t="i">1586</v>
    <v t="i">1587</v>
    <v t="i">1588</v>
    <v t="i">1589</v>
    <v t="i">1592</v>
    <v t="i">1593</v>
    <v t="i">1594</v>
    <v t="i">1595</v>
    <v t="i">1596</v>
    <v t="i">1599</v>
    <v t="i">1600</v>
    <v t="i">1601</v>
    <v t="i">1602</v>
    <v t="i">1603</v>
    <v t="i">1606</v>
    <v t="i">1607</v>
    <v t="i">1608</v>
    <v t="i">1609</v>
    <v t="i">1610</v>
    <v t="i">1613</v>
    <v t="i">1614</v>
    <v t="i">1615</v>
    <v t="i">1616</v>
    <v t="i">1617</v>
    <v t="i">1620</v>
    <v t="i">1621</v>
    <v t="i">1622</v>
    <v t="i">1623</v>
    <v t="i">1624</v>
    <v t="i">1627</v>
    <v t="i">1628</v>
    <v t="i">1629</v>
    <v t="i">1630</v>
    <v t="i">1631</v>
    <v t="i">1634</v>
    <v t="i">1635</v>
    <v t="i">1636</v>
    <v t="i">1637</v>
    <v t="i">1638</v>
    <v t="i">1642</v>
    <v t="i">1643</v>
    <v t="i">1644</v>
    <v t="i">1645</v>
    <v t="i">1648</v>
    <v t="i">1649</v>
    <v t="i">1650</v>
    <v t="i">1651</v>
    <v t="i">1652</v>
    <v t="i">1655</v>
    <v t="i">1656</v>
    <v t="i">1657</v>
    <v t="i">1658</v>
    <v t="i">1659</v>
    <v t="i">1662</v>
    <v t="i">1663</v>
    <v t="i">1664</v>
    <v t="i">1665</v>
    <v t="i">1666</v>
    <v t="i">1669</v>
    <v t="i">1670</v>
    <v t="i">1671</v>
    <v t="i">1672</v>
    <v t="i">1673</v>
    <v t="i">1676</v>
    <v t="i">1677</v>
    <v t="i">1678</v>
    <v t="i">1679</v>
    <v t="i">1680</v>
    <v t="i">1683</v>
    <v t="i">1684</v>
    <v t="i">1685</v>
    <v t="i">1686</v>
    <v t="i">1687</v>
    <v t="i">1690</v>
    <v t="i">1691</v>
    <v t="i">1692</v>
    <v t="i">1693</v>
    <v t="i">1694</v>
    <v t="i">1697</v>
    <v t="i">1698</v>
    <v t="i">1699</v>
    <v t="i">1700</v>
    <v t="i">1701</v>
    <v t="i">1704</v>
    <v t="i">1705</v>
    <v t="i">1706</v>
    <v t="i">1707</v>
    <v t="i">1708</v>
    <v t="i">1711</v>
    <v t="i">1712</v>
    <v t="i">1713</v>
    <v t="i">1714</v>
    <v t="i">1715</v>
    <v t="i">1718</v>
    <v t="i">1719</v>
    <v t="i">1720</v>
    <v t="i">1721</v>
    <v t="i">1722</v>
    <v t="i">1725</v>
    <v t="i">1726</v>
    <v t="i">1727</v>
    <v t="i">1729</v>
    <v t="i">1732</v>
    <v t="i">1733</v>
    <v t="i">1734</v>
    <v t="i">1735</v>
    <v t="i">1736</v>
    <v t="i">1739</v>
    <v t="i">1740</v>
    <v t="i">1741</v>
    <v t="i">1742</v>
    <v t="i">1743</v>
    <v t="i">1746</v>
    <v t="i">1747</v>
    <v t="i">1748</v>
    <v t="i">1749</v>
    <v t="i">1750</v>
    <v t="i">1753</v>
    <v t="i">1754</v>
    <v t="i">1755</v>
    <v t="i">1757</v>
    <v t="i">1760</v>
    <v t="i">1761</v>
    <v t="i">1762</v>
    <v t="i">1764</v>
    <v t="i">1767</v>
    <v t="i">1768</v>
    <v t="i">1769</v>
    <v t="i">1770</v>
    <v t="i">1771</v>
    <v t="i">1774</v>
    <v t="i">1775</v>
    <v t="i">1776</v>
    <v t="i">1777</v>
    <v t="i">1778</v>
    <v t="i">1782</v>
    <v t="i">1783</v>
    <v t="i">1784</v>
    <v t="i">1785</v>
    <v t="i">1788</v>
    <v t="i">1789</v>
    <v t="i">1790</v>
    <v t="i">1791</v>
    <v t="i">1792</v>
    <v t="i">1795</v>
    <v t="i">1796</v>
    <v t="i">1797</v>
    <v t="i">1798</v>
    <v t="i">1799</v>
    <v t="i">1802</v>
    <v t="i">1803</v>
    <v t="i">1804</v>
    <v t="i">1805</v>
    <v t="i">1806</v>
    <v t="i">1810</v>
    <v t="i">1811</v>
    <v t="i">1812</v>
    <v t="i">1813</v>
    <v t="i">1816</v>
    <v t="i">1817</v>
    <v t="i">1818</v>
    <v t="i">1819</v>
    <v t="i">1820</v>
    <v t="i">1823</v>
    <v t="i">1824</v>
    <v t="i">1825</v>
    <v t="i">1826</v>
    <v t="i">1827</v>
    <v t="i">1830</v>
    <v t="i">1831</v>
    <v t="i">1832</v>
    <v t="i">1833</v>
    <v t="i">1834</v>
    <v t="i">1837</v>
    <v t="i">1838</v>
    <v t="i">1839</v>
    <v t="i">1840</v>
    <v t="i">1841</v>
    <v t="i">1844</v>
    <v t="i">1845</v>
    <v t="i">1846</v>
    <v t="i">1847</v>
    <v t="i">1848</v>
    <v t="i">1851</v>
    <v t="i">1852</v>
    <v t="i">1853</v>
    <v t="i">1854</v>
    <v t="i">1858</v>
    <v t="i">1859</v>
    <v t="i">1860</v>
    <v t="i">1861</v>
    <v t="i">1862</v>
    <v t="i">1865</v>
    <v t="i">1866</v>
    <v t="i">1867</v>
    <v t="i">1868</v>
    <v t="i">1869</v>
    <v t="i">1872</v>
    <v t="i">1873</v>
    <v t="i">1874</v>
    <v t="i">1875</v>
    <v t="i">1876</v>
    <v t="i">1879</v>
    <v t="i">1880</v>
    <v t="i">1881</v>
    <v t="i">1882</v>
    <v t="i">1883</v>
    <v t="i">1886</v>
    <v t="i">1887</v>
    <v t="i">1888</v>
    <v t="i">1889</v>
    <v t="i">1890</v>
    <v t="i">1893</v>
    <v t="i">1894</v>
    <v t="i">1895</v>
    <v t="i">1896</v>
    <v t="i">1897</v>
    <v t="i">1900</v>
    <v t="i">1901</v>
    <v t="i">1902</v>
    <v t="i">1903</v>
    <v t="i">1904</v>
    <v t="i">1908</v>
    <v t="i">1909</v>
    <v t="i">1910</v>
    <v t="i">1911</v>
    <v t="i">1914</v>
    <v t="i">1915</v>
    <v t="i">1916</v>
    <v t="i">1917</v>
    <v t="i">1918</v>
    <v t="i">1921</v>
    <v t="i">1922</v>
    <v t="i">1923</v>
    <v t="i">1924</v>
    <v t="i">1925</v>
    <v t="i">1928</v>
    <v t="i">1929</v>
    <v t="i">1930</v>
    <v t="i">1931</v>
    <v t="i">1932</v>
    <v t="i">1935</v>
    <v t="i">1936</v>
    <v t="i">1937</v>
    <v t="i">1938</v>
    <v t="i">1939</v>
    <v t="i">1942</v>
    <v t="i">1943</v>
    <v t="i">1944</v>
    <v t="i">1945</v>
    <v t="i">1949</v>
    <v t="i">1950</v>
    <v t="i">1951</v>
    <v t="i">1952</v>
    <v t="i">1953</v>
    <v t="i">1956</v>
    <v t="i">1957</v>
    <v t="i">1958</v>
    <v t="i">1959</v>
    <v t="i">1960</v>
    <v t="i">1963</v>
    <v t="i">1964</v>
    <v t="i">1965</v>
    <v t="i">1966</v>
    <v t="i">1967</v>
    <v t="i">1970</v>
    <v t="i">1971</v>
    <v t="i">1972</v>
    <v t="i">1973</v>
    <v t="i">1974</v>
    <v t="i">1977</v>
    <v t="i">1978</v>
    <v t="i">1979</v>
    <v t="i">1980</v>
    <v t="i">1981</v>
    <v t="i">1984</v>
    <v t="i">1985</v>
    <v t="i">1986</v>
    <v t="i">1987</v>
    <v t="i">1988</v>
    <v t="i">1991</v>
    <v t="i">1992</v>
    <v t="i">1993</v>
    <v t="i">1994</v>
    <v t="i">1995</v>
    <v t="i">1998</v>
    <v t="i">1999</v>
    <v t="i">2000</v>
    <v t="i">2001</v>
    <v t="i">2002</v>
    <v t="i">2005</v>
    <v t="i">2006</v>
    <v t="i">2007</v>
    <v t="i">2008</v>
    <v t="i">2009</v>
    <v t="i">2013</v>
    <v t="i">2014</v>
    <v t="i">2015</v>
    <v t="i">2016</v>
    <v t="i">2019</v>
    <v t="i">2020</v>
    <v t="i">2021</v>
    <v t="i">2022</v>
    <v t="i">2023</v>
    <v t="i">2026</v>
    <v t="i">2027</v>
    <v t="i">2028</v>
    <v t="i">2029</v>
    <v t="i">2030</v>
    <v t="i">2033</v>
    <v t="i">2034</v>
    <v t="i">2035</v>
    <v t="i">2036</v>
    <v t="i">2037</v>
    <v t="i">2040</v>
    <v t="i">2041</v>
    <v t="i">2042</v>
    <v t="i">2043</v>
    <v t="i">2044</v>
    <v t="i">2047</v>
    <v t="i">2048</v>
    <v t="i">2049</v>
    <v t="i">2050</v>
    <v t="i">2051</v>
    <v t="i">2054</v>
    <v t="i">2055</v>
    <v t="i">2056</v>
    <v t="i">2057</v>
    <v t="i">2058</v>
    <v t="i">2061</v>
    <v t="i">2062</v>
    <v t="i">2063</v>
    <v t="i">2064</v>
    <v t="i">2065</v>
    <v t="i">2068</v>
    <v t="i">2069</v>
    <v t="i">2070</v>
    <v t="i">2071</v>
    <v t="i">2072</v>
    <v t="i">2075</v>
    <v t="i">2076</v>
    <v t="i">2077</v>
    <v t="i">2078</v>
    <v t="i">2079</v>
    <v t="i">2082</v>
    <v t="i">2083</v>
    <v t="i">2084</v>
    <v t="i">2085</v>
    <v t="i">2086</v>
    <v t="i">2089</v>
    <v t="i">2090</v>
    <v t="i">2091</v>
    <v t="i">2093</v>
    <v t="i">2096</v>
    <v t="i">2097</v>
    <v t="i">2098</v>
    <v t="i">2099</v>
    <v t="i">2100</v>
    <v t="i">2103</v>
    <v t="i">2104</v>
    <v t="i">2105</v>
    <v t="i">2106</v>
    <v t="i">2107</v>
    <v t="i">2110</v>
    <v t="i">2111</v>
    <v t="i">2112</v>
    <v t="i">2113</v>
    <v t="i">2114</v>
    <v t="i">2117</v>
    <v t="i">2118</v>
    <v t="i">2119</v>
    <v t="i">2120</v>
    <v t="i">2124</v>
    <v t="i">2125</v>
    <v t="i">2126</v>
    <v t="i">2127</v>
    <v t="i">2131</v>
    <v t="i">2132</v>
    <v t="i">2133</v>
    <v t="i">2134</v>
    <v t="i">2135</v>
    <v t="i">2138</v>
    <v t="i">2139</v>
    <v t="i">2140</v>
    <v t="i">2141</v>
    <v t="i">2142</v>
    <v t="i">2146</v>
    <v t="i">2147</v>
    <v t="i">2148</v>
    <v t="i">2149</v>
    <v t="i">2152</v>
    <v t="i">2153</v>
    <v t="i">2154</v>
    <v t="i">2155</v>
    <v t="i">2156</v>
    <v t="i">2159</v>
    <v t="i">2160</v>
    <v t="i">2161</v>
    <v t="i">2162</v>
    <v t="i">2163</v>
    <v t="i">2166</v>
    <v t="i">2167</v>
    <v t="i">2168</v>
    <v t="i">2169</v>
    <v t="i">2170</v>
    <v t="i">2174</v>
    <v t="i">2175</v>
    <v t="i">2176</v>
    <v t="i">2177</v>
    <v t="i">2180</v>
    <v t="i">2181</v>
    <v t="i">2182</v>
    <v t="i">2183</v>
    <v t="i">2184</v>
    <v t="i">2187</v>
    <v t="i">2188</v>
    <v t="i">2189</v>
    <v t="i">2190</v>
    <v t="i">2191</v>
    <v t="i">2194</v>
    <v t="i">2195</v>
    <v t="i">2196</v>
    <v t="i">2197</v>
    <v t="i">2198</v>
    <v t="i">2201</v>
    <v t="i">2202</v>
    <v t="i">2203</v>
    <v t="i">2204</v>
    <v t="i">2205</v>
    <v t="i">2208</v>
    <v t="i">2209</v>
    <v t="i">2210</v>
    <v t="i">2211</v>
    <v t="i">2215</v>
    <v t="i">2216</v>
    <v t="i">2217</v>
    <v t="i">2218</v>
    <v t="i">2219</v>
    <v t="i">2222</v>
    <v t="i">2223</v>
    <v t="i">2224</v>
    <v t="i">2225</v>
    <v t="i">2226</v>
    <v t="i">2229</v>
    <v t="i">2230</v>
    <v t="i">2231</v>
    <v t="i">2232</v>
    <v t="i">2233</v>
    <v t="i">2236</v>
    <v t="i">2237</v>
    <v t="i">2238</v>
    <v t="i">2239</v>
    <v t="i">2240</v>
    <v t="i">2243</v>
    <v t="i">2244</v>
    <v t="i">2245</v>
    <v t="i">2246</v>
    <v t="i">2247</v>
    <v t="i">2250</v>
    <v t="i">2251</v>
    <v t="i">2252</v>
    <v t="i">2253</v>
    <v t="i">2254</v>
    <v t="i">2257</v>
    <v t="i">2258</v>
    <v t="i">2259</v>
    <v t="i">2260</v>
    <v t="i">2261</v>
    <v t="i">2264</v>
    <v t="i">2265</v>
    <v t="i">2266</v>
    <v t="i">2267</v>
    <v t="i">2268</v>
    <v t="i">2271</v>
    <v t="i">2272</v>
    <v t="i">2273</v>
    <v t="i">2274</v>
    <v t="i">2275</v>
    <v t="i">2279</v>
    <v t="i">2280</v>
    <v t="i">2281</v>
    <v t="i">2282</v>
    <v t="i">2285</v>
    <v t="i">2286</v>
    <v t="i">2287</v>
    <v t="i">2288</v>
    <v t="i">2289</v>
    <v t="i">2292</v>
    <v t="i">2293</v>
    <v t="i">2294</v>
    <v t="i">2295</v>
    <v t="i">2296</v>
    <v t="i">2299</v>
    <v t="i">2300</v>
    <v t="i">2301</v>
    <v t="i">2302</v>
    <v t="i">2303</v>
    <v t="i">2306</v>
    <v t="i">2307</v>
    <v t="i">2308</v>
    <v t="i">2309</v>
    <v t="i">2310</v>
    <v t="i">2314</v>
    <v t="i">2315</v>
    <v t="i">2316</v>
    <v t="i">2317</v>
    <v t="i">2320</v>
    <v t="i">2321</v>
    <v t="i">2322</v>
    <v t="i">2323</v>
    <v t="i">2324</v>
    <v t="i">2327</v>
    <v t="i">2328</v>
    <v t="i">2329</v>
    <v t="i">2330</v>
    <v t="i">2331</v>
    <v t="i">2334</v>
    <v t="i">2335</v>
    <v t="i">2336</v>
    <v t="i">2337</v>
    <v t="i">2338</v>
    <v t="i">2341</v>
    <v t="i">2342</v>
    <v t="i">2343</v>
    <v t="i">2344</v>
    <v t="i">2345</v>
    <v t="i">2348</v>
    <v t="i">2349</v>
    <v t="i">2350</v>
    <v t="i">2351</v>
    <v t="i">2352</v>
    <v t="i">2355</v>
    <v t="i">2356</v>
    <v t="i">2357</v>
    <v t="i">2358</v>
    <v t="i">2359</v>
    <v t="i">2362</v>
    <v t="i">2363</v>
    <v t="i">2364</v>
    <v t="i">2365</v>
    <v t="i">2366</v>
    <v t="i">2369</v>
    <v t="i">2370</v>
    <v t="i">2371</v>
    <v t="i">2372</v>
    <v t="i">2373</v>
    <v t="i">2377</v>
    <v t="i">2378</v>
    <v t="i">2379</v>
    <v t="i">2380</v>
    <v t="i">2383</v>
    <v t="i">2384</v>
    <v t="i">2385</v>
    <v t="i">2386</v>
    <v t="i">2387</v>
    <v t="i">2390</v>
    <v t="i">2391</v>
    <v t="i">2392</v>
    <v t="i">2393</v>
    <v t="i">2394</v>
    <v t="i">2397</v>
    <v t="i">2398</v>
    <v t="i">2399</v>
    <v t="i">2400</v>
    <v t="i">2401</v>
    <v t="i">2404</v>
    <v t="i">2405</v>
    <v t="i">2406</v>
    <v t="i">2407</v>
    <v t="i">2408</v>
    <v t="i">2411</v>
    <v t="i">2412</v>
    <v t="i">2413</v>
    <v t="i">2414</v>
    <v t="i">2415</v>
    <v t="i">2418</v>
    <v t="i">2419</v>
    <v t="i">2420</v>
    <v t="i">2421</v>
    <v t="i">2422</v>
    <v t="i">2425</v>
    <v t="i">2426</v>
    <v t="i">2427</v>
    <v t="i">2428</v>
    <v t="i">2429</v>
    <v t="i">2432</v>
    <v t="i">2433</v>
    <v t="i">2434</v>
    <v t="i">2435</v>
    <v t="i">2436</v>
    <v t="i">2439</v>
    <v t="i">2440</v>
    <v t="i">2441</v>
    <v t="i">2442</v>
    <v t="i">2443</v>
    <v t="i">2446</v>
    <v t="i">2447</v>
    <v t="i">2448</v>
    <v t="i">2449</v>
    <v t="i">2450</v>
    <v t="i">2453</v>
    <v t="i">2454</v>
    <v t="i">2455</v>
    <v t="i">2457</v>
    <v t="i">2460</v>
    <v t="i">2461</v>
    <v t="i">2462</v>
    <v t="i">2463</v>
    <v t="i">2464</v>
    <v t="i">2467</v>
    <v t="i">2468</v>
    <v t="i">2469</v>
    <v t="i">2470</v>
    <v t="i">2471</v>
    <v t="i">2474</v>
    <v t="i">2475</v>
    <v t="i">2476</v>
    <v t="i">2477</v>
    <v t="i">2478</v>
    <v t="i">2481</v>
    <v t="i">2482</v>
    <v t="i">2483</v>
    <v t="i">2484</v>
    <v t="i">2485</v>
    <v t="i">2489</v>
    <v t="i">2490</v>
    <v t="i">2491</v>
    <v t="i">2492</v>
    <v t="i">2496</v>
    <v t="i">2497</v>
    <v t="i">2498</v>
    <v t="i">2499</v>
    <v t="i">2502</v>
    <v t="i">2503</v>
    <v t="i">2504</v>
    <v t="i">2505</v>
    <v t="i">2506</v>
    <v t="i">2510</v>
    <v t="i">2511</v>
    <v t="i">2512</v>
    <v t="i">2513</v>
    <v t="i">2516</v>
    <v t="i">2517</v>
    <v t="i">2518</v>
    <v t="i">2519</v>
    <v t="i">2520</v>
    <v t="i">2523</v>
    <v t="i">2524</v>
    <v t="i">2525</v>
    <v t="i">2526</v>
    <v t="i">2527</v>
    <v t="i">2530</v>
    <v t="i">2531</v>
    <v t="i">2532</v>
    <v t="i">2533</v>
    <v t="i">2534</v>
    <v t="i">2537</v>
    <v t="i">2538</v>
    <v t="i">2539</v>
    <v t="i">2540</v>
    <v t="i">2541</v>
    <v t="i">2545</v>
    <v t="i">2546</v>
    <v t="i">2547</v>
    <v t="i">2548</v>
    <v t="i">2551</v>
    <v t="i">2552</v>
    <v t="i">2553</v>
    <v t="i">2554</v>
    <v t="i">2555</v>
    <v t="i">2558</v>
    <v t="i">2559</v>
    <v t="i">2560</v>
    <v t="i">2561</v>
    <v t="i">2562</v>
    <v t="i">2565</v>
    <v t="i">2566</v>
    <v t="i">2567</v>
    <v t="i">2568</v>
    <v t="i">2569</v>
    <v t="i">2572</v>
    <v t="i">2573</v>
    <v t="i">2574</v>
    <v t="i">2575</v>
    <v t="i">2576</v>
    <v t="i">2579</v>
    <v t="i">2580</v>
    <v t="i">2581</v>
    <v t="i">2582</v>
    <v t="i">2583</v>
    <v t="i">2586</v>
    <v t="i">2587</v>
    <v t="i">2588</v>
    <v t="i">2589</v>
    <v t="i">2590</v>
    <v t="i">2593</v>
    <v t="i">2594</v>
    <v t="i">2595</v>
    <v t="i">2596</v>
    <v t="i">2600</v>
    <v t="i">2601</v>
    <v t="i">2602</v>
    <v t="i">2603</v>
    <v t="i">2604</v>
    <v t="i">2607</v>
    <v t="i">2608</v>
    <v t="i">2609</v>
    <v t="i">2610</v>
    <v t="i">2611</v>
    <v t="i">2614</v>
    <v t="i">2615</v>
    <v t="i">2616</v>
    <v t="i">2617</v>
    <v t="i">2618</v>
    <v t="i">2621</v>
    <v t="i">2622</v>
    <v t="i">2623</v>
    <v t="i">2624</v>
    <v t="i">2625</v>
    <v t="i">2628</v>
    <v t="i">2629</v>
    <v t="i">2630</v>
    <v t="i">2631</v>
    <v t="i">2632</v>
    <v t="i">2635</v>
    <v t="i">2636</v>
    <v t="i">2637</v>
    <v t="i">2638</v>
    <v t="i">2639</v>
    <v t="i">2643</v>
    <v t="i">2644</v>
    <v t="i">2645</v>
    <v t="i">2646</v>
    <v t="i">2649</v>
    <v t="i">2650</v>
    <v t="i">2651</v>
    <v t="i">2652</v>
    <v t="i">2653</v>
    <v t="i">2656</v>
    <v t="i">2657</v>
    <v t="i">2658</v>
    <v t="i">2659</v>
    <v t="i">2660</v>
    <v t="i">2663</v>
    <v t="i">2664</v>
    <v t="i">2665</v>
    <v t="i">2666</v>
    <v t="i">2667</v>
    <v t="i">2670</v>
    <v t="i">2671</v>
    <v t="i">2672</v>
    <v t="i">2673</v>
    <v t="i">2674</v>
    <v t="i">2677</v>
    <v t="i">2679</v>
    <v t="i">2680</v>
    <v t="i">2681</v>
    <v t="i">2684</v>
    <v t="i">2685</v>
    <v t="i">2686</v>
    <v t="i">2687</v>
    <v t="i">2688</v>
    <v t="i">2691</v>
    <v t="i">2692</v>
    <v t="i">2693</v>
    <v t="i">2694</v>
    <v t="i">2695</v>
    <v t="i">2698</v>
    <v t="i">2699</v>
    <v t="i">2700</v>
    <v t="i">2701</v>
    <v t="i">2702</v>
    <v t="i">2705</v>
    <v t="i">2706</v>
    <v t="i">2707</v>
    <v t="i">2708</v>
    <v t="i">2709</v>
    <v t="i">2712</v>
    <v t="i">2713</v>
    <v t="i">2714</v>
    <v t="i">2715</v>
    <v t="i">2716</v>
    <v t="i">2719</v>
    <v t="i">2720</v>
    <v t="i">2721</v>
    <v t="i">2722</v>
    <v t="i">2723</v>
    <v t="i">2726</v>
    <v t="i">2727</v>
    <v t="i">2728</v>
    <v t="i">2729</v>
    <v t="i">2730</v>
    <v t="i">2733</v>
    <v t="i">2734</v>
    <v t="i">2735</v>
    <v t="i">2736</v>
    <v t="i">2737</v>
    <v t="i">2741</v>
    <v t="i">2742</v>
    <v t="i">2743</v>
    <v t="i">2744</v>
    <v t="i">2747</v>
    <v t="i">2748</v>
    <v t="i">2749</v>
    <v t="i">2750</v>
    <v t="i">2751</v>
    <v t="i">2754</v>
    <v t="i">2755</v>
    <v t="i">2756</v>
    <v t="i">2757</v>
    <v t="i">2758</v>
    <v t="i">2761</v>
    <v t="i">2762</v>
    <v t="i">2763</v>
    <v t="i">2764</v>
    <v t="i">2765</v>
    <v t="i">2768</v>
    <v t="i">2769</v>
    <v t="i">2770</v>
    <v t="i">2771</v>
    <v t="i">2772</v>
    <v t="i">2775</v>
    <v t="i">2776</v>
    <v t="i">2777</v>
    <v t="i">2778</v>
    <v t="i">2779</v>
    <v t="i">2782</v>
    <v t="i">2783</v>
    <v t="i">2784</v>
    <v t="i">2785</v>
    <v t="i">2786</v>
    <v t="i">2789</v>
    <v t="i">2790</v>
    <v t="i">2791</v>
    <v t="i">2792</v>
    <v t="i">2793</v>
    <v t="i">2796</v>
    <v t="i">2797</v>
    <v t="i">2798</v>
    <v t="i">2799</v>
    <v t="i">2800</v>
    <v t="i">2803</v>
    <v t="i">2804</v>
    <v t="i">2805</v>
    <v t="i">2806</v>
    <v t="i">2807</v>
    <v t="i">2810</v>
    <v t="i">2811</v>
    <v t="i">2812</v>
    <v t="i">2813</v>
    <v t="i">2814</v>
    <v t="i">2817</v>
    <v t="i">2818</v>
    <v t="i">2819</v>
    <v t="i">2821</v>
    <v t="i">2824</v>
    <v t="i">2825</v>
    <v t="i">2826</v>
    <v t="i">2827</v>
    <v t="i">2828</v>
    <v t="i">2831</v>
    <v t="i">2832</v>
    <v t="i">2833</v>
    <v t="i">2834</v>
    <v t="i">2835</v>
    <v t="i">2838</v>
    <v t="i">2839</v>
    <v t="i">2840</v>
    <v t="i">2841</v>
    <v t="i">2842</v>
    <v t="i">2845</v>
    <v t="i">2846</v>
    <v t="i">2847</v>
    <v t="i">2848</v>
    <v t="i">2849</v>
    <v t="i">2853</v>
    <v t="i">2854</v>
    <v t="i">2855</v>
    <v t="i">2856</v>
    <v t="i">2860</v>
    <v t="i">2861</v>
    <v t="i">2862</v>
    <v t="i">2863</v>
    <v t="i">2866</v>
    <v t="i">2867</v>
    <v t="i">2868</v>
    <v t="i">2869</v>
    <v t="i">2870</v>
    <v t="i">2874</v>
    <v t="i">2875</v>
    <v t="i">2876</v>
    <v t="i">2877</v>
    <v t="i">2880</v>
    <v t="i">2881</v>
    <v t="i">2882</v>
    <v t="i">2883</v>
    <v t="i">2884</v>
    <v t="i">2887</v>
    <v t="i">2888</v>
    <v t="i">2889</v>
    <v t="i">2890</v>
    <v t="i">2891</v>
    <v t="i">2894</v>
    <v t="i">2895</v>
    <v t="i">2896</v>
    <v t="i">2897</v>
    <v t="i">2898</v>
    <v t="i">2901</v>
    <v t="i">2902</v>
    <v t="i">2903</v>
    <v t="i">2904</v>
    <v t="i">2905</v>
    <v t="i">2909</v>
    <v t="i">2910</v>
    <v t="i">2911</v>
    <v t="i">2912</v>
    <v t="i">2915</v>
    <v t="i">2916</v>
    <v t="i">2917</v>
    <v t="i">2918</v>
    <v t="i">2919</v>
    <v t="i">2922</v>
    <v t="i">2923</v>
    <v t="i">2924</v>
    <v t="i">2925</v>
    <v t="i">2926</v>
    <v t="i">2929</v>
    <v t="i">2930</v>
    <v t="i">2931</v>
    <v t="i">2932</v>
    <v t="i">2933</v>
    <v t="i">2936</v>
    <v t="i">2937</v>
    <v t="i">2938</v>
    <v t="i">2939</v>
    <v t="i">2940</v>
    <v t="i">2943</v>
    <v t="i">2944</v>
    <v t="i">2945</v>
    <v t="i">2946</v>
    <v t="i">2950</v>
    <v t="i">2951</v>
    <v t="i">2952</v>
    <v t="i">2953</v>
    <v t="i">2954</v>
    <v t="i">2957</v>
    <v t="i">2958</v>
    <v t="i">2959</v>
    <v t="i">2960</v>
    <v t="i">2961</v>
    <v t="i">2964</v>
    <v t="i">2965</v>
    <v t="i">2966</v>
    <v t="i">2967</v>
    <v t="i">2968</v>
    <v t="i">2971</v>
    <v t="i">2972</v>
    <v t="i">2973</v>
    <v t="i">2974</v>
    <v t="i">2975</v>
    <v t="i">2978</v>
    <v t="i">2979</v>
    <v t="i">2980</v>
    <v t="i">2981</v>
    <v t="i">2982</v>
    <v t="i">2985</v>
    <v t="i">2986</v>
    <v t="i">2987</v>
    <v t="i">2988</v>
    <v t="i">2989</v>
    <v t="i">2992</v>
    <v t="i">2993</v>
    <v t="i">2994</v>
    <v t="i">2995</v>
    <v t="i">2996</v>
    <v t="i">2999</v>
    <v t="i">3000</v>
    <v t="i">3001</v>
    <v t="i">3002</v>
    <v t="i">3003</v>
    <v t="i">3007</v>
    <v t="i">3008</v>
    <v t="i">3009</v>
    <v t="i">3010</v>
    <v t="i">3013</v>
    <v t="i">3014</v>
    <v t="i">3015</v>
    <v t="i">3016</v>
    <v t="i">3017</v>
    <v t="i">3020</v>
    <v t="i">3021</v>
    <v t="i">3022</v>
    <v t="i">3023</v>
    <v t="i">3024</v>
    <v t="i">3027</v>
    <v t="i">3028</v>
    <v t="i">3029</v>
    <v t="i">3030</v>
    <v t="i">3031</v>
    <v t="i">3034</v>
    <v t="i">3035</v>
    <v t="i">3036</v>
    <v t="i">3037</v>
    <v t="i">3038</v>
    <v t="i">3041</v>
    <v t="i">3042</v>
    <v t="i">3044</v>
    <v t="i">3045</v>
    <v t="i">3048</v>
    <v t="i">3049</v>
    <v t="i">3050</v>
    <v t="i">3051</v>
    <v t="i">3052</v>
    <v t="i">3055</v>
    <v t="i">3056</v>
    <v t="i">3057</v>
    <v t="i">3058</v>
    <v t="i">3059</v>
    <v t="i">3062</v>
    <v t="i">3063</v>
    <v t="i">3064</v>
    <v t="i">3065</v>
    <v t="i">3066</v>
    <v t="i">3069</v>
    <v t="i">3070</v>
    <v t="i">3071</v>
    <v t="i">3072</v>
    <v t="i">3073</v>
    <v t="i">3076</v>
    <v t="i">3077</v>
    <v t="i">3078</v>
    <v t="i">3079</v>
    <v t="i">3080</v>
    <v t="i">3083</v>
    <v t="i">3084</v>
    <v t="i">3085</v>
    <v t="i">3086</v>
    <v t="i">3087</v>
    <v t="i">3090</v>
    <v t="i">3091</v>
    <v t="i">3092</v>
    <v t="i">3093</v>
    <v t="i">3094</v>
    <v t="i">3097</v>
    <v t="i">3098</v>
    <v t="i">3099</v>
    <v t="i">3100</v>
    <v t="i">3101</v>
    <v t="i">3105</v>
    <v t="i">3106</v>
    <v t="i">3107</v>
    <v t="i">3108</v>
    <v t="i">3111</v>
    <v t="i">3112</v>
    <v t="i">3113</v>
    <v t="i">3114</v>
    <v t="i">3115</v>
    <v t="i">3118</v>
    <v t="i">3119</v>
    <v t="i">3120</v>
    <v t="i">3121</v>
    <v t="i">3122</v>
    <v t="i">3125</v>
    <v t="i">3126</v>
    <v t="i">3127</v>
    <v t="i">3128</v>
    <v t="i">3129</v>
    <v t="i">3132</v>
    <v t="i">3133</v>
    <v t="i">3134</v>
    <v t="i">3135</v>
    <v t="i">3136</v>
    <v t="i">3139</v>
    <v t="i">3140</v>
    <v t="i">3141</v>
    <v t="i">3142</v>
    <v t="i">3143</v>
    <v t="i">3146</v>
    <v t="i">3147</v>
    <v t="i">3148</v>
    <v t="i">3149</v>
    <v t="i">3150</v>
    <v t="i">3153</v>
    <v t="i">3154</v>
    <v t="i">3155</v>
    <v t="i">3156</v>
    <v t="i">3157</v>
    <v t="i">3160</v>
    <v t="i">3161</v>
    <v t="i">3162</v>
    <v t="i">3163</v>
    <v t="i">3164</v>
    <v t="i">3167</v>
    <v t="i">3168</v>
    <v t="i">3169</v>
    <v t="i">3170</v>
    <v t="i">3171</v>
    <v t="i">3174</v>
    <v t="i">3175</v>
    <v t="i">3176</v>
    <v t="i">3177</v>
    <v t="i">3178</v>
    <v t="i">3181</v>
    <v t="i">3182</v>
    <v t="i">3183</v>
    <v t="i">3185</v>
    <v t="i">3188</v>
    <v t="i">3189</v>
    <v t="i">3190</v>
    <v t="i">3191</v>
    <v t="i">3192</v>
    <v t="i">3195</v>
    <v t="i">3196</v>
    <v t="i">3198</v>
    <v t="i">3199</v>
    <v t="i">3202</v>
    <v t="i">3203</v>
    <v t="i">3204</v>
    <v t="i">3205</v>
    <v t="i">3206</v>
    <v t="i">3209</v>
    <v t="i">3210</v>
    <v t="i">3211</v>
    <v t="i">3212</v>
    <v t="i">3213</v>
    <v t="i">3216</v>
    <v t="i">3218</v>
    <v t="i">3219</v>
    <v t="i">3220</v>
    <v t="i">3223</v>
    <v t="i">3225</v>
    <v t="i">3226</v>
    <v t="i">3227</v>
    <v t="i">3230</v>
    <v t="i">3231</v>
    <v t="i">3232</v>
    <v t="i">3233</v>
    <v t="i">3234</v>
    <v t="i">3237</v>
    <v t="i">3238</v>
    <v t="i">3239</v>
    <v t="i">3240</v>
    <v t="i">3241</v>
    <v t="i">3245</v>
    <v t="i">3246</v>
    <v t="i">3247</v>
    <v t="i">3248</v>
    <v t="i">3251</v>
    <v t="i">3252</v>
    <v t="i">3253</v>
    <v t="i">3254</v>
    <v t="i">3255</v>
    <v t="i">3258</v>
    <v t="i">3259</v>
    <v t="i">3260</v>
    <v t="i">3261</v>
    <v t="i">3262</v>
    <v t="i">3265</v>
    <v t="i">3266</v>
    <v t="i">3267</v>
    <v t="i">3268</v>
    <v t="i">3269</v>
    <v t="i">3273</v>
    <v t="i">3274</v>
    <v t="i">3275</v>
    <v t="i">3276</v>
    <v t="i">3279</v>
    <v t="i">3280</v>
    <v t="i">3281</v>
    <v t="i">3282</v>
    <v t="i">3283</v>
    <v t="i">3286</v>
    <v t="i">3287</v>
    <v t="i">3288</v>
    <v t="i">3289</v>
    <v t="i">3290</v>
    <v t="i">3293</v>
    <v t="i">3294</v>
    <v t="i">3295</v>
    <v t="i">3296</v>
    <v t="i">3297</v>
    <v t="i">3300</v>
    <v t="i">3301</v>
    <v t="i">3302</v>
    <v t="i">3303</v>
    <v t="i">3304</v>
    <v t="i">3307</v>
    <v t="i">3308</v>
    <v t="i">3309</v>
    <v t="i">3310</v>
    <v t="i">3311</v>
    <v t="i">3314</v>
    <v t="i">3315</v>
    <v t="i">3316</v>
    <v t="i">3317</v>
    <v t="i">3318</v>
    <v t="i">3321</v>
    <v t="i">3322</v>
    <v t="i">3323</v>
    <v t="i">3324</v>
    <v t="i">3325</v>
    <v t="i">3328</v>
    <v t="i">3329</v>
    <v t="i">3330</v>
    <v t="i">3331</v>
    <v t="i">3335</v>
    <v t="i">3336</v>
    <v t="i">3337</v>
    <v t="i">3338</v>
    <v t="i">3339</v>
    <v t="i">3342</v>
    <v t="i">3343</v>
    <v t="i">3344</v>
    <v t="i">3345</v>
    <v t="i">3346</v>
    <v t="i">3349</v>
    <v t="i">3350</v>
    <v t="i">3351</v>
    <v t="i">3352</v>
    <v t="i">3353</v>
    <v t="i">3356</v>
    <v t="i">3357</v>
    <v t="i">3358</v>
    <v t="i">3359</v>
    <v t="i">3360</v>
    <v t="i">3363</v>
    <v t="i">3364</v>
    <v t="i">3365</v>
    <v t="i">3366</v>
    <v t="i">3367</v>
    <v t="i">3371</v>
    <v t="i">3372</v>
    <v t="i">3373</v>
    <v t="i">3374</v>
    <v t="i">3377</v>
    <v t="i">3378</v>
    <v t="i">3379</v>
    <v t="i">3380</v>
    <v t="i">3381</v>
    <v t="i">3384</v>
    <v t="i">3385</v>
    <v t="i">3386</v>
    <v t="i">3387</v>
    <v t="i">3388</v>
    <v t="i">3391</v>
    <v t="i">3392</v>
    <v t="i">3393</v>
    <v t="i">3394</v>
    <v t="i">3395</v>
    <v t="i">3398</v>
    <v t="i">3399</v>
    <v t="i">3400</v>
    <v t="i">3401</v>
    <v t="i">3402</v>
    <v t="i">3405</v>
    <v t="i">3406</v>
    <v t="i">3407</v>
    <v t="i">3409</v>
    <v t="i">3412</v>
    <v t="i">3413</v>
    <v t="i">3414</v>
    <v t="i">3415</v>
    <v t="i">3416</v>
    <v t="i">3419</v>
    <v t="i">3420</v>
    <v t="i">3421</v>
    <v t="i">3422</v>
    <v t="i">3423</v>
    <v t="i">3426</v>
    <v t="i">3427</v>
    <v t="i">3428</v>
    <v t="i">3429</v>
    <v t="i">3430</v>
    <v t="i">3433</v>
    <v t="i">3434</v>
    <v t="i">3435</v>
    <v t="i">3436</v>
    <v t="i">3437</v>
    <v t="i">3440</v>
    <v t="i">3441</v>
    <v t="i">3442</v>
    <v t="i">3443</v>
    <v t="i">3444</v>
    <v t="i">3447</v>
    <v t="i">3448</v>
    <v t="i">3449</v>
    <v t="i">3450</v>
    <v t="i">3451</v>
    <v t="i">3454</v>
    <v t="i">3455</v>
    <v t="i">3456</v>
    <v t="i">3457</v>
    <v t="i">3458</v>
    <v t="i">3461</v>
    <v t="i">3462</v>
    <v t="i">3463</v>
    <v t="i">3464</v>
    <v t="i">3465</v>
    <v t="i">3469</v>
    <v t="i">3470</v>
    <v t="i">3471</v>
    <v t="i">3472</v>
    <v t="i">3475</v>
    <v t="i">3476</v>
    <v t="i">3477</v>
    <v t="i">3478</v>
    <v t="i">3479</v>
    <v t="i">3482</v>
    <v t="i">3483</v>
    <v t="i">3484</v>
    <v t="i">3485</v>
    <v t="i">3486</v>
    <v t="i">3489</v>
    <v t="i">3490</v>
    <v t="i">3491</v>
    <v t="i">3492</v>
    <v t="i">3493</v>
    <v t="i">3496</v>
    <v t="i">3497</v>
    <v t="i">3498</v>
    <v t="i">3499</v>
    <v t="i">3500</v>
    <v t="i">3503</v>
    <v t="i">3504</v>
    <v t="i">3505</v>
    <v t="i">3506</v>
    <v t="i">3507</v>
    <v t="i">3510</v>
    <v t="i">3511</v>
    <v t="i">3512</v>
    <v t="i">3513</v>
    <v t="i">3514</v>
    <v t="i">3517</v>
    <v t="i">3518</v>
    <v t="i">3519</v>
    <v t="i">3520</v>
    <v t="i">3521</v>
    <v t="i">3524</v>
    <v t="i">3525</v>
    <v t="i">3526</v>
    <v t="i">3527</v>
    <v t="i">3528</v>
    <v t="i">3531</v>
    <v t="i">3532</v>
    <v t="i">3533</v>
    <v t="i">3534</v>
    <v t="i">3535</v>
    <v t="i">3538</v>
    <v t="i">3539</v>
    <v t="i">3540</v>
    <v t="i">3541</v>
    <v t="i">3542</v>
    <v t="i">3545</v>
    <v t="i">3546</v>
    <v t="i">3547</v>
    <v t="i">3548</v>
    <v t="i">3549</v>
    <v t="i">3552</v>
    <v t="i">3553</v>
    <v t="i">3554</v>
    <v t="i">3556</v>
    <v t="i">3559</v>
    <v t="i">3560</v>
    <v t="i">3561</v>
    <v t="i">3562</v>
    <v t="i">3563</v>
    <v t="i">3566</v>
    <v t="i">3567</v>
    <v t="i">3568</v>
    <v t="i">3569</v>
    <v t="i">3570</v>
    <v t="i">3573</v>
    <v t="i">3574</v>
    <v t="i">3575</v>
    <v t="i">3576</v>
    <v t="i">3577</v>
    <v t="i">3580</v>
    <v t="i">3581</v>
    <v t="i">3583</v>
    <v t="i">3584</v>
    <v t="i">3587</v>
    <v t="i">3588</v>
    <v t="i">3590</v>
    <v t="i">3591</v>
    <v t="i">3594</v>
    <v t="i">3595</v>
    <v t="i">3596</v>
    <v t="i">3597</v>
    <v t="i">3598</v>
    <v t="i">3601</v>
    <v t="i">3602</v>
    <v t="i">3603</v>
    <v t="i">3604</v>
    <v t="i">3605</v>
    <v t="i">3609</v>
    <v t="i">3610</v>
    <v t="i">3611</v>
    <v t="i">3612</v>
    <v t="i">3615</v>
    <v t="i">3616</v>
    <v t="i">3617</v>
    <v t="i">3618</v>
    <v t="i">3619</v>
    <v t="i">3622</v>
    <v t="i">3623</v>
    <v t="i">3624</v>
    <v t="i">3625</v>
    <v t="i">3626</v>
    <v t="i">3629</v>
    <v t="i">3630</v>
    <v t="i">3631</v>
    <v t="i">3632</v>
    <v t="i">3633</v>
    <v t="i">3637</v>
    <v t="i">3638</v>
    <v t="i">3639</v>
    <v t="i">3640</v>
    <v t="i">3643</v>
    <v t="i">3644</v>
    <v t="i">3645</v>
    <v t="i">3646</v>
    <v t="i">3647</v>
    <v t="i">3650</v>
    <v t="i">3651</v>
    <v t="i">3652</v>
    <v t="i">3653</v>
    <v t="i">3654</v>
    <v t="i">3657</v>
    <v t="i">3658</v>
    <v t="i">3659</v>
    <v t="i">3660</v>
    <v t="i">3661</v>
    <v t="i">3664</v>
    <v t="i">3665</v>
    <v t="i">3666</v>
    <v t="i">3667</v>
    <v t="i">3668</v>
    <v t="i">3671</v>
    <v t="i">3672</v>
    <v t="i">3673</v>
    <v t="i">3674</v>
    <v t="i">3675</v>
    <v t="i">3678</v>
    <v t="i">3679</v>
    <v t="i">3680</v>
    <v t="i">3681</v>
    <v t="i">3682</v>
    <v t="i">3685</v>
    <v t="i">3686</v>
    <v t="i">3687</v>
    <v t="i">3688</v>
    <v t="i">3692</v>
    <v t="i">3693</v>
    <v t="i">3694</v>
    <v t="i">3695</v>
    <v t="i">3696</v>
    <v t="i">3699</v>
    <v t="i">3700</v>
    <v t="i">3701</v>
    <v t="i">3702</v>
    <v t="i">3703</v>
    <v t="i">3706</v>
    <v t="i">3707</v>
    <v t="i">3708</v>
    <v t="i">3709</v>
    <v t="i">3710</v>
    <v t="i">3713</v>
    <v t="i">3714</v>
    <v t="i">3715</v>
    <v t="i">3716</v>
    <v t="i">3717</v>
    <v t="i">3720</v>
    <v t="i">3721</v>
    <v t="i">3722</v>
    <v t="i">3723</v>
    <v t="i">3724</v>
    <v t="i">3727</v>
    <v t="i">3728</v>
    <v t="i">3729</v>
    <v t="i">3730</v>
    <v t="i">3731</v>
    <v t="i">3735</v>
    <v t="i">3736</v>
    <v t="i">3737</v>
    <v t="i">3738</v>
    <v t="i">3741</v>
    <v t="i">3742</v>
    <v t="i">3743</v>
    <v t="i">3744</v>
    <v t="i">3745</v>
    <v t="i">3748</v>
    <v t="i">3749</v>
    <v t="i">3750</v>
    <v t="i">3751</v>
    <v t="i">3752</v>
    <v t="i">3755</v>
    <v t="i">3756</v>
    <v t="i">3757</v>
    <v t="i">3758</v>
    <v t="i">3759</v>
    <v t="i">3762</v>
    <v t="i">3763</v>
    <v t="i">3764</v>
    <v t="i">3765</v>
    <v t="i">3766</v>
    <v t="i">3769</v>
    <v t="i">3770</v>
    <v t="i">3771</v>
    <v t="i">3772</v>
    <v t="i">3776</v>
    <v t="i">3777</v>
    <v t="i">3778</v>
    <v t="i">3779</v>
    <v t="i">3780</v>
    <v t="i">3783</v>
    <v t="i">3784</v>
    <v t="i">3785</v>
    <v t="i">3786</v>
    <v t="i">3787</v>
    <v t="i">3790</v>
    <v t="i">3791</v>
    <v t="i">3792</v>
    <v t="i">3793</v>
    <v t="i">3794</v>
    <v t="i">3797</v>
    <v t="i">3798</v>
    <v t="i">3799</v>
    <v t="i">3800</v>
    <v t="i">3801</v>
    <v t="i">3804</v>
    <v t="i">3805</v>
    <v t="i">3806</v>
    <v t="i">3807</v>
    <v t="i">3808</v>
    <v t="i">3811</v>
    <v t="i">3812</v>
    <v t="i">3813</v>
    <v t="i">3814</v>
    <v t="i">3815</v>
    <v t="i">3818</v>
    <v t="i">3819</v>
    <v t="i">3820</v>
    <v t="i">3821</v>
    <v t="i">3822</v>
    <v t="i">3825</v>
    <v t="i">3826</v>
    <v t="i">3827</v>
    <v t="i">3828</v>
    <v t="i">3829</v>
    <v t="i">3832</v>
    <v t="i">3833</v>
    <v t="i">3834</v>
    <v t="i">3835</v>
    <v t="i">3836</v>
    <v t="i">3840</v>
    <v t="i">3841</v>
    <v t="i">3842</v>
    <v t="i">3843</v>
    <v t="i">3846</v>
    <v t="i">3847</v>
    <v t="i">3848</v>
    <v t="i">3849</v>
    <v t="i">3850</v>
    <v t="i">3853</v>
    <v t="i">3854</v>
    <v t="i">3855</v>
    <v t="i">3856</v>
    <v t="i">3857</v>
    <v t="i">3860</v>
    <v t="i">3861</v>
    <v t="i">3862</v>
    <v t="i">3863</v>
    <v t="i">3864</v>
    <v t="i">3867</v>
    <v t="i">3868</v>
    <v t="i">3869</v>
    <v t="i">3870</v>
    <v t="i">3871</v>
    <v t="i">3874</v>
    <v t="i">3875</v>
    <v t="i">3876</v>
    <v t="i">3877</v>
    <v t="i">3878</v>
    <v t="i">3881</v>
    <v t="i">3882</v>
    <v t="i">3883</v>
    <v t="i">3884</v>
    <v t="i">3885</v>
    <v t="i">3888</v>
    <v t="i">3889</v>
    <v t="i">3890</v>
    <v t="i">3891</v>
    <v t="i">3892</v>
    <v t="i">3895</v>
    <v t="i">3896</v>
    <v t="i">3897</v>
    <v t="i">3898</v>
    <v t="i">3899</v>
    <v t="i">3902</v>
    <v t="i">3903</v>
    <v t="i">3904</v>
    <v t="i">3905</v>
    <v t="i">3906</v>
    <v t="i">3909</v>
    <v t="i">3910</v>
    <v t="i">3911</v>
    <v t="i">3912</v>
    <v t="i">3913</v>
    <v t="i">3916</v>
    <v t="i">3917</v>
    <v t="i">3918</v>
    <v t="i">3920</v>
    <v t="i">3923</v>
    <v t="i">3924</v>
    <v t="i">3925</v>
    <v t="i">3926</v>
    <v t="i">3927</v>
    <v t="i">3930</v>
    <v t="i">3931</v>
    <v t="i">3932</v>
    <v t="i">3933</v>
    <v t="i">3934</v>
    <v t="i">3937</v>
    <v t="i">3938</v>
    <v t="i">3939</v>
    <v t="i">3940</v>
    <v t="i">3941</v>
    <v t="i">3944</v>
    <v t="i">3945</v>
    <v t="i">3946</v>
    <v t="i">3947</v>
    <v t="i">3951</v>
    <v t="i">3952</v>
    <v t="i">3953</v>
    <v t="i">3954</v>
    <v t="i">3958</v>
    <v t="i">3959</v>
    <v t="i">3960</v>
    <v t="i">3961</v>
    <v t="i">3962</v>
    <v t="i">3965</v>
    <v t="i">3966</v>
    <v t="i">3967</v>
    <v t="i">3968</v>
    <v t="i">3969</v>
    <v t="i">3973</v>
    <v t="i">3974</v>
    <v t="i">3975</v>
    <v t="i">3976</v>
    <v t="i">3979</v>
    <v t="i">3980</v>
    <v t="i">3981</v>
    <v t="i">3982</v>
    <v t="i">3983</v>
    <v t="i">3986</v>
    <v t="i">3987</v>
    <v t="i">3988</v>
    <v t="i">3989</v>
    <v t="i">3990</v>
    <v t="i">3993</v>
    <v t="i">3994</v>
    <v t="i">3995</v>
    <v t="i">3996</v>
    <v t="i">3997</v>
    <v t="i">4001</v>
    <v t="i">4002</v>
    <v t="i">4003</v>
    <v t="i">4004</v>
    <v t="i">4007</v>
    <v t="i">4008</v>
    <v t="i">4009</v>
    <v t="i">4010</v>
    <v t="i">4011</v>
    <v t="i">4014</v>
    <v t="i">4015</v>
    <v t="i">4016</v>
    <v t="i">4017</v>
    <v t="i">4018</v>
    <v t="i">4021</v>
    <v t="i">4022</v>
    <v t="i">4023</v>
    <v t="i">4024</v>
    <v t="i">4025</v>
    <v t="i">4028</v>
    <v t="i">4029</v>
    <v t="i">4030</v>
    <v t="i">4031</v>
    <v t="i">4032</v>
    <v t="i">4035</v>
    <v t="i">4036</v>
    <v t="i">4037</v>
    <v t="i">4038</v>
    <v t="i">4039</v>
    <v t="i">4042</v>
    <v t="i">4043</v>
    <v t="i">4044</v>
    <v t="i">4045</v>
    <v t="i">4049</v>
    <v t="i">4050</v>
    <v t="i">4051</v>
    <v t="i">4052</v>
    <v t="i">4053</v>
    <v t="i">4056</v>
    <v t="i">4057</v>
    <v t="i">4058</v>
    <v t="i">4059</v>
    <v t="i">4060</v>
    <v t="i">4063</v>
    <v t="i">4064</v>
    <v t="i">4065</v>
    <v t="i">4066</v>
    <v t="i">4067</v>
    <v t="i">4070</v>
    <v t="i">4071</v>
    <v t="i">4072</v>
    <v t="i">4073</v>
    <v t="i">4074</v>
    <v t="i">4077</v>
    <v t="i">4078</v>
    <v t="i">4079</v>
    <v t="i">4080</v>
    <v t="i">4081</v>
    <v t="i">4084</v>
    <v t="i">4085</v>
    <v t="i">4086</v>
    <v t="i">4087</v>
    <v t="i">4088</v>
    <v t="i">4091</v>
    <v t="i">4092</v>
    <v t="i">4093</v>
    <v t="i">4094</v>
    <v t="i">4095</v>
    <v t="i">4098</v>
    <v t="i">4099</v>
    <v t="i">4100</v>
    <v t="i">4101</v>
    <v t="i">4102</v>
    <v t="i">4106</v>
    <v t="i">4107</v>
    <v t="i">4108</v>
    <v t="i">4109</v>
    <v t="i">4112</v>
    <v t="i">4113</v>
    <v t="i">4114</v>
    <v t="i">4115</v>
    <v t="i">4116</v>
    <v t="i">4119</v>
    <v t="i">4120</v>
    <v t="i">4121</v>
    <v t="i">4122</v>
    <v t="i">4123</v>
    <v t="i">4126</v>
    <v t="i">4127</v>
    <v t="i">4128</v>
    <v t="i">4129</v>
    <v t="i">4130</v>
    <v t="i">4133</v>
    <v t="i">4134</v>
    <v t="i">4135</v>
    <v t="i">4136</v>
    <v t="i">4137</v>
    <v t="i">4141</v>
    <v t="i">4142</v>
    <v t="i">4143</v>
    <v t="i">4144</v>
    <v t="i">4147</v>
    <v t="i">4148</v>
    <v t="i">4149</v>
    <v t="i">4150</v>
    <v t="i">4151</v>
    <v t="i">4154</v>
    <v t="i">4155</v>
    <v t="i">4156</v>
    <v t="i">4157</v>
    <v t="i">4158</v>
    <v t="i">4161</v>
    <v t="i">4162</v>
    <v t="i">4163</v>
    <v t="i">4164</v>
    <v t="i">4165</v>
    <v t="i">4168</v>
    <v t="i">4169</v>
    <v t="i">4170</v>
    <v t="i">4171</v>
    <v t="i">4172</v>
    <v t="i">4175</v>
    <v t="i">4176</v>
    <v t="i">4177</v>
    <v t="i">4178</v>
    <v t="i">4179</v>
    <v t="i">4182</v>
    <v t="i">4183</v>
    <v t="i">4184</v>
    <v t="i">4185</v>
    <v t="i">4186</v>
    <v t="i">4189</v>
    <v t="i">4190</v>
    <v t="i">4191</v>
    <v t="i">4192</v>
    <v t="i">4193</v>
    <v t="i">4196</v>
    <v t="i">4197</v>
    <v t="i">4198</v>
    <v t="i">4199</v>
    <v t="i">4200</v>
    <v t="i">4204</v>
    <v t="i">4205</v>
    <v t="i">4206</v>
    <v t="i">4207</v>
    <v t="i">4210</v>
    <v t="i">4211</v>
    <v t="i">4212</v>
    <v t="i">4213</v>
    <v t="i">4214</v>
    <v t="i">4217</v>
    <v t="i">4218</v>
    <v t="i">4219</v>
    <v t="i">4220</v>
    <v t="i">4221</v>
    <v t="i">4224</v>
    <v t="i">4225</v>
    <v t="i">4226</v>
    <v t="i">4227</v>
    <v t="i">4228</v>
    <v t="i">4231</v>
    <v t="i">4232</v>
    <v t="i">4233</v>
    <v t="i">4234</v>
    <v t="i">4235</v>
    <v t="i">4238</v>
    <v t="i">4239</v>
    <v t="i">4240</v>
    <v t="i">4241</v>
    <v t="i">4242</v>
    <v t="i">4245</v>
    <v t="i">4246</v>
    <v t="i">4247</v>
    <v t="i">4248</v>
    <v t="i">4249</v>
    <v t="i">4252</v>
    <v t="i">4253</v>
    <v t="i">4254</v>
    <v t="i">4255</v>
    <v t="i">4256</v>
    <v t="i">4259</v>
    <v t="i">4260</v>
    <v t="i">4261</v>
    <v t="i">4262</v>
    <v t="i">4263</v>
    <v t="i">4266</v>
    <v t="i">4267</v>
    <v t="i">4268</v>
    <v t="i">4269</v>
    <v t="i">4270</v>
    <v t="i">4273</v>
    <v t="i">4274</v>
    <v t="i">4275</v>
    <v t="i">4276</v>
    <v t="i">4277</v>
    <v t="i">4280</v>
    <v t="i">4281</v>
    <v t="i">4282</v>
    <v t="i">4284</v>
    <v t="i">4287</v>
    <v t="i">4288</v>
    <v t="i">4289</v>
    <v t="i">4290</v>
    <v t="i">4291</v>
    <v t="i">4294</v>
    <v t="i">4295</v>
    <v t="i">4296</v>
    <v t="i">4297</v>
    <v t="i">4298</v>
    <v t="i">4301</v>
    <v t="i">4302</v>
    <v t="i">4303</v>
    <v t="i">4304</v>
    <v t="i">4305</v>
    <v t="i">4308</v>
    <v t="i">4309</v>
    <v t="i">4310</v>
    <v t="i">4311</v>
    <v t="i">4315</v>
    <v t="i">4316</v>
    <v t="i">4317</v>
    <v t="i">4318</v>
    <v t="i">4319</v>
    <v t="i">4322</v>
    <v t="i">4323</v>
    <v t="i">4324</v>
    <v t="i">4325</v>
    <v t="i">4326</v>
    <v t="i">4329</v>
    <v t="i">4330</v>
    <v t="i">4331</v>
    <v t="i">4332</v>
    <v t="i">4333</v>
    <v t="i">4337</v>
    <v t="i">4338</v>
    <v t="i">4339</v>
    <v t="i">4340</v>
    <v t="i">4343</v>
    <v t="i">4344</v>
    <v t="i">4345</v>
    <v t="i">4346</v>
    <v t="i">4347</v>
    <v t="i">4350</v>
    <v t="i">4351</v>
    <v t="i">4352</v>
    <v t="i">4353</v>
    <v t="i">4354</v>
    <v t="i">4357</v>
    <v t="i">4358</v>
    <v t="i">4359</v>
    <v t="i">4360</v>
    <v t="i">4361</v>
    <v t="i">4364</v>
    <v t="i">4365</v>
    <v t="i">4366</v>
    <v t="i">4367</v>
    <v t="i">4368</v>
    <v t="i">4372</v>
    <v t="i">4373</v>
    <v t="i">4374</v>
    <v t="i">4375</v>
    <v t="i">4378</v>
    <v t="i">4379</v>
    <v t="i">4380</v>
    <v t="i">4381</v>
    <v t="i">4382</v>
    <v t="i">4385</v>
    <v t="i">4386</v>
    <v t="i">4387</v>
    <v t="i">4388</v>
    <v t="i">4389</v>
    <v t="i">4392</v>
    <v t="i">4393</v>
    <v t="i">4394</v>
    <v t="i">4395</v>
    <v t="i">4396</v>
    <v t="i">4399</v>
    <v t="i">4400</v>
    <v t="i">4401</v>
    <v t="i">4402</v>
    <v t="i">4403</v>
    <v t="i">4406</v>
    <v t="i">4407</v>
    <v t="i">4408</v>
    <v t="i">4409</v>
    <v t="i">4410</v>
    <v t="i">4413</v>
    <v t="i">4414</v>
    <v t="i">4415</v>
    <v t="i">4416</v>
    <v t="i">4417</v>
    <v t="i">4420</v>
    <v t="i">4421</v>
    <v t="i">4422</v>
    <v t="i">4423</v>
    <v t="i">4427</v>
    <v t="i">4428</v>
    <v t="i">4429</v>
    <v t="i">4430</v>
    <v t="i">4431</v>
    <v t="i">4434</v>
    <v t="i">4435</v>
    <v t="i">4436</v>
    <v t="i">4437</v>
    <v t="i">4438</v>
    <v t="i">4441</v>
    <v t="i">4442</v>
    <v t="i">4443</v>
    <v t="i">4444</v>
    <v t="i">4445</v>
    <v t="i">4448</v>
    <v t="i">4449</v>
    <v t="i">4450</v>
    <v t="i">4451</v>
    <v t="i">4452</v>
    <v t="i">4455</v>
    <v t="i">4456</v>
    <v t="i">4457</v>
    <v t="i">4458</v>
    <v t="i">4459</v>
    <v t="i">4462</v>
    <v t="i">4463</v>
    <v t="i">4464</v>
    <v t="i">4465</v>
    <v t="i">4466</v>
    <v t="i">4470</v>
    <v t="i">4471</v>
    <v t="i">4472</v>
    <v t="i">4473</v>
    <v t="i">4476</v>
    <v t="i">4477</v>
    <v t="i">4478</v>
    <v t="i">4479</v>
    <v t="i">4480</v>
    <v t="i">4483</v>
    <v t="i">4484</v>
    <v t="i">4485</v>
    <v t="i">4486</v>
    <v t="i">4487</v>
    <v t="i">4491</v>
    <v t="i">4492</v>
    <v t="i">4493</v>
    <v t="i">4494</v>
    <v t="i">4497</v>
    <v t="i">4498</v>
    <v t="i">4499</v>
    <v t="i">4500</v>
    <v t="i">4501</v>
    <v t="i">4505</v>
    <v t="i">4506</v>
    <v t="i">4507</v>
    <v t="i">4508</v>
    <v t="i">4511</v>
    <v t="i">4512</v>
    <v t="i">4513</v>
    <v t="i">4514</v>
    <v t="i">4515</v>
    <v t="i">4518</v>
    <v t="i">4519</v>
    <v t="i">4520</v>
    <v t="i">4521</v>
    <v t="i">4522</v>
    <v t="i">4525</v>
    <v t="i">4526</v>
    <v t="i">4527</v>
    <v t="i">4528</v>
    <v t="i">4529</v>
    <v t="i">4532</v>
    <v t="i">4533</v>
    <v t="i">4534</v>
    <v t="i">4535</v>
    <v t="i">4536</v>
    <v t="i">4539</v>
    <v t="i">4540</v>
    <v t="i">4541</v>
    <v t="i">4542</v>
    <v t="i">4543</v>
    <v t="i">4546</v>
    <v t="i">4547</v>
    <v t="i">4548</v>
    <v t="i">4549</v>
    <v t="i">4550</v>
    <v t="i">4553</v>
    <v t="i">4554</v>
    <v t="i">4555</v>
    <v t="i">4556</v>
    <v t="i">4557</v>
    <v t="i">4560</v>
    <v t="i">4561</v>
    <v t="i">4562</v>
    <v t="i">4563</v>
    <v t="i">4564</v>
    <v t="i">4568</v>
    <v t="i">4569</v>
    <v t="i">4570</v>
    <v t="i">4571</v>
    <v t="i">4574</v>
    <v t="i">4575</v>
    <v t="i">4576</v>
    <v t="i">4577</v>
    <v t="i">4578</v>
    <v t="i">4581</v>
    <v t="i">4582</v>
    <v t="i">4583</v>
    <v t="i">4584</v>
    <v t="i">4585</v>
    <v t="i">4588</v>
    <v t="i">4589</v>
    <v t="i">4590</v>
    <v t="i">4591</v>
    <v t="i">4592</v>
    <v t="i">4595</v>
    <v t="i">4596</v>
    <v t="i">4597</v>
    <v t="i">4598</v>
    <v t="i">4599</v>
    <v t="i">4602</v>
    <v t="i">4603</v>
    <v t="i">4604</v>
    <v t="i">4605</v>
    <v t="i">4606</v>
    <v t="i">4609</v>
    <v t="i">4610</v>
    <v t="i">4611</v>
    <v t="i">4612</v>
    <v t="i">4613</v>
    <v t="i">4616</v>
    <v t="i">4617</v>
    <v t="i">4618</v>
    <v t="i">4619</v>
    <v t="i">4620</v>
    <v t="i">4623</v>
    <v t="i">4624</v>
    <v t="i">4625</v>
    <v t="i">4626</v>
    <v t="i">4627</v>
    <v t="i">4630</v>
    <v t="i">4631</v>
    <v t="i">4632</v>
    <v t="i">4633</v>
    <v t="i">4634</v>
    <v t="i">4637</v>
    <v t="i">4638</v>
    <v t="i">4639</v>
    <v t="i">4640</v>
    <v t="i">4641</v>
    <v t="i">4644</v>
    <v t="i">4645</v>
    <v t="i">4646</v>
    <v t="i">4648</v>
    <v t="i">4651</v>
    <v t="i">4652</v>
    <v t="i">4653</v>
    <v t="i">4654</v>
    <v t="i">4655</v>
    <v t="i">4658</v>
    <v t="i">4659</v>
    <v t="i">4660</v>
    <v t="i">4661</v>
    <v t="i">4662</v>
    <v t="i">4665</v>
    <v t="i">4666</v>
    <v t="i">4667</v>
    <v t="i">4668</v>
    <v t="i">4669</v>
    <v t="i">4672</v>
    <v t="i">4673</v>
    <v t="i">4674</v>
    <v t="i">4675</v>
    <v t="i">4676</v>
    <v t="i">4680</v>
    <v t="i">4681</v>
    <v t="i">4682</v>
    <v t="i">4683</v>
    <v t="i">4687</v>
    <v t="i">4688</v>
    <v t="i">4689</v>
    <v t="i">4690</v>
    <v t="i">4693</v>
    <v t="i">4694</v>
    <v t="i">4695</v>
    <v t="i">4696</v>
    <v t="i">4697</v>
    <v t="i">4701</v>
    <v t="i">4702</v>
    <v t="i">4703</v>
    <v t="i">4704</v>
    <v t="i">4707</v>
    <v t="i">4708</v>
    <v t="i">4709</v>
    <v t="i">4710</v>
    <v t="i">4711</v>
    <v t="i">4714</v>
    <v t="i">4715</v>
    <v t="i">4716</v>
    <v t="i">4717</v>
    <v t="i">4718</v>
    <v t="i">4721</v>
    <v t="i">4722</v>
    <v t="i">4723</v>
    <v t="i">4724</v>
    <v t="i">4725</v>
    <v t="i">4728</v>
    <v t="i">4729</v>
    <v t="i">4730</v>
    <v t="i">4731</v>
    <v t="i">4732</v>
    <v t="i">4736</v>
    <v t="i">4737</v>
    <v t="i">4738</v>
    <v t="i">4739</v>
    <v t="i">4742</v>
    <v t="i">4743</v>
    <v t="i">4744</v>
    <v t="i">4745</v>
    <v t="i">4746</v>
    <v t="i">4749</v>
    <v t="i">4750</v>
    <v t="i">4751</v>
    <v t="i">4752</v>
    <v t="i">4753</v>
    <v t="i">4756</v>
    <v t="i">4757</v>
    <v t="i">4758</v>
    <v t="i">4759</v>
    <v t="i">4760</v>
    <v t="i">4763</v>
    <v t="i">4764</v>
    <v t="i">4765</v>
    <v t="i">4766</v>
    <v t="i">4767</v>
    <v t="i">4770</v>
    <v t="i">4771</v>
    <v t="i">4772</v>
    <v t="i">4773</v>
    <v t="i">4774</v>
    <v t="i">4777</v>
    <v t="i">4778</v>
    <v t="i">4779</v>
    <v t="i">4780</v>
    <v t="i">4784</v>
    <v t="i">4785</v>
    <v t="i">4786</v>
    <v t="i">4787</v>
    <v t="i">4788</v>
    <v t="i">4791</v>
    <v t="i">4792</v>
    <v t="i">4793</v>
    <v t="i">4794</v>
    <v t="i">4795</v>
    <v t="i">4798</v>
    <v t="i">4799</v>
    <v t="i">4800</v>
    <v t="i">4801</v>
    <v t="i">4802</v>
    <v t="i">4805</v>
    <v t="i">4806</v>
    <v t="i">4807</v>
    <v t="i">4808</v>
    <v t="i">4809</v>
    <v t="i">4812</v>
    <v t="i">4813</v>
    <v t="i">4814</v>
    <v t="i">4815</v>
    <v t="i">4816</v>
    <v t="i">4819</v>
    <v t="i">4820</v>
    <v t="i">4821</v>
    <v t="i">4822</v>
    <v t="i">4823</v>
    <v t="i">4826</v>
    <v t="i">4827</v>
    <v t="i">4828</v>
    <v t="i">4829</v>
    <v t="i">4830</v>
    <v t="i">4834</v>
    <v t="i">4835</v>
    <v t="i">4836</v>
    <v t="i">4837</v>
    <v t="i">4840</v>
    <v t="i">4841</v>
    <v t="i">4842</v>
    <v t="i">4843</v>
    <v t="i">4844</v>
    <v t="i">4847</v>
    <v t="i">4848</v>
    <v t="i">4849</v>
    <v t="i">4850</v>
    <v t="i">4851</v>
    <v t="i">4855</v>
    <v t="i">4856</v>
    <v t="i">4857</v>
    <v t="i">4858</v>
    <v t="i">4861</v>
    <v t="i">4862</v>
    <v t="i">4863</v>
    <v t="i">4864</v>
    <v t="i">4865</v>
    <v t="i">4868</v>
    <v t="i">4870</v>
    <v t="i">4871</v>
    <v t="i">4872</v>
    <v t="i">4875</v>
    <v t="i">4876</v>
    <v t="i">4877</v>
    <v t="i">4878</v>
    <v t="i">4879</v>
    <v t="i">4882</v>
    <v t="i">4883</v>
    <v t="i">4884</v>
    <v t="i">4885</v>
    <v t="i">4886</v>
    <v t="i">4889</v>
    <v t="i">4890</v>
    <v t="i">4891</v>
    <v t="i">4892</v>
    <v t="i">4893</v>
    <v t="i">4896</v>
    <v t="i">4897</v>
    <v t="i">4898</v>
    <v t="i">4899</v>
    <v t="i">4900</v>
    <v t="i">4903</v>
    <v t="i">4904</v>
    <v t="i">4905</v>
    <v t="i">4906</v>
    <v t="i">4907</v>
    <v t="i">4910</v>
    <v t="i">4911</v>
    <v t="i">4912</v>
    <v t="i">4913</v>
    <v t="i">4914</v>
    <v t="i">4917</v>
    <v t="i">4918</v>
    <v t="i">4919</v>
    <v t="i">4920</v>
    <v t="i">4921</v>
    <v t="i">4924</v>
    <v t="i">4925</v>
    <v t="i">4926</v>
    <v t="i">4927</v>
    <v t="i">4928</v>
    <v t="i">4932</v>
    <v t="i">4933</v>
    <v t="i">4934</v>
    <v t="i">4935</v>
    <v t="i">4938</v>
    <v t="i">4939</v>
    <v t="i">4940</v>
    <v t="i">4941</v>
    <v t="i">4942</v>
    <v t="i">4945</v>
    <v t="i">4946</v>
    <v t="i">4947</v>
    <v t="i">4948</v>
    <v t="i">4949</v>
    <v t="i">4952</v>
    <v t="i">4953</v>
    <v t="i">4954</v>
    <v t="i">4955</v>
    <v t="i">4956</v>
    <v t="i">4959</v>
    <v t="i">4960</v>
    <v t="i">4961</v>
    <v t="i">4962</v>
    <v t="i">4963</v>
    <v t="i">4966</v>
    <v t="i">4967</v>
    <v t="i">4968</v>
    <v t="i">4969</v>
    <v t="i">4970</v>
    <v t="i">4973</v>
    <v t="i">4974</v>
    <v t="i">4975</v>
    <v t="i">4976</v>
    <v t="i">4977</v>
    <v t="i">4980</v>
    <v t="i">4981</v>
    <v t="i">4982</v>
    <v t="i">4983</v>
    <v t="i">4984</v>
    <v t="i">4987</v>
    <v t="i">4988</v>
    <v t="i">4989</v>
    <v t="i">4990</v>
    <v t="i">4991</v>
    <v t="i">4994</v>
    <v t="i">4995</v>
    <v t="i">4996</v>
    <v t="i">4997</v>
    <v t="i">4998</v>
    <v t="i">5001</v>
    <v t="i">5002</v>
    <v t="i">5003</v>
    <v t="i">5004</v>
    <v t="i">5005</v>
    <v t="i">5008</v>
    <v t="i">5009</v>
    <v t="i">5010</v>
    <v t="i">5012</v>
    <v t="i">5015</v>
    <v t="i">5016</v>
    <v t="i">5017</v>
    <v t="i">5018</v>
    <v t="i">5019</v>
    <v t="i">5022</v>
    <v t="i">5023</v>
    <v t="i">5024</v>
    <v t="i">5025</v>
    <v t="i">5026</v>
    <v t="i">5029</v>
    <v t="i">5030</v>
    <v t="i">5031</v>
    <v t="i">5032</v>
    <v t="i">5033</v>
    <v t="i">5036</v>
    <v t="i">5037</v>
    <v t="i">5038</v>
    <v t="i">5039</v>
    <v t="i">5040</v>
    <v t="i">5044</v>
    <v t="i">5045</v>
    <v t="i">5046</v>
    <v t="i">5047</v>
    <v t="i">5051</v>
    <v t="i">5052</v>
    <v t="i">5053</v>
    <v t="i">5054</v>
    <v t="i">5057</v>
    <v t="i">5058</v>
    <v t="i">5059</v>
    <v t="i">5060</v>
    <v t="i">5061</v>
    <v t="i">5065</v>
    <v t="i">5066</v>
    <v t="i">5067</v>
    <v t="i">5068</v>
    <v t="i">5071</v>
    <v t="i">5072</v>
    <v t="i">5073</v>
    <v t="i">5074</v>
    <v t="i">5075</v>
    <v t="i">5078</v>
    <v t="i">5079</v>
    <v t="i">5080</v>
    <v t="i">5081</v>
    <v t="i">5082</v>
    <v t="i">5085</v>
    <v t="i">5086</v>
    <v t="i">5087</v>
    <v t="i">5088</v>
    <v t="i">5089</v>
    <v t="i">5092</v>
    <v t="i">5093</v>
    <v t="i">5094</v>
    <v t="i">5095</v>
    <v t="i">5096</v>
    <v t="i">5100</v>
    <v t="i">5101</v>
    <v t="i">5102</v>
    <v t="i">5103</v>
    <v t="i">5106</v>
    <v t="i">5107</v>
    <v t="i">5108</v>
    <v t="i">5109</v>
    <v t="i">5110</v>
    <v t="i">5113</v>
    <v t="i">5114</v>
    <v t="i">5115</v>
    <v t="i">5116</v>
    <v t="i">5117</v>
    <v t="i">5120</v>
    <v t="i">5121</v>
    <v t="i">5122</v>
    <v t="i">5123</v>
    <v t="i">5124</v>
    <v t="i">5127</v>
    <v t="i">5128</v>
    <v t="i">5129</v>
    <v t="i">5130</v>
    <v t="i">5131</v>
    <v t="i">5134</v>
    <v t="i">5135</v>
    <v t="i">5136</v>
    <v t="i">5137</v>
    <v t="i">5141</v>
    <v t="i">5142</v>
    <v t="i">5143</v>
    <v t="i">5144</v>
    <v t="i">5145</v>
    <v t="i">5148</v>
    <v t="i">5149</v>
    <v t="i">5150</v>
    <v t="i">5151</v>
    <v t="i">5152</v>
    <v t="i">5155</v>
    <v t="i">5156</v>
    <v t="i">5157</v>
    <v t="i">5158</v>
    <v t="i">5159</v>
    <v t="i">5162</v>
    <v t="i">5163</v>
    <v t="i">5164</v>
    <v t="i">5165</v>
    <v t="i">5166</v>
    <v t="i">5169</v>
    <v t="i">5170</v>
    <v t="i">5171</v>
    <v t="i">5172</v>
    <v t="i">5173</v>
    <v t="i">5176</v>
    <v t="i">5177</v>
    <v t="i">5178</v>
    <v t="i">5179</v>
    <v t="i">5180</v>
    <v t="i">5183</v>
    <v t="i">5184</v>
    <v t="i">5185</v>
    <v t="i">5186</v>
    <v t="i">5187</v>
    <v t="i">5190</v>
    <v t="i">5191</v>
    <v t="i">5192</v>
    <v t="i">5193</v>
    <v t="i">5194</v>
    <v t="i">5198</v>
    <v t="i">5199</v>
    <v t="i">5200</v>
    <v t="i">5201</v>
    <v t="i">5204</v>
    <v t="i">5205</v>
    <v t="i">5206</v>
    <v t="i">5207</v>
    <v t="i">5208</v>
    <v t="i">5211</v>
    <v t="i">5212</v>
    <v t="i">5213</v>
    <v t="i">5214</v>
    <v t="i">5215</v>
    <v t="i">5218</v>
    <v t="i">5219</v>
    <v t="i">5221</v>
    <v t="i">5222</v>
    <v t="i">5225</v>
    <v t="i">5226</v>
    <v t="i">5227</v>
    <v t="i">5228</v>
    <v t="i">5229</v>
    <v t="i">5232</v>
    <v t="i">5233</v>
    <v t="i">5234</v>
    <v t="i">5236</v>
    <v t="i">5239</v>
    <v t="i">5240</v>
    <v t="i">5241</v>
    <v t="i">5242</v>
    <v t="i">5243</v>
    <v t="i">5246</v>
    <v t="i">5247</v>
    <v t="i">5248</v>
    <v t="i">5249</v>
    <v t="i">5250</v>
    <v t="i">5253</v>
    <v t="i">5254</v>
    <v t="i">5255</v>
    <v t="i">5256</v>
    <v t="i">5257</v>
    <v t="i">5260</v>
    <v t="i">5261</v>
    <v t="i">5262</v>
    <v t="i">5263</v>
    <v t="i">5264</v>
    <v t="i">5267</v>
    <v t="i">5268</v>
    <v t="i">5269</v>
    <v t="i">5270</v>
    <v t="i">5271</v>
    <v t="i">5274</v>
    <v t="i">5275</v>
    <v t="i">5276</v>
    <v t="i">5277</v>
    <v t="i">5278</v>
    <v t="i">5281</v>
    <v t="i">5282</v>
    <v t="i">5283</v>
    <v t="i">5284</v>
    <v t="i">5285</v>
    <v t="i">5288</v>
    <v t="i">5289</v>
    <v t="i">5290</v>
    <v t="i">5291</v>
    <v t="i">5292</v>
    <v t="i">5296</v>
    <v t="i">5297</v>
    <v t="i">5298</v>
    <v t="i">5299</v>
    <v t="i">5302</v>
    <v t="i">5303</v>
    <v t="i">5304</v>
    <v t="i">5305</v>
    <v t="i">5306</v>
    <v t="i">5309</v>
    <v t="i">5310</v>
    <v t="i">5311</v>
    <v t="i">5312</v>
    <v t="i">5313</v>
    <v t="i">5316</v>
    <v t="i">5317</v>
    <v t="i">5318</v>
    <v t="i">5319</v>
    <v t="i">5320</v>
    <v t="i">5323</v>
    <v t="i">5324</v>
    <v t="i">5325</v>
    <v t="i">5326</v>
    <v t="i">5327</v>
    <v t="i">5330</v>
    <v t="i">5331</v>
    <v t="i">5332</v>
    <v t="i">5333</v>
    <v t="i">5334</v>
    <v t="i">5337</v>
    <v t="i">5338</v>
    <v t="i">5339</v>
    <v t="i">5340</v>
    <v t="i">5341</v>
    <v t="i">5344</v>
    <v t="i">5345</v>
    <v t="i">5346</v>
    <v t="i">5347</v>
    <v t="i">5348</v>
    <v t="i">5351</v>
    <v t="i">5352</v>
    <v t="i">5353</v>
    <v t="i">5354</v>
    <v t="i">5355</v>
    <v t="i">5358</v>
    <v t="i">5359</v>
    <v t="i">5360</v>
    <v t="i">5361</v>
    <v t="i">5362</v>
    <v t="i">5365</v>
    <v t="i">5366</v>
    <v t="i">5367</v>
    <v t="i">5368</v>
    <v t="i">5369</v>
    <v t="i">5372</v>
    <v t="i">5373</v>
    <v t="i">5374</v>
    <v t="i">5375</v>
    <v t="i">5376</v>
    <v t="i">5379</v>
    <v t="i">5380</v>
    <v t="i">5381</v>
    <v t="i">5383</v>
    <v t="i">5386</v>
    <v t="i">5387</v>
    <v t="i">5388</v>
    <v t="i">5389</v>
    <v t="i">5390</v>
    <v t="i">5393</v>
    <v t="i">5394</v>
    <v t="i">5395</v>
    <v t="i">5396</v>
    <v t="i">5397</v>
    <v t="i">5400</v>
    <v t="i">5401</v>
    <v t="i">5402</v>
    <v t="i">5403</v>
    <v t="i">5404</v>
    <v t="i">5407</v>
    <v t="i">5408</v>
    <v t="i">5409</v>
    <v t="i">5410</v>
    <v t="i">5411</v>
    <v t="i">5414</v>
    <v t="i">5415</v>
    <v t="i">5417</v>
    <v t="i">5418</v>
    <v t="i">5421</v>
    <v t="i">5422</v>
    <v t="i">5423</v>
    <v t="i">5425</v>
    <v t="i">5428</v>
    <v t="i">5429</v>
    <v t="i">5430</v>
    <v t="i">5431</v>
    <v t="i">5432</v>
    <v t="i">5436</v>
    <v t="i">5437</v>
    <v t="i">5438</v>
    <v t="i">5439</v>
    <v t="i">5442</v>
    <v t="i">5443</v>
    <v t="i">5444</v>
    <v t="i">5445</v>
    <v t="i">5446</v>
    <v t="i">5449</v>
    <v t="i">5450</v>
    <v t="i">5451</v>
    <v t="i">5452</v>
    <v t="i">5453</v>
    <v t="i">5456</v>
    <v t="i">5457</v>
    <v t="i">5458</v>
    <v t="i">5459</v>
    <v t="i">5460</v>
    <v t="i">5464</v>
    <v t="i">5465</v>
    <v t="i">5466</v>
    <v t="i">5467</v>
    <v t="i">5470</v>
    <v t="i">5471</v>
    <v t="i">5472</v>
    <v t="i">5473</v>
    <v t="i">5474</v>
    <v t="i">5477</v>
    <v t="i">5478</v>
  </a>
  <a r="1" c="4039">
    <v>10566.197399999999</v>
    <v>10566.197399999999</v>
    <v>10566.197399999999</v>
    <v>10552.518400000001</v>
    <v>10564.383599999999</v>
    <v>10567.331099999999</v>
    <v>10611.8447</v>
    <v>10624.6924</v>
    <v>10624.6924</v>
    <v>10624.6924</v>
    <v>10642.1502</v>
    <v>10685.9836</v>
    <v>10733.6713</v>
    <v>10779.1674</v>
    <v>10741.9846</v>
    <v>10741.9846</v>
    <v>10741.9846</v>
    <v>10785.893599999999</v>
    <v>10888.826499999999</v>
    <v>10836.150900000001</v>
    <v>10841.214400000001</v>
    <v>10850.358899999999</v>
    <v>10850.358899999999</v>
    <v>10850.358899999999</v>
    <v>10895.855</v>
    <v>10907.418</v>
    <v>10856.6317</v>
    <v>10927.0674</v>
    <v>10927.0674</v>
    <v>10927.0674</v>
    <v>10927.0674</v>
    <v>10973.546</v>
    <v>10969.993899999999</v>
    <v>10897.5177</v>
    <v>10927.0674</v>
    <v>10997.3521</v>
    <v>10997.3521</v>
    <v>10997.3521</v>
    <v>11005.9676</v>
    <v>11019.419900000001</v>
    <v>11123.1086</v>
    <v>11144.571900000001</v>
    <v>11018.664199999999</v>
    <v>11018.664199999999</v>
    <v>11018.664199999999</v>
    <v>11092.047399999999</v>
    <v>11117.062599999999</v>
    <v>11124.922399999999</v>
    <v>11134.2937</v>
    <v>11204.276</v>
    <v>11204.276</v>
    <v>11204.276</v>
    <v>11205.031800000001</v>
    <v>10991.986199999999</v>
    <v>11045.2665</v>
    <v>11167.3199</v>
    <v>11008.6127</v>
    <v>11008.6127</v>
    <v>11008.6127</v>
    <v>11151.8271</v>
    <v>10926.765100000001</v>
    <v>10868.119000000001</v>
    <v>10520.3235</v>
    <v>10380.4344</v>
    <v>10380.4344</v>
    <v>10380.4344</v>
    <v>10785.1378</v>
    <v>10748.257299999999</v>
    <v>10896.913</v>
    <v>10782.9462</v>
    <v>10620.1579</v>
    <v>10620.1579</v>
    <v>10620.1579</v>
    <v>10625.825999999999</v>
    <v>10510.9522</v>
    <v>10444.370800000001</v>
    <v>10068.007900000001</v>
    <v>10193.3866</v>
    <v>10193.3866</v>
    <v>10193.3866</v>
    <v>10066.572</v>
    <v>10043.7484</v>
    <v>9974.4462000000003</v>
    <v>10258.9856</v>
    <v>10136.6299</v>
    <v>10136.6299</v>
    <v>10136.6299</v>
    <v>10136.6299</v>
    <v>10024.0234</v>
    <v>10249.5388</v>
    <v>10255.282499999999</v>
    <v>9931.9732000000004</v>
    <v>9931.9732000000004</v>
    <v>9931.9732000000004</v>
    <v>9816.4948000000004</v>
    <v>9939.9840999999997</v>
    <v>9899.2492999999995</v>
    <v>10172.528</v>
    <v>10211.0712</v>
    <v>10211.0712</v>
    <v>10211.0712</v>
    <v>10190.8927</v>
    <v>10404.7695</v>
    <v>10409.4552</v>
    <v>10434.1682</v>
    <v>10450.6435</v>
    <v>10450.6435</v>
    <v>10450.6435</v>
    <v>10442.4058</v>
    <v>10293.523300000001</v>
    <v>10298.4357</v>
    <v>10152.802900000001</v>
    <v>10143.809499999999</v>
    <v>10143.809499999999</v>
    <v>10143.809499999999</v>
    <v>10138.5193</v>
    <v>9870.3040999999994</v>
    <v>9774.0216999999993</v>
    <v>9732.5311000000002</v>
    <v>9686.4822999999997</v>
    <v>9686.4822999999997</v>
    <v>9686.4822999999997</v>
    <v>9686.4822999999997</v>
    <v>9743.6232999999993</v>
    <v>10018.2781</v>
    <v>10138.993</v>
    <v>10198.026</v>
    <v>10198.026</v>
    <v>10198.026</v>
    <v>10216.265600000001</v>
    <v>10363.015600000001</v>
    <v>10366.724099999999</v>
    <v>10359.3071</v>
    <v>10097.8969</v>
    <v>10097.8969</v>
    <v>10097.8969</v>
    <v>10154.4324</v>
    <v>10229.9643</v>
    <v>10120.5262</v>
    <v>10322.298000000001</v>
    <v>10424.6219</v>
    <v>10424.6219</v>
    <v>10424.6219</v>
    <v>10525.4321</v>
    <v>10537.692800000001</v>
    <v>10497.8833</v>
    <v>10467.1559</v>
    <v>10465.9449</v>
    <v>10465.9449</v>
    <v>10465.9449</v>
    <v>10674.3768</v>
    <v>10636.3838</v>
    <v>10680.431500000001</v>
    <v>10674.9823</v>
    <v>10653.563899999999</v>
    <v>10653.563899999999</v>
    <v>10653.563899999999</v>
    <v>10698.7469</v>
    <v>10644.2549</v>
    <v>10378.8334</v>
    <v>10319.951800000001</v>
    <v>10303.150100000001</v>
    <v>10303.150100000001</v>
    <v>10303.150100000001</v>
    <v>10302.0149</v>
    <v>10405.8524</v>
    <v>10415.5398</v>
    <v>10271.2117</v>
    <v>10213.6167</v>
    <v>10213.6167</v>
    <v>10213.6167</v>
    <v>10174.4128</v>
    <v>10040.453299999999</v>
    <v>10060.0553</v>
    <v>9985.8099000000002</v>
    <v>10150.6482</v>
    <v>10150.6482</v>
    <v>10150.6482</v>
    <v>10009.7258</v>
    <v>10014.7209</v>
    <v>10269.471</v>
    <v>10320.1032</v>
    <v>10447.9323</v>
    <v>10447.9323</v>
    <v>10447.9323</v>
    <v>10447.9323</v>
    <v>10340.689</v>
    <v>10387.0072</v>
    <v>10415.2371</v>
    <v>10462.766299999999</v>
    <v>10462.766299999999</v>
    <v>10462.766299999999</v>
    <v>10544.1258</v>
    <v>10526.491599999999</v>
    <v>10572.7341</v>
    <v>10594.833699999999</v>
    <v>10607.851199999999</v>
    <v>10607.851199999999</v>
    <v>10607.851199999999</v>
    <v>10753.6173</v>
    <v>10761.034299999999</v>
    <v>10739.313099999999</v>
    <v>10662.418900000001</v>
    <v>10860.2551</v>
    <v>10860.2551</v>
    <v>10860.2551</v>
    <v>10812.0448</v>
    <v>10858.136</v>
    <v>10835.2796</v>
    <v>10788.0532</v>
    <v>10829.679</v>
    <v>10829.679</v>
    <v>10829.679</v>
    <v>10751.2711</v>
    <v>10944.717699999999</v>
    <v>10967.6497</v>
    <v>10948.577499999999</v>
    <v>11006.4753</v>
    <v>11006.4753</v>
    <v>11006.4753</v>
    <v>11010.3351</v>
    <v>11020.401</v>
    <v>11096.0843</v>
    <v>11094.5707</v>
    <v>11062.7837</v>
    <v>11062.7837</v>
    <v>11062.7837</v>
    <v>11143.689200000001</v>
    <v>10978.623799999999</v>
    <v>11107.9666</v>
    <v>11146.5651</v>
    <v>11132.563700000001</v>
    <v>11132.563700000001</v>
    <v>11132.563700000001</v>
    <v>11164.048000000001</v>
    <v>11169.4593</v>
    <v>11126.281999999999</v>
    <v>11113.945599999999</v>
    <v>11118.4866</v>
    <v>11118.4866</v>
    <v>11118.4866</v>
    <v>11124.617</v>
    <v>11188.720799999999</v>
    <v>11215.1342</v>
    <v>11434.8429</v>
    <v>11444.076300000001</v>
    <v>11444.076300000001</v>
    <v>11444.076300000001</v>
    <v>11406.840099999999</v>
    <v>11346.747499999999</v>
    <v>11357.040499999999</v>
    <v>11283.097900000001</v>
    <v>11192.580599999999</v>
    <v>11192.580599999999</v>
    <v>11192.580599999999</v>
    <v>11201.9653</v>
    <v>11023.504000000001</v>
    <v>11007.875400000001</v>
    <v>11181.2281</v>
    <v>11203.554700000001</v>
    <v>11203.554700000001</v>
    <v>11203.554700000001</v>
    <v>11178.5792</v>
    <v>11036.370199999999</v>
    <v>11187.282800000001</v>
    <v>11187.282800000001</v>
    <v>11091.997499999999</v>
    <v>11091.997499999999</v>
    <v>11091.997499999999</v>
    <v>11052.4908</v>
    <v>11006.021199999999</v>
    <v>11255.7762</v>
    <v>11362.414000000001</v>
    <v>11382.091700000001</v>
    <v>11382.091700000001</v>
    <v>11382.091700000001</v>
    <v>11362.186900000001</v>
    <v>11359.159600000001</v>
    <v>11372.4799</v>
    <v>11370.058000000001</v>
    <v>11410.3215</v>
    <v>11410.3215</v>
    <v>11410.3215</v>
    <v>11428.5612</v>
    <v>11476.5445</v>
    <v>11457.472299999999</v>
    <v>11499.2495</v>
    <v>11491.9082</v>
    <v>11491.9082</v>
    <v>11491.9082</v>
    <v>11478.1338</v>
    <v>11533.1556</v>
    <v>11559.493399999999</v>
    <v>11573.4948</v>
    <v>11573.4948</v>
    <v>11573.4948</v>
    <v>11573.4948</v>
    <v>11555.0281</v>
    <v>11575.5383</v>
    <v>11585.3771</v>
    <v>11569.7106</v>
    <v>11577.505999999999</v>
    <v>11577.505999999999</v>
    <v>11577.505999999999</v>
    <v>11670.7479</v>
    <v>11691.1824</v>
    <v>11722.893700000001</v>
    <v>11697.3127</v>
    <v>11674.759099999999</v>
    <v>11674.759099999999</v>
    <v>11674.759099999999</v>
    <v>11637.447200000001</v>
    <v>11671.883099999999</v>
    <v>11755.4375</v>
    <v>11731.9</v>
    <v>11787.375899999999</v>
    <v>11787.375899999999</v>
    <v>11787.375899999999</v>
    <v>11787.375899999999</v>
    <v>11837.9323</v>
    <v>11825.2932</v>
    <v>11822.795700000001</v>
    <v>11871.8385</v>
    <v>11871.8385</v>
    <v>11871.8385</v>
    <v>11980.5198</v>
    <v>11977.189700000001</v>
    <v>11985.439200000001</v>
    <v>11989.828799999999</v>
    <v>11823.7039</v>
    <v>11823.7039</v>
    <v>11823.7039</v>
    <v>11891.9324</v>
    <v>12040.1582</v>
    <v>12041.9746</v>
    <v>12062.2577</v>
    <v>12092.152700000001</v>
    <v>12092.152700000001</v>
    <v>12092.152700000001</v>
    <v>12161.63</v>
    <v>12233.1507</v>
    <v>12239.886500000001</v>
    <v>12229.2909</v>
    <v>12273.2629</v>
    <v>12273.2629</v>
    <v>12273.2629</v>
    <v>12268.1921</v>
    <v>12226.641900000001</v>
    <v>12288.172500000001</v>
    <v>12318.143099999999</v>
    <v>12391.253199999999</v>
    <v>12391.253199999999</v>
    <v>12391.253199999999</v>
    <v>12391.253199999999</v>
    <v>12212.7919</v>
    <v>12105.7757</v>
    <v>12068.5016</v>
    <v>12130.448399999999</v>
    <v>12130.448399999999</v>
    <v>12130.448399999999</v>
    <v>12226.3392</v>
    <v>12058.0195</v>
    <v>12066.798699999999</v>
    <v>12258.2019</v>
    <v>12169.8794</v>
    <v>12169.8794</v>
    <v>12169.8794</v>
    <v>12090.0335</v>
    <v>12214.3812</v>
    <v>12213.0946</v>
    <v>11984.6067</v>
    <v>12044.396500000001</v>
    <v>12044.396500000001</v>
    <v>12044.396500000001</v>
    <v>11993.1589</v>
    <v>11855.415199999999</v>
    <v>11613.3042</v>
    <v>11774.5854</v>
    <v>11858.5182</v>
    <v>11858.5182</v>
    <v>11858.5182</v>
    <v>12036.5254</v>
    <v>12018.6263</v>
    <v>12086.022300000001</v>
    <v>12170.560600000001</v>
    <v>12220.587299999999</v>
    <v>12220.587299999999</v>
    <v>12220.587299999999</v>
    <v>12197.882299999999</v>
    <v>12279.014800000001</v>
    <v>12350.611199999999</v>
    <v>12319.732400000001</v>
    <v>12376.722</v>
    <v>12376.722</v>
    <v>12376.722</v>
    <v>12400.0324</v>
    <v>12393.902099999999</v>
    <v>12426.7487</v>
    <v>12409.492899999999</v>
    <v>12380.052</v>
    <v>12380.052</v>
    <v>12380.052</v>
    <v>12381.1116</v>
    <v>12263.5754</v>
    <v>12270.992399999999</v>
    <v>12285.145200000001</v>
    <v>12341.832</v>
    <v>12341.832</v>
    <v>12341.832</v>
    <v>12201.5908</v>
    <v>12266.7541</v>
    <v>12453.5406</v>
    <v>12505.989100000001</v>
    <v>12505.989100000001</v>
    <v>12505.989100000001</v>
    <v>12505.989100000001</v>
    <v>12479.8784</v>
    <v>12595.3711</v>
    <v>12690.959199999999</v>
    <v>12763.312400000001</v>
    <v>12810.5388</v>
    <v>12810.5388</v>
    <v>12810.5388</v>
    <v>12807.3601</v>
    <v>12807.511500000001</v>
    <v>12723.5787</v>
    <v>12584.17</v>
    <v>12638.7377</v>
    <v>12638.7377</v>
    <v>12638.7377</v>
    <v>12684.6774</v>
    <v>12760.3608</v>
    <v>12630.034100000001</v>
    <v>12695.9164</v>
    <v>12595.7495</v>
    <v>12595.7495</v>
    <v>12595.7495</v>
    <v>12548.371800000001</v>
    <v>12479.5756</v>
    <v>12560.178400000001</v>
    <v>12605.3235</v>
    <v>12512.043799999999</v>
    <v>12512.043799999999</v>
    <v>12512.043799999999</v>
    <v>12381.263000000001</v>
    <v>12356.211799999999</v>
    <v>12394.6589</v>
    <v>12402.757</v>
    <v>12441.5826</v>
    <v>12441.5826</v>
    <v>12441.5826</v>
    <v>12441.5826</v>
    <v>12569.790199999999</v>
    <v>12290.140299999999</v>
    <v>12248.552299999999</v>
    <v>12151.2613</v>
    <v>12151.2613</v>
    <v>12151.2613</v>
    <v>12089.9578</v>
    <v>12070.81</v>
    <v>12048.9375</v>
    <v>12124.3559</v>
    <v>11951.9115</v>
    <v>11951.9115</v>
    <v>11951.9115</v>
    <v>11952.971</v>
    <v>12076.1078</v>
    <v>11897.268099999999</v>
    <v>11961.5232</v>
    <v>12004.36</v>
    <v>12004.36</v>
    <v>12004.36</v>
    <v>12080.383900000001</v>
    <v>12190.011200000001</v>
    <v>12109.6733</v>
    <v>12049.996999999999</v>
    <v>11934.58</v>
    <v>11934.58</v>
    <v>11934.58</v>
    <v>12043.564</v>
    <v>12188.686799999999</v>
    <v>12261.4184</v>
    <v>12414.336600000001</v>
    <v>12582.7698</v>
    <v>12582.7698</v>
    <v>12582.7698</v>
    <v>12582.7698</v>
    <v>12569.8658</v>
    <v>12626.0229</v>
    <v>12719.4918</v>
    <v>12657.204400000001</v>
    <v>12657.204400000001</v>
    <v>12657.204400000001</v>
    <v>12505.7621</v>
    <v>12446.8804</v>
    <v>12491.6093</v>
    <v>12437.1173</v>
    <v>12479.727000000001</v>
    <v>12479.727000000001</v>
    <v>12479.727000000001</v>
    <v>12385.1607</v>
    <v>12587.4244</v>
    <v>12571.909299999999</v>
    <v>12724.4112</v>
    <v>12681.1582</v>
    <v>12681.1582</v>
    <v>12681.1582</v>
    <v>12592.7979</v>
    <v>12501.296700000001</v>
    <v>12302.552299999999</v>
    <v>12240.113600000001</v>
    <v>12143.2389</v>
    <v>12143.2389</v>
    <v>12143.2389</v>
    <v>12132.491900000001</v>
    <v>11866.6163</v>
    <v>11896.435600000001</v>
    <v>11383.681</v>
    <v>11444.606100000001</v>
    <v>11444.606100000001</v>
    <v>11444.606100000001</v>
    <v>10809.85</v>
    <v>11239.769200000001</v>
    <v>10719.938200000001</v>
    <v>11143.310799999999</v>
    <v>11269.0208</v>
    <v>11269.0208</v>
    <v>11269.0208</v>
    <v>11482.901900000001</v>
    <v>11405.9319</v>
    <v>11410.208000000001</v>
    <v>10990.5818</v>
    <v>10817.645399999999</v>
    <v>10817.645399999999</v>
    <v>10817.645399999999</v>
    <v>10854.654500000001</v>
    <v>11176.7628</v>
    <v>11320.7125</v>
    <v>11149.8195</v>
    <v>11284.535900000001</v>
    <v>11284.535900000001</v>
    <v>11284.535900000001</v>
    <v>11539.248100000001</v>
    <v>11559.9475</v>
    <v>11613.531300000001</v>
    <v>11493.573200000001</v>
    <v>11240.2611</v>
    <v>11240.2611</v>
    <v>11240.2611</v>
    <v>11240.2611</v>
    <v>11139.299499999999</v>
    <v>11414.862499999999</v>
    <v>11295.8127</v>
    <v>10992.1333</v>
    <v>10992.1333</v>
    <v>10992.1333</v>
    <v>11061.118700000001</v>
    <v>11105.8475</v>
    <v>11246.732</v>
    <v>11433.177900000001</v>
    <v>11509.088299999999</v>
    <v>11509.088299999999</v>
    <v>11509.088299999999</v>
    <v>11401.012500000001</v>
    <v>11408.656499999999</v>
    <v>11124.843999999999</v>
    <v>10733.8261</v>
    <v>10771.4786</v>
    <v>10771.4786</v>
    <v>10771.4786</v>
    <v>11043.8629</v>
    <v>11190.6885</v>
    <v>11010.9028</v>
    <v>11153.982099999999</v>
    <v>10913.3848</v>
    <v>10913.3848</v>
    <v>10913.3848</v>
    <v>10655.304599999999</v>
    <v>10808.7147</v>
    <v>10939.9496</v>
    <v>11123.330400000001</v>
    <v>11103.1229</v>
    <v>11103.1229</v>
    <v>11103.1229</v>
    <v>11433.177900000001</v>
    <v>11416.300499999999</v>
    <v>11518.8514</v>
    <v>11478.1338</v>
    <v>11644.4858</v>
    <v>11644.4858</v>
    <v>11644.4858</v>
    <v>11397.0013</v>
    <v>11577.0519</v>
    <v>11504.623</v>
    <v>11541.7835</v>
    <v>11808.7943</v>
    <v>11808.7943</v>
    <v>11808.7943</v>
    <v>11913.6157</v>
    <v>11706.621800000001</v>
    <v>11869.038200000001</v>
    <v>12208.553599999999</v>
    <v>12231.1072</v>
    <v>12231.1072</v>
    <v>12231.1072</v>
    <v>11955.014499999999</v>
    <v>11657.957399999999</v>
    <v>11836.040300000001</v>
    <v>12044.4722</v>
    <v>11983.2444</v>
    <v>11983.2444</v>
    <v>11983.2444</v>
    <v>12068.3881</v>
    <v>12170.182199999999</v>
    <v>11780.942800000001</v>
    <v>11893.786700000001</v>
    <v>12153.683199999999</v>
    <v>12153.683199999999</v>
    <v>12153.683199999999</v>
    <v>12078.9838</v>
    <v>12096.1639</v>
    <v>11905.5933</v>
    <v>11770.7256</v>
    <v>11796.155199999999</v>
    <v>11796.155199999999</v>
    <v>11796.155199999999</v>
    <v>11547.3084</v>
    <v>11493.7246</v>
    <v>11257.554700000001</v>
    <v>11257.554700000001</v>
    <v>11231.784600000001</v>
    <v>11231.784600000001</v>
    <v>11231.784600000001</v>
    <v>11523.013999999999</v>
    <v>11555.6335</v>
    <v>12045.6831</v>
    <v>12020.026400000001</v>
    <v>12019.421</v>
    <v>12019.421</v>
    <v>12019.421</v>
    <v>12097.8289</v>
    <v>12150.126099999999</v>
    <v>12196.3686</v>
    <v>11997.6999</v>
    <v>12184.2593</v>
    <v>12184.2593</v>
    <v>12184.2593</v>
    <v>12021.3887</v>
    <v>11954.9388</v>
    <v>11823.4768</v>
    <v>11868.8112</v>
    <v>11866.389300000001</v>
    <v>11866.389300000001</v>
    <v>11866.389300000001</v>
    <v>11766.260200000001</v>
    <v>12103.5808</v>
    <v>12107.743399999999</v>
    <v>12169.652400000001</v>
    <v>12294.000099999999</v>
    <v>12294.000099999999</v>
    <v>12294.000099999999</v>
    <v>12294.000099999999</v>
    <v>12291.351199999999</v>
    <v>12151.412700000001</v>
    <v>12287.037200000001</v>
    <v>12217.5599</v>
    <v>12217.5599</v>
    <v>12217.5599</v>
    <v>12217.5599</v>
    <v>12397.3835</v>
    <v>12418.423500000001</v>
    <v>12415.698899999999</v>
    <v>12359.9203</v>
    <v>12359.9203</v>
    <v>12359.9203</v>
    <v>12392.691199999999</v>
    <v>12462.4712</v>
    <v>12449.4537</v>
    <v>12471.0234</v>
    <v>12422.0563</v>
    <v>12422.0563</v>
    <v>12422.0563</v>
    <v>12422.0563</v>
    <v>12482.073200000001</v>
    <v>12578.9478</v>
    <v>12623.9794</v>
    <v>12720.475700000001</v>
    <v>12720.475700000001</v>
    <v>12720.475700000001</v>
    <v>12708.820400000001</v>
    <v>12675.746800000001</v>
    <v>12756.955</v>
    <v>12734.628500000001</v>
    <v>12660.4588</v>
    <v>12660.4588</v>
    <v>12660.4588</v>
    <v>12653.723</v>
    <v>12632.910099999999</v>
    <v>12716.4645</v>
    <v>12705.414699999999</v>
    <v>12862.2305</v>
    <v>12862.2305</v>
    <v>12862.2305</v>
    <v>12845.126099999999</v>
    <v>12878.199699999999</v>
    <v>12883.9517</v>
    <v>12890.4604</v>
    <v>12801.229799999999</v>
    <v>12801.229799999999</v>
    <v>12801.229799999999</v>
    <v>12874.0371</v>
    <v>12878.2754</v>
    <v>12780.946599999999</v>
    <v>12904.0834</v>
    <v>12949.871800000001</v>
    <v>12949.871800000001</v>
    <v>12949.871800000001</v>
    <v>12949.871800000001</v>
    <v>12965.689700000001</v>
    <v>12938.670700000001</v>
    <v>12984.6862</v>
    <v>12982.9455</v>
    <v>12982.9455</v>
    <v>12982.9455</v>
    <v>12981.5075</v>
    <v>13005.120699999999</v>
    <v>12952.066699999999</v>
    <v>12980.2965</v>
    <v>12977.571900000001</v>
    <v>12977.571900000001</v>
    <v>12977.571900000001</v>
    <v>12962.813700000001</v>
    <v>12759.149799999999</v>
    <v>12837.3307</v>
    <v>12907.943300000001</v>
    <v>12922.020399999999</v>
    <v>12922.020399999999</v>
    <v>12922.020399999999</v>
    <v>12959.7107</v>
    <v>13177.6787</v>
    <v>13194.1019</v>
    <v>13252.7565</v>
    <v>13232.6248</v>
    <v>13232.6248</v>
    <v>13232.6248</v>
    <v>13239.1335</v>
    <v>13170.186</v>
    <v>13124.624599999999</v>
    <v>13046.141</v>
    <v>13080.728300000001</v>
    <v>13080.728300000001</v>
    <v>13080.728300000001</v>
    <v>13241.631100000001</v>
    <v>13197.734700000001</v>
    <v>13126.214</v>
    <v>13145.816000000001</v>
    <v>13212.0389</v>
    <v>13212.0389</v>
    <v>13212.0389</v>
    <v>13264.4874</v>
    <v>13199.551100000001</v>
    <v>13074.749299999999</v>
    <v>13060.1425</v>
    <v>13060.1425</v>
    <v>13060.1425</v>
    <v>13060.1425</v>
    <v>12929.5887</v>
    <v>12715.9347</v>
    <v>12805.392400000001</v>
    <v>12986.578299999999</v>
    <v>12849.591399999999</v>
    <v>12849.591399999999</v>
    <v>12849.591399999999</v>
    <v>12921.4149</v>
    <v>13115.542600000001</v>
    <v>13032.7451</v>
    <v>12964.1003</v>
    <v>13029.2637</v>
    <v>13029.2637</v>
    <v>13029.2637</v>
    <v>12927.166800000001</v>
    <v>13001.563599999999</v>
    <v>13090.718500000001</v>
    <v>13204.6219</v>
    <v>13228.310799999999</v>
    <v>13228.310799999999</v>
    <v>13228.310799999999</v>
    <v>13213.628199999999</v>
    <v>13279.321400000001</v>
    <v>13268.5743</v>
    <v>13206.5897</v>
    <v>13038.27</v>
    <v>13038.27</v>
    <v>13038.27</v>
    <v>13008.526400000001</v>
    <v>12932.086300000001</v>
    <v>12835.0602</v>
    <v>12855.0406</v>
    <v>12820.6047</v>
    <v>12820.6047</v>
    <v>12820.6047</v>
    <v>12695.3488</v>
    <v>12632.001899999999</v>
    <v>12598.549800000001</v>
    <v>12442.4908</v>
    <v>12369.3807</v>
    <v>12369.3807</v>
    <v>12369.3807</v>
    <v>12504.475399999999</v>
    <v>12502.8104</v>
    <v>12496.150299999999</v>
    <v>12529.753699999999</v>
    <v>12454.8272</v>
    <v>12454.8272</v>
    <v>12454.8272</v>
    <v>12454.8272</v>
    <v>12580.688599999999</v>
    <v>12419.861500000001</v>
    <v>12393.448</v>
    <v>12118.5661</v>
    <v>12118.5661</v>
    <v>12118.5661</v>
    <v>12101.4617</v>
    <v>12127.9509</v>
    <v>12414.7907</v>
    <v>12460.9575</v>
    <v>12554.1994</v>
    <v>12554.1994</v>
    <v>12554.1994</v>
    <v>12411.2336</v>
    <v>12573.8014</v>
    <v>12496.3773</v>
    <v>12651.9066</v>
    <v>12767.1723</v>
    <v>12767.1723</v>
    <v>12767.1723</v>
    <v>12741.8184</v>
    <v>12837.3307</v>
    <v>12824.3889</v>
    <v>12573.5743</v>
    <v>12640.7811</v>
    <v>12640.7811</v>
    <v>12640.7811</v>
    <v>12502.659</v>
    <v>12534.6731</v>
    <v>12627.006799999999</v>
    <v>12602.2583</v>
    <v>12880.0918</v>
    <v>12880.0918</v>
    <v>12880.0918</v>
    <v>12871.388199999999</v>
    <v>12943.8172</v>
    <v>12943.8172</v>
    <v>12896.666499999999</v>
    <v>12772.4701</v>
    <v>12736.2935</v>
    <v>12653.1175</v>
    <v>12604.5288</v>
    <v>12573.2716</v>
    <v>12777.086799999999</v>
    <v>12727.211499999999</v>
    <v>12805.5437</v>
    <v>12908.7001</v>
    <v>12943.3631</v>
    <v>12822.5725</v>
    <v>12721.4596</v>
    <v>12617.319299999999</v>
    <v>12676.0496</v>
    <v>12887.924999999999</v>
    <v>13075.657499999999</v>
    <v>13073.008599999999</v>
    <v>13008.677799999999</v>
    <v>12971.063200000001</v>
    <v>12878.8809</v>
    <v>13096.1677</v>
    <v>13117.510399999999</v>
    <v>13168.5967</v>
    <v>13175.635200000001</v>
    <v>13165.1909</v>
    <v>13207.951999999999</v>
    <v>13169.43</v>
    <v>13172.140100000001</v>
    <v>13164.784100000001</v>
    <v>13250.113300000001</v>
    <v>13275.2011</v>
    <v>13271.6392</v>
    <v>13203.5771</v>
    <v>13172.7595</v>
    <v>13057.464400000001</v>
    <v>13157.9701</v>
    <v>13124.6747</v>
    <v>13102.993899999999</v>
    <v>13107.485000000001</v>
    <v>13000.7073</v>
    <v>13090.8372</v>
    <v>13035.9385</v>
    <v>13047.475700000001</v>
    <v>13292.0036</v>
    <v>13306.6381</v>
    <v>13254.294599999999</v>
    <v>13323.363300000001</v>
    <v>13333.3519</v>
    <v>13539.8611</v>
    <v>13593.366099999999</v>
    <v>13553.1018</v>
    <v>13564.6391</v>
    <v>13577.957200000001</v>
    <v>13596.927900000001</v>
    <v>13579.467199999999</v>
    <v>13558.9244</v>
    <v>13457.5545</v>
    <v>13413.5123</v>
    <v>13485.968800000001</v>
    <v>13437.126899999999</v>
    <v>13515.1126</v>
    <v>13482.359399999999</v>
    <v>13494.608200000001</v>
    <v>13575.3586</v>
    <v>13610.147000000001</v>
    <v>13583.6525</v>
    <v>13473.527899999999</v>
    <v>13344.972400000001</v>
    <v>13326.3878</v>
    <v>13328.845300000001</v>
    <v>13424.225200000001</v>
    <v>13551.7824</v>
    <v>13557.004499999999</v>
    <v>13548.941000000001</v>
    <v>13343.513199999999</v>
    <v>13345.893899999999</v>
    <v>13102.529200000001</v>
    <v>13077.3403</v>
    <v>13103.6811</v>
    <v>13107.2137</v>
    <v>13107.21</v>
    <v>13096.462299999999</v>
    <v>13232.6206</v>
    <v>13093.160099999999</v>
    <v>13112.435799999999</v>
    <v>13245.6759</v>
    <v>12932.7345</v>
    <v>12811.320900000001</v>
    <v>12815.391100000001</v>
    <v>12815.0839</v>
    <v>12756.1818</v>
    <v>12570.9512</v>
    <v>12542.3833</v>
    <v>12588.307000000001</v>
    <v>12795.961799999999</v>
    <v>12788.512699999999</v>
    <v>12836.8938</v>
    <v>13009.683499999999</v>
    <v>12967.369199999999</v>
    <v>12878.132900000001</v>
    <v>12985.109</v>
    <v>13021.8172</v>
    <v>13025.5802</v>
    <v>12965.6029</v>
    <v>12951.779699999999</v>
    <v>13034.4884</v>
    <v>13074.0381</v>
    <v>13155.134</v>
    <v>13169.8788</v>
    <v>13248.440500000001</v>
    <v>13245.4455</v>
    <v>13170.7235</v>
    <v>13135.0136</v>
    <v>13235.3853</v>
    <v>13350.9624</v>
    <v>13251.973099999999</v>
    <v>13311.7199</v>
    <v>13190.8439</v>
    <v>13139.0838</v>
    <v>13114.5861</v>
    <v>13096.3087</v>
    <v>12938.110199999999</v>
    <v>13104.141900000001</v>
    <v>13412.552299999999</v>
    <v>13391.3568</v>
    <v>13435.207</v>
    <v>13384.2916</v>
    <v>13328.845300000001</v>
    <v>13390.512000000001</v>
    <v>13471.224</v>
    <v>13488.4262</v>
    <v>13507.3179</v>
    <v>13534.887500000001</v>
    <v>13511.2345</v>
    <v>13596.016600000001</v>
    <v>13649.696599999999</v>
    <v>13712.2081</v>
    <v>13779.327300000001</v>
    <v>13825.327799999999</v>
    <v>13895.979600000001</v>
    <v>13881.925999999999</v>
    <v>13954.420899999999</v>
    <v>13910.417100000001</v>
    <v>13860.5769</v>
    <v>14009.7904</v>
    <v>13880.082899999999</v>
    <v>13979.302600000001</v>
    <v>13986.5214</v>
    <v>13944.0535</v>
    <v>13992.9722</v>
    <v>13971.239100000001</v>
    <v>14018.698700000001</v>
    <v>13982.912</v>
    <v>13973.3894</v>
    <v>13981.7601</v>
    <v>14035.6705</v>
    <v>13927.5425</v>
    <v>13880.620500000001</v>
    <v>14000.5749</v>
    <v>13784.1654</v>
    <v>13900.1265</v>
    <v>14075.3737</v>
    <v>14054.4853</v>
    <v>14089.6576</v>
    <v>14127.825000000001</v>
    <v>14253.7695</v>
    <v>14296.237300000001</v>
    <v>14329.489799999999</v>
    <v>14397.0697</v>
    <v>14447.294</v>
    <v>14450.0586</v>
    <v>14455.280699999999</v>
    <v>14539.141299999999</v>
    <v>14514.106</v>
    <v>14452.0553</v>
    <v>14455.818300000001</v>
    <v>14511.7253</v>
    <v>14421.4907</v>
    <v>14512.032499999999</v>
    <v>14447.7547</v>
    <v>14559.645699999999</v>
    <v>14526.162899999999</v>
    <v>14578.537399999999</v>
    <v>14572.854499999999</v>
    <v>14662.013999999999</v>
    <v>14550.3534</v>
    <v>14606.106900000001</v>
    <v>14565.251700000001</v>
    <v>14613.479300000001</v>
    <v>14673.4565</v>
    <v>14802.242399999999</v>
    <v>14865.1379</v>
    <v>14865.061100000001</v>
    <v>14599.195299999999</v>
    <v>14756.779500000001</v>
    <v>14618.5862</v>
    <v>14537.1446</v>
    <v>14547.512000000001</v>
    <v>14567.1716</v>
    <v>14719.457</v>
    <v>14676.2979</v>
    <v>14700.795700000001</v>
    <v>14712.545400000001</v>
    <v>14818.753500000001</v>
    <v>14839.795400000001</v>
    <v>14700.9493</v>
    <v>14831.578299999999</v>
    <v>14973.957</v>
    <v>14968.888499999999</v>
    <v>15056.204900000001</v>
    <v>15105.123600000001</v>
    <v>15082.622600000001</v>
    <v>15118.486000000001</v>
    <v>15091.6844</v>
    <v>15215.248299999999</v>
    <v>15275.686299999999</v>
    <v>15233.2184</v>
    <v>15354.401599999999</v>
    <v>15335.279500000001</v>
    <v>15387.5772</v>
    <v>15307.172399999999</v>
    <v>15294.501200000001</v>
    <v>15303.102199999999</v>
    <v>15409.3871</v>
    <v>15302.795099999999</v>
    <v>15324.528200000001</v>
    <v>15115.567800000001</v>
    <v>15254.03</v>
    <v>15177.5417</v>
    <v>14960.5946</v>
    <v>15040.6155</v>
    <v>15248.1167</v>
    <v>15238.5941</v>
    <v>15122.018599999999</v>
    <v>14995.2294</v>
    <v>15176.0826</v>
    <v>15070.181699999999</v>
    <v>15179.845600000001</v>
    <v>15318.2309</v>
    <v>15112.1888</v>
    <v>14758.315500000001</v>
    <v>14799.401</v>
    <v>14659.556500000001</v>
    <v>14760.312099999999</v>
    <v>14910.14</v>
    <v>15024.4884</v>
    <v>14909.602500000001</v>
    <v>14974.955400000001</v>
    <v>14932.4107</v>
    <v>14988.548199999999</v>
    <v>15135.8418</v>
    <v>15224.694100000001</v>
    <v>15300.337600000001</v>
    <v>15291.6597</v>
    <v>15460.916800000001</v>
    <v>15464.2958</v>
    <v>15484.262699999999</v>
    <v>15451.855</v>
    <v>15470.516299999999</v>
    <v>15548.5404</v>
    <v>15543.7407</v>
    <v>15545.545400000001</v>
    <v>15567.739299999999</v>
    <v>15542.243200000001</v>
    <v>15555.605600000001</v>
    <v>15558.831</v>
    <v>15521.9692</v>
    <v>15520.5869</v>
    <v>15499.544900000001</v>
    <v>15628.0237</v>
    <v>15658.357900000001</v>
    <v>15612.1271</v>
    <v>15518.7438</v>
    <v>15470.669900000001</v>
    <v>15498.316199999999</v>
    <v>15425.5142</v>
    <v>15419.6777</v>
    <v>15451.010200000001</v>
    <v>15337.6602</v>
    <v>15112.1888</v>
    <v>15081.470600000001</v>
    <v>15010.742</v>
    <v>15002.985699999999</v>
    <v>14897.545599999999</v>
    <v>14963.743200000001</v>
    <v>15010.5116</v>
    <v>14946.4643</v>
    <v>14776.132</v>
    <v>14824.5131</v>
    <v>14840.9473</v>
    <v>14810.306</v>
    <v>14833.959000000001</v>
    <v>14930.8748</v>
    <v>14937.4792</v>
    <v>14922.5041</v>
    <v>15063.1165</v>
    <v>15191.057699999999</v>
    <v>15326.6016</v>
    <v>15300.6448</v>
    <v>15376.0579</v>
    <v>15494.783600000001</v>
    <v>15529.7256</v>
    <v>15676.9424</v>
    <v>15636.548000000001</v>
    <v>15451.087</v>
    <v>15401.381100000001</v>
    <v>15334.5928</v>
    <v>15273.263199999999</v>
    <v>15328.299300000001</v>
    <v>15258.2358</v>
    <v>15129.6684</v>
    <v>15191.704400000001</v>
    <v>15133.136200000001</v>
    <v>14996.4771</v>
    <v>15072.5772</v>
    <v>14936.2392</v>
    <v>14776.5252</v>
    <v>14802.983700000001</v>
    <v>15126.072099999999</v>
    <v>15237.107599999999</v>
    <v>15301.2629</v>
    <v>15168.0074</v>
    <v>15373.831</v>
    <v>15371.647499999999</v>
    <v>15399.647199999999</v>
    <v>15392.197700000001</v>
    <v>15467.655699999999</v>
    <v>15413.325999999999</v>
    <v>15509.2057</v>
    <v>15570.2785</v>
    <v>15568.9298</v>
    <v>15680.350700000001</v>
    <v>15618.7642</v>
    <v>15545.7466</v>
    <v>15615.5532</v>
    <v>15639.121800000001</v>
    <v>15618.2183</v>
    <v>15746.882100000001</v>
    <v>15593.9755</v>
    <v>15761.781000000001</v>
    <v>15783.1019</v>
    <v>15750.6711</v>
    <v>15821.633599999999</v>
    <v>15876.2202</v>
    <v>15961.696400000001</v>
    <v>15976.017400000001</v>
    <v>15967.026599999999</v>
    <v>15900.8163</v>
    <v>16009.9895</v>
    <v>16064.768700000001</v>
    <v>16072.5393</v>
    <v>16072.796200000001</v>
    <v>16097.328</v>
    <v>16086.4107</v>
    <v>16008.7693</v>
    <v>15914.6235</v>
    <v>15889.770500000001</v>
    <v>15821.5052</v>
    <v>16020.2004</v>
    <v>16025.5306</v>
    <v>15973.127500000001</v>
    <v>15843.532499999999</v>
    <v>15739.432699999999</v>
    <v>15755.3591</v>
    <v>15884.568799999999</v>
    <v>15875.2569</v>
    <v>16167.969499999999</v>
    <v>16179.0795</v>
    <v>16221.1432</v>
    <v>16294.6104</v>
    <v>16357.5455</v>
    <v>16479.883699999998</v>
    <v>16478.406599999998</v>
    <v>16504.287100000001</v>
    <v>16576.662499999999</v>
    <v>16441.351999999999</v>
    <v>16469.993900000001</v>
    <v>16425.1044</v>
    <v>16530.938200000001</v>
    <v>16462.737099999998</v>
    <v>16444.7556</v>
    <v>16437.049299999999</v>
    <v>16257.941000000001</v>
    <v>16373.8573</v>
    <v>16481.938699999999</v>
    <v>16417.0128</v>
    <v>16458.5628</v>
    <v>16414.444</v>
    <v>16373.343500000001</v>
    <v>16197.349899999999</v>
    <v>15879.1101</v>
    <v>15837.8812</v>
    <v>15928.5591</v>
    <v>15738.790499999999</v>
    <v>15848.605799999999</v>
    <v>15698.8459</v>
    <v>15372.803400000001</v>
    <v>15445.2431</v>
    <v>15440.233899999999</v>
    <v>15628.525600000001</v>
    <v>15794.083500000001</v>
    <v>15801.7898</v>
    <v>15994.7695</v>
    <v>15963.944100000001</v>
    <v>16027.5856</v>
    <v>16154.3871</v>
    <v>16130.401099999999</v>
    <v>16040.558000000001</v>
    <v>16133.226699999999</v>
    <v>16103.3004</v>
    <v>16207.143400000001</v>
    <v>16179.6574</v>
    <v>16198.4095</v>
    <v>16272.647300000001</v>
    <v>16321.710999999999</v>
    <v>16168.0337</v>
    <v>16395.8845</v>
    <v>16360.1785</v>
    <v>16421.893499999998</v>
    <v>16452.718799999999</v>
    <v>16418.682499999999</v>
    <v>16351.252</v>
    <v>16340.077799999999</v>
    <v>16108.887500000001</v>
    <v>16065.667799999999</v>
    <v>16247.216399999999</v>
    <v>16336.192499999999</v>
    <v>16222.1708</v>
    <v>16331.054899999999</v>
    <v>16302.7662</v>
    <v>16276.6931</v>
    <v>16367.8848</v>
    <v>16268.986800000001</v>
    <v>16264.2345</v>
    <v>16323.059600000001</v>
    <v>16457.663700000001</v>
    <v>16532.607899999999</v>
    <v>16573.002</v>
    <v>16572.5524</v>
    <v>16412.7101</v>
    <v>16245.8678</v>
    <v>16256.142900000001</v>
    <v>16437.1777</v>
    <v>16170.217199999999</v>
    <v>16026.7508</v>
    <v>16173.235500000001</v>
    <v>16262.5648</v>
    <v>16424.8475</v>
    <v>16408.535800000001</v>
    <v>16449.251</v>
    <v>16514.369600000002</v>
    <v>16501.6541</v>
    <v>16501.6541</v>
    <v>16361.4629</v>
    <v>16448.7372</v>
    <v>16535.369299999998</v>
    <v>16580.836800000001</v>
    <v>16558.8737</v>
    <v>16512.892500000002</v>
    <v>16530.552899999999</v>
    <v>16401.022099999998</v>
    <v>16518.543799999999</v>
    <v>16550.974699999999</v>
    <v>16583.3413</v>
    <v>16695.4686</v>
    <v>16715.440900000001</v>
    <v>16613.973999999998</v>
    <v>16446.810600000001</v>
    <v>16491.314699999999</v>
    <v>16511.865000000002</v>
    <v>16374.3068</v>
    <v>16533.057400000002</v>
    <v>16543.075700000001</v>
    <v>16606.2677</v>
    <v>16675.496299999999</v>
    <v>16633.1757</v>
    <v>16698.7438</v>
    <v>16717.174800000001</v>
    <v>16743.6332</v>
    <v>16722.344499999999</v>
    <v>16737.5324</v>
    <v>16836.1093</v>
    <v>16924.2827</v>
    <v>16943.098999999998</v>
    <v>16945.9247</v>
    <v>16843.8799</v>
    <v>16734.192999999999</v>
    <v>16775.742999999999</v>
    <v>16781.008999999998</v>
    <v>16808.494900000002</v>
    <v>16906.6224</v>
    <v>16921.4571</v>
    <v>16947.080699999999</v>
    <v>16937.255099999998</v>
    <v>16818.127899999999</v>
    <v>16867.512699999999</v>
    <v>16846.1276</v>
    <v>16851.843099999998</v>
    <v>16826.604800000001</v>
    <v>16956.071400000001</v>
    <v>16976.2363</v>
    <v>17068.262900000002</v>
    <v>17024.208299999998</v>
    <v>16906.6224</v>
    <v>16985.612400000002</v>
    <v>16915.067200000001</v>
    <v>16943.805499999999</v>
    <v>17055.419000000002</v>
    <v>17060.685000000001</v>
    <v>17138.197899999999</v>
    <v>16976.814299999998</v>
    <v>17100.18</v>
    <v>17051.7264</v>
    <v>17113.5376</v>
    <v>17086.629700000001</v>
    <v>17083.804</v>
    <v>16960.566699999999</v>
    <v>16982.594000000001</v>
    <v>16912.113099999999</v>
    <v>16880.356599999999</v>
    <v>16563.304800000002</v>
    <v>16493.3698</v>
    <v>16569.2772</v>
    <v>16429.471399999999</v>
    <v>16443.342799999999</v>
    <v>16368.270200000001</v>
    <v>16553.928800000002</v>
    <v>16569.9836</v>
    <v>16560.543399999999</v>
    <v>16651.799299999999</v>
    <v>16713.5785</v>
    <v>16662.909299999999</v>
    <v>16838.742300000002</v>
    <v>16919.594700000001</v>
    <v>16979.126199999999</v>
    <v>17039.4925</v>
    <v>17001.217700000001</v>
    <v>17076.868299999998</v>
    <v>17106.6983</v>
    <v>17122.014599999999</v>
    <v>17079.565500000001</v>
    <v>17098.446</v>
    <v>17067.556499999999</v>
    <v>17078.2811</v>
    <v>17069.579399999999</v>
    <v>17137.363099999999</v>
    <v>17111.418399999999</v>
    <v>17013.868900000001</v>
    <v>17068.7124</v>
    <v>17048.996999999999</v>
    <v>16987.506799999999</v>
    <v>17031.144</v>
    <v>17131.9686</v>
    <v>17156.8537</v>
    <v>17265.9948</v>
    <v>17279.737700000001</v>
    <v>17172.683799999999</v>
    <v>17055.8685</v>
    <v>17210.059600000001</v>
    <v>16945.796300000002</v>
    <v>17113.152300000002</v>
    <v>17071.217000000001</v>
    <v>17042.896199999999</v>
    <v>16804.705999999998</v>
    <v>16801.0455</v>
    <v>17009.6947</v>
    <v>16991.905900000002</v>
    <v>16719.3904</v>
    <v>16994.217799999999</v>
    <v>16659.248800000001</v>
    <v>16544.103200000001</v>
    <v>16321.068799999999</v>
    <v>16315.1927</v>
    <v>16141.7358</v>
    <v>16117.2361</v>
    <v>16380.4076</v>
    <v>16399.673500000001</v>
    <v>16614.8089</v>
    <v>16461.324199999999</v>
    <v>16677.904600000002</v>
    <v>16805.412400000001</v>
    <v>16817.9352</v>
    <v>17005.745200000001</v>
    <v>16974.309700000002</v>
    <v>17195.4175</v>
    <v>17390.5164</v>
    <v>17366.241399999999</v>
    <v>17383.837599999999</v>
    <v>17484.533800000001</v>
    <v>17554.468799999999</v>
    <v>17573.927299999999</v>
    <v>17613.743399999999</v>
    <v>17614.899399999998</v>
    <v>17612.2022</v>
    <v>17652.7889</v>
    <v>17634.743200000001</v>
    <v>17647.7477</v>
    <v>17687.8207</v>
    <v>17685.733499999998</v>
    <v>17718.999199999998</v>
    <v>17810.0625</v>
    <v>17817.897300000001</v>
    <v>17814.943200000002</v>
    <v>17827.755000000001</v>
    <v>17828.2366</v>
    <v>17776.7968</v>
    <v>17879.547999999999</v>
    <v>17912.6211</v>
    <v>17900.098300000001</v>
    <v>17958.794900000001</v>
    <v>17852.479500000001</v>
    <v>17801.200199999999</v>
    <v>17533.148000000001</v>
    <v>17596.34</v>
    <v>17280.8295</v>
    <v>17180.8397</v>
    <v>17068.873</v>
    <v>17356.865399999999</v>
    <v>17778.145400000001</v>
    <v>17804.7965</v>
    <v>17959.437099999999</v>
    <v>18024.170399999999</v>
    <v>18030.206999999999</v>
    <v>18053.711299999999</v>
    <v>18038.234400000001</v>
    <v>17983.069899999999</v>
    <v>17823.066999999999</v>
    <v>17832.9889</v>
    <v>17501.648300000001</v>
    <v>17371.635900000001</v>
    <v>17584.5236</v>
    <v>17907.8688</v>
    <v>17737.366000000002</v>
    <v>17640.844099999998</v>
    <v>17613.679199999999</v>
    <v>17427.089400000001</v>
    <v>17320.709800000001</v>
    <v>17511.570199999998</v>
    <v>17515.2307</v>
    <v>17554.2762</v>
    <v>17813.979899999998</v>
    <v>17672.600600000002</v>
    <v>17678.701499999999</v>
    <v>17387.2091</v>
    <v>17191.3717</v>
    <v>17416.846399999999</v>
    <v>17164.945400000001</v>
    <v>17361.0396</v>
    <v>17666.403399999999</v>
    <v>17673.018100000001</v>
    <v>17884.878199999999</v>
    <v>17824.287100000001</v>
    <v>17729.2101</v>
    <v>17868.759099999999</v>
    <v>17862.144499999999</v>
    <v>17972.3773</v>
    <v>18019.353899999998</v>
    <v>18047.578399999999</v>
    <v>18029.853800000001</v>
    <v>17985.767100000001</v>
    <v>18140.4398</v>
    <v>18116.839100000001</v>
    <v>18209.186799999999</v>
    <v>18224.5674</v>
    <v>18214.420699999999</v>
    <v>18132.701300000001</v>
    <v>18288.6263</v>
    <v>18203.374899999999</v>
    <v>18096.899000000001</v>
    <v>18135.719700000001</v>
    <v>17856.782200000001</v>
    <v>17995.721099999999</v>
    <v>17662.935600000001</v>
    <v>17635.385399999999</v>
    <v>17895.2176</v>
    <v>17749.310799999999</v>
    <v>17977.4185</v>
    <v>17849.0759</v>
    <v>18076.188200000001</v>
    <v>17959.027999999998</v>
    <v>18127.653300000002</v>
    <v>18116.042300000001</v>
    <v>18011.143700000001</v>
    <v>17718.535100000001</v>
    <v>17678.230500000001</v>
    <v>17712.662899999999</v>
    <v>17976.3109</v>
    <v>17776.122599999999</v>
    <v>17698.1826</v>
    <v>17763.2438</v>
    <v>17880.8544</v>
    <v>17875.416000000001</v>
    <v>17902.508099999999</v>
    <v>17958.727699999999</v>
    <v>18057.6541</v>
    <v>17977.044900000001</v>
    <v>18036.701000000001</v>
    <v>18112.605800000001</v>
    <v>18105.766</v>
    <v>17826.303100000001</v>
    <v>18034.932700000001</v>
    <v>17949.5857</v>
    <v>18038.269199999999</v>
    <v>18058.688399999999</v>
    <v>18080.141899999999</v>
    <v>18037.9689</v>
    <v>18110.1368</v>
    <v>18035.533299999999</v>
    <v>17840.516500000002</v>
    <v>18024.055799999998</v>
    <v>18070.399399999998</v>
    <v>17928.199000000001</v>
    <v>17841.984499999999</v>
    <v>17924.061699999998</v>
    <v>18191.113000000001</v>
    <v>18105.165400000002</v>
    <v>18068.2307</v>
    <v>18060.490099999999</v>
    <v>18252.237099999998</v>
    <v>18272.556199999999</v>
    <v>18298.881000000001</v>
    <v>18312.393700000001</v>
    <v>18285.401699999999</v>
    <v>18285.7353</v>
    <v>18232.018100000001</v>
    <v>18041.5389</v>
    <v>18162.986499999999</v>
    <v>18126.1185</v>
    <v>18010.676500000001</v>
    <v>18040.3711</v>
    <v>18011.9444</v>
    <v>18076.2716</v>
    <v>17905.577700000002</v>
    <v>17849.458200000001</v>
    <v>17766.546900000001</v>
    <v>17764.0445</v>
    <v>18000.4002</v>
    <v>18039.370200000001</v>
    <v>17898.838</v>
    <v>17791.169999999998</v>
    <v>17904.476600000002</v>
    <v>17935.739399999999</v>
    <v>18115.842100000002</v>
    <v>18015.948199999999</v>
    <v>18119.779200000001</v>
    <v>18144.0687</v>
    <v>17966.067899999998</v>
    <v>17890.363399999998</v>
    <v>17946.683000000001</v>
    <v>17596.3534</v>
    <v>17619.508600000001</v>
    <v>17757.906299999999</v>
    <v>17730.1132</v>
    <v>17683.579699999998</v>
    <v>17776.9139</v>
    <v>17515.4179</v>
    <v>17548.6227</v>
    <v>17760.411700000001</v>
    <v>17977.679199999999</v>
    <v>18053.575799999999</v>
    <v>18050.1685</v>
    <v>18120.2526</v>
    <v>18086.446499999998</v>
    <v>18100.409899999999</v>
    <v>17919.286899999999</v>
    <v>17851.04</v>
    <v>17731.917099999999</v>
    <v>17568.532200000001</v>
    <v>17440.5903</v>
    <v>17630.264999999999</v>
    <v>17751.3923</v>
    <v>17745.9807</v>
    <v>17689.859899999999</v>
    <v>17598.196</v>
    <v>17550.693800000001</v>
    <v>17540.471799999999</v>
    <v>17419.7454</v>
    <v>17373.379000000001</v>
    <v>17615.1659</v>
    <v>17402.842400000001</v>
    <v>17402.508399999999</v>
    <v>17408.254000000001</v>
    <v>17477.4028</v>
    <v>17545.182000000001</v>
    <v>17511.342499999999</v>
    <v>17348.725999999999</v>
    <v>16990.688999999998</v>
    <v>16459.7467</v>
    <v>15871.347400000001</v>
    <v>15666.4398</v>
    <v>16285.5051</v>
    <v>16654.766199999998</v>
    <v>16643.007600000001</v>
    <v>16528.026900000001</v>
    <v>16058.349700000001</v>
    <v>16351.3802</v>
    <v>16374.763800000001</v>
    <v>16102.3778</v>
    <v>16492.6842</v>
    <v>16253.5697</v>
    <v>16330.4017</v>
    <v>16433.0893</v>
    <v>16370.955599999999</v>
    <v>16599.848099999999</v>
    <v>16739.949499999999</v>
    <v>16674.742600000001</v>
    <v>16384.584900000002</v>
    <v>16510.1885</v>
    <v>16330.468500000001</v>
    <v>16279.893</v>
    <v>16201.324000000001</v>
    <v>16314.6679</v>
    <v>16001.894899999999</v>
    <v>16049.1299</v>
    <v>16284.7034</v>
    <v>16272.009400000001</v>
    <v>16472.373800000001</v>
    <v>16776.428</v>
    <v>16790.190900000001</v>
    <v>16912.287</v>
    <v>17050.751499999998</v>
    <v>17084.4908</v>
    <v>17131.859400000001</v>
    <v>17081.885200000001</v>
    <v>16924.747100000001</v>
    <v>17141.747299999999</v>
    <v>17215.973699999999</v>
    <v>17230.538400000001</v>
    <v>17217.109499999999</v>
    <v>17168.605100000001</v>
    <v>17489.161499999998</v>
    <v>17646.700400000002</v>
    <v>17623.049500000001</v>
    <v>17581.426599999999</v>
    <v>17779.519499999999</v>
    <v>17755.801800000001</v>
    <v>17663.536599999999</v>
    <v>17828.7588</v>
    <v>17918.151099999999</v>
    <v>17867.5756</v>
    <v>17863.433400000002</v>
    <v>17910.334299999999</v>
    <v>17730.4807</v>
    <v>17758.206999999999</v>
    <v>17702.219799999999</v>
    <v>17448.073</v>
    <v>17245.2366</v>
    <v>17483.014899999998</v>
    <v>17489.495500000001</v>
    <v>17737.161700000001</v>
    <v>17732.752199999999</v>
    <v>17823.8148</v>
    <v>17792.681100000002</v>
    <v>17812.1898</v>
    <v>17813.392400000001</v>
    <v>17798.493699999999</v>
    <v>17719.924599999998</v>
    <v>17888.3537</v>
    <v>17729.678899999999</v>
    <v>17477.670099999999</v>
    <v>17847.632699999998</v>
    <v>17730.5141</v>
    <v>17567.9977</v>
    <v>17492.301500000001</v>
    <v>17574.745599999998</v>
    <v>17265.213</v>
    <v>17368.501899999999</v>
    <v>17524.904999999999</v>
    <v>17749.0874</v>
    <v>17495.842499999999</v>
    <v>17128.552299999999</v>
    <v>17251.616999999998</v>
    <v>17417.273499999999</v>
    <v>17602.605500000001</v>
    <v>17552.167700000002</v>
    <v>17528.267</v>
    <v>17720.9787</v>
    <v>17603.872500000001</v>
    <v>17425.028699999999</v>
    <v>17148.9388</v>
    <v>17158.663400000001</v>
    <v>16906.508399999999</v>
    <v>16514.0998</v>
    <v>16346.453</v>
    <v>16398.5687</v>
    <v>16516.2228</v>
    <v>16151.412899999999</v>
    <v>16379.050999999999</v>
    <v>15988.080599999999</v>
    <v>16016.021699999999</v>
    <v>15766.743</v>
    <v>15882.684999999999</v>
    <v>16093.510399999999</v>
    <v>15885.2189</v>
    <v>16167.232599999999</v>
    <v>15944.4568</v>
    <v>16069.644</v>
    <v>16466.298599999998</v>
    <v>16449.177800000001</v>
    <v>16153.535900000001</v>
    <v>16336.659900000001</v>
    <v>16416.5798</v>
    <v>16204.9668</v>
    <v>16027.047500000001</v>
    <v>16014.3781</v>
    <v>15914.7351</v>
    <v>15660.183199999999</v>
    <v>15973.8361</v>
    <v>16196.4064</v>
    <v>16453.834599999998</v>
    <v>16413.429499999998</v>
    <v>16391.994299999998</v>
    <v>16620.659599999999</v>
    <v>16431.782999999999</v>
    <v>16484.9944</v>
    <v>16697.292300000001</v>
    <v>16639.9719</v>
    <v>16516.4967</v>
    <v>16865.076000000001</v>
    <v>16899.317599999998</v>
    <v>16943.9002</v>
    <v>17006.7677</v>
    <v>17073.949700000001</v>
    <v>16964.102699999999</v>
    <v>17000.3645</v>
    <v>16995.125599999999</v>
    <v>17213.312999999998</v>
    <v>17229.132600000001</v>
    <v>17251.526600000001</v>
    <v>17325.762299999999</v>
    <v>17481.492999999999</v>
    <v>17602.297399999999</v>
    <v>17623.869600000002</v>
    <v>17582.574199999999</v>
    <v>17502.585899999998</v>
    <v>17515.7346</v>
    <v>17535.389299999999</v>
    <v>17633.114799999999</v>
    <v>17716.664199999999</v>
    <v>17685.093499999999</v>
    <v>17792.749</v>
    <v>17737.003700000001</v>
    <v>17603.3246</v>
    <v>17716.047900000001</v>
    <v>17541.9637</v>
    <v>17576.958600000002</v>
    <v>17556.4136</v>
    <v>17721.2526</v>
    <v>17908.280200000001</v>
    <v>17926.428199999998</v>
    <v>17897.459800000001</v>
    <v>18004.156599999998</v>
    <v>18053.6014</v>
    <v>18096.266500000002</v>
    <v>17982.515899999999</v>
    <v>18003.745699999999</v>
    <v>17977.242699999999</v>
    <v>17990.323</v>
    <v>18041.5484</v>
    <v>17830.7572</v>
    <v>17773.642199999998</v>
    <v>17891.1594</v>
    <v>17750.9058</v>
    <v>17651.2628</v>
    <v>17660.713500000002</v>
    <v>17740.633399999999</v>
    <v>17705.912400000001</v>
    <v>17928.345700000002</v>
    <v>17711.117099999999</v>
    <v>17720.499299999999</v>
    <v>17535.320800000001</v>
    <v>17710.706200000001</v>
    <v>17529.9791</v>
    <v>17526.623500000002</v>
    <v>17435.403900000001</v>
    <v>17500.942299999999</v>
    <v>17492.929700000001</v>
    <v>17706.0494</v>
    <v>17851.507600000001</v>
    <v>17828.291799999999</v>
    <v>17873.216799999998</v>
    <v>17787.2019</v>
    <v>17789.667300000001</v>
    <v>17838.564299999998</v>
    <v>17807.062000000002</v>
    <v>17920.333200000001</v>
    <v>17938.275799999999</v>
    <v>18005.046900000001</v>
    <v>17985.186799999999</v>
    <v>17865.341199999999</v>
    <v>17732.483899999999</v>
    <v>17674.821</v>
    <v>17640.1685</v>
    <v>17733.100200000001</v>
    <v>17675.163400000001</v>
    <v>17804.870599999998</v>
    <v>17829.73</v>
    <v>17780.832999999999</v>
    <v>18011.073400000001</v>
    <v>17400.751400000001</v>
    <v>17140.241399999999</v>
    <v>17409.722699999998</v>
    <v>17694.681100000002</v>
    <v>17929.989300000001</v>
    <v>17949.3701</v>
    <v>17840.6188</v>
    <v>17918.6211</v>
    <v>17895.884699999999</v>
    <v>18146.738499999999</v>
    <v>18226.9323</v>
    <v>18347.6682</v>
    <v>18372.116699999999</v>
    <v>18506.412100000001</v>
    <v>18516.547699999999</v>
    <v>18533.052100000001</v>
    <v>18559.0072</v>
    <v>18595.029399999999</v>
    <v>18517.232499999998</v>
    <v>18570.854800000001</v>
    <v>18493.0579</v>
    <v>18473.745699999999</v>
    <v>18472.170600000001</v>
    <v>18456.350999999999</v>
    <v>18432.244900000002</v>
    <v>18404.5092</v>
    <v>18313.769</v>
    <v>18354.995900000002</v>
    <v>18352.051100000001</v>
    <v>18543.53</v>
    <v>18529.285500000002</v>
    <v>18533.052100000001</v>
    <v>18495.6603</v>
    <v>18613.519799999998</v>
    <v>18576.470399999998</v>
    <v>18636.050800000001</v>
    <v>18552.0219</v>
    <v>18573.936600000001</v>
    <v>18597.700199999999</v>
    <v>18552.569800000001</v>
    <v>18529.422500000001</v>
    <v>18547.296600000001</v>
    <v>18481.4843</v>
    <v>18448.406900000002</v>
    <v>18395.400900000001</v>
    <v>18502.988000000001</v>
    <v>18454.2965</v>
    <v>18400.8796</v>
    <v>18419.301599999999</v>
    <v>18491.962200000002</v>
    <v>18538.119900000002</v>
    <v>18526.135300000002</v>
    <v>18479.909199999998</v>
    <v>18085.446100000001</v>
    <v>18325.0687</v>
    <v>18066.750199999999</v>
    <v>18034.768599999999</v>
    <v>18212.482400000001</v>
    <v>18123.796699999999</v>
    <v>18120.167099999999</v>
    <v>18129.960200000001</v>
    <v>18293.703399999999</v>
    <v>18392.456200000001</v>
    <v>18261.447899999999</v>
    <v>18094.828300000001</v>
    <v>18228.302</v>
    <v>18339.244699999999</v>
    <v>18143.451400000002</v>
    <v>18308.153399999999</v>
    <v>18253.8462</v>
    <v>18168.447700000001</v>
    <v>18281.034</v>
    <v>18268.5016</v>
    <v>18240.491999999998</v>
    <v>18329.040700000001</v>
    <v>18128.659</v>
    <v>18144.204699999998</v>
    <v>18098.937300000001</v>
    <v>18138.383600000001</v>
    <v>18086.404900000001</v>
    <v>18161.941800000001</v>
    <v>18202.620800000001</v>
    <v>18162.352699999999</v>
    <v>18145.711299999999</v>
    <v>18223.0288</v>
    <v>18169.269499999999</v>
    <v>18199.333600000002</v>
    <v>18169.680400000001</v>
    <v>18161.1885</v>
    <v>18142.4241</v>
    <v>18037.097000000002</v>
    <v>17959.642500000002</v>
    <v>17930.6741</v>
    <v>17888.283100000001</v>
    <v>18259.5988</v>
    <v>18332.738799999999</v>
    <v>18589.687699999999</v>
    <v>18807.875100000001</v>
    <v>18847.663799999998</v>
    <v>18868.688099999999</v>
    <v>18923.063699999999</v>
    <v>18868.140200000002</v>
    <v>18903.82</v>
    <v>18867.934799999999</v>
    <v>18956.688999999998</v>
    <v>19023.870999999999</v>
    <v>19083.1774</v>
    <v>19152.139899999998</v>
    <v>19097.901300000001</v>
    <v>19121.5965</v>
    <v>19123.5825</v>
    <v>19191.9287</v>
    <v>19170.424999999999</v>
    <v>19216.2402</v>
    <v>19251.782999999999</v>
    <v>19549.616300000002</v>
    <v>19614.8122</v>
    <v>19756.846300000001</v>
    <v>19796.429599999999</v>
    <v>19911.207399999999</v>
    <v>19792.526099999999</v>
    <v>19852.243399999999</v>
    <v>19843.409</v>
    <v>19883.060799999999</v>
    <v>19974.622800000001</v>
    <v>19941.956300000002</v>
    <v>19918.877499999999</v>
    <v>19933.806799999998</v>
    <v>19945.038100000002</v>
    <v>19833.684399999998</v>
    <v>19819.7824</v>
    <v>19762.598900000001</v>
    <v>19881.759600000001</v>
    <v>19942.161800000002</v>
    <v>19899.291300000001</v>
    <v>19963.802500000002</v>
    <v>19887.375199999999</v>
    <v>19855.530599999998</v>
    <v>19954.283299999999</v>
    <v>19891.0049</v>
    <v>19885.731599999999</v>
    <v>19826.767599999999</v>
    <v>19804.716100000001</v>
    <v>19732.397799999999</v>
    <v>19827.246999999999</v>
    <v>19799.8537</v>
    <v>19912.714</v>
    <v>20068.513200000001</v>
    <v>20100.9058</v>
    <v>20093.783500000001</v>
    <v>19971.1302</v>
    <v>19864.091</v>
    <v>19890.936399999999</v>
    <v>19884.909899999999</v>
    <v>20071.457999999999</v>
    <v>20052.419699999999</v>
    <v>20090.2909</v>
    <v>20054.337200000002</v>
    <v>20172.4022</v>
    <v>20269.374400000001</v>
    <v>20412.161800000002</v>
    <v>20504.408599999999</v>
    <v>20611.858700000001</v>
    <v>20619.768499999998</v>
    <v>20624.048699999999</v>
    <v>20743.0039</v>
    <v>20775.601900000001</v>
    <v>20810.322899999999</v>
    <v>20821.759600000001</v>
    <v>20837.442200000001</v>
    <v>20812.240399999999</v>
    <v>21115.5524</v>
    <v>21002.966100000001</v>
    <v>21005.705399999999</v>
    <v>20954.343000000001</v>
    <v>20924.758300000001</v>
    <v>20855.727299999999</v>
    <v>20858.192599999998</v>
    <v>20902.980599999999</v>
    <v>20881.476900000001</v>
    <v>20837.373800000001</v>
    <v>20950.097099999999</v>
    <v>20934.5514</v>
    <v>20914.622800000001</v>
    <v>20905.856899999999</v>
    <v>20668.014899999998</v>
    <v>20661.303500000002</v>
    <v>20656.5782</v>
    <v>20596.723900000001</v>
    <v>20550.977200000001</v>
    <v>20701.503199999999</v>
    <v>20659.317500000001</v>
    <v>20728.485499999999</v>
    <v>20663.221099999999</v>
    <v>20650.209299999999</v>
    <v>20689.244699999999</v>
    <v>20648.1548</v>
    <v>20662.947100000001</v>
    <v>20656.0988</v>
    <v>20658.016299999999</v>
    <v>20651.305</v>
    <v>20591.8616</v>
    <v>20453.251700000001</v>
    <v>20636.923500000001</v>
    <v>20523.275699999998</v>
    <v>20404.491699999999</v>
    <v>20578.712800000001</v>
    <v>20547.758399999999</v>
    <v>20763.891299999999</v>
    <v>20996.117699999999</v>
    <v>20975.093400000002</v>
    <v>20981.325400000002</v>
    <v>20940.509399999999</v>
    <v>20913.458600000002</v>
    <v>20949.891599999999</v>
    <v>20957.9041</v>
    <v>20951.466700000001</v>
    <v>21006.938099999999</v>
    <v>21012.2798</v>
    <v>20975.778200000001</v>
    <v>20943.111799999999</v>
    <v>20919.4166</v>
    <v>20896.611700000001</v>
    <v>20981.941699999999</v>
    <v>20979.7503</v>
    <v>20606.927899999999</v>
    <v>20663.015599999999</v>
    <v>20804.8442</v>
    <v>20894.831099999999</v>
    <v>20937.9071</v>
    <v>21012.416700000002</v>
    <v>21082.954399999999</v>
    <v>21080.283599999999</v>
    <v>21029.469099999998</v>
    <v>21008.6502</v>
    <v>21144.1783</v>
    <v>21206.292600000001</v>
    <v>21184.035599999999</v>
    <v>21136.2343</v>
    <v>21173.694599999999</v>
    <v>21182.528900000001</v>
    <v>21271.9679</v>
    <v>21235.671900000001</v>
    <v>21328.4666</v>
    <v>21374.555700000001</v>
    <v>21359.900300000001</v>
    <v>21384.280299999999</v>
    <v>21528.9853</v>
    <v>21467.145</v>
    <v>21410.03</v>
    <v>21397.2922</v>
    <v>21394.758300000001</v>
    <v>21409.550599999999</v>
    <v>21310.660899999999</v>
    <v>21454.6126</v>
    <v>21287.034199999998</v>
    <v>21349.627899999999</v>
    <v>21479.266500000002</v>
    <v>21478.1708</v>
    <v>21320.043099999999</v>
    <v>21414.344499999999</v>
    <v>21408.523399999998</v>
    <v>21409.0713</v>
    <v>21532.1355</v>
    <v>21553.091400000001</v>
    <v>21637.7366</v>
    <v>21629.723999999998</v>
    <v>21574.732</v>
    <v>21640.749800000001</v>
    <v>21611.7814</v>
    <v>21580.073700000001</v>
    <v>21513.165700000001</v>
    <v>21613.424999999999</v>
    <v>21711.013500000001</v>
    <v>21796.548999999999</v>
    <v>21830.3112</v>
    <v>21891.124299999999</v>
    <v>21963.921900000001</v>
    <v>22016.242999999999</v>
    <v>22026.104599999999</v>
    <v>22092.807199999999</v>
    <v>22118.419900000001</v>
    <v>22085.342499999999</v>
    <v>22048.704099999999</v>
    <v>21844.007900000001</v>
    <v>21858.320800000001</v>
    <v>21993.712100000001</v>
    <v>21998.9853</v>
    <v>22024.871899999998</v>
    <v>21750.733800000002</v>
    <v>21674.511999999999</v>
    <v>21703.754300000001</v>
    <v>21899.890100000001</v>
    <v>21812.094700000001</v>
    <v>21783.400300000001</v>
    <v>21813.6698</v>
    <v>21808.3966</v>
    <v>21865.374599999999</v>
    <v>21892.425500000001</v>
    <v>21948.102299999999</v>
    <v>21987.555899999999</v>
    <v>21753.313099999999</v>
    <v>21807.639299999999</v>
    <v>21784.779600000002</v>
    <v>21797.793099999999</v>
    <v>22057.374199999998</v>
    <v>22118.861199999999</v>
    <v>22158.177100000001</v>
    <v>22203.4833</v>
    <v>22268.3442</v>
    <v>22331.346000000001</v>
    <v>22370.799500000001</v>
    <v>22412.5942</v>
    <v>22359.232</v>
    <v>22349.592400000001</v>
    <v>22296.092499999999</v>
    <v>22284.3184</v>
    <v>22340.710200000001</v>
    <v>22381.196499999998</v>
    <v>22405.089</v>
    <v>22557.601600000002</v>
    <v>22641.6728</v>
    <v>22661.640599999999</v>
    <v>22775.3881</v>
    <v>22773.666700000002</v>
    <v>22761.0664</v>
    <v>22830.678199999998</v>
    <v>22872.885900000001</v>
    <v>22841.006300000001</v>
    <v>22871.715400000001</v>
    <v>22956.957200000001</v>
    <v>22997.443599999999</v>
    <v>23157.598900000001</v>
    <v>23163.038400000001</v>
    <v>23328.633300000001</v>
    <v>23273.962899999999</v>
    <v>23441.7611</v>
    <v>23329.459599999998</v>
    <v>23400.8616</v>
    <v>23434.187099999999</v>
    <v>23348.738799999999</v>
    <v>23377.244500000001</v>
    <v>23435.0134</v>
    <v>23516.261600000002</v>
    <v>23539.1901</v>
    <v>23548.4166</v>
    <v>23557.23</v>
    <v>23563.358</v>
    <v>23461.9355</v>
    <v>23422.2065</v>
    <v>23439.695500000002</v>
    <v>23409.468400000002</v>
    <v>23271.277600000001</v>
    <v>23458.355</v>
    <v>23358.240699999998</v>
    <v>23430.331300000002</v>
    <v>23590.830900000001</v>
    <v>23526.176599999999</v>
    <v>23557.987400000002</v>
    <v>23580.778200000001</v>
    <v>23836.71</v>
    <v>23940.680199999999</v>
    <v>24272.351900000001</v>
    <v>24231.590100000001</v>
    <v>24290.047500000001</v>
    <v>24180.6378</v>
    <v>24140.908800000001</v>
    <v>24211.4846</v>
    <v>24329.156800000001</v>
    <v>24386.030599999998</v>
    <v>24504.804400000001</v>
    <v>24585.4329</v>
    <v>24508.6603</v>
    <v>24651.739699999998</v>
    <v>24792.202799999999</v>
    <v>24754.745999999999</v>
    <v>24726.653399999999</v>
    <v>24782.287700000001</v>
    <v>24754.057400000002</v>
    <v>24746.207999999999</v>
    <v>24774.300599999999</v>
    <v>24837.508999999998</v>
    <v>24719.217100000002</v>
    <v>24824.013500000001</v>
    <v>24922.6819</v>
    <v>25075.125499999998</v>
    <v>25295.872800000001</v>
    <v>25282.996999999999</v>
    <v>25385.796699999999</v>
    <v>25369.133900000001</v>
    <v>25574.733199999999</v>
    <v>25803.1921</v>
    <v>25792.864000000001</v>
    <v>26115.6535</v>
    <v>26017.811300000001</v>
    <v>26071.724399999999</v>
    <v>26214.597300000001</v>
    <v>26210.810300000001</v>
    <v>26252.122899999998</v>
    <v>26392.7925</v>
    <v>26616.7071</v>
    <v>26439.4758</v>
    <v>26076.8884</v>
    <v>26149.392100000001</v>
    <v>26186.711200000002</v>
    <v>25520.957900000001</v>
    <v>24345.750700000001</v>
    <v>24912.766800000001</v>
    <v>24893.349900000001</v>
    <v>23860.464800000002</v>
    <v>24190.897099999998</v>
    <v>24601.269499999999</v>
    <v>24640.4476</v>
    <v>24893.4876</v>
    <v>25200.3717</v>
    <v>25219.375499999998</v>
    <v>24964.751899999999</v>
    <v>24797.78</v>
    <v>24962.4797</v>
    <v>25309.988000000001</v>
    <v>25709.274700000002</v>
    <v>25410.0334</v>
    <v>25029.199700000001</v>
    <v>24608.981199999998</v>
    <v>24538.061099999999</v>
    <v>24874.7592</v>
    <v>24884.1234</v>
    <v>24801.360400000001</v>
    <v>24895.208999999999</v>
    <v>25335.7395</v>
    <v>25178.613700000002</v>
    <v>25007.0285</v>
    <v>24758.1198</v>
    <v>24873.657500000001</v>
    <v>24946.505499999999</v>
    <v>24610.909100000001</v>
    <v>24727.273000000001</v>
    <v>24682.311099999999</v>
    <v>23957.893800000002</v>
    <v>23533.199799999999</v>
    <v>24202.6024</v>
    <v>23857.710599999999</v>
    <v>23848.415300000001</v>
    <v>24103.107800000002</v>
    <v>23644.1931</v>
    <v>24033.358199999999</v>
    <v>24264.295999999998</v>
    <v>24505.2176</v>
    <v>23932.761900000001</v>
    <v>23979.100999999999</v>
    <v>24407.9951</v>
    <v>24189.4512</v>
    <v>24483.046399999999</v>
    <v>24360.141299999999</v>
    <v>24573.039199999999</v>
    <v>24786.625499999998</v>
    <v>24748.0671</v>
    <v>24664.890899999999</v>
    <v>24462.940900000001</v>
    <v>24448.688099999999</v>
    <v>24024.131799999999</v>
    <v>24083.8285</v>
    <v>24322.340199999999</v>
    <v>24311.185799999999</v>
    <v>24163.148799999999</v>
    <v>24099.045399999999</v>
    <v>23924.981400000001</v>
    <v>23930.145499999999</v>
    <v>24262.505700000002</v>
    <v>24357.318299999999</v>
    <v>24360.210200000001</v>
    <v>24542.536599999999</v>
    <v>24739.5291</v>
    <v>24831.1744</v>
    <v>24899.409100000001</v>
    <v>24706.410199999998</v>
    <v>24768.93</v>
    <v>24713.984100000001</v>
    <v>24715.085800000001</v>
    <v>25013.294300000001</v>
    <v>24834.410500000002</v>
    <v>24886.808700000001</v>
    <v>24811.757399999999</v>
    <v>24753.093400000002</v>
    <v>24361.449499999999</v>
    <v>24667.782800000001</v>
    <v>24415.844499999999</v>
    <v>24635.2147</v>
    <v>24813.685300000001</v>
    <v>24799.9833</v>
    <v>25146.389899999998</v>
    <v>25241.409</v>
    <v>25316.5291</v>
    <v>25322.312900000001</v>
    <v>25320.729200000002</v>
    <v>25201.198</v>
    <v>25175.308700000001</v>
    <v>25090.480100000001</v>
    <v>24987.473900000001</v>
    <v>24700.213299999999</v>
    <v>24657.798900000002</v>
    <v>24461.7016</v>
    <v>24580.888599999998</v>
    <v>24252.797299999998</v>
    <v>24283.106299999999</v>
    <v>24117.593199999999</v>
    <v>24216.046699999999</v>
    <v>24271.409899999999</v>
    <v>24307.177299999999</v>
    <v>24174.821</v>
    <v>24356.7431</v>
    <v>24456.484899999999</v>
    <v>24776.594499999999</v>
    <v>24919.664100000002</v>
    <v>24700.449000000001</v>
    <v>24924.8851</v>
    <v>25019.405900000002</v>
    <v>25064.361000000001</v>
    <v>25119.893700000001</v>
    <v>25199.293900000001</v>
    <v>25064.496599999999</v>
    <v>25058.122899999998</v>
    <v>25044.2906</v>
    <v>25241.943500000001</v>
    <v>25414.101600000002</v>
    <v>25527.065500000001</v>
    <v>25451.0556</v>
    <v>25306.833299999998</v>
    <v>25415.1865</v>
    <v>25333.819899999999</v>
    <v>25326.157899999998</v>
    <v>25462.5825</v>
    <v>25502.180899999999</v>
    <v>25628.909299999999</v>
    <v>25583.750899999999</v>
    <v>25509.2327</v>
    <v>25313.139299999999</v>
    <v>25187.699100000002</v>
    <v>25299.9172</v>
    <v>25162.4077</v>
    <v>25558.7307</v>
    <v>25669.321400000001</v>
    <v>25758.688999999998</v>
    <v>25822.2906</v>
    <v>25733.600999999999</v>
    <v>25656.980800000001</v>
    <v>25790.354200000002</v>
    <v>26049.6423</v>
    <v>26064.017100000001</v>
    <v>26124.5674</v>
    <v>25986.922200000001</v>
    <v>25964.8177</v>
    <v>25952.4771</v>
    <v>25974.988499999999</v>
    <v>25995.872599999999</v>
    <v>25916.540199999999</v>
    <v>25857.074799999999</v>
    <v>25971.055799999998</v>
    <v>25998.9238</v>
    <v>26145.993900000001</v>
    <v>26154.672999999999</v>
    <v>26062.1185</v>
    <v>26246.956200000001</v>
    <v>26405.756700000002</v>
    <v>26656.975900000001</v>
    <v>26743.495699999999</v>
    <v>26562.048299999999</v>
    <v>26492.208600000002</v>
    <v>26385.279399999999</v>
    <v>26439.9306</v>
    <v>26458.305899999999</v>
    <v>26651.212500000001</v>
    <v>26773.940399999999</v>
    <v>26828.388200000001</v>
    <v>26627.480500000001</v>
    <v>26447.050200000001</v>
    <v>26486.784199999998</v>
    <v>26430.573499999999</v>
    <v>25598.7359</v>
    <v>25052.833999999999</v>
    <v>25339.9902</v>
    <v>25250.554800000002</v>
    <v>25798.422999999999</v>
    <v>25706.682199999999</v>
    <v>25379.453000000001</v>
    <v>25444.342799999999</v>
    <v>25317.411</v>
    <v>25191.428400000001</v>
    <v>24583.416799999999</v>
    <v>24984.553899999999</v>
    <v>24688.311799999999</v>
    <v>24442.9238</v>
    <v>24874.641299999999</v>
    <v>25115.7575</v>
    <v>25380.741300000002</v>
    <v>25270.828600000001</v>
    <v>25461.701000000001</v>
    <v>25635.0118</v>
    <v>26180.303500000002</v>
    <v>26191.220099999999</v>
    <v>25989.295399999999</v>
    <v>25387.182799999999</v>
    <v>25286.491699999999</v>
    <v>25080.4987</v>
    <v>25289.271700000001</v>
    <v>25413.220099999999</v>
    <v>25017.439600000002</v>
    <v>24465.638599999998</v>
    <v>24464.689399999999</v>
    <v>24285.954099999999</v>
    <v>24640.237700000001</v>
    <v>24748.726500000001</v>
    <v>25366.434399999998</v>
    <v>25338.837500000001</v>
    <v>25538.4568</v>
    <v>25826.4267</v>
    <v>25027.067999999999</v>
    <v>24947.667799999999</v>
    <v>24388.950700000001</v>
    <v>24423.260200000001</v>
    <v>24370.2363</v>
    <v>24527.273799999999</v>
    <v>24597.384699999999</v>
    <v>24100.5062</v>
    <v>23592.982199999999</v>
    <v>23675.6371</v>
    <v>23323.658899999999</v>
    <v>22859.5982</v>
    <v>22445.374599999999</v>
    <v>21792.204399999999</v>
    <v>22878.448100000001</v>
    <v>23138.821100000001</v>
    <v>23062.404399999999</v>
    <v>23327.455999999998</v>
    <v>23346.238099999999</v>
    <v>22686.2196</v>
    <v>23433.164700000001</v>
    <v>23531.347000000002</v>
    <v>23787.4483</v>
    <v>23879.121299999999</v>
    <v>24001.917000000001</v>
    <v>23995.950099999998</v>
    <v>23909.837200000002</v>
    <v>24065.5864</v>
    <v>24207.164199999999</v>
    <v>24370.100699999999</v>
    <v>24706.348099999999</v>
    <v>24404.4781</v>
    <v>24575.6191</v>
    <v>24553.243299999998</v>
    <v>24737.1996</v>
    <v>24528.223099999999</v>
    <v>24579.958699999999</v>
    <v>25014.863000000001</v>
    <v>24999.674599999998</v>
    <v>25063.886299999998</v>
    <v>25239.366900000001</v>
    <v>25411.525000000001</v>
    <v>25390.301899999999</v>
    <v>25169.527300000002</v>
    <v>25106.332600000002</v>
    <v>25053.105299999999</v>
    <v>25425.7641</v>
    <v>25543.271000000001</v>
    <v>25439.393</v>
    <v>25883.2477</v>
    <v>25891.316500000001</v>
    <v>25954.4434</v>
    <v>25850.6332</v>
    <v>26031.809499999999</v>
    <v>26091.9529</v>
    <v>26057.982400000001</v>
    <v>25985.159299999999</v>
    <v>25915.9977</v>
    <v>26026.317200000001</v>
    <v>25819.646100000002</v>
    <v>25806.627499999999</v>
    <v>25673.4575</v>
    <v>25473.227999999999</v>
    <v>25450.241900000001</v>
    <v>25650.8783</v>
    <v>25554.662400000001</v>
    <v>25702.8851</v>
    <v>25709.936900000001</v>
    <v>25848.870299999999</v>
    <v>25914.099200000001</v>
    <v>25887.3838</v>
    <v>25745.670399999999</v>
    <v>25962.512299999999</v>
    <v>25502.316500000001</v>
    <v>25516.8269</v>
    <v>25657.726699999999</v>
    <v>25625.586899999998</v>
    <v>25717.463299999999</v>
    <v>25928.677299999999</v>
    <v>26258.415400000002</v>
    <v>26179.1319</v>
    <v>26218.129300000001</v>
    <v>26384.631300000001</v>
    <v>26424.985199999999</v>
    <v>26341.022000000001</v>
    <v>26150.579000000002</v>
    <v>26157.1577</v>
    <v>26143.050800000001</v>
    <v>26412.302500000002</v>
    <v>26384.767</v>
    <v>26452.6564</v>
    <v>26449.536599999999</v>
    <v>26559.5432</v>
    <v>26511.050800000001</v>
    <v>26656.392400000001</v>
    <v>26597.048500000001</v>
    <v>26462.083600000002</v>
    <v>26543.3338</v>
    <v>26554.3887</v>
    <v>26592.911400000001</v>
    <v>26430.139599999999</v>
    <v>26307.789499999999</v>
    <v>26504.946800000002</v>
    <v>26438.4817</v>
    <v>25965.087</v>
    <v>25967.325099999998</v>
    <v>25828.358700000001</v>
    <v>25942.3668</v>
    <v>25324.9869</v>
    <v>25532.046200000001</v>
    <v>25648.021100000002</v>
    <v>25862.6764</v>
    <v>25763.995999999999</v>
    <v>25679.897199999999</v>
    <v>25877.3259</v>
    <v>25776.610799999999</v>
    <v>25490.4715</v>
    <v>25585.6931</v>
    <v>25347.7749</v>
    <v>25126.405299999999</v>
    <v>25169.8789</v>
    <v>24815.036400000001</v>
    <v>24819.783899999999</v>
    <v>25332.175999999999</v>
    <v>25539.574400000001</v>
    <v>25720.657999999999</v>
    <v>25983.9414</v>
    <v>26062.6823</v>
    <v>26048.5075</v>
    <v>26004.830399999999</v>
    <v>26106.766299999999</v>
    <v>26089.607400000001</v>
    <v>26112.5311</v>
    <v>26465.5425</v>
    <v>26503.997299999999</v>
    <v>26753.1738</v>
    <v>26719.127400000001</v>
    <v>26727.5373</v>
    <v>26548.217000000001</v>
    <v>26536.823</v>
    <v>26526.581900000001</v>
    <v>26599.964899999999</v>
    <v>26717.431799999998</v>
    <v>26786.6777</v>
    <v>26965.998</v>
    <v>26922.117399999999</v>
    <v>26806.142500000002</v>
    <v>26783.490099999999</v>
    <v>26860.1963</v>
    <v>27088.076799999999</v>
    <v>27332.0311</v>
    <v>27359.1597</v>
    <v>27335.625599999999</v>
    <v>27219.8541</v>
    <v>27222.973900000001</v>
    <v>27154.2029</v>
    <v>27171.904299999998</v>
    <v>27349.189900000001</v>
    <v>27269.974300000002</v>
    <v>27140.977599999998</v>
    <v>27192.4542</v>
    <v>27221.3462</v>
    <v>27198.015599999999</v>
    <v>26864.265599999999</v>
    <v>26583.416399999998</v>
    <v>26485.007300000001</v>
    <v>25717.741699999999</v>
    <v>26029.517500000002</v>
    <v>26007.068599999999</v>
    <v>26378.188300000002</v>
    <v>26287.442999999999</v>
    <v>25907.370800000001</v>
    <v>26279.914799999999</v>
    <v>25479.4166</v>
    <v>25579.385600000001</v>
    <v>25886.007000000001</v>
    <v>26135.793900000001</v>
    <v>25962.441999999999</v>
    <v>26202.733800000002</v>
    <v>26252.243600000002</v>
    <v>25628.895400000001</v>
    <v>25898.8253</v>
    <v>25777.899399999998</v>
    <v>26036.0962</v>
    <v>26362.250199999999</v>
    <v>26403.282299999999</v>
    <v>26118.024700000002</v>
    <v>26355.468000000001</v>
    <v>26728.147700000001</v>
    <v>26797.461299999999</v>
    <v>26835.5092</v>
    <v>26909.434799999999</v>
    <v>27137.044000000002</v>
    <v>27182.450499999999</v>
    <v>27219.514999999999</v>
    <v>27076.8184</v>
    <v>27110.796999999999</v>
    <v>27147.081600000001</v>
    <v>27094.791099999999</v>
    <v>26935.0713</v>
    <v>26949.992099999999</v>
    <v>26807.770199999999</v>
    <v>26970.711599999999</v>
    <v>26891.122899999998</v>
    <v>26820.249400000001</v>
    <v>26916.827300000001</v>
    <v>26573.039700000001</v>
    <v>26078.620299999999</v>
    <v>26201.0383</v>
    <v>26573.7179</v>
    <v>26478.021700000001</v>
    <v>26164.0416</v>
    <v>26346.0069</v>
    <v>26496.672600000002</v>
    <v>26816.587</v>
    <v>26787.355899999999</v>
    <v>27024.799299999999</v>
    <v>27001.977299999999</v>
    <v>27025.884399999999</v>
    <v>26770.197</v>
    <v>26827.641899999999</v>
    <v>26788.101900000001</v>
    <v>26833.9493</v>
    <v>26805.5321</v>
    <v>26958.0628</v>
    <v>27090.7219</v>
    <v>27071.422500000001</v>
    <v>27186.689399999999</v>
    <v>27046.230899999999</v>
    <v>27347.358700000001</v>
    <v>27462.1129</v>
    <v>27492.632600000001</v>
    <v>27492.564699999999</v>
    <v>27674.801299999999</v>
    <v>27681.2444</v>
    <v>27691.485499999999</v>
    <v>27691.485499999999</v>
    <v>27783.587200000002</v>
    <v>27781.9594</v>
    <v>28004.888999999999</v>
    <v>28036.222600000001</v>
    <v>27934.0154</v>
    <v>27821.092499999999</v>
    <v>27766.292700000002</v>
    <v>27875.6211</v>
    <v>28066.471000000001</v>
    <v>28121.677800000001</v>
    <v>28163.9984</v>
    <v>28051.4146</v>
    <v>27783.044600000001</v>
    <v>27502.805799999998</v>
    <v>27649.7752</v>
    <v>27677.785500000002</v>
    <v>28015.0622</v>
    <v>27909.599699999999</v>
    <v>27881.724999999999</v>
    <v>27911.2952</v>
    <v>28132.054499999998</v>
    <v>28135.377700000001</v>
    <v>28235.889299999999</v>
    <v>28267.1551</v>
    <v>28239.2804</v>
    <v>28376.958200000001</v>
    <v>28455.0887</v>
    <v>28551.530999999999</v>
    <v>28515.4499</v>
    <v>28621.387200000001</v>
    <v>28645.260399999999</v>
    <v>28462.142100000001</v>
    <v>28538.4414</v>
    <v>28868.8004</v>
    <v>28634.883699999998</v>
    <v>28703.3835</v>
    <v>28583.678400000001</v>
    <v>28745.093799999999</v>
    <v>28956.900600000001</v>
    <v>28823.766800000001</v>
    <v>28907.0517</v>
    <v>28939.673900000002</v>
    <v>29030.215700000001</v>
    <v>29297.636200000001</v>
    <v>29348.095499999999</v>
    <v>29196.039499999999</v>
    <v>29186.2732</v>
    <v>29160.094099999998</v>
    <v>28989.726200000001</v>
    <v>28535.796399999999</v>
    <v>28722.848300000001</v>
    <v>28734.445800000001</v>
    <v>28859.440999999999</v>
    <v>28256.032299999999</v>
    <v>28399.8141</v>
    <v>28807.6253</v>
    <v>29290.8541</v>
    <v>29379.768199999999</v>
    <v>29102.513500000001</v>
    <v>29276.814999999999</v>
    <v>29276.3403</v>
    <v>29551.424599999998</v>
    <v>29423.309600000001</v>
    <v>29398.080000000002</v>
    <v>29232.188399999999</v>
    <v>29348.027699999999</v>
    <v>29219.980500000001</v>
    <v>28992.405200000001</v>
    <v>27960.805</v>
    <v>27081.362499999999</v>
    <v>26957.588100000001</v>
    <v>25766.641</v>
    <v>25409.356899999999</v>
    <v>26703.3249</v>
    <v>25917.4084</v>
    <v>27090.857499999998</v>
    <v>26121.2801</v>
    <v>25864.778900000001</v>
    <v>23851.020400000001</v>
    <v>25018.162</v>
    <v>23553.215800000002</v>
    <v>21200.620599999998</v>
    <v>23185.622800000001</v>
    <v>20188.519100000001</v>
    <v>21237.3799</v>
    <v>19898.920900000001</v>
    <v>20087.1937</v>
    <v>19173.975999999999</v>
    <v>18591.931199999999</v>
    <v>20704.912700000001</v>
    <v>21200.552800000001</v>
    <v>22552.1692</v>
    <v>21636.781200000001</v>
    <v>22327.476299999998</v>
    <v>21917.155699999999</v>
    <v>20943.508999999998</v>
    <v>21413.444800000001</v>
    <v>21052.534800000001</v>
    <v>22679.990600000001</v>
    <v>22653.8586</v>
    <v>23433.566800000001</v>
    <v>23719.373</v>
    <v>23390.767899999999</v>
    <v>23949.759999999998</v>
    <v>23504.349600000001</v>
    <v>23537.683400000002</v>
    <v>24242.493600000002</v>
    <v>23650.4421</v>
    <v>23018.8838</v>
    <v>23475.816999999999</v>
    <v>23515.255099999998</v>
    <v>23775.272199999999</v>
    <v>24133.781599999998</v>
    <v>24101.545300000002</v>
    <v>24633.8567</v>
    <v>24345.718499999999</v>
    <v>23723.694</v>
    <v>23749.7575</v>
    <v>23883.092499999999</v>
    <v>23664.639800000001</v>
    <v>23875.890800000001</v>
    <v>24331.314999999999</v>
    <v>24221.985799999999</v>
    <v>23764.778200000001</v>
    <v>23247.967700000001</v>
    <v>23625.338899999999</v>
    <v>23685.421900000001</v>
    <v>24597.3678</v>
    <v>24206.862099999998</v>
    <v>24575.899799999999</v>
    <v>24474.1152</v>
    <v>24465.164499999999</v>
    <v>24995.1096</v>
    <v>25548.271700000001</v>
    <v>25400.6361</v>
    <v>25383.1119</v>
    <v>25475.019799999998</v>
    <v>25742.650099999999</v>
    <v>26269.885999999999</v>
    <v>26281.820299999999</v>
    <v>27110.980500000001</v>
    <v>27572.440500000001</v>
    <v>27272.2994</v>
    <v>26989.991300000002</v>
    <v>25128.170300000002</v>
    <v>25605.542700000002</v>
    <v>25763.157899999998</v>
    <v>26289.9823</v>
    <v>26119.609700000001</v>
    <v>26080.102999999999</v>
    <v>25871.458299999998</v>
    <v>26024.958299999998</v>
    <v>26156.0985</v>
    <v>25445.9385</v>
    <v>25745.599399999999</v>
    <v>25015.5488</v>
    <v>25595.803199999998</v>
    <v>25812.8842</v>
    <v>25734.968199999999</v>
    <v>25827.356299999999</v>
    <v>26287.032999999999</v>
    <v>25890.1829</v>
    <v>26067.277099999999</v>
    <v>25706.092700000001</v>
    <v>26075.301800000001</v>
    <v>26085.7958</v>
    <v>26642.593099999998</v>
    <v>26870.0995</v>
    <v>26734.7068</v>
    <v>26671.948799999998</v>
    <v>26680.8652</v>
    <v>26840.400900000001</v>
    <v>27005.8351</v>
    <v>26652.332600000002</v>
    <v>26469.888599999998</v>
    <v>26584.773399999998</v>
    <v>26379.283800000001</v>
    <v>26539.573899999999</v>
    <v>26313.645100000002</v>
    <v>26428.324199999999</v>
    <v>26664.4041</v>
    <v>26828.4666</v>
    <v>27201.516599999999</v>
    <v>27386.978599999999</v>
    <v>27433.481199999998</v>
    <v>27791.441900000002</v>
    <v>27686.913799999998</v>
    <v>27976.835299999999</v>
    <v>27896.7245</v>
    <v>27931.018499999998</v>
    <v>27844.906299999999</v>
    <v>27778.067299999999</v>
    <v>27692.881000000001</v>
    <v>27739.726600000002</v>
    <v>27930.332600000002</v>
    <v>28308.458200000001</v>
    <v>28248.4437</v>
    <v>28331.915300000001</v>
    <v>28492.274000000001</v>
    <v>28653.867300000002</v>
    <v>28430.048999999999</v>
    <v>28645.6594</v>
    <v>29100.500700000001</v>
    <v>28292.7346</v>
    <v>28133.313200000001</v>
    <v>27500.891</v>
    <v>27940.467799999999</v>
    <v>27534.578099999999</v>
    <v>27665.641800000001</v>
    <v>27993.334200000001</v>
    <v>27995.6041</v>
    <v>28032.383600000001</v>
    <v>27901.977699999999</v>
    <v>27657.4175</v>
    <v>27147.703099999999</v>
    <v>27288.175500000001</v>
    <v>26763.1309</v>
    <v>26815.437999999998</v>
    <v>27173.955300000001</v>
    <v>27584.056</v>
    <v>27452.663199999999</v>
    <v>27781.704300000001</v>
    <v>27816.904699999999</v>
    <v>27682.814399999999</v>
    <v>28148.643400000001</v>
    <v>27772.7562</v>
    <v>28303.459200000001</v>
    <v>28425.509099999999</v>
    <v>28586.904399999999</v>
    <v>28837.517800000001</v>
    <v>28679.807000000001</v>
    <v>28514.003499999999</v>
    <v>28494.199100000002</v>
    <v>28606.313900000001</v>
    <v>28195.423699999999</v>
    <v>28308.7886</v>
    <v>28210.819800000001</v>
    <v>28363.661700000001</v>
    <v>28335.567200000001</v>
    <v>27685.380399999998</v>
    <v>27463.190399999999</v>
    <v>26519.952300000001</v>
    <v>26659.108899999999</v>
    <v>26501.595499999999</v>
    <v>26925.052599999999</v>
    <v>27480.034</v>
    <v>27847.6639</v>
    <v>28390.177100000001</v>
    <v>28323.395100000002</v>
    <v>29157.972699999998</v>
    <v>29420.922699999999</v>
    <v>29397.6312</v>
    <v>29080.17</v>
    <v>29479.809300000001</v>
    <v>29950.4414</v>
    <v>29783.354800000001</v>
    <v>29438.424200000001</v>
    <v>29483.230599999999</v>
    <v>29263.4751</v>
    <v>29591.266100000001</v>
    <v>30046.239000000001</v>
    <v>29872.474200000001</v>
    <v>29910.372200000002</v>
    <v>29638.638599999998</v>
    <v>29823.9175</v>
    <v>29883.791000000001</v>
    <v>29969.522000000001</v>
    <v>30218.260200000001</v>
    <v>30069.793600000001</v>
    <v>30173.881399999998</v>
    <v>30068.806700000001</v>
    <v>29999.261299999998</v>
    <v>30046.370599999998</v>
    <v>29861.552199999998</v>
    <v>30199.3112</v>
    <v>30154.537700000001</v>
    <v>30303.366099999999</v>
    <v>30179.046300000002</v>
    <v>30216.450799999999</v>
    <v>30015.512699999999</v>
    <v>30129.831600000001</v>
    <v>30199.870500000001</v>
    <v>30403.966799999998</v>
    <v>30335.6715</v>
    <v>30409.559399999998</v>
    <v>30606.484</v>
    <v>30223.885699999999</v>
    <v>30391.597300000001</v>
    <v>30829.397700000001</v>
    <v>31041.126199999999</v>
    <v>31097.9732</v>
    <v>31008.689299999998</v>
    <v>31068.6944</v>
    <v>31060.47</v>
    <v>30991.5167</v>
    <v>30814.264800000001</v>
    <v>30930.524700000002</v>
    <v>31188.375599999999</v>
    <v>31176.006099999999</v>
    <v>30996.977699999999</v>
    <v>30960.000899999999</v>
    <v>30937.038400000001</v>
    <v>30303.168699999998</v>
    <v>30603.358700000001</v>
    <v>29982.6152</v>
    <v>30211.911</v>
    <v>30687.477699999999</v>
    <v>30723.599200000001</v>
    <v>31055.864300000001</v>
    <v>31148.240600000001</v>
    <v>31385.7608</v>
    <v>31375.825700000001</v>
    <v>31437.804700000001</v>
    <v>31430.698799999998</v>
    <v>31458.3986</v>
    <v>31522.7461</v>
    <v>31613.017</v>
    <v>31493.3357</v>
    <v>31494.322700000001</v>
    <v>31521.6934</v>
    <v>31537.352599999998</v>
    <v>31961.862400000002</v>
    <v>31402.012200000001</v>
    <v>30932.366999999998</v>
    <v>31535.510399999999</v>
    <v>31391.517899999999</v>
    <v>31270.093099999998</v>
    <v>30924.142599999999</v>
    <v>31496.2965</v>
    <v>31802.440999999999</v>
    <v>31832.739600000001</v>
    <v>32297.022499999999</v>
    <v>32485.591199999999</v>
    <v>32778.642399999997</v>
    <v>32953.459900000002</v>
    <v>32825.949000000001</v>
    <v>33015.373</v>
    <v>32862.300799999997</v>
    <v>32627.971699999998</v>
    <v>32731.204099999999</v>
    <v>32423.151600000001</v>
    <v>32420.059300000001</v>
    <v>32619.484100000001</v>
    <v>33072.877899999999</v>
    <v>33171.373200000002</v>
    <v>33066.956400000003</v>
    <v>32981.554400000001</v>
    <v>33153.2137</v>
    <v>33527.192900000002</v>
    <v>33430.243799999997</v>
    <v>33446.264900000002</v>
    <v>33503.572399999997</v>
    <v>33800.604299999999</v>
    <v>33745.402199999997</v>
    <v>33677.271399999998</v>
    <v>33730.894399999997</v>
    <v>34035.986100000002</v>
    <v>34200.671199999997</v>
    <v>34077.634400000003</v>
    <v>33821.296799999996</v>
    <v>34137.3105</v>
    <v>33815.901599999997</v>
    <v>34043.486799999999</v>
    <v>33981.573600000003</v>
    <v>33984.929199999999</v>
    <v>33820.375699999997</v>
    <v>34060.3632</v>
    <v>33874.853999999999</v>
    <v>34113.229500000001</v>
    <v>34133.033900000002</v>
    <v>34230.344799999999</v>
    <v>34548.529699999999</v>
    <v>34777.759700000002</v>
    <v>34742.8226</v>
    <v>34269.1639</v>
    <v>33587.658499999998</v>
    <v>34021.445399999997</v>
    <v>34382.133999999998</v>
    <v>34327.787300000004</v>
    <v>34060.659299999999</v>
    <v>33896.04</v>
    <v>34084.148099999999</v>
    <v>34207.842900000003</v>
    <v>34393.977099999996</v>
    <v>34312.457000000002</v>
    <v>34323.050000000003</v>
    <v>34464.641000000003</v>
    <v>34529.449200000003</v>
    <v>34575.308299999997</v>
    <v>34600.376199999999</v>
    <v>34577.042800000003</v>
    <v>34756.388800000001</v>
    <v>34630.240899999997</v>
    <v>34599.823199999999</v>
    <v>34447.142099999997</v>
    <v>34466.235399999998</v>
    <v>34479.6008</v>
    <v>34393.746400000004</v>
    <v>34299.332999999999</v>
    <v>34033.671799999996</v>
    <v>33823.447200000002</v>
    <v>33290.083700000003</v>
    <v>33876.974499999997</v>
    <v>33945.5789</v>
    <v>33874.242100000003</v>
    <v>34196.821400000001</v>
    <v>34433.842499999999</v>
    <v>34283.268300000003</v>
    <v>34292.288200000003</v>
    <v>34502.512799999997</v>
    <v>34633.532899999998</v>
    <v>34786.345699999998</v>
    <v>34577.372000000003</v>
    <v>34681.792999999998</v>
    <v>34421.925600000002</v>
    <v>34870.159</v>
    <v>34996.175199999998</v>
    <v>34888.791499999999</v>
    <v>34933.233</v>
    <v>34987.0236</v>
    <v>34687.850200000001</v>
    <v>33962.038699999997</v>
    <v>34511.993699999999</v>
    <v>34797.999199999998</v>
    <v>34823.347300000001</v>
    <v>35061.553599999999</v>
    <v>35144.313499999997</v>
    <v>35058.525000000001</v>
    <v>34930.928599999999</v>
    <v>35084.531499999997</v>
    <v>34935.4715</v>
    <v>34838.161099999998</v>
    <v>35116.397700000001</v>
    <v>34792.6662</v>
    <v>35064.252999999997</v>
    <v>35208.506699999998</v>
    <v>35101.847199999997</v>
    <v>35264.667600000001</v>
    <v>35484.965600000003</v>
    <v>35499.845200000003</v>
    <v>35515.383300000001</v>
    <v>35625.400600000001</v>
    <v>35343.279600000002</v>
    <v>34960.687899999997</v>
    <v>34894.124499999998</v>
    <v>35120.084600000002</v>
    <v>35335.708100000003</v>
    <v>35366.2575</v>
    <v>35405.497600000002</v>
    <v>35213.1155</v>
    <v>35455.798799999997</v>
    <v>35399.835500000001</v>
    <v>35360.726999999999</v>
    <v>35312.532700000003</v>
    <v>35443.816099999996</v>
    <v>35369.088600000003</v>
    <v>35100.003700000001</v>
    <v>35031.07</v>
    <v>34879.376499999998</v>
    <v>34607.723899999997</v>
    <v>34869.632299999997</v>
    <v>34577.569499999998</v>
    <v>34814.393199999999</v>
    <v>34751.319199999998</v>
    <v>34584.877699999997</v>
    <v>33970.466099999998</v>
    <v>33919.835800000001</v>
    <v>34258.315199999997</v>
    <v>34764.816299999999</v>
    <v>34797.999199999998</v>
    <v>34869.368900000001</v>
    <v>34299.991399999999</v>
    <v>34390.717799999999</v>
    <v>33843.923199999997</v>
    <v>34326.4588</v>
    <v>34002.924899999998</v>
    <v>34314.673600000002</v>
    <v>34416.987699999998</v>
    <v>34754.940399999999</v>
    <v>34746.249600000003</v>
    <v>34496.060599999997</v>
    <v>34378.340100000001</v>
    <v>34377.813399999999</v>
    <v>34912.559399999998</v>
    <v>35294.756099999999</v>
    <v>35258.610399999998</v>
    <v>35457.313099999999</v>
    <v>35609.335800000001</v>
    <v>35603.081100000003</v>
    <v>35677.018499999998</v>
    <v>35741.145900000003</v>
    <v>35756.881500000003</v>
    <v>35490.693599999999</v>
    <v>35730.480000000003</v>
    <v>35819.560400000002</v>
    <v>35913.842199999999</v>
    <v>36052.631300000001</v>
    <v>36157.578999999998</v>
    <v>36124.229700000004</v>
    <v>36327.950199999999</v>
    <v>36432.216</v>
    <v>36319.975299999998</v>
    <v>36079.9398</v>
    <v>35921.234199999999</v>
    <v>36100.305200000003</v>
    <v>36087.453300000001</v>
    <v>36142.222500000003</v>
    <v>35931.054499999998</v>
    <v>35870.9467</v>
    <v>35601.977700000003</v>
    <v>35619.245499999997</v>
    <v>35813.804799999998</v>
    <v>35804.379999999997</v>
    <v>34899.336600000002</v>
    <v>35135.945</v>
    <v>34483.7232</v>
    <v>34022.040300000001</v>
    <v>34639.792399999998</v>
    <v>34580.080099999999</v>
    <v>35227.029300000002</v>
    <v>35719.4251</v>
    <v>35754.751600000003</v>
    <v>35754.685700000002</v>
    <v>35970.994500000001</v>
    <v>35650.947099999998</v>
    <v>35544.176800000001</v>
    <v>35927.429600000003</v>
    <v>35897.639300000003</v>
    <v>35365.435299999997</v>
    <v>34932.158600000002</v>
    <v>35492.702899999997</v>
    <v>35753.894800000002</v>
    <v>35950.563099999999</v>
    <v>36302.377999999997</v>
    <v>36398.207699999999</v>
    <v>36488.632899999997</v>
    <v>36398.075900000003</v>
    <v>36338.297700000003</v>
    <v>36585.055800000002</v>
    <v>36799.650999999998</v>
    <v>36407.105199999998</v>
    <v>36236.470399999998</v>
    <v>36231.659099999997</v>
    <v>36068.867299999998</v>
    <v>36252.024599999997</v>
    <v>36290.316899999998</v>
    <v>36113.618600000002</v>
    <v>35911.809500000003</v>
    <v>35368.466999999997</v>
    <v>35028.647400000002</v>
    <v>34715.388400000003</v>
    <v>34265.371200000001</v>
    <v>34364.496299999999</v>
    <v>34297.731800000001</v>
    <v>34168.0916</v>
    <v>34160.775800000003</v>
    <v>34725.472300000001</v>
    <v>35131.858699999997</v>
    <v>35405.243499999997</v>
    <v>35629.329400000002</v>
    <v>35111.163699999997</v>
    <v>35089.743699999999</v>
    <v>35091.127800000002</v>
    <v>35462.7808</v>
    <v>35768.064899999998</v>
    <v>35241.594899999996</v>
    <v>34738.060700000002</v>
    <v>34566.173600000002</v>
    <v>34988.839200000002</v>
    <v>34934.267599999999</v>
    <v>34312.033799999997</v>
    <v>34079.182200000003</v>
    <v>33596.606599999999</v>
    <v>33131.760199999997</v>
    <v>33223.833100000003</v>
    <v>34058.750800000002</v>
    <v>33892.597699999998</v>
    <v>33294.947399999997</v>
    <v>33891.345500000003</v>
    <v>33794.659</v>
    <v>33614.797100000003</v>
    <v>32817.380799999999</v>
    <v>32632.641800000001</v>
    <v>33286.247600000002</v>
    <v>33174.072800000002</v>
    <v>32944.187100000003</v>
    <v>32945.241600000001</v>
    <v>33544.341899999999</v>
    <v>34063.100700000003</v>
    <v>34480.757299999997</v>
    <v>34754.932999999997</v>
    <v>34552.992100000003</v>
    <v>34807.4614</v>
    <v>34358.498699999996</v>
    <v>34707.940900000001</v>
    <v>34861.241999999998</v>
    <v>34955.885300000002</v>
    <v>35294.189200000001</v>
    <v>35228.808799999999</v>
    <v>34678.348400000003</v>
    <v>34818.270199999999</v>
    <v>34921.877</v>
    <v>34641.176500000001</v>
    <v>34496.5092</v>
    <v>34583.573199999999</v>
    <v>34721.1224</v>
    <v>34308.079400000002</v>
    <v>34220.356299999999</v>
    <v>34564.591800000002</v>
    <v>34451.2307</v>
    <v>34411.686099999999</v>
    <v>34911.199999999997</v>
    <v>35160.792099999999</v>
    <v>34792.764000000003</v>
    <v>33811.3995</v>
    <v>34049.457900000001</v>
    <v>33240.178200000002</v>
    <v>33301.933599999997</v>
    <v>33916.390399999997</v>
    <v>32977.2068</v>
    <v>33061.5026</v>
    <v>33128.794300000001</v>
    <v>34061.0576</v>
    <v>32997.967700000001</v>
    <v>32899.369899999998</v>
    <v>32245.698100000001</v>
    <v>32160.743200000001</v>
    <v>31834.105100000001</v>
    <v>31730.300599999999</v>
    <v>32196.662899999999</v>
    <v>32223.421399999999</v>
    <v>32654.589</v>
    <v>31490.067299999999</v>
    <v>31253.129400000002</v>
    <v>31261.895100000002</v>
    <v>31880.240399999999</v>
    <v>31928.616600000001</v>
    <v>32120.275900000001</v>
    <v>32637.189399999999</v>
    <v>33212.958400000003</v>
    <v>32990.1247</v>
    <v>32813.228600000002</v>
    <v>33248.284800000001</v>
    <v>32899.699399999998</v>
    <v>32915.780899999998</v>
    <v>33180.136400000003</v>
    <v>32910.903700000003</v>
    <v>32272.786199999999</v>
    <v>31392.7876</v>
    <v>30516.743600000002</v>
    <v>30364.826499999999</v>
    <v>30668.5288</v>
    <v>29927.0681</v>
    <v>29888.775799999999</v>
    <v>30530.2546</v>
    <v>30483.130700000002</v>
    <v>30677.360400000001</v>
    <v>31500.678400000001</v>
    <v>31438.263900000002</v>
    <v>30946.988499999999</v>
    <v>31029.307100000002</v>
    <v>30775.431</v>
    <v>31097.257900000001</v>
    <v>30967.815299999998</v>
    <v>31037.6774</v>
    <v>31384.549200000001</v>
    <v>31338.1502</v>
    <v>31173.842499999999</v>
    <v>30981.326400000002</v>
    <v>30772.794699999999</v>
    <v>30630.170600000001</v>
    <v>31288.2582</v>
    <v>31072.608400000001</v>
    <v>31827.052899999999</v>
    <v>31874.835999999999</v>
    <v>32036.9028</v>
    <v>31899.287700000001</v>
    <v>31990.0425</v>
    <v>31761.540799999999</v>
    <v>32197.585599999999</v>
    <v>32529.628199999999</v>
    <v>32845.127899999999</v>
    <v>32798.399400000002</v>
    <v>32396.165199999999</v>
    <v>32812.503700000001</v>
    <v>32726.823799999998</v>
    <v>32803.474300000002</v>
    <v>32832.539599999996</v>
    <v>32774.409099999997</v>
    <v>33309.512999999999</v>
    <v>33336.667000000001</v>
    <v>33761.0461</v>
    <v>33912.435899999997</v>
    <v>34152.0101</v>
    <v>33980.320800000001</v>
    <v>33999.038500000002</v>
    <v>33706.7382</v>
    <v>33063.611700000001</v>
    <v>32909.585599999999</v>
    <v>32969.232000000004</v>
    <v>33291.783900000002</v>
    <v>32283.397300000001</v>
    <v>32098.987799999999</v>
    <v>31790.869699999999</v>
    <v>31510.432700000001</v>
    <v>31656.418099999999</v>
    <v>31318.443800000001</v>
    <v>31145.304499999998</v>
    <v>31581.2834</v>
    <v>31774.524600000001</v>
    <v>32151.713899999999</v>
    <v>32381.335999999999</v>
    <v>31104.969099999998</v>
    <v>31135.088800000001</v>
    <v>30961.8177</v>
    <v>30822.4231</v>
    <v>31019.684600000001</v>
    <v>30706.227999999999</v>
    <v>30183.778300000002</v>
    <v>30076.678400000001</v>
    <v>29590.412</v>
    <v>29260.808000000001</v>
    <v>29134.990300000001</v>
    <v>29683.7372</v>
    <v>29225.613300000001</v>
    <v>28725.506300000001</v>
    <v>29490.891500000002</v>
    <v>30316.318500000001</v>
    <v>30273.874</v>
    <v>29926.936300000001</v>
    <v>29296.7935</v>
    <v>29202.875199999999</v>
    <v>29239.190299999998</v>
    <v>29210.85</v>
    <v>30038.7156</v>
    <v>29634.833699999999</v>
    <v>30185.821400000001</v>
    <v>30523.795699999999</v>
    <v>30423.8138</v>
    <v>30333.586299999999</v>
    <v>31082.5605</v>
    <v>31499.623899999999</v>
    <v>31836.741399999999</v>
    <v>31839.114000000001</v>
    <v>32033.277900000001</v>
    <v>32861.802600000003</v>
    <v>32732.9532</v>
    <v>32653.204900000001</v>
    <v>32147.759399999999</v>
    <v>32001.246800000001</v>
    <v>32403.2173</v>
    <v>32827.003299999997</v>
    <v>33160.825400000002</v>
    <v>32513.9421</v>
    <v>33715.372100000001</v>
    <v>33747.864600000001</v>
    <v>33536.696600000003</v>
    <v>33592.915800000002</v>
    <v>33553.832600000002</v>
    <v>33546.319100000001</v>
    <v>33745.689599999998</v>
    <v>33700.279300000002</v>
    <v>34098.097699999998</v>
    <v>34194.059200000003</v>
    <v>34347.0308</v>
    <v>33849.461199999998</v>
    <v>33852.525900000001</v>
    <v>34589.768499999998</v>
    <v>34395.011500000001</v>
    <v>34429.876600000003</v>
    <v>33947.103300000002</v>
    <v>33596.343000000001</v>
    <v>33597.924800000001</v>
    <v>33781.477500000001</v>
    <v>33476.457000000002</v>
    <v>34005.036099999998</v>
    <v>34108.642899999999</v>
    <v>33966.348299999998</v>
    <v>33202.215400000001</v>
    <v>32920.460299999999</v>
    <v>32757.536700000001</v>
    <v>32849.741499999996</v>
    <v>33376.475200000001</v>
    <v>33027.494299999998</v>
    <v>33203.928999999996</v>
    <v>33241.562299999998</v>
    <v>32875.7091</v>
    <v>33220.801399999997</v>
    <v>33147.248500000002</v>
    <v>33136.373699999996</v>
    <v>33269.770700000001</v>
    <v>32930.082900000001</v>
    <v>33630.6149</v>
    <v>33517.649299999997</v>
    <v>33704.101900000001</v>
    <v>33973.004999999997</v>
    <v>34189.972900000001</v>
    <v>34302.608999999997</v>
    <v>33910.854099999997</v>
    <v>33296.957600000002</v>
    <v>33044.564400000003</v>
    <v>33375.486499999999</v>
    <v>33629.560400000002</v>
    <v>33733.958100000003</v>
    <v>33743.8442</v>
    <v>33949.410100000001</v>
    <v>33978.079899999997</v>
    <v>33717.085700000003</v>
    <v>34086.036599999999</v>
    <v>34092.956899999997</v>
    <v>34053.939599999998</v>
    <v>33926.012900000002</v>
    <v>33891.015899999999</v>
    <v>34156.689599999998</v>
    <v>33949.014600000002</v>
    <v>33699.883800000003</v>
    <v>33869.2664</v>
    <v>34245.928500000002</v>
    <v>34089.266100000001</v>
    <v>34128.0527</v>
    <v>33696.852099999996</v>
    <v>33826.6901</v>
    <v>33129.585200000001</v>
    <v>33045.0916</v>
    <v>33153.905100000004</v>
    <v>32816.919500000004</v>
    <v>32889.088300000003</v>
    <v>32656.698</v>
    <v>32661.838800000001</v>
    <v>33003.569799999997</v>
    <v>33390.974800000004</v>
    <v>33431.4421</v>
    <v>32856.464</v>
    <v>32798.399400000002</v>
    <v>32254.8593</v>
    <v>31909.635200000001</v>
    <v>31819.144</v>
    <v>32155.404699999999</v>
    <v>31874.5723</v>
    <v>32246.554899999999</v>
    <v>31861.984</v>
    <v>32244.577700000002</v>
    <v>32560.6047</v>
    <v>32030.114300000001</v>
    <v>32105.249</v>
    <v>32237.525600000001</v>
    <v>32432.084900000002</v>
    <v>32394.2539</v>
    <v>32717.596699999998</v>
    <v>32859.034399999997</v>
    <v>33274.153599999998</v>
    <v>33601.154199999997</v>
    <v>33402.376900000003</v>
    <v>33482.718200000003</v>
    <v>33485.2886</v>
    <v>33586.522700000001</v>
    <v>33684.790999999997</v>
    <v>33646.498699999996</v>
    <v>34029.685599999997</v>
    <v>33886.4683</v>
    <v>33987.175199999998</v>
    <v>33976.6299</v>
    <v>33897.013500000001</v>
    <v>33786.618300000002</v>
    <v>33808.961000000003</v>
    <v>33875.395799999998</v>
    <v>33530.830800000003</v>
    <v>33301.867700000003</v>
    <v>33826.162799999998</v>
    <v>34098.1636</v>
    <v>34051.698700000001</v>
    <v>33684.527399999999</v>
    <v>33414.2402</v>
    <v>33127.739800000003</v>
    <v>33674.3776</v>
    <v>33618.685700000002</v>
    <v>33561.807399999998</v>
    <v>33531.325100000002</v>
    <v>33309.512999999999</v>
    <v>33300.6155</v>
    <v>33348.5962</v>
    <v>33012.137799999997</v>
    <v>33420.765099999997</v>
    <v>33535.905700000003</v>
    <v>33426.630899999996</v>
    <v>33286.5772</v>
    <v>33055.505100000002</v>
    <v>32799.915300000001</v>
    <v>32764.654699999999</v>
    <v>33093.336000000003</v>
    <v>33042.784899999999</v>
    <v>32908.267399999997</v>
    <v>33061.568599999999</v>
    <v>33762.759700000002</v>
    <v>33562.861900000004</v>
    <v>33573.275300000001</v>
    <v>33665.018700000001</v>
    <v>33833.610399999998</v>
    <v>33876.779900000001</v>
    <v>34066.330199999997</v>
    <v>34212.117899999997</v>
    <v>33979.332199999997</v>
    <v>34408.061199999996</v>
    <v>34299.115899999997</v>
    <v>34053.873699999996</v>
    <v>33951.519099999998</v>
    <v>33946.707900000001</v>
    <v>33727.433199999999</v>
    <v>33714.713100000001</v>
    <v>33926.7379</v>
    <v>33852.657700000003</v>
    <v>34122.417600000001</v>
    <v>34407.599900000001</v>
    <v>34418.474600000001</v>
    <v>34288.636599999998</v>
    <v>33922.256200000003</v>
    <v>33734.880799999999</v>
    <v>33944.401100000003</v>
    <v>34261.416799999999</v>
    <v>34347.426200000002</v>
    <v>34395.143300000003</v>
    <v>34509.0317</v>
    <v>34585.352700000003</v>
    <v>34951.930899999999</v>
    <v>35061.205699999999</v>
    <v>35225.183900000004</v>
    <v>35227.688399999999</v>
    <v>35411.241099999999</v>
    <v>35438.065499999997</v>
    <v>35520.120499999997</v>
    <v>35282.7212</v>
    <v>35459.287700000001</v>
    <v>35559.533199999998</v>
    <v>35630.680500000002</v>
    <v>35282.523500000003</v>
    <v>35215.890899999999</v>
    <v>35065.621500000001</v>
    <v>35473.128299999997</v>
    <v>35314.488700000002</v>
    <v>35123.356599999999</v>
    <v>35176.1486</v>
    <v>35281.403100000003</v>
    <v>35307.634299999998</v>
    <v>34946.3946</v>
    <v>34765.741900000001</v>
    <v>34474.825599999996</v>
    <v>34500.661399999997</v>
    <v>34463.6872</v>
    <v>34288.834300000002</v>
    <v>34472.980199999998</v>
    <v>34099.415800000002</v>
    <v>34346.8989</v>
    <v>34559.978300000002</v>
    <v>34852.673999999999</v>
    <v>34890.241300000002</v>
    <v>34721.9133</v>
    <v>34837.713000000003</v>
    <v>34641.967400000001</v>
    <v>34443.19</v>
    <v>34500.727299999999</v>
    <v>34576.587</v>
    <v>34663.716899999999</v>
    <v>34645.987699999998</v>
    <v>34575.532500000001</v>
    <v>34907.113700000002</v>
    <v>34618.240599999997</v>
    <v>34624.304100000001</v>
    <v>34517.731500000002</v>
    <v>34440.883199999997</v>
    <v>34070.416499999999</v>
    <v>33963.8439</v>
    <v>34006.881500000003</v>
    <v>33618.883399999999</v>
    <v>33550.273500000003</v>
    <v>33666.336900000002</v>
    <v>33507.499499999998</v>
    <v>33433.3534</v>
    <v>33002.383500000004</v>
    <v>33129.552300000003</v>
    <v>33119.567300000002</v>
    <v>33407.583599999998</v>
    <v>33604.647299999997</v>
    <v>33739.296600000001</v>
    <v>33804.8747</v>
    <v>33631.142200000002</v>
    <v>33670.291299999997</v>
    <v>33984.5389</v>
    <v>33997.654499999997</v>
    <v>33665.084600000002</v>
    <v>33414.174299999999</v>
    <v>33127.278400000003</v>
    <v>32936.410000000003</v>
    <v>33141.382700000002</v>
    <v>33035.930500000002</v>
    <v>32784.2952</v>
    <v>32417.585200000001</v>
    <v>32928.962399999997</v>
    <v>33052.868699999999</v>
    <v>33274.582000000002</v>
    <v>33839.080699999999</v>
    <v>34061.321199999998</v>
    <v>34095.856800000001</v>
    <v>34152.603300000002</v>
    <v>34112.267800000001</v>
    <v>33891.938600000001</v>
    <v>34283.100400000003</v>
    <v>34337.869599999998</v>
    <v>34827.695</v>
    <v>34991.211799999997</v>
    <v>34945.471899999997</v>
    <v>34947.284399999997</v>
    <v>35151.037799999998</v>
    <v>35088.293799999999</v>
    <v>35273.032800000001</v>
    <v>35390.150600000001</v>
    <v>35333.470099999999</v>
    <v>35416.974999999999</v>
    <v>35430.4202</v>
    <v>35950.892699999997</v>
    <v>36245.4997</v>
    <v>36204.439299999998</v>
    <v>36124.559200000003</v>
    <v>36054.433499999999</v>
    <v>36117.3753</v>
    <v>36247.8724</v>
    <v>36404.9303</v>
    <v>36577.9378</v>
    <v>37090.237699999998</v>
    <v>37248.350100000003</v>
    <v>37305.162400000001</v>
    <v>37306.019200000002</v>
    <v>37557.918100000003</v>
    <v>37081.999199999998</v>
    <v>37404.3534</v>
    <v>37385.965199999999</v>
    <v>37545.3298</v>
    <v>37656.515899999999</v>
    <v>37710.0988</v>
    <v>37689.5357</v>
    <v>37715.041899999997</v>
    <v>37430.189200000001</v>
    <v>37440.339</v>
    <v>37466.108800000002</v>
    <v>37683.010799999996</v>
    <v>37525.162100000001</v>
    <v>37695.731</v>
    <v>37711.021500000003</v>
    <v>37592.981</v>
    <v>37361.118000000002</v>
    <v>37266.672400000003</v>
    <v>37468.613299999997</v>
    <v>37863.795400000003</v>
    <v>38001.805999999997</v>
    <v>37905.449000000001</v>
    <v>37806.389900000002</v>
    <v>38049.1276</v>
    <v>38109.433100000002</v>
    <v>38333.453099999999</v>
    <v>38467.311500000003</v>
    <v>38150.2958</v>
    <v>38519.839800000002</v>
    <v>38654.423199999997</v>
    <v>38380.115700000002</v>
    <v>38521.3557</v>
    <v>38677.359100000001</v>
    <v>38726.328399999999</v>
    <v>38671.690999999999</v>
    <v>38797.376799999998</v>
    <v>38272.752200000003</v>
    <v>38424.273800000003</v>
    <v>38773.122799999997</v>
    <v>38627.994299999998</v>
    <v>38563.800199999998</v>
    <v>38612.242299999998</v>
    <v>39069.113899999997</v>
    <v>39131.5285</v>
    <v>39069.2304</v>
    <v>38972.409500000002</v>
    <v>38949.023200000003</v>
    <v>38996.385499999997</v>
    <v>39087.376100000001</v>
    <v>38989.834699999999</v>
    <v>38585.191800000001</v>
    <v>38661.050000000003</v>
    <v>38791.345399999998</v>
    <v>38722.693099999997</v>
    <v>38769.662300000004</v>
    <v>39005.491099999999</v>
    <v>39043.321900000003</v>
    <v>38905.656900000002</v>
    <v>38714.766600000003</v>
    <v>38790.4283</v>
    <v>39110.7624</v>
    <v>39512.1299</v>
    <v>39781.3678</v>
    <v>39475.904000000002</v>
    <v>39313.640700000004</v>
    <v>39282.327899999997</v>
    <v>39760.077700000002</v>
    <v>39807.374499999998</v>
    <v>39566.845099999999</v>
    <v>39170.238499999999</v>
    <v>39127.141900000002</v>
    <v>38596.975400000003</v>
    <v>38904.038399999998</v>
    <v>38892.804400000001</v>
    <v>38883.672599999998</v>
    <v>38461.510300000002</v>
    <v>38459.079599999997</v>
    <v>37983.243600000002</v>
    <v>37735.109900000003</v>
    <v>37798.966399999998</v>
    <v>37753.307699999998</v>
    <v>37775.381600000001</v>
    <v>37986.396999999997</v>
    <v>38239.983500000002</v>
    <v>38503.687100000003</v>
    <v>38460.919000000002</v>
    <v>38085.795100000003</v>
    <v>38239.654999999999</v>
    <v>38386.0913</v>
    <v>37815.915999999997</v>
    <v>37903.291599999997</v>
    <v>38225.661800000002</v>
    <v>38675.679199999999</v>
    <v>38852.269999999997</v>
    <v>38884.263899999998</v>
    <v>39056.3874</v>
    <v>39387.757799999999</v>
    <v>39512.843000000001</v>
    <v>39431.511400000003</v>
    <v>39558.107499999998</v>
    <v>39908.004300000001</v>
    <v>39869.375</v>
    <v>40003.591899999999</v>
    <v>39806.766799999998</v>
    <v>39872.988299999997</v>
    <v>39671.0389</v>
    <v>39065.256300000001</v>
    <v>39069.592299999997</v>
    <v>38852.861199999999</v>
    <v>38441.538699999997</v>
    <v>38111.482199999999</v>
    <v>38686.321900000003</v>
    <v>38571.025500000003</v>
    <v>38711.286399999997</v>
    <v>38807.333899999998</v>
    <v>38886.169099999999</v>
    <v>38798.9905</v>
    <v>38868.036999999997</v>
    <v>38747.419199999997</v>
    <v>38712.206200000001</v>
    <v>38647.1014</v>
    <v>38589.157599999999</v>
    <v>38778.099199999997</v>
    <v>38834.860500000003</v>
    <v>39134.762600000002</v>
    <v>39150.332600000002</v>
    <v>39411.211300000003</v>
    <v>39112.163200000003</v>
    <v>39127.798900000002</v>
    <v>39164.063099999999</v>
    <v>39118.864200000004</v>
    <v>39169.515800000001</v>
    <v>39331.850599999998</v>
    <v>39308.002899999999</v>
    <v>39375.866900000001</v>
    <v>39344.792699999998</v>
    <v>39291.973100000003</v>
    <v>39721.362000000001</v>
    <v>39753.750099999997</v>
    <v>40000.898399999998</v>
    <v>40211.716699999997</v>
    <v>40954.475400000003</v>
    <v>41198.076099999998</v>
    <v>40665.019</v>
    <v>40287.529900000001</v>
    <v>40415.440000000002</v>
    <v>40358.087399999997</v>
    <v>39853.870799999997</v>
    <v>39935.071000000004</v>
    <v>40589.337200000002</v>
    <v>40539.933799999999</v>
    <v>40743.328600000001</v>
    <v>40842.792300000001</v>
    <v>40347.970200000003</v>
    <v>39737.260399999999</v>
    <v>38703.271500000003</v>
    <v>38997.655200000001</v>
    <v>38763.449999999997</v>
    <v>39446.49</v>
    <v>39497.54</v>
    <v>39357.01</v>
    <v>39765.64</v>
    <v>40008.39</v>
    <v>40563.06</v>
    <v>40659.760000000002</v>
    <v>40896.53</v>
    <v>40834.97</v>
    <v>40890.49</v>
    <v>40712.78</v>
    <v>41175.08</v>
    <v>41240.519999999997</v>
    <v>41250.5</v>
    <v>41091.42</v>
    <v>41335.050000000003</v>
    <v>41563.08</v>
    <v>40936.93</v>
    <v>40974.97</v>
    <v>40755.75</v>
    <v>40345.410000000003</v>
    <v>40829.589999999997</v>
    <v>40736.959999999999</v>
    <v>40861.71</v>
    <v>41096.769999999997</v>
    <v>41393.78</v>
    <v>41622.080000000002</v>
    <v>41606.18</v>
    <v>41503.1</v>
    <v>42025.19</v>
    <v>42063.360000000001</v>
    <v>42124.65</v>
    <v>42208.22</v>
    <v>41914.75</v>
    <v>42175.11</v>
    <v>42313</v>
    <v>42330.15</v>
    <v>42156.97</v>
    <v>42196.52</v>
    <v>42011.59</v>
    <v>42352.75</v>
    <v>41954.239999999998</v>
    <v>42080.37</v>
    <v>42512</v>
    <v>42454.12</v>
    <v>42863.86</v>
    <v>43065.22</v>
    <v>42740.42</v>
    <v>43077.7</v>
    <v>43239.05</v>
    <v>43275.91</v>
    <v>42931.6</v>
    <v>42924.89</v>
    <v>42514.95</v>
    <v>42374.36</v>
    <v>42114.400000000001</v>
    <v>42387.57</v>
    <v>42233.05</v>
    <v>42141.54</v>
    <v>41763.46</v>
    <v>42052.19</v>
    <v>41794.6</v>
    <v>42221.88</v>
    <v>43729.93</v>
    <v>43729.34</v>
    <v>43988.99</v>
    <v>44293.13</v>
    <v>43910.98</v>
    <v>43958.19</v>
    <v>43750.86</v>
    <v>43444.99</v>
    <v>43389.599999999999</v>
    <v>43268.94</v>
    <v>43408.47</v>
    <v>43870.35</v>
    <v>44296.51</v>
    <v>44736.57</v>
    <v>44860.31</v>
    <v>44722.06</v>
    <v>44910.65</v>
    <v>44782</v>
    <v>44705.53</v>
    <v>45014.04</v>
    <v>44765.71</v>
    <v>44642.52</v>
    <v>44401.93</v>
    <v>44247.83</v>
    <v>44148.56</v>
    <v>43914.12</v>
    <v>43828.06</v>
    <v>43717.48</v>
    <v>43449.9</v>
    <v>42326.87</v>
    <v>42342.239999999998</v>
    <v>42840.26</v>
    <v>42906.95</v>
    <v>43297.03</v>
    <v>43297.03</v>
    <v>43325.8</v>
    <v>42992.21</v>
    <v>42573.73</v>
    <v>42544.22</v>
    <v>42392.27</v>
    <v>42732.13</v>
    <v>42706.559999999998</v>
    <v>42528.36</v>
    <v>42635.199999999997</v>
    <v>41938.449999999997</v>
    <v>42297.120000000003</v>
    <v>42518.28</v>
    <v>43221.55</v>
    <v>43153.13</v>
    <v>43487.83</v>
    <v>44025.81</v>
    <v>44156.73</v>
    <v>44565.07</v>
    <v>44424.25</v>
    <v>44713.58</v>
    <v>44850.35</v>
    <v>44713.52</v>
    <v>44882.13</v>
    <v>44544.66</v>
    <v>44421.91</v>
    <v>44556.04</v>
    <v>44873.279999999999</v>
    <v>44747.63</v>
    <v>44303.4</v>
    <v>44470.41</v>
    <v>44593.65</v>
    <v>44368.56</v>
    <v>44711.43</v>
    <v>44546.080000000002</v>
    <v>44556.34</v>
    <v>44627.59</v>
    <v>44176.65</v>
    <v>43428.02</v>
    <v>43461.21</v>
    <v>43621.16</v>
    <v>43433.120000000003</v>
    <v>43239.5</v>
    <v>43840.91</v>
    <v>43191.24</v>
    <v>42520.99</v>
  </a>
  <a r="1" c="262">
    <v t="i">1</v>
    <v t="i">8</v>
    <v t="i">15</v>
    <v t="i">22</v>
    <v t="i">29</v>
    <v t="i">36</v>
    <v t="i">43</v>
    <v t="i">50</v>
    <v t="i">57</v>
    <v t="i">64</v>
    <v t="i">71</v>
    <v t="i">78</v>
    <v t="i">86</v>
    <v t="i">92</v>
    <v t="i">99</v>
    <v t="i">106</v>
    <v t="i">113</v>
    <v t="i">120</v>
    <v t="i">127</v>
    <v t="i">134</v>
    <v t="i">141</v>
    <v t="i">148</v>
    <v t="i">155</v>
    <v t="i">162</v>
    <v t="i">169</v>
    <v t="i">176</v>
    <v t="i">183</v>
    <v t="i">191</v>
    <v t="i">197</v>
    <v t="i">204</v>
    <v t="i">211</v>
    <v t="i">218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324</v>
    <v t="i">330</v>
    <v t="i">337</v>
    <v t="i">344</v>
    <v t="i">352</v>
    <v t="i">358</v>
    <v t="i">365</v>
    <v t="i">372</v>
    <v t="i">379</v>
    <v t="i">386</v>
    <v t="i">393</v>
    <v t="i">400</v>
    <v t="i">407</v>
    <v t="i">414</v>
    <v t="i">421</v>
    <v t="i">428</v>
    <v t="i">435</v>
    <v t="i">442</v>
    <v t="i">449</v>
    <v t="i">457</v>
    <v t="i">463</v>
    <v t="i">470</v>
    <v t="i">477</v>
    <v t="i">484</v>
    <v t="i">492</v>
    <v t="i">498</v>
    <v t="i">505</v>
    <v t="i">512</v>
    <v t="i">519</v>
    <v t="i">526</v>
    <v t="i">533</v>
    <v t="i">540</v>
    <v t="i">547</v>
    <v t="i">555</v>
    <v t="i">561</v>
    <v t="i">568</v>
    <v t="i">575</v>
    <v t="i">582</v>
    <v t="i">589</v>
    <v t="i">596</v>
    <v t="i">603</v>
    <v t="i">610</v>
    <v t="i">617</v>
    <v t="i">624</v>
    <v t="i">631</v>
    <v t="i">638</v>
    <v t="i">645</v>
    <v t="i">652</v>
    <v t="i">659</v>
    <v t="i">666</v>
    <v t="i">673</v>
    <v t="i">680</v>
    <v t="i">688</v>
    <v t="i">694</v>
    <v t="i">701</v>
    <v t="i">708</v>
    <v t="i">715</v>
    <v t="i">723</v>
    <v t="i">729</v>
    <v t="i">736</v>
    <v t="i">743</v>
    <v t="i">750</v>
    <v t="i">757</v>
    <v t="i">764</v>
    <v t="i">771</v>
    <v t="i">778</v>
    <v t="i">785</v>
    <v t="i">792</v>
    <v t="i">799</v>
    <v t="i">806</v>
    <v t="i">813</v>
    <v t="i">821</v>
    <v t="i">827</v>
    <v t="i">834</v>
    <v t="i">842</v>
    <v t="i">848</v>
    <v t="i">856</v>
    <v t="i">862</v>
    <v t="i">869</v>
    <v t="i">876</v>
    <v t="i">883</v>
    <v t="i">890</v>
    <v t="i">897</v>
    <v t="i">904</v>
    <v t="i">911</v>
    <v t="i">919</v>
    <v t="i">925</v>
    <v t="i">932</v>
    <v t="i">939</v>
    <v t="i">946</v>
    <v t="i">953</v>
    <v t="i">960</v>
    <v t="i">967</v>
    <v t="i">974</v>
    <v t="i">981</v>
    <v t="i">988</v>
    <v t="i">995</v>
    <v t="i">1002</v>
    <v t="i">1009</v>
    <v t="i">1016</v>
    <v t="i">1023</v>
    <v t="i">1031</v>
    <v t="i">1038</v>
    <v t="i">1044</v>
    <v t="i">1052</v>
    <v t="i">1058</v>
    <v t="i">1065</v>
    <v t="i">1072</v>
    <v t="i">1079</v>
    <v t="i">1087</v>
    <v t="i">1093</v>
    <v t="i">1100</v>
    <v t="i">1107</v>
    <v t="i">1114</v>
    <v t="i">1121</v>
    <v t="i">1128</v>
    <v t="i">1135</v>
    <v t="i">1142</v>
    <v t="i">1149</v>
    <v t="i">1156</v>
    <v t="i">1163</v>
    <v t="i">1170</v>
    <v t="i">1177</v>
    <v t="i">1185</v>
    <v t="i">1191</v>
    <v t="i">1198</v>
    <v t="i">1206</v>
    <v t="i">1212</v>
    <v t="i">1219</v>
    <v t="i">1226</v>
    <v t="i">1233</v>
    <v t="i">1240</v>
    <v t="i">1247</v>
    <v t="i">1254</v>
    <v t="i">1261</v>
    <v t="i">1268</v>
    <v t="i">1275</v>
    <v t="i">1283</v>
    <v t="i">1289</v>
    <v t="i">1296</v>
    <v t="i">1303</v>
    <v t="i">1310</v>
    <v t="i">1317</v>
    <v t="i">1324</v>
    <v t="i">1331</v>
    <v t="i">1338</v>
    <v t="i">1345</v>
    <v t="i">1352</v>
    <v t="i">1359</v>
    <v t="i">1366</v>
    <v t="i">1373</v>
    <v t="i">1380</v>
    <v t="i">1387</v>
    <v t="i">1395</v>
    <v t="i">1402</v>
    <v t="i">1408</v>
    <v t="i">1416</v>
    <v t="i">1422</v>
    <v t="i">1429</v>
    <v t="i">1436</v>
    <v t="i">1443</v>
    <v t="i">1451</v>
    <v t="i">1457</v>
    <v t="i">1464</v>
    <v t="i">1471</v>
    <v t="i">1478</v>
    <v t="i">1485</v>
    <v t="i">1492</v>
    <v t="i">1499</v>
    <v t="i">1506</v>
    <v t="i">1513</v>
    <v t="i">1520</v>
    <v t="i">1527</v>
    <v t="i">1534</v>
    <v t="i">1541</v>
    <v t="i">1549</v>
    <v t="i">1555</v>
    <v t="i">1562</v>
    <v t="i">1569</v>
    <v t="i">1576</v>
    <v t="i">1583</v>
    <v t="i">1590</v>
    <v t="i">1597</v>
    <v t="i">1604</v>
    <v t="i">1611</v>
    <v t="i">1618</v>
    <v t="i">1625</v>
    <v t="i">1632</v>
    <v t="i">1639</v>
    <v t="i">1647</v>
    <v t="i">1653</v>
    <v t="i">1660</v>
    <v t="i">1667</v>
    <v t="i">1674</v>
    <v t="i">1681</v>
    <v t="i">1688</v>
    <v t="i">1695</v>
    <v t="i">1702</v>
    <v t="i">1709</v>
    <v t="i">1716</v>
    <v t="i">1723</v>
    <v t="i">1730</v>
    <v t="i">1737</v>
    <v t="i">1744</v>
    <v t="i">1751</v>
    <v t="i">1758</v>
    <v t="i">1765</v>
    <v t="i">1772</v>
    <v t="i">1779</v>
    <v t="i">1787</v>
    <v t="i">1793</v>
    <v t="i">1800</v>
    <v t="i">1807</v>
    <v t="i">1815</v>
    <v t="i">1821</v>
    <v t="i">1828</v>
  </a>
  <a r="1" c="262">
    <v>25864.778900000001</v>
    <v>23185.622800000001</v>
    <v>19173.975999999999</v>
    <v>21636.781200000001</v>
    <v>21052.534800000001</v>
    <v>23719.373</v>
    <v>24242.493600000002</v>
    <v>23775.272199999999</v>
    <v>23723.694</v>
    <v>24331.314999999999</v>
    <v>23685.421900000001</v>
    <v>24465.164499999999</v>
    <v>25383.1119</v>
    <v>27110.980500000001</v>
    <v>25605.542700000002</v>
    <v>25871.458299999998</v>
    <v>25015.5488</v>
    <v>25827.356299999999</v>
    <v>26075.301800000001</v>
    <v>26671.948799999998</v>
    <v>26469.888599999998</v>
    <v>26428.324199999999</v>
    <v>27433.481199999998</v>
    <v>27931.018499999998</v>
    <v>27930.332600000002</v>
    <v>28653.867300000002</v>
    <v>28133.313200000001</v>
    <v>27665.641800000001</v>
    <v>27657.4175</v>
    <v>27173.955300000001</v>
    <v>27682.814399999999</v>
    <v>28586.904399999999</v>
    <v>28606.313900000001</v>
    <v>28335.567200000001</v>
    <v>26501.595499999999</v>
    <v>28323.395100000002</v>
    <v>29479.809300000001</v>
    <v>29263.4751</v>
    <v>29910.372200000002</v>
    <v>30218.260200000001</v>
    <v>30046.370599999998</v>
    <v>30179.046300000002</v>
    <v>30199.870500000001</v>
    <v>30606.484</v>
    <v>31097.9732</v>
    <v>30814.264800000001</v>
    <v>30996.977699999999</v>
    <v>29982.6152</v>
    <v>31148.240600000001</v>
    <v>31458.3986</v>
    <v>31494.322700000001</v>
    <v>30932.366999999998</v>
    <v>31496.2965</v>
    <v>32778.642399999997</v>
    <v>32627.971699999998</v>
    <v>33072.877899999999</v>
    <v>33153.2137</v>
    <v>33800.604299999999</v>
    <v>34200.671199999997</v>
    <v>34043.486799999999</v>
    <v>33874.853999999999</v>
    <v>34777.759700000002</v>
    <v>34382.133999999998</v>
    <v>34207.842900000003</v>
    <v>34529.449200000003</v>
    <v>34756.388800000001</v>
    <v>34479.6008</v>
    <v>33290.083700000003</v>
    <v>34433.842499999999</v>
    <v>34786.345699999998</v>
    <v>34870.159</v>
    <v>34687.850200000001</v>
    <v>35061.553599999999</v>
    <v>34935.4715</v>
    <v>35208.506699999998</v>
    <v>35515.383300000001</v>
    <v>35120.084600000002</v>
    <v>35455.798799999997</v>
    <v>35369.088600000003</v>
    <v>34607.723899999997</v>
    <v>34584.877699999997</v>
    <v>34797.999199999998</v>
    <v>34326.4588</v>
    <v>34746.249600000003</v>
    <v>35294.756099999999</v>
    <v>35677.018499999998</v>
    <v>35819.560400000002</v>
    <v>36327.950199999999</v>
    <v>36100.305200000003</v>
    <v>35601.977700000003</v>
    <v>34899.336600000002</v>
    <v>34580.080099999999</v>
    <v>35970.994500000001</v>
    <v>35365.435299999997</v>
    <v>35950.563099999999</v>
    <v>36338.297700000003</v>
    <v>36231.659099999997</v>
    <v>35911.809500000003</v>
    <v>34265.371200000001</v>
    <v>34725.472300000001</v>
    <v>35089.743699999999</v>
    <v>34738.060700000002</v>
    <v>34079.182200000003</v>
    <v>34058.750800000002</v>
    <v>33614.797100000003</v>
    <v>32944.187100000003</v>
    <v>34754.932999999997</v>
    <v>34861.241999999998</v>
    <v>34818.270199999999</v>
    <v>34721.1224</v>
    <v>34451.2307</v>
    <v>33811.3995</v>
    <v>32977.2068</v>
    <v>32899.369899999998</v>
    <v>32196.662899999999</v>
    <v>31261.895100000002</v>
    <v>33212.958400000003</v>
    <v>32899.699399999998</v>
    <v>31392.7876</v>
    <v>29888.775799999999</v>
    <v>31500.678400000001</v>
    <v>31097.257900000001</v>
    <v>31338.1502</v>
    <v>31288.2582</v>
    <v>31899.287700000001</v>
    <v>32845.127899999999</v>
    <v>32803.474300000002</v>
    <v>33761.0461</v>
    <v>33706.7382</v>
    <v>32283.397300000001</v>
    <v>31318.443800000001</v>
    <v>32151.713899999999</v>
    <v>30822.4231</v>
    <v>29590.412</v>
    <v>28725.506300000001</v>
    <v>29296.7935</v>
    <v>29634.833699999999</v>
    <v>31082.5605</v>
    <v>32861.802600000003</v>
    <v>32403.2173</v>
    <v>33747.864600000001</v>
    <v>33745.689599999998</v>
    <v>34347.0308</v>
    <v>34429.876600000003</v>
    <v>33476.457000000002</v>
    <v>32920.460299999999</v>
    <v>33203.928999999996</v>
    <v>33147.248500000002</v>
    <v>33630.6149</v>
    <v>34302.608999999997</v>
    <v>33375.486499999999</v>
    <v>33978.079899999997</v>
    <v>33926.012900000002</v>
    <v>33869.2664</v>
    <v>33826.6901</v>
    <v>32816.919500000004</v>
    <v>33390.974800000004</v>
    <v>31909.635200000001</v>
    <v>31861.984</v>
    <v>32237.525600000001</v>
    <v>33274.153599999998</v>
    <v>33485.2886</v>
    <v>33886.4683</v>
    <v>33808.961000000003</v>
    <v>34098.1636</v>
    <v>33674.3776</v>
    <v>33300.6155</v>
    <v>33426.630899999996</v>
    <v>33093.336000000003</v>
    <v>33762.759700000002</v>
    <v>33876.779900000001</v>
    <v>34299.115899999997</v>
    <v>33727.433199999999</v>
    <v>34407.599900000001</v>
    <v>33734.880799999999</v>
    <v>34509.0317</v>
    <v>35227.688399999999</v>
    <v>35459.287700000001</v>
    <v>35065.621500000001</v>
    <v>35281.403100000003</v>
    <v>34500.661399999997</v>
    <v>34346.8989</v>
    <v>34837.713000000003</v>
    <v>34576.587</v>
    <v>34618.240599999997</v>
    <v>33963.8439</v>
    <v>33507.499499999998</v>
    <v>33407.583599999998</v>
    <v>33670.291299999997</v>
    <v>33127.278400000003</v>
    <v>32417.585200000001</v>
    <v>34061.321199999998</v>
    <v>34283.100400000003</v>
    <v>34947.284399999997</v>
    <v>35390.150600000001</v>
    <v>36245.4997</v>
    <v>36247.8724</v>
    <v>37305.162400000001</v>
    <v>37385.965199999999</v>
    <v>37689.5357</v>
    <v>37466.108800000002</v>
    <v>37592.981</v>
    <v>37863.795400000003</v>
    <v>38109.433100000002</v>
    <v>38654.423199999997</v>
    <v>38671.690999999999</v>
    <v>38627.994299999998</v>
    <v>39131.5285</v>
    <v>39087.376100000001</v>
    <v>38722.693099999997</v>
    <v>38714.766600000003</v>
    <v>39475.904000000002</v>
    <v>39807.374499999998</v>
    <v>38904.038399999998</v>
    <v>37983.243600000002</v>
    <v>37986.396999999997</v>
    <v>38239.654999999999</v>
    <v>38675.679199999999</v>
    <v>39512.843000000001</v>
    <v>40003.591899999999</v>
    <v>39069.592299999997</v>
    <v>38686.321900000003</v>
    <v>38798.9905</v>
    <v>38589.157599999999</v>
    <v>39150.332600000002</v>
    <v>39118.864200000004</v>
    <v>39375.866900000001</v>
    <v>40000.898399999998</v>
    <v>40287.529900000001</v>
    <v>40589.337200000002</v>
    <v>39737.260399999999</v>
    <v>39497.54</v>
    <v>40659.760000000002</v>
    <v>41175.08</v>
    <v>41563.08</v>
    <v>40345.410000000003</v>
    <v>41393.78</v>
    <v>42063.360000000001</v>
    <v>42313</v>
    <v>42352.75</v>
    <v>42863.86</v>
    <v>43275.91</v>
    <v>42114.400000000001</v>
    <v>42052.19</v>
    <v>43988.99</v>
    <v>43444.99</v>
    <v>44296.51</v>
    <v>44910.65</v>
    <v>44642.52</v>
    <v>43828.06</v>
    <v>42840.26</v>
    <v>42992.21</v>
    <v>42732.13</v>
    <v>41938.449999999997</v>
    <v>43487.83</v>
    <v>44424.25</v>
    <v>44544.66</v>
    <v>44303.4</v>
    <v>44546.080000000002</v>
    <v>43428.02</v>
    <v>43840.91</v>
    <v>42520.99</v>
  </a>
  <a r="1" c="784">
    <v t="i">0</v>
    <v t="i">7</v>
    <v t="i">14</v>
    <v t="i">21</v>
    <v t="i">28</v>
    <v t="i">35</v>
    <v t="i">42</v>
    <v t="i">49</v>
    <v t="i">56</v>
    <v t="i">63</v>
    <v t="i">70</v>
    <v t="i">77</v>
    <v t="i">84</v>
    <v t="i">91</v>
    <v t="i">98</v>
    <v t="i">105</v>
    <v t="i">112</v>
    <v t="i">119</v>
    <v t="i">126</v>
    <v t="i">133</v>
    <v t="i">140</v>
    <v t="i">147</v>
    <v t="i">154</v>
    <v t="i">161</v>
    <v t="i">168</v>
    <v t="i">175</v>
    <v t="i">182</v>
    <v t="i">189</v>
    <v t="i">196</v>
    <v t="i">203</v>
    <v t="i">210</v>
    <v t="i">217</v>
    <v t="i">224</v>
    <v t="i">231</v>
    <v t="i">238</v>
    <v t="i">245</v>
    <v t="i">252</v>
    <v t="i">259</v>
    <v t="i">266</v>
    <v t="i">273</v>
    <v t="i">280</v>
    <v t="i">287</v>
    <v t="i">294</v>
    <v t="i">301</v>
    <v t="i">308</v>
    <v t="i">315</v>
    <v t="i">322</v>
    <v t="i">329</v>
    <v t="i">336</v>
    <v t="i">343</v>
    <v t="i">350</v>
    <v t="i">357</v>
    <v t="i">364</v>
    <v t="i">371</v>
    <v t="i">378</v>
    <v t="i">385</v>
    <v t="i">392</v>
    <v t="i">399</v>
    <v t="i">406</v>
    <v t="i">413</v>
    <v t="i">420</v>
    <v t="i">427</v>
    <v t="i">434</v>
    <v t="i">441</v>
    <v t="i">448</v>
    <v t="i">455</v>
    <v t="i">462</v>
    <v t="i">469</v>
    <v t="i">476</v>
    <v t="i">483</v>
    <v t="i">490</v>
    <v t="i">497</v>
    <v t="i">504</v>
    <v t="i">511</v>
    <v t="i">518</v>
    <v t="i">525</v>
    <v t="i">532</v>
    <v t="i">539</v>
    <v t="i">546</v>
    <v t="i">553</v>
    <v t="i">560</v>
    <v t="i">567</v>
    <v t="i">574</v>
    <v t="i">581</v>
    <v t="i">588</v>
    <v t="i">595</v>
    <v t="i">602</v>
    <v t="i">609</v>
    <v t="i">616</v>
    <v t="i">623</v>
    <v t="i">630</v>
    <v t="i">637</v>
    <v t="i">644</v>
    <v t="i">651</v>
    <v t="i">658</v>
    <v t="i">665</v>
    <v t="i">672</v>
    <v t="i">679</v>
    <v t="i">686</v>
    <v t="i">693</v>
    <v t="i">700</v>
    <v t="i">707</v>
    <v t="i">714</v>
    <v t="i">721</v>
    <v t="i">728</v>
    <v t="i">735</v>
    <v t="i">742</v>
    <v t="i">749</v>
    <v t="i">756</v>
    <v t="i">763</v>
    <v t="i">770</v>
    <v t="i">777</v>
    <v t="i">784</v>
    <v t="i">791</v>
    <v t="i">798</v>
    <v t="i">805</v>
    <v t="i">812</v>
    <v t="i">819</v>
    <v t="i">826</v>
    <v t="i">833</v>
    <v t="i">840</v>
    <v t="i">847</v>
    <v t="i">854</v>
    <v t="i">862</v>
    <v t="i">869</v>
    <v t="i">876</v>
    <v t="i">883</v>
    <v t="i">890</v>
    <v t="i">897</v>
    <v t="i">904</v>
    <v t="i">911</v>
    <v t="i">919</v>
    <v t="i">925</v>
    <v t="i">932</v>
    <v t="i">939</v>
    <v t="i">946</v>
    <v t="i">953</v>
    <v t="i">960</v>
    <v t="i">967</v>
    <v t="i">975</v>
    <v t="i">981</v>
    <v t="i">988</v>
    <v t="i">995</v>
    <v t="i">1002</v>
    <v t="i">1009</v>
    <v t="i">1016</v>
    <v t="i">1023</v>
    <v t="i">1030</v>
    <v t="i">1037</v>
    <v t="i">1044</v>
    <v t="i">1051</v>
    <v t="i">1059</v>
    <v t="i">1065</v>
    <v t="i">1072</v>
    <v t="i">1079</v>
    <v t="i">1087</v>
    <v t="i">1093</v>
    <v t="i">1100</v>
    <v t="i">1107</v>
    <v t="i">1114</v>
    <v t="i">1121</v>
    <v t="i">1128</v>
    <v t="i">1135</v>
    <v t="i">1142</v>
    <v t="i">1149</v>
    <v t="i">1156</v>
    <v t="i">1163</v>
    <v t="i">1170</v>
    <v t="i">1177</v>
    <v t="i">1185</v>
    <v t="i">1191</v>
    <v t="i">1198</v>
    <v t="i">1205</v>
    <v t="i">1212</v>
    <v t="i">1219</v>
    <v t="i">1226</v>
    <v t="i">1233</v>
    <v t="i">1240</v>
    <v t="i">1247</v>
    <v t="i">1254</v>
    <v t="i">1261</v>
    <v t="i">1268</v>
    <v t="i">1275</v>
    <v t="i">1283</v>
    <v t="i">1289</v>
    <v t="i">1296</v>
    <v t="i">1303</v>
    <v t="i">1310</v>
    <v t="i">1317</v>
    <v t="i">1324</v>
    <v t="i">1331</v>
    <v t="i">1338</v>
    <v t="i">1345</v>
    <v t="i">1352</v>
    <v t="i">1359</v>
    <v t="i">1366</v>
    <v t="i">1373</v>
    <v t="i">1380</v>
    <v t="i">1387</v>
    <v t="i">1394</v>
    <v t="i">1401</v>
    <v t="i">1408</v>
    <v t="i">1415</v>
    <v t="i">1423</v>
    <v t="i">1429</v>
    <v t="i">1436</v>
    <v t="i">1443</v>
    <v t="i">1451</v>
    <v t="i">1457</v>
    <v t="i">1464</v>
    <v t="i">1471</v>
    <v t="i">1478</v>
    <v t="i">1485</v>
    <v t="i">1492</v>
    <v t="i">1499</v>
    <v t="i">1506</v>
    <v t="i">1513</v>
    <v t="i">1520</v>
    <v t="i">1527</v>
    <v t="i">1534</v>
    <v t="i">1541</v>
    <v t="i">1549</v>
    <v t="i">1555</v>
    <v t="i">1562</v>
    <v t="i">1569</v>
    <v t="i">1576</v>
    <v t="i">1583</v>
    <v t="i">1590</v>
    <v t="i">1597</v>
    <v t="i">1604</v>
    <v t="i">1611</v>
    <v t="i">1618</v>
    <v t="i">1625</v>
    <v t="i">1632</v>
    <v t="i">1639</v>
    <v t="i">1647</v>
    <v t="i">1653</v>
    <v t="i">1660</v>
    <v t="i">1667</v>
    <v t="i">1674</v>
    <v t="i">1681</v>
    <v t="i">1688</v>
    <v t="i">1695</v>
    <v t="i">1702</v>
    <v t="i">1709</v>
    <v t="i">1716</v>
    <v t="i">1723</v>
    <v t="i">1730</v>
    <v t="i">1737</v>
    <v t="i">1744</v>
    <v t="i">1751</v>
    <v t="i">1758</v>
    <v t="i">1765</v>
    <v t="i">1772</v>
    <v t="i">1779</v>
    <v t="i">1787</v>
    <v t="i">1793</v>
    <v t="i">1800</v>
    <v t="i">1807</v>
    <v t="i">1815</v>
    <v t="i">1821</v>
    <v t="i">1828</v>
    <v t="i">1835</v>
    <v t="i">1842</v>
    <v t="i">1849</v>
    <v t="i">1856</v>
    <v t="i">1863</v>
    <v t="i">1870</v>
    <v t="i">1877</v>
    <v t="i">1884</v>
    <v t="i">1891</v>
    <v t="i">1898</v>
    <v t="i">1905</v>
    <v t="i">1913</v>
    <v t="i">1919</v>
    <v t="i">1926</v>
    <v t="i">1933</v>
    <v t="i">1940</v>
    <v t="i">1947</v>
    <v t="i">1954</v>
    <v t="i">1961</v>
    <v t="i">1968</v>
    <v t="i">1975</v>
    <v t="i">1982</v>
    <v t="i">1989</v>
    <v t="i">1996</v>
    <v t="i">2003</v>
    <v t="i">2010</v>
    <v t="i">2018</v>
    <v t="i">2024</v>
    <v t="i">2031</v>
    <v t="i">2038</v>
    <v t="i">2045</v>
    <v t="i">2052</v>
    <v t="i">2059</v>
    <v t="i">2066</v>
    <v t="i">2073</v>
    <v t="i">2080</v>
    <v t="i">2087</v>
    <v t="i">2094</v>
    <v t="i">2101</v>
    <v t="i">2108</v>
    <v t="i">2115</v>
    <v t="i">2122</v>
    <v t="i">2129</v>
    <v t="i">2136</v>
    <v t="i">2143</v>
    <v t="i">2151</v>
    <v t="i">2157</v>
    <v t="i">2164</v>
    <v t="i">2171</v>
    <v t="i">2179</v>
    <v t="i">2185</v>
    <v t="i">2192</v>
    <v t="i">2199</v>
    <v t="i">2206</v>
    <v t="i">2213</v>
    <v t="i">2220</v>
    <v t="i">2227</v>
    <v t="i">2234</v>
    <v t="i">2241</v>
    <v t="i">2248</v>
    <v t="i">2255</v>
    <v t="i">2262</v>
    <v t="i">2269</v>
    <v t="i">2276</v>
    <v t="i">2284</v>
    <v t="i">2290</v>
    <v t="i">2297</v>
    <v t="i">2304</v>
    <v t="i">2311</v>
    <v t="i">2319</v>
    <v t="i">2325</v>
    <v t="i">2332</v>
    <v t="i">2339</v>
    <v t="i">2346</v>
    <v t="i">2353</v>
    <v t="i">2360</v>
    <v t="i">2367</v>
    <v t="i">2374</v>
    <v t="i">2382</v>
    <v t="i">2388</v>
    <v t="i">2395</v>
    <v t="i">2402</v>
    <v t="i">2409</v>
    <v t="i">2416</v>
    <v t="i">2423</v>
    <v t="i">2430</v>
    <v t="i">2437</v>
    <v t="i">2444</v>
    <v t="i">2451</v>
    <v t="i">2458</v>
    <v t="i">2465</v>
    <v t="i">2472</v>
    <v t="i">2479</v>
    <v t="i">2486</v>
    <v t="i">2494</v>
    <v t="i">2501</v>
    <v t="i">2507</v>
    <v t="i">2515</v>
    <v t="i">2521</v>
    <v t="i">2528</v>
    <v t="i">2535</v>
    <v t="i">2542</v>
    <v t="i">2550</v>
    <v t="i">2556</v>
    <v t="i">2563</v>
    <v t="i">2570</v>
    <v t="i">2577</v>
    <v t="i">2584</v>
    <v t="i">2591</v>
    <v t="i">2598</v>
    <v t="i">2605</v>
    <v t="i">2612</v>
    <v t="i">2619</v>
    <v t="i">2626</v>
    <v t="i">2633</v>
    <v t="i">2640</v>
    <v t="i">2648</v>
    <v t="i">2654</v>
    <v t="i">2661</v>
    <v t="i">2668</v>
    <v t="i">2675</v>
    <v t="i">2682</v>
    <v t="i">2689</v>
    <v t="i">2696</v>
    <v t="i">2703</v>
    <v t="i">2710</v>
    <v t="i">2717</v>
    <v t="i">2724</v>
    <v t="i">2731</v>
    <v t="i">2738</v>
    <v t="i">2746</v>
    <v t="i">2752</v>
    <v t="i">2759</v>
    <v t="i">2766</v>
    <v t="i">2773</v>
    <v t="i">2780</v>
    <v t="i">2787</v>
    <v t="i">2794</v>
    <v t="i">2801</v>
    <v t="i">2808</v>
    <v t="i">2815</v>
    <v t="i">2822</v>
    <v t="i">2829</v>
    <v t="i">2836</v>
    <v t="i">2843</v>
    <v t="i">2850</v>
    <v t="i">2858</v>
    <v t="i">2865</v>
    <v t="i">2871</v>
    <v t="i">2879</v>
    <v t="i">2885</v>
    <v t="i">2892</v>
    <v t="i">2899</v>
    <v t="i">2906</v>
    <v t="i">2914</v>
    <v t="i">2920</v>
    <v t="i">2927</v>
    <v t="i">2934</v>
    <v t="i">2941</v>
    <v t="i">2948</v>
    <v t="i">2955</v>
    <v t="i">2962</v>
    <v t="i">2969</v>
    <v t="i">2976</v>
    <v t="i">2983</v>
    <v t="i">2990</v>
    <v t="i">2997</v>
    <v t="i">3004</v>
    <v t="i">3012</v>
    <v t="i">3018</v>
    <v t="i">3025</v>
    <v t="i">3032</v>
    <v t="i">3039</v>
    <v t="i">3046</v>
    <v t="i">3053</v>
    <v t="i">3060</v>
    <v t="i">3067</v>
    <v t="i">3074</v>
    <v t="i">3081</v>
    <v t="i">3088</v>
    <v t="i">3095</v>
    <v t="i">3102</v>
    <v t="i">3110</v>
    <v t="i">3116</v>
    <v t="i">3123</v>
    <v t="i">3130</v>
    <v t="i">3137</v>
    <v t="i">3144</v>
    <v t="i">3151</v>
    <v t="i">3158</v>
    <v t="i">3165</v>
    <v t="i">3172</v>
    <v t="i">3179</v>
    <v t="i">3186</v>
    <v t="i">3193</v>
    <v t="i">3200</v>
    <v t="i">3207</v>
    <v t="i">3214</v>
    <v t="i">3221</v>
    <v t="i">3228</v>
    <v t="i">3235</v>
    <v t="i">3242</v>
    <v t="i">3250</v>
    <v t="i">3256</v>
    <v t="i">3263</v>
    <v t="i">3270</v>
    <v t="i">3278</v>
    <v t="i">3284</v>
    <v t="i">3291</v>
    <v t="i">3298</v>
    <v t="i">3305</v>
    <v t="i">3312</v>
    <v t="i">3319</v>
    <v t="i">3326</v>
    <v t="i">3333</v>
    <v t="i">3340</v>
    <v t="i">3347</v>
    <v t="i">3354</v>
    <v t="i">3361</v>
    <v t="i">3368</v>
    <v t="i">3376</v>
    <v t="i">3382</v>
    <v t="i">3389</v>
    <v t="i">3396</v>
    <v t="i">3403</v>
    <v t="i">3410</v>
    <v t="i">3417</v>
    <v t="i">3424</v>
    <v t="i">3431</v>
    <v t="i">3438</v>
    <v t="i">3445</v>
    <v t="i">3452</v>
    <v t="i">3459</v>
    <v t="i">3466</v>
    <v t="i">3474</v>
    <v t="i">3480</v>
    <v t="i">3487</v>
    <v t="i">3494</v>
    <v t="i">3501</v>
    <v t="i">3508</v>
    <v t="i">3515</v>
    <v t="i">3522</v>
    <v t="i">3529</v>
    <v t="i">3536</v>
    <v t="i">3543</v>
    <v t="i">3550</v>
    <v t="i">3557</v>
    <v t="i">3564</v>
    <v t="i">3571</v>
    <v t="i">3578</v>
    <v t="i">3585</v>
    <v t="i">3592</v>
    <v t="i">3599</v>
    <v t="i">3606</v>
    <v t="i">3614</v>
    <v t="i">3620</v>
    <v t="i">3627</v>
    <v t="i">3634</v>
    <v t="i">3642</v>
    <v t="i">3648</v>
    <v t="i">3655</v>
    <v t="i">3662</v>
    <v t="i">3669</v>
    <v t="i">3676</v>
    <v t="i">3683</v>
    <v t="i">3690</v>
    <v t="i">3697</v>
    <v t="i">3704</v>
    <v t="i">3711</v>
    <v t="i">3718</v>
    <v t="i">3725</v>
    <v t="i">3732</v>
    <v t="i">3740</v>
    <v t="i">3746</v>
    <v t="i">3753</v>
    <v t="i">3760</v>
    <v t="i">3767</v>
    <v t="i">3774</v>
    <v t="i">3781</v>
    <v t="i">3788</v>
    <v t="i">3795</v>
    <v t="i">3802</v>
    <v t="i">3809</v>
    <v t="i">3816</v>
    <v t="i">3823</v>
    <v t="i">3830</v>
    <v t="i">3837</v>
    <v t="i">3845</v>
    <v t="i">3851</v>
    <v t="i">3858</v>
    <v t="i">3865</v>
    <v t="i">3872</v>
    <v t="i">3879</v>
    <v t="i">3886</v>
    <v t="i">3893</v>
    <v t="i">3900</v>
    <v t="i">3907</v>
    <v t="i">3914</v>
    <v t="i">3921</v>
    <v t="i">3928</v>
    <v t="i">3935</v>
    <v t="i">3942</v>
    <v t="i">3949</v>
    <v t="i">3956</v>
    <v t="i">3963</v>
    <v t="i">3970</v>
    <v t="i">3978</v>
    <v t="i">3984</v>
    <v t="i">3991</v>
    <v t="i">3998</v>
    <v t="i">4006</v>
    <v t="i">4012</v>
    <v t="i">4019</v>
    <v t="i">4026</v>
    <v t="i">4033</v>
    <v t="i">4040</v>
    <v t="i">4047</v>
    <v t="i">4054</v>
    <v t="i">4061</v>
    <v t="i">4068</v>
    <v t="i">4075</v>
    <v t="i">4082</v>
    <v t="i">4089</v>
    <v t="i">4096</v>
    <v t="i">4103</v>
    <v t="i">4111</v>
    <v t="i">4117</v>
    <v t="i">4124</v>
    <v t="i">4131</v>
    <v t="i">4138</v>
    <v t="i">4146</v>
    <v t="i">4152</v>
    <v t="i">4159</v>
    <v t="i">4166</v>
    <v t="i">4173</v>
    <v t="i">4180</v>
    <v t="i">4187</v>
    <v t="i">4194</v>
    <v t="i">4201</v>
    <v t="i">4209</v>
    <v t="i">4215</v>
    <v t="i">4222</v>
    <v t="i">4229</v>
    <v t="i">4236</v>
    <v t="i">4243</v>
    <v t="i">4250</v>
    <v t="i">4257</v>
    <v t="i">4264</v>
    <v t="i">4271</v>
    <v t="i">4278</v>
    <v t="i">4285</v>
    <v t="i">4292</v>
    <v t="i">4299</v>
    <v t="i">4306</v>
    <v t="i">4313</v>
    <v t="i">4320</v>
    <v t="i">4327</v>
    <v t="i">4334</v>
    <v t="i">4342</v>
    <v t="i">4348</v>
    <v t="i">4355</v>
    <v t="i">4362</v>
    <v t="i">4369</v>
    <v t="i">4377</v>
    <v t="i">4383</v>
    <v t="i">4390</v>
    <v t="i">4397</v>
    <v t="i">4404</v>
    <v t="i">4411</v>
    <v t="i">4418</v>
    <v t="i">4425</v>
    <v t="i">4432</v>
    <v t="i">4439</v>
    <v t="i">4446</v>
    <v t="i">4453</v>
    <v t="i">4460</v>
    <v t="i">4467</v>
    <v t="i">4475</v>
    <v t="i">4481</v>
    <v t="i">4488</v>
    <v t="i">4496</v>
    <v t="i">4502</v>
    <v t="i">4510</v>
    <v t="i">4516</v>
    <v t="i">4523</v>
    <v t="i">4530</v>
    <v t="i">4537</v>
    <v t="i">4544</v>
    <v t="i">4551</v>
    <v t="i">4558</v>
    <v t="i">4565</v>
    <v t="i">4573</v>
    <v t="i">4579</v>
    <v t="i">4586</v>
    <v t="i">4593</v>
    <v t="i">4600</v>
    <v t="i">4607</v>
    <v t="i">4614</v>
    <v t="i">4621</v>
    <v t="i">4628</v>
    <v t="i">4635</v>
    <v t="i">4642</v>
    <v t="i">4649</v>
    <v t="i">4656</v>
    <v t="i">4663</v>
    <v t="i">4670</v>
    <v t="i">4677</v>
    <v t="i">4685</v>
    <v t="i">4692</v>
    <v t="i">4698</v>
    <v t="i">4706</v>
    <v t="i">4712</v>
    <v t="i">4719</v>
    <v t="i">4726</v>
    <v t="i">4733</v>
    <v t="i">4741</v>
    <v t="i">4747</v>
    <v t="i">4754</v>
    <v t="i">4761</v>
    <v t="i">4768</v>
    <v t="i">4775</v>
    <v t="i">4782</v>
    <v t="i">4789</v>
    <v t="i">4796</v>
    <v t="i">4803</v>
    <v t="i">4810</v>
    <v t="i">4817</v>
    <v t="i">4824</v>
    <v t="i">4831</v>
    <v t="i">4839</v>
    <v t="i">4845</v>
    <v t="i">4852</v>
    <v t="i">4860</v>
    <v t="i">4866</v>
    <v t="i">4873</v>
    <v t="i">4880</v>
    <v t="i">4887</v>
    <v t="i">4894</v>
    <v t="i">4901</v>
    <v t="i">4908</v>
    <v t="i">4915</v>
    <v t="i">4922</v>
    <v t="i">4929</v>
    <v t="i">4937</v>
    <v t="i">4943</v>
    <v t="i">4950</v>
    <v t="i">4957</v>
    <v t="i">4964</v>
    <v t="i">4971</v>
    <v t="i">4978</v>
    <v t="i">4985</v>
    <v t="i">4992</v>
    <v t="i">4999</v>
    <v t="i">5006</v>
    <v t="i">5013</v>
    <v t="i">5020</v>
    <v t="i">5027</v>
    <v t="i">5034</v>
    <v t="i">5041</v>
    <v t="i">5049</v>
    <v t="i">5056</v>
    <v t="i">5062</v>
    <v t="i">5070</v>
    <v t="i">5076</v>
    <v t="i">5083</v>
    <v t="i">5090</v>
    <v t="i">5097</v>
    <v t="i">5105</v>
    <v t="i">5111</v>
    <v t="i">5118</v>
    <v t="i">5125</v>
    <v t="i">5132</v>
    <v t="i">5139</v>
    <v t="i">5146</v>
    <v t="i">5153</v>
    <v t="i">5160</v>
    <v t="i">5167</v>
    <v t="i">5174</v>
    <v t="i">5181</v>
    <v t="i">5188</v>
    <v t="i">5195</v>
    <v t="i">5203</v>
    <v t="i">5209</v>
    <v t="i">5216</v>
    <v t="i">5223</v>
    <v t="i">5230</v>
    <v t="i">5237</v>
    <v t="i">5244</v>
    <v t="i">5251</v>
    <v t="i">5258</v>
    <v t="i">5265</v>
    <v t="i">5272</v>
    <v t="i">5279</v>
    <v t="i">5286</v>
    <v t="i">5293</v>
    <v t="i">5301</v>
    <v t="i">5307</v>
    <v t="i">5314</v>
    <v t="i">5321</v>
    <v t="i">5328</v>
    <v t="i">5335</v>
    <v t="i">5342</v>
    <v t="i">5349</v>
    <v t="i">5356</v>
    <v t="i">5363</v>
    <v t="i">5370</v>
    <v t="i">5377</v>
    <v t="i">5384</v>
    <v t="i">5391</v>
    <v t="i">5398</v>
    <v t="i">5405</v>
    <v t="i">5412</v>
    <v t="i">5419</v>
    <v t="i">5426</v>
    <v t="i">5433</v>
    <v t="i">5441</v>
    <v t="i">5447</v>
    <v t="i">5454</v>
    <v t="i">5461</v>
    <v t="i">5469</v>
    <v t="i">5475</v>
    <v t="i">5482</v>
  </a>
  <a r="1" c="784">
    <v>10566.197399999999</v>
    <v>10624.6924</v>
    <v>10741.9846</v>
    <v>10850.358899999999</v>
    <v>10927.0674</v>
    <v>10997.3521</v>
    <v>11018.664199999999</v>
    <v>11204.276</v>
    <v>11008.6127</v>
    <v>10380.4344</v>
    <v>10620.1579</v>
    <v>10193.3866</v>
    <v>10136.6299</v>
    <v>9931.9732000000004</v>
    <v>10211.0712</v>
    <v>10450.6435</v>
    <v>10143.809499999999</v>
    <v>9686.4822999999997</v>
    <v>10198.026</v>
    <v>10097.8969</v>
    <v>10424.6219</v>
    <v>10465.9449</v>
    <v>10653.563899999999</v>
    <v>10303.150100000001</v>
    <v>10213.6167</v>
    <v>10150.6482</v>
    <v>10447.9323</v>
    <v>10462.766299999999</v>
    <v>10607.851199999999</v>
    <v>10860.2551</v>
    <v>10829.679</v>
    <v>11006.4753</v>
    <v>11062.7837</v>
    <v>11132.563700000001</v>
    <v>11118.4866</v>
    <v>11444.076300000001</v>
    <v>11192.580599999999</v>
    <v>11203.554700000001</v>
    <v>11091.997499999999</v>
    <v>11382.091700000001</v>
    <v>11410.3215</v>
    <v>11491.9082</v>
    <v>11573.4948</v>
    <v>11577.505999999999</v>
    <v>11674.759099999999</v>
    <v>11787.375899999999</v>
    <v>11871.8385</v>
    <v>11823.7039</v>
    <v>12092.152700000001</v>
    <v>12273.2629</v>
    <v>12391.253199999999</v>
    <v>12130.448399999999</v>
    <v>12169.8794</v>
    <v>12044.396500000001</v>
    <v>11858.5182</v>
    <v>12220.587299999999</v>
    <v>12376.722</v>
    <v>12380.052</v>
    <v>12341.832</v>
    <v>12505.989100000001</v>
    <v>12810.5388</v>
    <v>12638.7377</v>
    <v>12595.7495</v>
    <v>12512.043799999999</v>
    <v>12441.5826</v>
    <v>12151.2613</v>
    <v>11951.9115</v>
    <v>12004.36</v>
    <v>11934.58</v>
    <v>12582.7698</v>
    <v>12657.204400000001</v>
    <v>12479.727000000001</v>
    <v>12681.1582</v>
    <v>12143.2389</v>
    <v>11444.606100000001</v>
    <v>11269.0208</v>
    <v>10817.645399999999</v>
    <v>11284.535900000001</v>
    <v>11240.2611</v>
    <v>10992.1333</v>
    <v>11509.088299999999</v>
    <v>10771.4786</v>
    <v>10913.3848</v>
    <v>11103.1229</v>
    <v>11644.4858</v>
    <v>11808.7943</v>
    <v>12231.1072</v>
    <v>11983.2444</v>
    <v>12153.683199999999</v>
    <v>11796.155199999999</v>
    <v>11231.784600000001</v>
    <v>12019.421</v>
    <v>12184.2593</v>
    <v>11866.389300000001</v>
    <v>12294.000099999999</v>
    <v>12217.5599</v>
    <v>12359.9203</v>
    <v>12422.0563</v>
    <v>12720.475700000001</v>
    <v>12660.4588</v>
    <v>12862.2305</v>
    <v>12801.229799999999</v>
    <v>12949.871800000001</v>
    <v>12982.9455</v>
    <v>12977.571900000001</v>
    <v>12922.020399999999</v>
    <v>13232.6248</v>
    <v>13080.728300000001</v>
    <v>13212.0389</v>
    <v>13060.1425</v>
    <v>12849.591399999999</v>
    <v>13029.2637</v>
    <v>13228.310799999999</v>
    <v>13038.27</v>
    <v>12820.6047</v>
    <v>12369.3807</v>
    <v>12454.8272</v>
    <v>12118.5661</v>
    <v>12554.1994</v>
    <v>12767.1723</v>
    <v>12640.7811</v>
    <v>12880.0918</v>
    <v>12772.4701</v>
    <v>12777.086799999999</v>
    <v>12822.5725</v>
    <v>13075.657499999999</v>
    <v>13096.1677</v>
    <v>13207.951999999999</v>
    <v>13275.2011</v>
    <v>13157.9701</v>
    <v>13090.8372</v>
    <v>13306.6381</v>
    <v>13593.366099999999</v>
    <v>13579.467199999999</v>
    <v>13437.126899999999</v>
    <v>13610.147000000001</v>
    <v>13328.845300000001</v>
    <v>13343.513199999999</v>
    <v>13107.2137</v>
    <v>13093.160099999999</v>
    <v>12815.391100000001</v>
    <v>12588.307000000001</v>
    <v>13009.683499999999</v>
    <v>13025.5802</v>
    <v>13155.134</v>
    <v>13135.0136</v>
    <v>13190.8439</v>
    <v>12938.110199999999</v>
    <v>13435.207</v>
    <v>13488.4262</v>
    <v>13649.696599999999</v>
    <v>13895.979600000001</v>
    <v>14009.7904</v>
    <v>13992.9722</v>
    <v>13981.7601</v>
    <v>14000.5749</v>
    <v>14089.6576</v>
    <v>14397.0697</v>
    <v>14514.106</v>
    <v>14512.032499999999</v>
    <v>14578.537399999999</v>
    <v>14565.251700000001</v>
    <v>14865.061100000001</v>
    <v>14547.512000000001</v>
    <v>14712.545400000001</v>
    <v>14973.957</v>
    <v>15118.486000000001</v>
    <v>15354.401599999999</v>
    <v>15303.102199999999</v>
    <v>15115.567800000001</v>
    <v>15248.1167</v>
    <v>15070.181699999999</v>
    <v>14799.401</v>
    <v>14909.602500000001</v>
    <v>15135.8418</v>
    <v>15464.2958</v>
    <v>15543.7407</v>
    <v>15558.831</v>
    <v>15658.357900000001</v>
    <v>15425.5142</v>
    <v>15081.470600000001</v>
    <v>15010.5116</v>
    <v>14810.306</v>
    <v>14922.5041</v>
    <v>15376.0579</v>
    <v>15451.087</v>
    <v>15258.2358</v>
    <v>15072.5772</v>
    <v>15237.107599999999</v>
    <v>15399.647199999999</v>
    <v>15570.2785</v>
    <v>15615.5532</v>
    <v>15761.781000000001</v>
    <v>15961.696400000001</v>
    <v>16064.768700000001</v>
    <v>16086.4107</v>
    <v>16020.2004</v>
    <v>15755.3591</v>
    <v>16221.1432</v>
    <v>16478.406599999998</v>
    <v>16469.993900000001</v>
    <v>16437.049299999999</v>
    <v>16458.5628</v>
    <v>15879.1101</v>
    <v>15698.8459</v>
    <v>15794.083500000001</v>
    <v>16154.3871</v>
    <v>16103.3004</v>
    <v>16321.710999999999</v>
    <v>16452.718799999999</v>
    <v>16065.667799999999</v>
    <v>16302.7662</v>
    <v>16323.059600000001</v>
    <v>16412.7101</v>
    <v>16026.7508</v>
    <v>16408.535800000001</v>
    <v>16361.4629</v>
    <v>16512.892500000002</v>
    <v>16583.3413</v>
    <v>16491.314699999999</v>
    <v>16606.2677</v>
    <v>16717.174800000001</v>
    <v>16924.2827</v>
    <v>16775.742999999999</v>
    <v>16947.080699999999</v>
    <v>16851.843099999998</v>
    <v>17068.262900000002</v>
    <v>16943.805499999999</v>
    <v>17100.18</v>
    <v>16960.566699999999</v>
    <v>16493.3698</v>
    <v>16553.928800000002</v>
    <v>16662.909299999999</v>
    <v>17001.217700000001</v>
    <v>17098.446</v>
    <v>17137.363099999999</v>
    <v>16987.506799999999</v>
    <v>17279.737700000001</v>
    <v>17113.152300000002</v>
    <v>17009.6947</v>
    <v>16544.103200000001</v>
    <v>16380.4076</v>
    <v>16805.412400000001</v>
    <v>17390.5164</v>
    <v>17573.927299999999</v>
    <v>17634.743200000001</v>
    <v>17810.0625</v>
    <v>17828.2366</v>
    <v>17958.794900000001</v>
    <v>17280.8295</v>
    <v>17804.7965</v>
    <v>18053.711299999999</v>
    <v>17832.9889</v>
    <v>17737.366000000002</v>
    <v>17511.570199999998</v>
    <v>17672.600600000002</v>
    <v>17164.945400000001</v>
    <v>17824.287100000001</v>
    <v>18019.353899999998</v>
    <v>18140.4398</v>
    <v>18132.701300000001</v>
    <v>17856.782200000001</v>
    <v>17749.310799999999</v>
    <v>18127.653300000002</v>
    <v>17712.662899999999</v>
    <v>17763.2438</v>
    <v>18057.6541</v>
    <v>17826.303100000001</v>
    <v>18080.141899999999</v>
    <v>18024.055799999998</v>
    <v>18191.113000000001</v>
    <v>18272.556199999999</v>
    <v>18232.018100000001</v>
    <v>18010.676500000001</v>
    <v>17849.458200000001</v>
    <v>17898.838</v>
    <v>18015.948199999999</v>
    <v>17946.683000000001</v>
    <v>17730.1132</v>
    <v>17760.411700000001</v>
    <v>18086.446499999998</v>
    <v>17568.532200000001</v>
    <v>17689.859899999999</v>
    <v>17373.379000000001</v>
    <v>17477.4028</v>
    <v>16459.7467</v>
    <v>16643.007600000001</v>
    <v>16102.3778</v>
    <v>16433.0893</v>
    <v>16384.584900000002</v>
    <v>16314.6679</v>
    <v>16472.373800000001</v>
    <v>17084.4908</v>
    <v>17215.973699999999</v>
    <v>17646.700400000002</v>
    <v>17663.536599999999</v>
    <v>17910.334299999999</v>
    <v>17245.2366</v>
    <v>17823.8148</v>
    <v>17798.493699999999</v>
    <v>17847.632699999998</v>
    <v>17265.213</v>
    <v>17128.552299999999</v>
    <v>17552.167700000002</v>
    <v>17425.028699999999</v>
    <v>16346.453</v>
    <v>15988.080599999999</v>
    <v>16093.510399999999</v>
    <v>16466.298599999998</v>
    <v>16204.9668</v>
    <v>15973.8361</v>
    <v>16391.994299999998</v>
    <v>16639.9719</v>
    <v>17006.7677</v>
    <v>17213.312999999998</v>
    <v>17602.297399999999</v>
    <v>17515.7346</v>
    <v>17792.749</v>
    <v>17576.958600000002</v>
    <v>17897.459800000001</v>
    <v>18003.745699999999</v>
    <v>17773.642199999998</v>
    <v>17740.633399999999</v>
    <v>17535.320800000001</v>
    <v>17500.942299999999</v>
    <v>17873.216799999998</v>
    <v>17807.062000000002</v>
    <v>17865.341199999999</v>
    <v>17675.163400000001</v>
    <v>17400.751400000001</v>
    <v>17949.3701</v>
    <v>18146.738499999999</v>
    <v>18516.547699999999</v>
    <v>18570.854800000001</v>
    <v>18432.244900000002</v>
    <v>18543.53</v>
    <v>18576.470399999998</v>
    <v>18552.569800000001</v>
    <v>18395.400900000001</v>
    <v>18491.962200000002</v>
    <v>18085.446100000001</v>
    <v>18123.796699999999</v>
    <v>18261.447899999999</v>
    <v>18308.153399999999</v>
    <v>18240.491999999998</v>
    <v>18138.383600000001</v>
    <v>18145.711299999999</v>
    <v>18161.1885</v>
    <v>17888.283100000001</v>
    <v>18847.663799999998</v>
    <v>18867.934799999999</v>
    <v>19152.139899999998</v>
    <v>19170.424999999999</v>
    <v>19756.846300000001</v>
    <v>19843.409</v>
    <v>19933.806799999998</v>
    <v>19762.598900000001</v>
    <v>19963.802500000002</v>
    <v>19885.731599999999</v>
    <v>19827.246999999999</v>
    <v>20093.783500000001</v>
    <v>20071.457999999999</v>
    <v>20269.374400000001</v>
    <v>20624.048699999999</v>
    <v>20821.759600000001</v>
    <v>21005.705399999999</v>
    <v>20902.980599999999</v>
    <v>20914.622800000001</v>
    <v>20596.723900000001</v>
    <v>20663.221099999999</v>
    <v>20656.0988</v>
    <v>20453.251700000001</v>
    <v>20547.758399999999</v>
    <v>20940.509399999999</v>
    <v>21006.938099999999</v>
    <v>20896.611700000001</v>
    <v>20804.8442</v>
    <v>21080.283599999999</v>
    <v>21206.292600000001</v>
    <v>21271.9679</v>
    <v>21384.280299999999</v>
    <v>21394.758300000001</v>
    <v>21349.627899999999</v>
    <v>21414.344499999999</v>
    <v>21637.7366</v>
    <v>21580.073700000001</v>
    <v>21830.3112</v>
    <v>22092.807199999999</v>
    <v>21858.320800000001</v>
    <v>21674.511999999999</v>
    <v>21813.6698</v>
    <v>21987.555899999999</v>
    <v>21797.793099999999</v>
    <v>22268.3442</v>
    <v>22349.592400000001</v>
    <v>22405.089</v>
    <v>22773.666700000002</v>
    <v>22871.715400000001</v>
    <v>23328.633300000001</v>
    <v>23434.187099999999</v>
    <v>23539.1901</v>
    <v>23422.2065</v>
    <v>23358.240699999998</v>
    <v>23557.987400000002</v>
    <v>24231.590100000001</v>
    <v>24329.156800000001</v>
    <v>24651.739699999998</v>
    <v>24754.057400000002</v>
    <v>24719.217100000002</v>
    <v>25295.872800000001</v>
    <v>25803.1921</v>
    <v>26071.724399999999</v>
    <v>26616.7071</v>
    <v>25520.957900000001</v>
    <v>24190.897099999998</v>
    <v>25219.375499999998</v>
    <v>25309.988000000001</v>
    <v>24538.061099999999</v>
    <v>25335.7395</v>
    <v>24946.505499999999</v>
    <v>23533.199799999999</v>
    <v>24103.107800000002</v>
    <v>23932.761900000001</v>
    <v>24360.141299999999</v>
    <v>24462.940900000001</v>
    <v>24311.185799999999</v>
    <v>24262.505700000002</v>
    <v>24831.1744</v>
    <v>24715.085800000001</v>
    <v>24753.093400000002</v>
    <v>24635.2147</v>
    <v>25316.5291</v>
    <v>25090.480100000001</v>
    <v>24580.888599999998</v>
    <v>24271.409899999999</v>
    <v>24456.484899999999</v>
    <v>25019.405900000002</v>
    <v>25058.122899999998</v>
    <v>25451.0556</v>
    <v>25462.5825</v>
    <v>25313.139299999999</v>
    <v>25669.321400000001</v>
    <v>25790.354200000002</v>
    <v>25964.8177</v>
    <v>25916.540199999999</v>
    <v>26154.672999999999</v>
    <v>26743.495699999999</v>
    <v>26458.305899999999</v>
    <v>26447.050200000001</v>
    <v>25339.9902</v>
    <v>25444.342799999999</v>
    <v>24688.311799999999</v>
    <v>25270.828600000001</v>
    <v>25989.295399999999</v>
    <v>25413.220099999999</v>
    <v>24285.954099999999</v>
    <v>25538.4568</v>
    <v>24388.950700000001</v>
    <v>24100.5062</v>
    <v>22445.374599999999</v>
    <v>23062.404399999999</v>
    <v>23433.164700000001</v>
    <v>23995.950099999998</v>
    <v>24706.348099999999</v>
    <v>24737.1996</v>
    <v>25063.886299999998</v>
    <v>25106.332600000002</v>
    <v>25883.2477</v>
    <v>26031.809499999999</v>
    <v>26026.317200000001</v>
    <v>25450.241900000001</v>
    <v>25848.870299999999</v>
    <v>25502.316500000001</v>
    <v>25928.677299999999</v>
    <v>26424.985199999999</v>
    <v>26412.302500000002</v>
    <v>26559.5432</v>
    <v>26543.3338</v>
    <v>26504.946800000002</v>
    <v>25942.3668</v>
    <v>25763.995999999999</v>
    <v>25585.6931</v>
    <v>24815.036400000001</v>
    <v>25983.9414</v>
    <v>26089.607400000001</v>
    <v>26719.127400000001</v>
    <v>26599.964899999999</v>
    <v>26922.117399999999</v>
    <v>27332.0311</v>
    <v>27154.2029</v>
    <v>27192.4542</v>
    <v>26485.007300000001</v>
    <v>26287.442999999999</v>
    <v>25886.007000000001</v>
    <v>25628.895400000001</v>
    <v>26403.282299999999</v>
    <v>26797.461299999999</v>
    <v>27219.514999999999</v>
    <v>26935.0713</v>
    <v>26820.249400000001</v>
    <v>26573.7179</v>
    <v>26816.587</v>
    <v>26770.197</v>
    <v>26958.0628</v>
    <v>27347.358700000001</v>
    <v>27681.2444</v>
    <v>28004.888999999999</v>
    <v>27875.6211</v>
    <v>28051.4146</v>
    <v>28015.0622</v>
    <v>28135.377700000001</v>
    <v>28455.0887</v>
    <v>28645.260399999999</v>
    <v>28634.883699999998</v>
    <v>28823.766800000001</v>
    <v>29348.095499999999</v>
    <v>28989.726200000001</v>
    <v>28256.032299999999</v>
    <v>29102.513500000001</v>
    <v>29398.080000000002</v>
    <v>28992.405200000001</v>
    <v>25409.356899999999</v>
    <v>25864.778900000001</v>
    <v>23185.622800000001</v>
    <v>19173.975999999999</v>
    <v>21636.781200000001</v>
    <v>21052.534800000001</v>
    <v>23719.373</v>
    <v>24242.493600000002</v>
    <v>23775.272199999999</v>
    <v>23723.694</v>
    <v>24331.314999999999</v>
    <v>23685.421900000001</v>
    <v>24465.164499999999</v>
    <v>25383.1119</v>
    <v>27110.980500000001</v>
    <v>25605.542700000002</v>
    <v>25871.458299999998</v>
    <v>25015.5488</v>
    <v>25827.356299999999</v>
    <v>26075.301800000001</v>
    <v>26671.948799999998</v>
    <v>26469.888599999998</v>
    <v>26428.324199999999</v>
    <v>27433.481199999998</v>
    <v>27931.018499999998</v>
    <v>27930.332600000002</v>
    <v>28653.867300000002</v>
    <v>28133.313200000001</v>
    <v>27665.641800000001</v>
    <v>27657.4175</v>
    <v>27173.955300000001</v>
    <v>27682.814399999999</v>
    <v>28586.904399999999</v>
    <v>28606.313900000001</v>
    <v>28335.567200000001</v>
    <v>26501.595499999999</v>
    <v>28323.395100000002</v>
    <v>29479.809300000001</v>
    <v>29263.4751</v>
    <v>29910.372200000002</v>
    <v>30218.260200000001</v>
    <v>30046.370599999998</v>
    <v>30179.046300000002</v>
    <v>30199.870500000001</v>
    <v>30606.484</v>
    <v>31097.9732</v>
    <v>30814.264800000001</v>
    <v>30996.977699999999</v>
    <v>29982.6152</v>
    <v>31148.240600000001</v>
    <v>31458.3986</v>
    <v>31494.322700000001</v>
    <v>30932.366999999998</v>
    <v>31496.2965</v>
    <v>32778.642399999997</v>
    <v>32627.971699999998</v>
    <v>33072.877899999999</v>
    <v>33153.2137</v>
    <v>33800.604299999999</v>
    <v>34200.671199999997</v>
    <v>34043.486799999999</v>
    <v>33874.853999999999</v>
    <v>34777.759700000002</v>
    <v>34382.133999999998</v>
    <v>34207.842900000003</v>
    <v>34529.449200000003</v>
    <v>34756.388800000001</v>
    <v>34479.6008</v>
    <v>33290.083700000003</v>
    <v>34433.842499999999</v>
    <v>34786.345699999998</v>
    <v>34870.159</v>
    <v>34687.850200000001</v>
    <v>35061.553599999999</v>
    <v>34935.4715</v>
    <v>35208.506699999998</v>
    <v>35515.383300000001</v>
    <v>35120.084600000002</v>
    <v>35455.798799999997</v>
    <v>35369.088600000003</v>
    <v>34607.723899999997</v>
    <v>34584.877699999997</v>
    <v>34797.999199999998</v>
    <v>34326.4588</v>
    <v>34746.249600000003</v>
    <v>35294.756099999999</v>
    <v>35677.018499999998</v>
    <v>35819.560400000002</v>
    <v>36327.950199999999</v>
    <v>36100.305200000003</v>
    <v>35601.977700000003</v>
    <v>34899.336600000002</v>
    <v>34580.080099999999</v>
    <v>35970.994500000001</v>
    <v>35365.435299999997</v>
    <v>35950.563099999999</v>
    <v>36338.297700000003</v>
    <v>36231.659099999997</v>
    <v>35911.809500000003</v>
    <v>34265.371200000001</v>
    <v>34725.472300000001</v>
    <v>35089.743699999999</v>
    <v>34738.060700000002</v>
    <v>34079.182200000003</v>
    <v>34058.750800000002</v>
    <v>33614.797100000003</v>
    <v>32944.187100000003</v>
    <v>34754.932999999997</v>
    <v>34861.241999999998</v>
    <v>34818.270199999999</v>
    <v>34721.1224</v>
    <v>34451.2307</v>
    <v>33811.3995</v>
    <v>32977.2068</v>
    <v>32899.369899999998</v>
    <v>32196.662899999999</v>
    <v>31261.895100000002</v>
    <v>33212.958400000003</v>
    <v>32899.699399999998</v>
    <v>31392.7876</v>
    <v>29888.775799999999</v>
    <v>31500.678400000001</v>
    <v>31097.257900000001</v>
    <v>31338.1502</v>
    <v>31288.2582</v>
    <v>31899.287700000001</v>
    <v>32845.127899999999</v>
    <v>32803.474300000002</v>
    <v>33761.0461</v>
    <v>33706.7382</v>
    <v>32283.397300000001</v>
    <v>31318.443800000001</v>
    <v>32151.713899999999</v>
    <v>30822.4231</v>
    <v>29590.412</v>
    <v>28725.506300000001</v>
    <v>29296.7935</v>
    <v>29634.833699999999</v>
    <v>31082.5605</v>
    <v>32861.802600000003</v>
    <v>32403.2173</v>
    <v>33747.864600000001</v>
    <v>33745.689599999998</v>
    <v>34347.0308</v>
    <v>34429.876600000003</v>
    <v>33476.457000000002</v>
    <v>32920.460299999999</v>
    <v>33203.928999999996</v>
    <v>33147.248500000002</v>
    <v>33630.6149</v>
    <v>34302.608999999997</v>
    <v>33375.486499999999</v>
    <v>33978.079899999997</v>
    <v>33926.012900000002</v>
    <v>33869.2664</v>
    <v>33826.6901</v>
    <v>32816.919500000004</v>
    <v>33390.974800000004</v>
    <v>31909.635200000001</v>
    <v>31861.984</v>
    <v>32237.525600000001</v>
    <v>33274.153599999998</v>
    <v>33485.2886</v>
    <v>33886.4683</v>
    <v>33808.961000000003</v>
    <v>34098.1636</v>
    <v>33674.3776</v>
    <v>33300.6155</v>
    <v>33426.630899999996</v>
    <v>33093.336000000003</v>
    <v>33762.759700000002</v>
    <v>33876.779900000001</v>
    <v>34299.115899999997</v>
    <v>33727.433199999999</v>
    <v>34407.599900000001</v>
    <v>33734.880799999999</v>
    <v>34509.0317</v>
    <v>35227.688399999999</v>
    <v>35459.287700000001</v>
    <v>35065.621500000001</v>
    <v>35281.403100000003</v>
    <v>34500.661399999997</v>
    <v>34346.8989</v>
    <v>34837.713000000003</v>
    <v>34576.587</v>
    <v>34618.240599999997</v>
    <v>33963.8439</v>
    <v>33507.499499999998</v>
    <v>33407.583599999998</v>
    <v>33670.291299999997</v>
    <v>33127.278400000003</v>
    <v>32417.585200000001</v>
    <v>34061.321199999998</v>
    <v>34283.100400000003</v>
    <v>34947.284399999997</v>
    <v>35390.150600000001</v>
    <v>36245.4997</v>
    <v>36247.8724</v>
    <v>37305.162400000001</v>
    <v>37385.965199999999</v>
    <v>37689.5357</v>
    <v>37466.108800000002</v>
    <v>37592.981</v>
    <v>37863.795400000003</v>
    <v>38109.433100000002</v>
    <v>38654.423199999997</v>
    <v>38671.690999999999</v>
    <v>38627.994299999998</v>
    <v>39131.5285</v>
    <v>39087.376100000001</v>
    <v>38722.693099999997</v>
    <v>38714.766600000003</v>
    <v>39475.904000000002</v>
    <v>39807.374499999998</v>
    <v>38904.038399999998</v>
    <v>37983.243600000002</v>
    <v>37986.396999999997</v>
    <v>38239.654999999999</v>
    <v>38675.679199999999</v>
    <v>39512.843000000001</v>
    <v>40003.591899999999</v>
    <v>39069.592299999997</v>
    <v>38686.321900000003</v>
    <v>38798.9905</v>
    <v>38589.157599999999</v>
    <v>39150.332600000002</v>
    <v>39118.864200000004</v>
    <v>39375.866900000001</v>
    <v>40000.898399999998</v>
    <v>40287.529900000001</v>
    <v>40589.337200000002</v>
    <v>39737.260399999999</v>
    <v>39497.54</v>
    <v>40659.760000000002</v>
    <v>41175.08</v>
    <v>41563.08</v>
    <v>40345.410000000003</v>
    <v>41393.78</v>
    <v>42063.360000000001</v>
    <v>42313</v>
    <v>42352.75</v>
    <v>42863.86</v>
    <v>43275.91</v>
    <v>42114.400000000001</v>
    <v>42052.19</v>
    <v>43988.99</v>
    <v>43444.99</v>
    <v>44296.51</v>
    <v>44910.65</v>
    <v>44642.52</v>
    <v>43828.06</v>
    <v>42840.26</v>
    <v>42992.21</v>
    <v>42732.13</v>
    <v>41938.449999999997</v>
    <v>43487.83</v>
    <v>44424.25</v>
    <v>44544.66</v>
    <v>44303.4</v>
    <v>44546.080000000002</v>
    <v>43428.02</v>
    <v>43840.91</v>
    <v>42520.99</v>
  </a>
  <a r="1" c="5">
    <v>214.35</v>
    <v>208.74</v>
    <v>212.28</v>
    <v>205.02</v>
    <v>203.8</v>
  </a>
  <a r="1" c="3773">
    <v t="i">0</v>
    <v t="i">3</v>
    <v t="i">4</v>
    <v t="i">5</v>
    <v t="i">6</v>
    <v t="i">7</v>
    <v t="i">10</v>
    <v t="i">11</v>
    <v t="i">12</v>
    <v t="i">13</v>
    <v t="i">14</v>
    <v t="i">17</v>
    <v t="i">18</v>
    <v t="i">19</v>
    <v t="i">20</v>
    <v t="i">21</v>
    <v t="i">24</v>
    <v t="i">25</v>
    <v t="i">26</v>
    <v t="i">27</v>
    <v t="i">31</v>
    <v t="i">32</v>
    <v t="i">33</v>
    <v t="i">34</v>
    <v t="i">35</v>
    <v t="i">38</v>
    <v t="i">39</v>
    <v t="i">40</v>
    <v t="i">41</v>
    <v t="i">42</v>
    <v t="i">45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105</v>
    <v t="i">108</v>
    <v t="i">109</v>
    <v t="i">110</v>
    <v t="i">111</v>
    <v t="i">112</v>
    <v t="i">115</v>
    <v t="i">116</v>
    <v t="i">117</v>
    <v t="i">118</v>
    <v t="i">119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143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167</v>
    <v t="i">168</v>
    <v t="i">171</v>
    <v t="i">172</v>
    <v t="i">173</v>
    <v t="i">174</v>
    <v t="i">175</v>
    <v t="i">178</v>
    <v t="i">179</v>
    <v t="i">180</v>
    <v t="i">181</v>
    <v t="i">182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  <v t="i">228</v>
    <v t="i">229</v>
    <v t="i">230</v>
    <v t="i">231</v>
    <v t="i">234</v>
    <v t="i">235</v>
    <v t="i">236</v>
    <v t="i">237</v>
    <v t="i">238</v>
    <v t="i">241</v>
    <v t="i">242</v>
    <v t="i">243</v>
    <v t="i">244</v>
    <v t="i">245</v>
    <v t="i">248</v>
    <v t="i">249</v>
    <v t="i">250</v>
    <v t="i">251</v>
    <v t="i">252</v>
    <v t="i">255</v>
    <v t="i">256</v>
    <v t="i">257</v>
    <v t="i">258</v>
    <v t="i">259</v>
    <v t="i">262</v>
    <v t="i">263</v>
    <v t="i">264</v>
    <v t="i">266</v>
    <v t="i">269</v>
    <v t="i">270</v>
    <v t="i">271</v>
    <v t="i">272</v>
    <v t="i">273</v>
    <v t="i">276</v>
    <v t="i">277</v>
    <v t="i">278</v>
    <v t="i">279</v>
    <v t="i">280</v>
    <v t="i">283</v>
    <v t="i">284</v>
    <v t="i">285</v>
    <v t="i">286</v>
    <v t="i">287</v>
    <v t="i">290</v>
    <v t="i">291</v>
    <v t="i">292</v>
    <v t="i">293</v>
    <v t="i">297</v>
    <v t="i">298</v>
    <v t="i">299</v>
    <v t="i">300</v>
    <v t="i">301</v>
    <v t="i">304</v>
    <v t="i">305</v>
    <v t="i">306</v>
    <v t="i">307</v>
    <v t="i">308</v>
    <v t="i">311</v>
    <v t="i">312</v>
    <v t="i">313</v>
    <v t="i">314</v>
    <v t="i">315</v>
    <v t="i">319</v>
    <v t="i">320</v>
    <v t="i">321</v>
    <v t="i">322</v>
    <v t="i">325</v>
    <v t="i">326</v>
    <v t="i">327</v>
    <v t="i">328</v>
    <v t="i">329</v>
    <v t="i">332</v>
    <v t="i">333</v>
    <v t="i">334</v>
    <v t="i">335</v>
    <v t="i">336</v>
    <v t="i">339</v>
    <v t="i">340</v>
    <v t="i">341</v>
    <v t="i">342</v>
    <v t="i">343</v>
    <v t="i">346</v>
    <v t="i">347</v>
    <v t="i">348</v>
    <v t="i">349</v>
    <v t="i">350</v>
    <v t="i">354</v>
    <v t="i">355</v>
    <v t="i">356</v>
    <v t="i">357</v>
    <v t="i">360</v>
    <v t="i">361</v>
    <v t="i">362</v>
    <v t="i">363</v>
    <v t="i">364</v>
    <v t="i">367</v>
    <v t="i">368</v>
    <v t="i">369</v>
    <v t="i">370</v>
    <v t="i">371</v>
    <v t="i">374</v>
    <v t="i">375</v>
    <v t="i">376</v>
    <v t="i">377</v>
    <v t="i">378</v>
    <v t="i">381</v>
    <v t="i">382</v>
    <v t="i">383</v>
    <v t="i">384</v>
    <v t="i">385</v>
    <v t="i">388</v>
    <v t="i">389</v>
    <v t="i">390</v>
    <v t="i">391</v>
    <v t="i">392</v>
    <v t="i">395</v>
    <v t="i">396</v>
    <v t="i">397</v>
    <v t="i">398</v>
    <v t="i">399</v>
    <v t="i">402</v>
    <v t="i">403</v>
    <v t="i">404</v>
    <v t="i">405</v>
    <v t="i">406</v>
    <v t="i">409</v>
    <v t="i">410</v>
    <v t="i">411</v>
    <v t="i">412</v>
    <v t="i">416</v>
    <v t="i">417</v>
    <v t="i">418</v>
    <v t="i">419</v>
    <v t="i">420</v>
    <v t="i">423</v>
    <v t="i">424</v>
    <v t="i">425</v>
    <v t="i">426</v>
    <v t="i">427</v>
    <v t="i">430</v>
    <v t="i">431</v>
    <v t="i">432</v>
    <v t="i">433</v>
    <v t="i">434</v>
    <v t="i">437</v>
    <v t="i">438</v>
    <v t="i">439</v>
    <v t="i">440</v>
    <v t="i">441</v>
    <v t="i">444</v>
    <v t="i">445</v>
    <v t="i">446</v>
    <v t="i">447</v>
    <v t="i">448</v>
    <v t="i">452</v>
    <v t="i">453</v>
    <v t="i">454</v>
    <v t="i">455</v>
    <v t="i">458</v>
    <v t="i">459</v>
    <v t="i">460</v>
    <v t="i">461</v>
    <v t="i">462</v>
    <v t="i">465</v>
    <v t="i">466</v>
    <v t="i">467</v>
    <v t="i">468</v>
    <v t="i">469</v>
    <v t="i">472</v>
    <v t="i">473</v>
    <v t="i">474</v>
    <v t="i">475</v>
    <v t="i">476</v>
    <v t="i">479</v>
    <v t="i">480</v>
    <v t="i">481</v>
    <v t="i">482</v>
    <v t="i">483</v>
    <v t="i">487</v>
    <v t="i">488</v>
    <v t="i">489</v>
    <v t="i">490</v>
    <v t="i">493</v>
    <v t="i">494</v>
    <v t="i">495</v>
    <v t="i">496</v>
    <v t="i">497</v>
    <v t="i">500</v>
    <v t="i">501</v>
    <v t="i">502</v>
    <v t="i">503</v>
    <v t="i">504</v>
    <v t="i">507</v>
    <v t="i">508</v>
    <v t="i">509</v>
    <v t="i">510</v>
    <v t="i">511</v>
    <v t="i">514</v>
    <v t="i">515</v>
    <v t="i">516</v>
    <v t="i">517</v>
    <v t="i">518</v>
    <v t="i">521</v>
    <v t="i">522</v>
    <v t="i">523</v>
    <v t="i">524</v>
    <v t="i">525</v>
    <v t="i">528</v>
    <v t="i">529</v>
    <v t="i">530</v>
    <v t="i">531</v>
    <v t="i">532</v>
    <v t="i">535</v>
    <v t="i">536</v>
    <v t="i">537</v>
    <v t="i">538</v>
    <v t="i">539</v>
    <v t="i">542</v>
    <v t="i">543</v>
    <v t="i">544</v>
    <v t="i">545</v>
    <v t="i">546</v>
    <v t="i">550</v>
    <v t="i">551</v>
    <v t="i">552</v>
    <v t="i">553</v>
    <v t="i">556</v>
    <v t="i">557</v>
    <v t="i">558</v>
    <v t="i">559</v>
    <v t="i">560</v>
    <v t="i">563</v>
    <v t="i">564</v>
    <v t="i">565</v>
    <v t="i">566</v>
    <v t="i">567</v>
    <v t="i">570</v>
    <v t="i">571</v>
    <v t="i">572</v>
    <v t="i">573</v>
    <v t="i">574</v>
    <v t="i">577</v>
    <v t="i">578</v>
    <v t="i">579</v>
    <v t="i">580</v>
    <v t="i">581</v>
    <v t="i">584</v>
    <v t="i">585</v>
    <v t="i">586</v>
    <v t="i">587</v>
    <v t="i">588</v>
    <v t="i">591</v>
    <v t="i">592</v>
    <v t="i">593</v>
    <v t="i">594</v>
    <v t="i">595</v>
    <v t="i">598</v>
    <v t="i">599</v>
    <v t="i">600</v>
    <v t="i">601</v>
    <v t="i">602</v>
    <v t="i">605</v>
    <v t="i">606</v>
    <v t="i">607</v>
    <v t="i">608</v>
    <v t="i">609</v>
    <v t="i">612</v>
    <v t="i">613</v>
    <v t="i">614</v>
    <v t="i">615</v>
    <v t="i">616</v>
    <v t="i">619</v>
    <v t="i">620</v>
    <v t="i">621</v>
    <v t="i">622</v>
    <v t="i">623</v>
    <v t="i">626</v>
    <v t="i">627</v>
    <v t="i">628</v>
    <v t="i">630</v>
    <v t="i">633</v>
    <v t="i">634</v>
    <v t="i">635</v>
    <v t="i">636</v>
    <v t="i">637</v>
    <v t="i">640</v>
    <v t="i">641</v>
    <v t="i">642</v>
    <v t="i">643</v>
    <v t="i">644</v>
    <v t="i">647</v>
    <v t="i">648</v>
    <v t="i">649</v>
    <v t="i">650</v>
    <v t="i">651</v>
    <v t="i">654</v>
    <v t="i">655</v>
    <v t="i">656</v>
    <v t="i">657</v>
    <v t="i">658</v>
    <v t="i">662</v>
    <v t="i">663</v>
    <v t="i">664</v>
    <v t="i">665</v>
    <v t="i">669</v>
    <v t="i">670</v>
    <v t="i">671</v>
    <v t="i">672</v>
    <v t="i">675</v>
    <v t="i">676</v>
    <v t="i">677</v>
    <v t="i">678</v>
    <v t="i">679</v>
    <v t="i">683</v>
    <v t="i">684</v>
    <v t="i">685</v>
    <v t="i">686</v>
    <v t="i">689</v>
    <v t="i">690</v>
    <v t="i">691</v>
    <v t="i">692</v>
    <v t="i">693</v>
    <v t="i">696</v>
    <v t="i">697</v>
    <v t="i">698</v>
    <v t="i">699</v>
    <v t="i">700</v>
    <v t="i">703</v>
    <v t="i">704</v>
    <v t="i">705</v>
    <v t="i">706</v>
    <v t="i">707</v>
    <v t="i">710</v>
    <v t="i">711</v>
    <v t="i">712</v>
    <v t="i">713</v>
    <v t="i">714</v>
    <v t="i">718</v>
    <v t="i">719</v>
    <v t="i">720</v>
    <v t="i">721</v>
    <v t="i">724</v>
    <v t="i">725</v>
    <v t="i">726</v>
    <v t="i">727</v>
    <v t="i">728</v>
    <v t="i">731</v>
    <v t="i">732</v>
    <v t="i">733</v>
    <v t="i">734</v>
    <v t="i">735</v>
    <v t="i">738</v>
    <v t="i">739</v>
    <v t="i">740</v>
    <v t="i">741</v>
    <v t="i">742</v>
    <v t="i">745</v>
    <v t="i">746</v>
    <v t="i">747</v>
    <v t="i">748</v>
    <v t="i">749</v>
    <v t="i">752</v>
    <v t="i">753</v>
    <v t="i">754</v>
    <v t="i">755</v>
    <v t="i">756</v>
    <v t="i">759</v>
    <v t="i">760</v>
    <v t="i">761</v>
    <v t="i">762</v>
    <v t="i">766</v>
    <v t="i">767</v>
    <v t="i">768</v>
    <v t="i">769</v>
    <v t="i">770</v>
    <v t="i">773</v>
    <v t="i">774</v>
    <v t="i">775</v>
    <v t="i">776</v>
    <v t="i">777</v>
    <v t="i">780</v>
    <v t="i">781</v>
    <v t="i">782</v>
    <v t="i">783</v>
    <v t="i">784</v>
    <v t="i">787</v>
    <v t="i">788</v>
    <v t="i">789</v>
    <v t="i">790</v>
    <v t="i">791</v>
    <v t="i">794</v>
    <v t="i">795</v>
    <v t="i">796</v>
    <v t="i">797</v>
    <v t="i">798</v>
    <v t="i">801</v>
    <v t="i">802</v>
    <v t="i">803</v>
    <v t="i">804</v>
    <v t="i">805</v>
    <v t="i">808</v>
    <v t="i">809</v>
    <v t="i">810</v>
    <v t="i">811</v>
    <v t="i">812</v>
    <v t="i">816</v>
    <v t="i">817</v>
    <v t="i">818</v>
    <v t="i">819</v>
    <v t="i">822</v>
    <v t="i">823</v>
    <v t="i">824</v>
    <v t="i">825</v>
    <v t="i">826</v>
    <v t="i">829</v>
    <v t="i">830</v>
    <v t="i">831</v>
    <v t="i">832</v>
    <v t="i">833</v>
    <v t="i">836</v>
    <v t="i">837</v>
    <v t="i">838</v>
    <v t="i">839</v>
    <v t="i">840</v>
    <v t="i">843</v>
    <v t="i">844</v>
    <v t="i">845</v>
    <v t="i">846</v>
    <v t="i">847</v>
    <v t="i">850</v>
    <v t="i">851</v>
    <v t="i">853</v>
    <v t="i">854</v>
    <v t="i">857</v>
    <v t="i">858</v>
    <v t="i">859</v>
    <v t="i">860</v>
    <v t="i">861</v>
    <v t="i">864</v>
    <v t="i">865</v>
    <v t="i">866</v>
    <v t="i">867</v>
    <v t="i">868</v>
    <v t="i">871</v>
    <v t="i">872</v>
    <v t="i">873</v>
    <v t="i">874</v>
    <v t="i">875</v>
    <v t="i">878</v>
    <v t="i">879</v>
    <v t="i">880</v>
    <v t="i">881</v>
    <v t="i">882</v>
    <v t="i">885</v>
    <v t="i">886</v>
    <v t="i">887</v>
    <v t="i">888</v>
    <v t="i">889</v>
    <v t="i">892</v>
    <v t="i">893</v>
    <v t="i">894</v>
    <v t="i">895</v>
    <v t="i">896</v>
    <v t="i">899</v>
    <v t="i">900</v>
    <v t="i">901</v>
    <v t="i">902</v>
    <v t="i">903</v>
    <v t="i">906</v>
    <v t="i">907</v>
    <v t="i">908</v>
    <v t="i">909</v>
    <v t="i">910</v>
    <v t="i">914</v>
    <v t="i">915</v>
    <v t="i">916</v>
    <v t="i">917</v>
    <v t="i">920</v>
    <v t="i">921</v>
    <v t="i">922</v>
    <v t="i">923</v>
    <v t="i">924</v>
    <v t="i">927</v>
    <v t="i">928</v>
    <v t="i">929</v>
    <v t="i">930</v>
    <v t="i">931</v>
    <v t="i">934</v>
    <v t="i">935</v>
    <v t="i">936</v>
    <v t="i">937</v>
    <v t="i">938</v>
    <v t="i">941</v>
    <v t="i">942</v>
    <v t="i">943</v>
    <v t="i">944</v>
    <v t="i">945</v>
    <v t="i">948</v>
    <v t="i">949</v>
    <v t="i">950</v>
    <v t="i">951</v>
    <v t="i">952</v>
    <v t="i">955</v>
    <v t="i">956</v>
    <v t="i">957</v>
    <v t="i">958</v>
    <v t="i">959</v>
    <v t="i">962</v>
    <v t="i">963</v>
    <v t="i">964</v>
    <v t="i">965</v>
    <v t="i">966</v>
    <v t="i">971</v>
    <v t="i">972</v>
    <v t="i">973</v>
    <v t="i">976</v>
    <v t="i">977</v>
    <v t="i">978</v>
    <v t="i">979</v>
    <v t="i">980</v>
    <v t="i">983</v>
    <v t="i">984</v>
    <v t="i">985</v>
    <v t="i">986</v>
    <v t="i">987</v>
    <v t="i">990</v>
    <v t="i">991</v>
    <v t="i">992</v>
    <v t="i">994</v>
    <v t="i">997</v>
    <v t="i">998</v>
    <v t="i">999</v>
    <v t="i">1000</v>
    <v t="i">1001</v>
    <v t="i">1004</v>
    <v t="i">1005</v>
    <v t="i">1006</v>
    <v t="i">1007</v>
    <v t="i">1008</v>
    <v t="i">1011</v>
    <v t="i">1012</v>
    <v t="i">1013</v>
    <v t="i">1014</v>
    <v t="i">1015</v>
    <v t="i">1018</v>
    <v t="i">1019</v>
    <v t="i">1020</v>
    <v t="i">1021</v>
    <v t="i">1022</v>
    <v t="i">1025</v>
    <v t="i">1027</v>
    <v t="i">1028</v>
    <v t="i">1029</v>
    <v t="i">1032</v>
    <v t="i">1034</v>
    <v t="i">1035</v>
    <v t="i">1036</v>
    <v t="i">1039</v>
    <v t="i">1040</v>
    <v t="i">1041</v>
    <v t="i">1042</v>
    <v t="i">1043</v>
    <v t="i">1046</v>
    <v t="i">1047</v>
    <v t="i">1048</v>
    <v t="i">1049</v>
    <v t="i">1050</v>
    <v t="i">1054</v>
    <v t="i">1055</v>
    <v t="i">1056</v>
    <v t="i">1057</v>
    <v t="i">1060</v>
    <v t="i">1061</v>
    <v t="i">1062</v>
    <v t="i">1063</v>
    <v t="i">1064</v>
    <v t="i">1067</v>
    <v t="i">1068</v>
    <v t="i">1069</v>
    <v t="i">1070</v>
    <v t="i">1071</v>
    <v t="i">1074</v>
    <v t="i">1075</v>
    <v t="i">1076</v>
    <v t="i">1077</v>
    <v t="i">1078</v>
    <v t="i">1082</v>
    <v t="i">1083</v>
    <v t="i">1084</v>
    <v t="i">1085</v>
    <v t="i">1088</v>
    <v t="i">1089</v>
    <v t="i">1090</v>
    <v t="i">1091</v>
    <v t="i">1092</v>
    <v t="i">1095</v>
    <v t="i">1096</v>
    <v t="i">1097</v>
    <v t="i">1098</v>
    <v t="i">1099</v>
    <v t="i">1102</v>
    <v t="i">1103</v>
    <v t="i">1104</v>
    <v t="i">1105</v>
    <v t="i">1106</v>
    <v t="i">1109</v>
    <v t="i">1110</v>
    <v t="i">1111</v>
    <v t="i">1112</v>
    <v t="i">1113</v>
    <v t="i">1116</v>
    <v t="i">1117</v>
    <v t="i">1118</v>
    <v t="i">1119</v>
    <v t="i">1123</v>
    <v t="i">1124</v>
    <v t="i">1125</v>
    <v t="i">1126</v>
    <v t="i">1127</v>
    <v t="i">1130</v>
    <v t="i">1131</v>
    <v t="i">1132</v>
    <v t="i">1133</v>
    <v t="i">1134</v>
    <v t="i">1137</v>
    <v t="i">1138</v>
    <v t="i">1139</v>
    <v t="i">1140</v>
    <v t="i">1141</v>
    <v t="i">1144</v>
    <v t="i">1145</v>
    <v t="i">1146</v>
    <v t="i">1147</v>
    <v t="i">1148</v>
    <v t="i">1151</v>
    <v t="i">1152</v>
    <v t="i">1153</v>
    <v t="i">1154</v>
    <v t="i">1155</v>
    <v t="i">1158</v>
    <v t="i">1159</v>
    <v t="i">1160</v>
    <v t="i">1161</v>
    <v t="i">1162</v>
    <v t="i">1165</v>
    <v t="i">1166</v>
    <v t="i">1167</v>
    <v t="i">1168</v>
    <v t="i">1169</v>
    <v t="i">1172</v>
    <v t="i">1173</v>
    <v t="i">1174</v>
    <v t="i">1175</v>
    <v t="i">1176</v>
    <v t="i">1180</v>
    <v t="i">1181</v>
    <v t="i">1182</v>
    <v t="i">1183</v>
    <v t="i">1186</v>
    <v t="i">1187</v>
    <v t="i">1188</v>
    <v t="i">1189</v>
    <v t="i">1190</v>
    <v t="i">1193</v>
    <v t="i">1194</v>
    <v t="i">1195</v>
    <v t="i">1196</v>
    <v t="i">1197</v>
    <v t="i">1200</v>
    <v t="i">1201</v>
    <v t="i">1202</v>
    <v t="i">1203</v>
    <v t="i">1204</v>
    <v t="i">1207</v>
    <v t="i">1208</v>
    <v t="i">1209</v>
    <v t="i">1210</v>
    <v t="i">1211</v>
    <v t="i">1214</v>
    <v t="i">1215</v>
    <v t="i">1216</v>
    <v t="i">1218</v>
    <v t="i">1221</v>
    <v t="i">1222</v>
    <v t="i">1223</v>
    <v t="i">1224</v>
    <v t="i">1225</v>
    <v t="i">1228</v>
    <v t="i">1229</v>
    <v t="i">1230</v>
    <v t="i">1231</v>
    <v t="i">1232</v>
    <v t="i">1235</v>
    <v t="i">1236</v>
    <v t="i">1237</v>
    <v t="i">1238</v>
    <v t="i">1239</v>
    <v t="i">1242</v>
    <v t="i">1243</v>
    <v t="i">1244</v>
    <v t="i">1245</v>
    <v t="i">1246</v>
    <v t="i">1249</v>
    <v t="i">1250</v>
    <v t="i">1251</v>
    <v t="i">1252</v>
    <v t="i">1253</v>
    <v t="i">1256</v>
    <v t="i">1257</v>
    <v t="i">1258</v>
    <v t="i">1259</v>
    <v t="i">1260</v>
    <v t="i">1263</v>
    <v t="i">1264</v>
    <v t="i">1265</v>
    <v t="i">1266</v>
    <v t="i">1267</v>
    <v t="i">1270</v>
    <v t="i">1271</v>
    <v t="i">1272</v>
    <v t="i">1273</v>
    <v t="i">1274</v>
    <v t="i">1278</v>
    <v t="i">1279</v>
    <v t="i">1280</v>
    <v t="i">1281</v>
    <v t="i">1284</v>
    <v t="i">1285</v>
    <v t="i">1286</v>
    <v t="i">1287</v>
    <v t="i">1288</v>
    <v t="i">1291</v>
    <v t="i">1292</v>
    <v t="i">1293</v>
    <v t="i">1294</v>
    <v t="i">1295</v>
    <v t="i">1298</v>
    <v t="i">1299</v>
    <v t="i">1300</v>
    <v t="i">1301</v>
    <v t="i">1302</v>
    <v t="i">1305</v>
    <v t="i">1306</v>
    <v t="i">1307</v>
    <v t="i">1308</v>
    <v t="i">1309</v>
    <v t="i">1312</v>
    <v t="i">1313</v>
    <v t="i">1314</v>
    <v t="i">1315</v>
    <v t="i">1316</v>
    <v t="i">1319</v>
    <v t="i">1320</v>
    <v t="i">1321</v>
    <v t="i">1322</v>
    <v t="i">1323</v>
    <v t="i">1326</v>
    <v t="i">1327</v>
    <v t="i">1328</v>
    <v t="i">1329</v>
    <v t="i">1330</v>
    <v t="i">1333</v>
    <v t="i">1334</v>
    <v t="i">1335</v>
    <v t="i">1336</v>
    <v t="i">1337</v>
    <v t="i">1340</v>
    <v t="i">1341</v>
    <v t="i">1342</v>
    <v t="i">1343</v>
    <v t="i">1344</v>
    <v t="i">1347</v>
    <v t="i">1348</v>
    <v t="i">1349</v>
    <v t="i">1350</v>
    <v t="i">1351</v>
    <v t="i">1354</v>
    <v t="i">1355</v>
    <v t="i">1356</v>
    <v t="i">1357</v>
    <v t="i">1358</v>
    <v t="i">1361</v>
    <v t="i">1362</v>
    <v t="i">1363</v>
    <v t="i">1365</v>
    <v t="i">1368</v>
    <v t="i">1369</v>
    <v t="i">1370</v>
    <v t="i">1371</v>
    <v t="i">1372</v>
    <v t="i">1375</v>
    <v t="i">1376</v>
    <v t="i">1377</v>
    <v t="i">1378</v>
    <v t="i">1379</v>
    <v t="i">1382</v>
    <v t="i">1383</v>
    <v t="i">1384</v>
    <v t="i">1385</v>
    <v t="i">1386</v>
    <v t="i">1389</v>
    <v t="i">1390</v>
    <v t="i">1392</v>
    <v t="i">1393</v>
    <v t="i">1396</v>
    <v t="i">1397</v>
    <v t="i">1399</v>
    <v t="i">1400</v>
    <v t="i">1403</v>
    <v t="i">1404</v>
    <v t="i">1405</v>
    <v t="i">1406</v>
    <v t="i">1407</v>
    <v t="i">1410</v>
    <v t="i">1411</v>
    <v t="i">1412</v>
    <v t="i">1413</v>
    <v t="i">1414</v>
    <v t="i">1418</v>
    <v t="i">1419</v>
    <v t="i">1420</v>
    <v t="i">1421</v>
    <v t="i">1424</v>
    <v t="i">1425</v>
    <v t="i">1426</v>
    <v t="i">1427</v>
    <v t="i">1428</v>
    <v t="i">1431</v>
    <v t="i">1432</v>
    <v t="i">1433</v>
    <v t="i">1434</v>
    <v t="i">1435</v>
    <v t="i">1438</v>
    <v t="i">1439</v>
    <v t="i">1440</v>
    <v t="i">1441</v>
    <v t="i">1442</v>
    <v t="i">1446</v>
    <v t="i">1447</v>
    <v t="i">1448</v>
    <v t="i">1449</v>
    <v t="i">1452</v>
    <v t="i">1453</v>
    <v t="i">1454</v>
    <v t="i">1455</v>
    <v t="i">1456</v>
    <v t="i">1459</v>
    <v t="i">1460</v>
    <v t="i">1461</v>
    <v t="i">1462</v>
    <v t="i">1463</v>
    <v t="i">1466</v>
    <v t="i">1467</v>
    <v t="i">1468</v>
    <v t="i">1469</v>
    <v t="i">1470</v>
    <v t="i">1473</v>
    <v t="i">1474</v>
    <v t="i">1475</v>
    <v t="i">1476</v>
    <v t="i">1477</v>
    <v t="i">1480</v>
    <v t="i">1481</v>
    <v t="i">1482</v>
    <v t="i">1483</v>
    <v t="i">1484</v>
    <v t="i">1487</v>
    <v t="i">1488</v>
    <v t="i">1489</v>
    <v t="i">1490</v>
    <v t="i">1491</v>
    <v t="i">1494</v>
    <v t="i">1495</v>
    <v t="i">1496</v>
    <v t="i">1497</v>
    <v t="i">1498</v>
    <v t="i">1501</v>
    <v t="i">1502</v>
    <v t="i">1503</v>
    <v t="i">1504</v>
    <v t="i">1508</v>
    <v t="i">1509</v>
    <v t="i">1510</v>
    <v t="i">1511</v>
    <v t="i">1512</v>
    <v t="i">1515</v>
    <v t="i">1516</v>
    <v t="i">1517</v>
    <v t="i">1518</v>
    <v t="i">1519</v>
    <v t="i">1522</v>
    <v t="i">1523</v>
    <v t="i">1524</v>
    <v t="i">1525</v>
    <v t="i">1526</v>
    <v t="i">1529</v>
    <v t="i">1530</v>
    <v t="i">1531</v>
    <v t="i">1532</v>
    <v t="i">1533</v>
    <v t="i">1536</v>
    <v t="i">1537</v>
    <v t="i">1538</v>
    <v t="i">1539</v>
    <v t="i">1540</v>
    <v t="i">1544</v>
    <v t="i">1545</v>
    <v t="i">1546</v>
    <v t="i">1547</v>
    <v t="i">1550</v>
    <v t="i">1551</v>
    <v t="i">1552</v>
    <v t="i">1553</v>
    <v t="i">1554</v>
    <v t="i">1557</v>
    <v t="i">1558</v>
    <v t="i">1559</v>
    <v t="i">1560</v>
    <v t="i">1561</v>
    <v t="i">1564</v>
    <v t="i">1565</v>
    <v t="i">1566</v>
    <v t="i">1567</v>
    <v t="i">1568</v>
    <v t="i">1571</v>
    <v t="i">1572</v>
    <v t="i">1573</v>
    <v t="i">1574</v>
    <v t="i">1575</v>
    <v t="i">1578</v>
    <v t="i">1579</v>
    <v t="i">1580</v>
    <v t="i">1581</v>
    <v t="i">1585</v>
    <v t="i">1586</v>
    <v t="i">1587</v>
    <v t="i">1588</v>
    <v t="i">1589</v>
    <v t="i">1592</v>
    <v t="i">1593</v>
    <v t="i">1594</v>
    <v t="i">1595</v>
    <v t="i">1596</v>
    <v t="i">1599</v>
    <v t="i">1600</v>
    <v t="i">1601</v>
    <v t="i">1602</v>
    <v t="i">1603</v>
    <v t="i">1606</v>
    <v t="i">1607</v>
    <v t="i">1608</v>
    <v t="i">1609</v>
    <v t="i">1610</v>
    <v t="i">1613</v>
    <v t="i">1614</v>
    <v t="i">1615</v>
    <v t="i">1616</v>
    <v t="i">1617</v>
    <v t="i">1620</v>
    <v t="i">1621</v>
    <v t="i">1622</v>
    <v t="i">1623</v>
    <v t="i">1624</v>
    <v t="i">1627</v>
    <v t="i">1628</v>
    <v t="i">1629</v>
    <v t="i">1630</v>
    <v t="i">1631</v>
    <v t="i">1634</v>
    <v t="i">1635</v>
    <v t="i">1636</v>
    <v t="i">1637</v>
    <v t="i">1638</v>
    <v t="i">1642</v>
    <v t="i">1643</v>
    <v t="i">1644</v>
    <v t="i">1645</v>
    <v t="i">1648</v>
    <v t="i">1649</v>
    <v t="i">1650</v>
    <v t="i">1651</v>
    <v t="i">1652</v>
    <v t="i">1655</v>
    <v t="i">1656</v>
    <v t="i">1657</v>
    <v t="i">1658</v>
    <v t="i">1659</v>
    <v t="i">1662</v>
    <v t="i">1663</v>
    <v t="i">1664</v>
    <v t="i">1665</v>
    <v t="i">1666</v>
    <v t="i">1669</v>
    <v t="i">1670</v>
    <v t="i">1671</v>
    <v t="i">1672</v>
    <v t="i">1673</v>
    <v t="i">1676</v>
    <v t="i">1677</v>
    <v t="i">1678</v>
    <v t="i">1679</v>
    <v t="i">1680</v>
    <v t="i">1683</v>
    <v t="i">1684</v>
    <v t="i">1685</v>
    <v t="i">1686</v>
    <v t="i">1687</v>
    <v t="i">1690</v>
    <v t="i">1691</v>
    <v t="i">1692</v>
    <v t="i">1693</v>
    <v t="i">1694</v>
    <v t="i">1697</v>
    <v t="i">1698</v>
    <v t="i">1699</v>
    <v t="i">1700</v>
    <v t="i">1701</v>
    <v t="i">1704</v>
    <v t="i">1705</v>
    <v t="i">1706</v>
    <v t="i">1707</v>
    <v t="i">1708</v>
    <v t="i">1711</v>
    <v t="i">1712</v>
    <v t="i">1713</v>
    <v t="i">1714</v>
    <v t="i">1715</v>
    <v t="i">1718</v>
    <v t="i">1719</v>
    <v t="i">1720</v>
    <v t="i">1721</v>
    <v t="i">1722</v>
    <v t="i">1725</v>
    <v t="i">1726</v>
    <v t="i">1727</v>
    <v t="i">1729</v>
    <v t="i">1732</v>
    <v t="i">1733</v>
    <v t="i">1734</v>
    <v t="i">1735</v>
    <v t="i">1736</v>
    <v t="i">1739</v>
    <v t="i">1740</v>
    <v t="i">1741</v>
    <v t="i">1742</v>
    <v t="i">1743</v>
    <v t="i">1746</v>
    <v t="i">1747</v>
    <v t="i">1748</v>
    <v t="i">1749</v>
    <v t="i">1750</v>
    <v t="i">1753</v>
    <v t="i">1754</v>
    <v t="i">1755</v>
    <v t="i">1757</v>
    <v t="i">1760</v>
    <v t="i">1761</v>
    <v t="i">1762</v>
    <v t="i">1764</v>
    <v t="i">1767</v>
    <v t="i">1768</v>
    <v t="i">1769</v>
    <v t="i">1770</v>
    <v t="i">1771</v>
    <v t="i">1774</v>
    <v t="i">1775</v>
    <v t="i">1776</v>
    <v t="i">1777</v>
    <v t="i">1778</v>
    <v t="i">1782</v>
    <v t="i">1783</v>
    <v t="i">1784</v>
    <v t="i">1785</v>
    <v t="i">1788</v>
    <v t="i">1789</v>
    <v t="i">1790</v>
    <v t="i">1791</v>
    <v t="i">1792</v>
    <v t="i">1795</v>
    <v t="i">1796</v>
    <v t="i">1797</v>
    <v t="i">1798</v>
    <v t="i">1799</v>
    <v t="i">1802</v>
    <v t="i">1803</v>
    <v t="i">1804</v>
    <v t="i">1805</v>
    <v t="i">1806</v>
    <v t="i">1810</v>
    <v t="i">1811</v>
    <v t="i">1812</v>
    <v t="i">1813</v>
    <v t="i">1816</v>
    <v t="i">1817</v>
    <v t="i">1818</v>
    <v t="i">1819</v>
    <v t="i">1820</v>
    <v t="i">1823</v>
    <v t="i">1824</v>
    <v t="i">1825</v>
    <v t="i">1826</v>
    <v t="i">1827</v>
    <v t="i">1830</v>
    <v t="i">1831</v>
    <v t="i">1832</v>
    <v t="i">1833</v>
    <v t="i">1834</v>
    <v t="i">1837</v>
    <v t="i">1838</v>
    <v t="i">1839</v>
    <v t="i">1840</v>
    <v t="i">1841</v>
    <v t="i">1844</v>
    <v t="i">1845</v>
    <v t="i">1846</v>
    <v t="i">1847</v>
    <v t="i">1848</v>
    <v t="i">1851</v>
    <v t="i">1852</v>
    <v t="i">1853</v>
    <v t="i">1854</v>
    <v t="i">1858</v>
    <v t="i">1859</v>
    <v t="i">1860</v>
    <v t="i">1861</v>
    <v t="i">1862</v>
    <v t="i">1865</v>
    <v t="i">1866</v>
    <v t="i">1867</v>
    <v t="i">1868</v>
    <v t="i">1869</v>
    <v t="i">1872</v>
    <v t="i">1873</v>
    <v t="i">1874</v>
    <v t="i">1875</v>
    <v t="i">1876</v>
    <v t="i">1879</v>
    <v t="i">1880</v>
    <v t="i">1881</v>
    <v t="i">1882</v>
    <v t="i">1883</v>
    <v t="i">1886</v>
    <v t="i">1887</v>
    <v t="i">1888</v>
    <v t="i">1889</v>
    <v t="i">1890</v>
    <v t="i">1893</v>
    <v t="i">1894</v>
    <v t="i">1895</v>
    <v t="i">1896</v>
    <v t="i">1897</v>
    <v t="i">1900</v>
    <v t="i">1901</v>
    <v t="i">1902</v>
    <v t="i">1903</v>
    <v t="i">1904</v>
    <v t="i">1908</v>
    <v t="i">1909</v>
    <v t="i">1910</v>
    <v t="i">1911</v>
    <v t="i">1914</v>
    <v t="i">1915</v>
    <v t="i">1916</v>
    <v t="i">1917</v>
    <v t="i">1918</v>
    <v t="i">1921</v>
    <v t="i">1922</v>
    <v t="i">1923</v>
    <v t="i">1924</v>
    <v t="i">1925</v>
    <v t="i">1928</v>
    <v t="i">1929</v>
    <v t="i">1930</v>
    <v t="i">1931</v>
    <v t="i">1932</v>
    <v t="i">1935</v>
    <v t="i">1936</v>
    <v t="i">1937</v>
    <v t="i">1938</v>
    <v t="i">1939</v>
    <v t="i">1942</v>
    <v t="i">1943</v>
    <v t="i">1944</v>
    <v t="i">1945</v>
    <v t="i">1949</v>
    <v t="i">1950</v>
    <v t="i">1951</v>
    <v t="i">1952</v>
    <v t="i">1953</v>
    <v t="i">1956</v>
    <v t="i">1957</v>
    <v t="i">1958</v>
    <v t="i">1959</v>
    <v t="i">1960</v>
    <v t="i">1963</v>
    <v t="i">1964</v>
    <v t="i">1965</v>
    <v t="i">1966</v>
    <v t="i">1967</v>
    <v t="i">1970</v>
    <v t="i">1971</v>
    <v t="i">1972</v>
    <v t="i">1973</v>
    <v t="i">1974</v>
    <v t="i">1977</v>
    <v t="i">1978</v>
    <v t="i">1979</v>
    <v t="i">1980</v>
    <v t="i">1981</v>
    <v t="i">1984</v>
    <v t="i">1985</v>
    <v t="i">1986</v>
    <v t="i">1987</v>
    <v t="i">1988</v>
    <v t="i">1991</v>
    <v t="i">1992</v>
    <v t="i">1993</v>
    <v t="i">1994</v>
    <v t="i">1995</v>
    <v t="i">1998</v>
    <v t="i">1999</v>
    <v t="i">2000</v>
    <v t="i">2001</v>
    <v t="i">2002</v>
    <v t="i">2005</v>
    <v t="i">2006</v>
    <v t="i">2007</v>
    <v t="i">2008</v>
    <v t="i">2009</v>
    <v t="i">2013</v>
    <v t="i">2014</v>
    <v t="i">2015</v>
    <v t="i">2016</v>
    <v t="i">2019</v>
    <v t="i">2020</v>
    <v t="i">2021</v>
    <v t="i">2022</v>
    <v t="i">2023</v>
    <v t="i">2026</v>
    <v t="i">2027</v>
    <v t="i">2028</v>
    <v t="i">2029</v>
    <v t="i">2030</v>
    <v t="i">2033</v>
    <v t="i">2034</v>
    <v t="i">2035</v>
    <v t="i">2036</v>
    <v t="i">2037</v>
    <v t="i">2040</v>
    <v t="i">2041</v>
    <v t="i">2042</v>
    <v t="i">2043</v>
    <v t="i">2044</v>
    <v t="i">2047</v>
    <v t="i">2048</v>
    <v t="i">2049</v>
    <v t="i">2050</v>
    <v t="i">2051</v>
    <v t="i">2054</v>
    <v t="i">2055</v>
    <v t="i">2056</v>
    <v t="i">2057</v>
    <v t="i">2058</v>
    <v t="i">2061</v>
    <v t="i">2062</v>
    <v t="i">2063</v>
    <v t="i">2064</v>
    <v t="i">2065</v>
    <v t="i">2068</v>
    <v t="i">2069</v>
    <v t="i">2070</v>
    <v t="i">2071</v>
    <v t="i">2072</v>
    <v t="i">2075</v>
    <v t="i">2076</v>
    <v t="i">2077</v>
    <v t="i">2078</v>
    <v t="i">2079</v>
    <v t="i">2082</v>
    <v t="i">2083</v>
    <v t="i">2084</v>
    <v t="i">2085</v>
    <v t="i">2086</v>
    <v t="i">2089</v>
    <v t="i">2090</v>
    <v t="i">2091</v>
    <v t="i">2093</v>
    <v t="i">2096</v>
    <v t="i">2097</v>
    <v t="i">2098</v>
    <v t="i">2099</v>
    <v t="i">2100</v>
    <v t="i">2103</v>
    <v t="i">2104</v>
    <v t="i">2105</v>
    <v t="i">2106</v>
    <v t="i">2107</v>
    <v t="i">2110</v>
    <v t="i">2111</v>
    <v t="i">2112</v>
    <v t="i">2113</v>
    <v t="i">2114</v>
    <v t="i">2117</v>
    <v t="i">2118</v>
    <v t="i">2119</v>
    <v t="i">2120</v>
    <v t="i">2124</v>
    <v t="i">2125</v>
    <v t="i">2126</v>
    <v t="i">2127</v>
    <v t="i">2131</v>
    <v t="i">2132</v>
    <v t="i">2133</v>
    <v t="i">2134</v>
    <v t="i">2135</v>
    <v t="i">2138</v>
    <v t="i">2139</v>
    <v t="i">2140</v>
    <v t="i">2141</v>
    <v t="i">2142</v>
    <v t="i">2146</v>
    <v t="i">2147</v>
    <v t="i">2148</v>
    <v t="i">2149</v>
    <v t="i">2152</v>
    <v t="i">2153</v>
    <v t="i">2154</v>
    <v t="i">2155</v>
    <v t="i">2156</v>
    <v t="i">2159</v>
    <v t="i">2160</v>
    <v t="i">2161</v>
    <v t="i">2162</v>
    <v t="i">2163</v>
    <v t="i">2166</v>
    <v t="i">2167</v>
    <v t="i">2168</v>
    <v t="i">2169</v>
    <v t="i">2170</v>
    <v t="i">2174</v>
    <v t="i">2175</v>
    <v t="i">2176</v>
    <v t="i">2177</v>
    <v t="i">2180</v>
    <v t="i">2181</v>
    <v t="i">2182</v>
    <v t="i">2183</v>
    <v t="i">2184</v>
    <v t="i">2187</v>
    <v t="i">2188</v>
    <v t="i">2189</v>
    <v t="i">2190</v>
    <v t="i">2191</v>
    <v t="i">2194</v>
    <v t="i">2195</v>
    <v t="i">2196</v>
    <v t="i">2197</v>
    <v t="i">2198</v>
    <v t="i">2201</v>
    <v t="i">2202</v>
    <v t="i">2203</v>
    <v t="i">2204</v>
    <v t="i">2205</v>
    <v t="i">2208</v>
    <v t="i">2209</v>
    <v t="i">2210</v>
    <v t="i">2211</v>
    <v t="i">2215</v>
    <v t="i">2216</v>
    <v t="i">2217</v>
    <v t="i">2218</v>
    <v t="i">2219</v>
    <v t="i">2222</v>
    <v t="i">2223</v>
    <v t="i">2224</v>
    <v t="i">2225</v>
    <v t="i">2226</v>
    <v t="i">2229</v>
    <v t="i">2230</v>
    <v t="i">2231</v>
    <v t="i">2232</v>
    <v t="i">2233</v>
    <v t="i">2236</v>
    <v t="i">2237</v>
    <v t="i">2238</v>
    <v t="i">2239</v>
    <v t="i">2240</v>
    <v t="i">2243</v>
    <v t="i">2244</v>
    <v t="i">2245</v>
    <v t="i">2246</v>
    <v t="i">2247</v>
    <v t="i">2250</v>
    <v t="i">2251</v>
    <v t="i">2252</v>
    <v t="i">2253</v>
    <v t="i">2254</v>
    <v t="i">2257</v>
    <v t="i">2258</v>
    <v t="i">2259</v>
    <v t="i">2260</v>
    <v t="i">2261</v>
    <v t="i">2264</v>
    <v t="i">2265</v>
    <v t="i">2266</v>
    <v t="i">2267</v>
    <v t="i">2268</v>
    <v t="i">2271</v>
    <v t="i">2272</v>
    <v t="i">2273</v>
    <v t="i">2274</v>
    <v t="i">2275</v>
    <v t="i">2279</v>
    <v t="i">2280</v>
    <v t="i">2281</v>
    <v t="i">2282</v>
    <v t="i">2285</v>
    <v t="i">2286</v>
    <v t="i">2287</v>
    <v t="i">2288</v>
    <v t="i">2289</v>
    <v t="i">2292</v>
    <v t="i">2293</v>
    <v t="i">2294</v>
    <v t="i">2295</v>
    <v t="i">2296</v>
    <v t="i">2299</v>
    <v t="i">2300</v>
    <v t="i">2301</v>
    <v t="i">2302</v>
    <v t="i">2303</v>
    <v t="i">2306</v>
    <v t="i">2307</v>
    <v t="i">2308</v>
    <v t="i">2309</v>
    <v t="i">2310</v>
    <v t="i">2314</v>
    <v t="i">2315</v>
    <v t="i">2316</v>
    <v t="i">2317</v>
    <v t="i">2320</v>
    <v t="i">2321</v>
    <v t="i">2322</v>
    <v t="i">2323</v>
    <v t="i">2324</v>
    <v t="i">2327</v>
    <v t="i">2328</v>
    <v t="i">2329</v>
    <v t="i">2330</v>
    <v t="i">2331</v>
    <v t="i">2334</v>
    <v t="i">2335</v>
    <v t="i">2336</v>
    <v t="i">2337</v>
    <v t="i">2338</v>
    <v t="i">2341</v>
    <v t="i">2342</v>
    <v t="i">2343</v>
    <v t="i">2344</v>
    <v t="i">2345</v>
    <v t="i">2348</v>
    <v t="i">2349</v>
    <v t="i">2350</v>
    <v t="i">2351</v>
    <v t="i">2352</v>
    <v t="i">2355</v>
    <v t="i">2356</v>
    <v t="i">2357</v>
    <v t="i">2358</v>
    <v t="i">2359</v>
    <v t="i">2362</v>
    <v t="i">2363</v>
    <v t="i">2364</v>
    <v t="i">2365</v>
    <v t="i">2366</v>
    <v t="i">2369</v>
    <v t="i">2370</v>
    <v t="i">2371</v>
    <v t="i">2372</v>
    <v t="i">2373</v>
    <v t="i">2377</v>
    <v t="i">2378</v>
    <v t="i">2379</v>
    <v t="i">2380</v>
    <v t="i">2383</v>
    <v t="i">2384</v>
    <v t="i">2385</v>
    <v t="i">2386</v>
    <v t="i">2387</v>
    <v t="i">2390</v>
    <v t="i">2391</v>
    <v t="i">2392</v>
    <v t="i">2393</v>
    <v t="i">2394</v>
    <v t="i">2397</v>
    <v t="i">2398</v>
    <v t="i">2399</v>
    <v t="i">2400</v>
    <v t="i">2401</v>
    <v t="i">2404</v>
    <v t="i">2405</v>
    <v t="i">2406</v>
    <v t="i">2407</v>
    <v t="i">2408</v>
    <v t="i">2411</v>
    <v t="i">2412</v>
    <v t="i">2413</v>
    <v t="i">2414</v>
    <v t="i">2415</v>
    <v t="i">2418</v>
    <v t="i">2419</v>
    <v t="i">2420</v>
    <v t="i">2421</v>
    <v t="i">2422</v>
    <v t="i">2425</v>
    <v t="i">2426</v>
    <v t="i">2427</v>
    <v t="i">2428</v>
    <v t="i">2429</v>
    <v t="i">2432</v>
    <v t="i">2433</v>
    <v t="i">2434</v>
    <v t="i">2435</v>
    <v t="i">2436</v>
    <v t="i">2439</v>
    <v t="i">2440</v>
    <v t="i">2441</v>
    <v t="i">2442</v>
    <v t="i">2443</v>
    <v t="i">2446</v>
    <v t="i">2447</v>
    <v t="i">2448</v>
    <v t="i">2449</v>
    <v t="i">2450</v>
    <v t="i">2453</v>
    <v t="i">2454</v>
    <v t="i">2455</v>
    <v t="i">2457</v>
    <v t="i">2460</v>
    <v t="i">2461</v>
    <v t="i">2462</v>
    <v t="i">2463</v>
    <v t="i">2464</v>
    <v t="i">2467</v>
    <v t="i">2468</v>
    <v t="i">2469</v>
    <v t="i">2470</v>
    <v t="i">2471</v>
    <v t="i">2474</v>
    <v t="i">2475</v>
    <v t="i">2476</v>
    <v t="i">2477</v>
    <v t="i">2478</v>
    <v t="i">2481</v>
    <v t="i">2482</v>
    <v t="i">2483</v>
    <v t="i">2484</v>
    <v t="i">2485</v>
    <v t="i">2489</v>
    <v t="i">2490</v>
    <v t="i">2491</v>
    <v t="i">2492</v>
    <v t="i">2496</v>
    <v t="i">2497</v>
    <v t="i">2498</v>
    <v t="i">2499</v>
    <v t="i">2502</v>
    <v t="i">2503</v>
    <v t="i">2504</v>
    <v t="i">2505</v>
    <v t="i">2506</v>
    <v t="i">2510</v>
    <v t="i">2511</v>
    <v t="i">2512</v>
    <v t="i">2513</v>
    <v t="i">2516</v>
    <v t="i">2517</v>
    <v t="i">2518</v>
    <v t="i">2519</v>
    <v t="i">2520</v>
    <v t="i">2523</v>
    <v t="i">2524</v>
    <v t="i">2525</v>
    <v t="i">2526</v>
    <v t="i">2527</v>
    <v t="i">2530</v>
    <v t="i">2531</v>
    <v t="i">2532</v>
    <v t="i">2533</v>
    <v t="i">2534</v>
    <v t="i">2537</v>
    <v t="i">2538</v>
    <v t="i">2539</v>
    <v t="i">2540</v>
    <v t="i">2541</v>
    <v t="i">2545</v>
    <v t="i">2546</v>
    <v t="i">2547</v>
    <v t="i">2548</v>
    <v t="i">2551</v>
    <v t="i">2552</v>
    <v t="i">2553</v>
    <v t="i">2554</v>
    <v t="i">2555</v>
    <v t="i">2558</v>
    <v t="i">2559</v>
    <v t="i">2560</v>
    <v t="i">2561</v>
    <v t="i">2562</v>
    <v t="i">2565</v>
    <v t="i">2566</v>
    <v t="i">2567</v>
    <v t="i">2568</v>
    <v t="i">2569</v>
    <v t="i">2572</v>
    <v t="i">2573</v>
    <v t="i">2574</v>
    <v t="i">2575</v>
    <v t="i">2576</v>
    <v t="i">2579</v>
    <v t="i">2580</v>
    <v t="i">2581</v>
    <v t="i">2582</v>
    <v t="i">2583</v>
    <v t="i">2586</v>
    <v t="i">2587</v>
    <v t="i">2588</v>
    <v t="i">2589</v>
    <v t="i">2590</v>
    <v t="i">2593</v>
    <v t="i">2594</v>
    <v t="i">2595</v>
    <v t="i">2596</v>
    <v t="i">2600</v>
    <v t="i">2601</v>
    <v t="i">2602</v>
    <v t="i">2603</v>
    <v t="i">2604</v>
    <v t="i">2607</v>
    <v t="i">2608</v>
    <v t="i">2609</v>
    <v t="i">2610</v>
    <v t="i">2611</v>
    <v t="i">2614</v>
    <v t="i">2615</v>
    <v t="i">2616</v>
    <v t="i">2617</v>
    <v t="i">2618</v>
    <v t="i">2621</v>
    <v t="i">2622</v>
    <v t="i">2623</v>
    <v t="i">2624</v>
    <v t="i">2625</v>
    <v t="i">2628</v>
    <v t="i">2629</v>
    <v t="i">2630</v>
    <v t="i">2631</v>
    <v t="i">2632</v>
    <v t="i">2635</v>
    <v t="i">2636</v>
    <v t="i">2637</v>
    <v t="i">2638</v>
    <v t="i">2639</v>
    <v t="i">2643</v>
    <v t="i">2644</v>
    <v t="i">2645</v>
    <v t="i">2646</v>
    <v t="i">2649</v>
    <v t="i">2650</v>
    <v t="i">2651</v>
    <v t="i">2652</v>
    <v t="i">2653</v>
    <v t="i">2656</v>
    <v t="i">2657</v>
    <v t="i">2658</v>
    <v t="i">2659</v>
    <v t="i">2660</v>
    <v t="i">2663</v>
    <v t="i">2664</v>
    <v t="i">2665</v>
    <v t="i">2666</v>
    <v t="i">2667</v>
    <v t="i">2670</v>
    <v t="i">2671</v>
    <v t="i">2672</v>
    <v t="i">2673</v>
    <v t="i">2674</v>
    <v t="i">2677</v>
    <v t="i">2679</v>
    <v t="i">2680</v>
    <v t="i">2681</v>
    <v t="i">2684</v>
    <v t="i">2685</v>
    <v t="i">2686</v>
    <v t="i">2687</v>
    <v t="i">2688</v>
    <v t="i">2691</v>
    <v t="i">2692</v>
    <v t="i">2693</v>
    <v t="i">2694</v>
    <v t="i">2695</v>
    <v t="i">2698</v>
    <v t="i">2699</v>
    <v t="i">2700</v>
    <v t="i">2701</v>
    <v t="i">2702</v>
    <v t="i">2705</v>
    <v t="i">2706</v>
    <v t="i">2707</v>
    <v t="i">2708</v>
    <v t="i">2709</v>
    <v t="i">2712</v>
    <v t="i">2713</v>
    <v t="i">2714</v>
    <v t="i">2715</v>
    <v t="i">2716</v>
    <v t="i">2719</v>
    <v t="i">2720</v>
    <v t="i">2721</v>
    <v t="i">2722</v>
    <v t="i">2723</v>
    <v t="i">2726</v>
    <v t="i">2727</v>
    <v t="i">2728</v>
    <v t="i">2729</v>
    <v t="i">2730</v>
    <v t="i">2733</v>
    <v t="i">2734</v>
    <v t="i">2735</v>
    <v t="i">2736</v>
    <v t="i">2737</v>
    <v t="i">2741</v>
    <v t="i">2742</v>
    <v t="i">2743</v>
    <v t="i">2744</v>
    <v t="i">2747</v>
    <v t="i">2748</v>
    <v t="i">2749</v>
    <v t="i">2750</v>
    <v t="i">2751</v>
    <v t="i">2754</v>
    <v t="i">2755</v>
    <v t="i">2756</v>
    <v t="i">2757</v>
    <v t="i">2758</v>
    <v t="i">2761</v>
    <v t="i">2762</v>
    <v t="i">2763</v>
    <v t="i">2764</v>
    <v t="i">2765</v>
    <v t="i">2768</v>
    <v t="i">2769</v>
    <v t="i">2770</v>
    <v t="i">2771</v>
    <v t="i">2772</v>
    <v t="i">2775</v>
    <v t="i">2776</v>
    <v t="i">2777</v>
    <v t="i">2778</v>
    <v t="i">2779</v>
    <v t="i">2782</v>
    <v t="i">2783</v>
    <v t="i">2784</v>
    <v t="i">2785</v>
    <v t="i">2786</v>
    <v t="i">2789</v>
    <v t="i">2790</v>
    <v t="i">2791</v>
    <v t="i">2792</v>
    <v t="i">2793</v>
    <v t="i">2796</v>
    <v t="i">2797</v>
    <v t="i">2798</v>
    <v t="i">2799</v>
    <v t="i">2800</v>
    <v t="i">2803</v>
    <v t="i">2804</v>
    <v t="i">2805</v>
    <v t="i">2806</v>
    <v t="i">2807</v>
    <v t="i">2810</v>
    <v t="i">2811</v>
    <v t="i">2812</v>
    <v t="i">2813</v>
    <v t="i">2814</v>
    <v t="i">2817</v>
    <v t="i">2818</v>
    <v t="i">2819</v>
    <v t="i">2821</v>
    <v t="i">2824</v>
    <v t="i">2825</v>
    <v t="i">2826</v>
    <v t="i">2827</v>
    <v t="i">2828</v>
    <v t="i">2831</v>
    <v t="i">2832</v>
    <v t="i">2833</v>
    <v t="i">2834</v>
    <v t="i">2835</v>
    <v t="i">2838</v>
    <v t="i">2839</v>
    <v t="i">2840</v>
    <v t="i">2841</v>
    <v t="i">2842</v>
    <v t="i">2845</v>
    <v t="i">2846</v>
    <v t="i">2847</v>
    <v t="i">2848</v>
    <v t="i">2849</v>
    <v t="i">2853</v>
    <v t="i">2854</v>
    <v t="i">2855</v>
    <v t="i">2856</v>
    <v t="i">2860</v>
    <v t="i">2861</v>
    <v t="i">2862</v>
    <v t="i">2863</v>
    <v t="i">2866</v>
    <v t="i">2867</v>
    <v t="i">2868</v>
    <v t="i">2869</v>
    <v t="i">2870</v>
    <v t="i">2874</v>
    <v t="i">2875</v>
    <v t="i">2876</v>
    <v t="i">2877</v>
    <v t="i">2880</v>
    <v t="i">2881</v>
    <v t="i">2882</v>
    <v t="i">2883</v>
    <v t="i">2884</v>
    <v t="i">2887</v>
    <v t="i">2888</v>
    <v t="i">2889</v>
    <v t="i">2890</v>
    <v t="i">2891</v>
    <v t="i">2894</v>
    <v t="i">2895</v>
    <v t="i">2896</v>
    <v t="i">2897</v>
    <v t="i">2898</v>
    <v t="i">2901</v>
    <v t="i">2902</v>
    <v t="i">2903</v>
    <v t="i">2904</v>
    <v t="i">2905</v>
    <v t="i">2909</v>
    <v t="i">2910</v>
    <v t="i">2911</v>
    <v t="i">2912</v>
    <v t="i">2915</v>
    <v t="i">2916</v>
    <v t="i">2917</v>
    <v t="i">2918</v>
    <v t="i">2919</v>
    <v t="i">2922</v>
    <v t="i">2923</v>
    <v t="i">2924</v>
    <v t="i">2925</v>
    <v t="i">2926</v>
    <v t="i">2929</v>
    <v t="i">2930</v>
    <v t="i">2931</v>
    <v t="i">2932</v>
    <v t="i">2933</v>
    <v t="i">2936</v>
    <v t="i">2937</v>
    <v t="i">2938</v>
    <v t="i">2939</v>
    <v t="i">2940</v>
    <v t="i">2943</v>
    <v t="i">2944</v>
    <v t="i">2945</v>
    <v t="i">2946</v>
    <v t="i">2950</v>
    <v t="i">2951</v>
    <v t="i">2952</v>
    <v t="i">2953</v>
    <v t="i">2954</v>
    <v t="i">2957</v>
    <v t="i">2958</v>
    <v t="i">2959</v>
    <v t="i">2960</v>
    <v t="i">2961</v>
    <v t="i">2964</v>
    <v t="i">2965</v>
    <v t="i">2966</v>
    <v t="i">2967</v>
    <v t="i">2968</v>
    <v t="i">2971</v>
    <v t="i">2972</v>
    <v t="i">2973</v>
    <v t="i">2974</v>
    <v t="i">2975</v>
    <v t="i">2978</v>
    <v t="i">2979</v>
    <v t="i">2980</v>
    <v t="i">2981</v>
    <v t="i">2982</v>
    <v t="i">2985</v>
    <v t="i">2986</v>
    <v t="i">2987</v>
    <v t="i">2988</v>
    <v t="i">2989</v>
    <v t="i">2992</v>
    <v t="i">2993</v>
    <v t="i">2994</v>
    <v t="i">2995</v>
    <v t="i">2996</v>
    <v t="i">2999</v>
    <v t="i">3000</v>
    <v t="i">3001</v>
    <v t="i">3002</v>
    <v t="i">3003</v>
    <v t="i">3007</v>
    <v t="i">3008</v>
    <v t="i">3009</v>
    <v t="i">3010</v>
    <v t="i">3013</v>
    <v t="i">3014</v>
    <v t="i">3015</v>
    <v t="i">3016</v>
    <v t="i">3017</v>
    <v t="i">3020</v>
    <v t="i">3021</v>
    <v t="i">3022</v>
    <v t="i">3023</v>
    <v t="i">3024</v>
    <v t="i">3027</v>
    <v t="i">3028</v>
    <v t="i">3029</v>
    <v t="i">3030</v>
    <v t="i">3031</v>
    <v t="i">3034</v>
    <v t="i">3035</v>
    <v t="i">3036</v>
    <v t="i">3037</v>
    <v t="i">3038</v>
    <v t="i">3041</v>
    <v t="i">3042</v>
    <v t="i">3044</v>
    <v t="i">3045</v>
    <v t="i">3048</v>
    <v t="i">3049</v>
    <v t="i">3050</v>
    <v t="i">3051</v>
    <v t="i">3052</v>
    <v t="i">3055</v>
    <v t="i">3056</v>
    <v t="i">3057</v>
    <v t="i">3058</v>
    <v t="i">3059</v>
    <v t="i">3062</v>
    <v t="i">3063</v>
    <v t="i">3064</v>
    <v t="i">3065</v>
    <v t="i">3066</v>
    <v t="i">3069</v>
    <v t="i">3070</v>
    <v t="i">3071</v>
    <v t="i">3072</v>
    <v t="i">3073</v>
    <v t="i">3076</v>
    <v t="i">3077</v>
    <v t="i">3078</v>
    <v t="i">3079</v>
    <v t="i">3080</v>
    <v t="i">3083</v>
    <v t="i">3084</v>
    <v t="i">3085</v>
    <v t="i">3086</v>
    <v t="i">3087</v>
    <v t="i">3090</v>
    <v t="i">3091</v>
    <v t="i">3092</v>
    <v t="i">3093</v>
    <v t="i">3094</v>
    <v t="i">3097</v>
    <v t="i">3098</v>
    <v t="i">3099</v>
    <v t="i">3100</v>
    <v t="i">3101</v>
    <v t="i">3105</v>
    <v t="i">3106</v>
    <v t="i">3107</v>
    <v t="i">3108</v>
    <v t="i">3111</v>
    <v t="i">3112</v>
    <v t="i">3113</v>
    <v t="i">3114</v>
    <v t="i">3115</v>
    <v t="i">3118</v>
    <v t="i">3119</v>
    <v t="i">3120</v>
    <v t="i">3121</v>
    <v t="i">3122</v>
    <v t="i">3125</v>
    <v t="i">3126</v>
    <v t="i">3127</v>
    <v t="i">3128</v>
    <v t="i">3129</v>
    <v t="i">3132</v>
    <v t="i">3133</v>
    <v t="i">3134</v>
    <v t="i">3135</v>
    <v t="i">3136</v>
    <v t="i">3139</v>
    <v t="i">3140</v>
    <v t="i">3141</v>
    <v t="i">3142</v>
    <v t="i">3143</v>
    <v t="i">3146</v>
    <v t="i">3147</v>
    <v t="i">3148</v>
    <v t="i">3149</v>
    <v t="i">3150</v>
    <v t="i">3153</v>
    <v t="i">3154</v>
    <v t="i">3155</v>
    <v t="i">3156</v>
    <v t="i">3157</v>
    <v t="i">3160</v>
    <v t="i">3161</v>
    <v t="i">3162</v>
    <v t="i">3163</v>
    <v t="i">3164</v>
    <v t="i">3167</v>
    <v t="i">3168</v>
    <v t="i">3169</v>
    <v t="i">3170</v>
    <v t="i">3171</v>
    <v t="i">3174</v>
    <v t="i">3175</v>
    <v t="i">3176</v>
    <v t="i">3177</v>
    <v t="i">3178</v>
    <v t="i">3181</v>
    <v t="i">3182</v>
    <v t="i">3183</v>
    <v t="i">3185</v>
    <v t="i">3188</v>
    <v t="i">3189</v>
    <v t="i">3190</v>
    <v t="i">3191</v>
    <v t="i">3192</v>
    <v t="i">3195</v>
    <v t="i">3196</v>
    <v t="i">3198</v>
    <v t="i">3199</v>
    <v t="i">3202</v>
    <v t="i">3203</v>
    <v t="i">3204</v>
    <v t="i">3205</v>
    <v t="i">3206</v>
    <v t="i">3209</v>
    <v t="i">3210</v>
    <v t="i">3211</v>
    <v t="i">3212</v>
    <v t="i">3213</v>
    <v t="i">3216</v>
    <v t="i">3218</v>
    <v t="i">3219</v>
    <v t="i">3220</v>
    <v t="i">3223</v>
    <v t="i">3225</v>
    <v t="i">3226</v>
    <v t="i">3227</v>
    <v t="i">3230</v>
    <v t="i">3231</v>
    <v t="i">3232</v>
    <v t="i">3233</v>
    <v t="i">3234</v>
    <v t="i">3237</v>
    <v t="i">3238</v>
    <v t="i">3239</v>
    <v t="i">3240</v>
    <v t="i">3241</v>
    <v t="i">3245</v>
    <v t="i">3246</v>
    <v t="i">3247</v>
    <v t="i">3248</v>
    <v t="i">3251</v>
    <v t="i">3252</v>
    <v t="i">3253</v>
    <v t="i">3254</v>
    <v t="i">3255</v>
    <v t="i">3258</v>
    <v t="i">3259</v>
    <v t="i">3260</v>
    <v t="i">3261</v>
    <v t="i">3262</v>
    <v t="i">3265</v>
    <v t="i">3266</v>
    <v t="i">3267</v>
    <v t="i">3268</v>
    <v t="i">3269</v>
    <v t="i">3273</v>
    <v t="i">3274</v>
    <v t="i">3275</v>
    <v t="i">3276</v>
    <v t="i">3279</v>
    <v t="i">3280</v>
    <v t="i">3281</v>
    <v t="i">3282</v>
    <v t="i">3283</v>
    <v t="i">3286</v>
    <v t="i">3287</v>
    <v t="i">3288</v>
    <v t="i">3289</v>
    <v t="i">3290</v>
    <v t="i">3293</v>
    <v t="i">3294</v>
    <v t="i">3295</v>
    <v t="i">3296</v>
    <v t="i">3297</v>
    <v t="i">3300</v>
    <v t="i">3301</v>
    <v t="i">3302</v>
    <v t="i">3303</v>
    <v t="i">3304</v>
    <v t="i">3307</v>
    <v t="i">3308</v>
    <v t="i">3309</v>
    <v t="i">3310</v>
    <v t="i">3311</v>
    <v t="i">3314</v>
    <v t="i">3315</v>
    <v t="i">3316</v>
    <v t="i">3317</v>
    <v t="i">3318</v>
    <v t="i">3321</v>
    <v t="i">3322</v>
    <v t="i">3323</v>
    <v t="i">3324</v>
    <v t="i">3325</v>
    <v t="i">3328</v>
    <v t="i">3329</v>
    <v t="i">3330</v>
    <v t="i">3331</v>
    <v t="i">3335</v>
    <v t="i">3336</v>
    <v t="i">3337</v>
    <v t="i">3338</v>
    <v t="i">3339</v>
    <v t="i">3342</v>
    <v t="i">3343</v>
    <v t="i">3344</v>
    <v t="i">3345</v>
    <v t="i">3346</v>
    <v t="i">3349</v>
    <v t="i">3350</v>
    <v t="i">3351</v>
    <v t="i">3352</v>
    <v t="i">3353</v>
    <v t="i">3356</v>
    <v t="i">3357</v>
    <v t="i">3358</v>
    <v t="i">3359</v>
    <v t="i">3360</v>
    <v t="i">3363</v>
    <v t="i">3364</v>
    <v t="i">3365</v>
    <v t="i">3366</v>
    <v t="i">3367</v>
    <v t="i">3371</v>
    <v t="i">3372</v>
    <v t="i">3373</v>
    <v t="i">3374</v>
    <v t="i">3377</v>
    <v t="i">3378</v>
    <v t="i">3379</v>
    <v t="i">3380</v>
    <v t="i">3381</v>
    <v t="i">3384</v>
    <v t="i">3385</v>
    <v t="i">3386</v>
    <v t="i">3387</v>
    <v t="i">3388</v>
    <v t="i">3391</v>
    <v t="i">3392</v>
    <v t="i">3393</v>
    <v t="i">3394</v>
    <v t="i">3395</v>
    <v t="i">3398</v>
    <v t="i">3399</v>
    <v t="i">3400</v>
    <v t="i">3401</v>
    <v t="i">3402</v>
    <v t="i">3405</v>
    <v t="i">3406</v>
    <v t="i">3407</v>
    <v t="i">3409</v>
    <v t="i">3412</v>
    <v t="i">3413</v>
    <v t="i">3414</v>
    <v t="i">3415</v>
    <v t="i">3416</v>
    <v t="i">3419</v>
    <v t="i">3420</v>
    <v t="i">3421</v>
    <v t="i">3422</v>
    <v t="i">3423</v>
    <v t="i">3426</v>
    <v t="i">3427</v>
    <v t="i">3428</v>
    <v t="i">3429</v>
    <v t="i">3430</v>
    <v t="i">3433</v>
    <v t="i">3434</v>
    <v t="i">3435</v>
    <v t="i">3436</v>
    <v t="i">3437</v>
    <v t="i">3440</v>
    <v t="i">3441</v>
    <v t="i">3442</v>
    <v t="i">3443</v>
    <v t="i">3444</v>
    <v t="i">3447</v>
    <v t="i">3448</v>
    <v t="i">3449</v>
    <v t="i">3450</v>
    <v t="i">3451</v>
    <v t="i">3454</v>
    <v t="i">3455</v>
    <v t="i">3456</v>
    <v t="i">3457</v>
    <v t="i">3458</v>
    <v t="i">3461</v>
    <v t="i">3462</v>
    <v t="i">3463</v>
    <v t="i">3464</v>
    <v t="i">3465</v>
    <v t="i">3469</v>
    <v t="i">3470</v>
    <v t="i">3471</v>
    <v t="i">3472</v>
    <v t="i">3475</v>
    <v t="i">3476</v>
    <v t="i">3477</v>
    <v t="i">3478</v>
    <v t="i">3479</v>
    <v t="i">3482</v>
    <v t="i">3483</v>
    <v t="i">3484</v>
    <v t="i">3485</v>
    <v t="i">3486</v>
    <v t="i">3489</v>
    <v t="i">3490</v>
    <v t="i">3491</v>
    <v t="i">3492</v>
    <v t="i">3493</v>
    <v t="i">3496</v>
    <v t="i">3497</v>
    <v t="i">3498</v>
    <v t="i">3499</v>
    <v t="i">3500</v>
    <v t="i">3503</v>
    <v t="i">3504</v>
    <v t="i">3505</v>
    <v t="i">3506</v>
    <v t="i">3507</v>
    <v t="i">3510</v>
    <v t="i">3511</v>
    <v t="i">3512</v>
    <v t="i">3513</v>
    <v t="i">3514</v>
    <v t="i">3517</v>
    <v t="i">3518</v>
    <v t="i">3519</v>
    <v t="i">3520</v>
    <v t="i">3521</v>
    <v t="i">3524</v>
    <v t="i">3525</v>
    <v t="i">3526</v>
    <v t="i">3527</v>
    <v t="i">3528</v>
    <v t="i">3531</v>
    <v t="i">3532</v>
    <v t="i">3533</v>
    <v t="i">3534</v>
    <v t="i">3535</v>
    <v t="i">3538</v>
    <v t="i">3539</v>
    <v t="i">3540</v>
    <v t="i">3541</v>
    <v t="i">3542</v>
    <v t="i">3545</v>
    <v t="i">3546</v>
    <v t="i">3547</v>
    <v t="i">3548</v>
    <v t="i">3549</v>
    <v t="i">3552</v>
    <v t="i">3553</v>
    <v t="i">3554</v>
    <v t="i">3556</v>
    <v t="i">3559</v>
    <v t="i">3560</v>
    <v t="i">3561</v>
    <v t="i">3562</v>
    <v t="i">3563</v>
    <v t="i">3566</v>
    <v t="i">3567</v>
    <v t="i">3568</v>
    <v t="i">3569</v>
    <v t="i">3570</v>
    <v t="i">3573</v>
    <v t="i">3574</v>
    <v t="i">3575</v>
    <v t="i">3576</v>
    <v t="i">3577</v>
    <v t="i">3580</v>
    <v t="i">3581</v>
    <v t="i">3583</v>
    <v t="i">3584</v>
    <v t="i">3587</v>
    <v t="i">3588</v>
    <v t="i">3590</v>
    <v t="i">3591</v>
    <v t="i">3594</v>
    <v t="i">3595</v>
    <v t="i">3596</v>
    <v t="i">3597</v>
    <v t="i">3598</v>
    <v t="i">3601</v>
    <v t="i">3602</v>
    <v t="i">3603</v>
    <v t="i">3604</v>
    <v t="i">3605</v>
    <v t="i">3609</v>
    <v t="i">3610</v>
    <v t="i">3611</v>
    <v t="i">3612</v>
    <v t="i">3615</v>
    <v t="i">3616</v>
    <v t="i">3617</v>
    <v t="i">3618</v>
    <v t="i">3619</v>
    <v t="i">3622</v>
    <v t="i">3623</v>
    <v t="i">3624</v>
    <v t="i">3625</v>
    <v t="i">3626</v>
    <v t="i">3629</v>
    <v t="i">3630</v>
    <v t="i">3631</v>
    <v t="i">3632</v>
    <v t="i">3633</v>
    <v t="i">3637</v>
    <v t="i">3638</v>
    <v t="i">3639</v>
    <v t="i">3640</v>
    <v t="i">3643</v>
    <v t="i">3644</v>
    <v t="i">3645</v>
    <v t="i">3646</v>
    <v t="i">3647</v>
    <v t="i">3650</v>
    <v t="i">3651</v>
    <v t="i">3652</v>
    <v t="i">3653</v>
    <v t="i">3654</v>
    <v t="i">3657</v>
    <v t="i">3658</v>
    <v t="i">3659</v>
    <v t="i">3660</v>
    <v t="i">3661</v>
    <v t="i">3664</v>
    <v t="i">3665</v>
    <v t="i">3666</v>
    <v t="i">3667</v>
    <v t="i">3668</v>
    <v t="i">3671</v>
    <v t="i">3672</v>
    <v t="i">3673</v>
    <v t="i">3674</v>
    <v t="i">3675</v>
    <v t="i">3678</v>
    <v t="i">3679</v>
    <v t="i">3680</v>
    <v t="i">3681</v>
    <v t="i">3682</v>
    <v t="i">3685</v>
    <v t="i">3686</v>
    <v t="i">3687</v>
    <v t="i">3688</v>
    <v t="i">3692</v>
    <v t="i">3693</v>
    <v t="i">3694</v>
    <v t="i">3695</v>
    <v t="i">3696</v>
    <v t="i">3699</v>
    <v t="i">3700</v>
    <v t="i">3701</v>
    <v t="i">3702</v>
    <v t="i">3703</v>
    <v t="i">3706</v>
    <v t="i">3707</v>
    <v t="i">3708</v>
    <v t="i">3709</v>
    <v t="i">3710</v>
    <v t="i">3713</v>
    <v t="i">3714</v>
    <v t="i">3715</v>
    <v t="i">3716</v>
    <v t="i">3717</v>
    <v t="i">3720</v>
    <v t="i">3721</v>
    <v t="i">3722</v>
    <v t="i">3723</v>
    <v t="i">3724</v>
    <v t="i">3727</v>
    <v t="i">3728</v>
    <v t="i">3729</v>
    <v t="i">3730</v>
    <v t="i">3731</v>
    <v t="i">3735</v>
    <v t="i">3736</v>
    <v t="i">3737</v>
    <v t="i">3738</v>
    <v t="i">3741</v>
    <v t="i">3742</v>
    <v t="i">3743</v>
    <v t="i">3744</v>
    <v t="i">3745</v>
    <v t="i">3748</v>
    <v t="i">3749</v>
    <v t="i">3750</v>
    <v t="i">3751</v>
    <v t="i">3752</v>
    <v t="i">3755</v>
    <v t="i">3756</v>
    <v t="i">3757</v>
    <v t="i">3758</v>
    <v t="i">3759</v>
    <v t="i">3762</v>
    <v t="i">3763</v>
    <v t="i">3764</v>
    <v t="i">3765</v>
    <v t="i">3766</v>
    <v t="i">3769</v>
    <v t="i">3770</v>
    <v t="i">3771</v>
    <v t="i">3772</v>
    <v t="i">3776</v>
    <v t="i">3777</v>
    <v t="i">3778</v>
    <v t="i">3779</v>
    <v t="i">3780</v>
    <v t="i">3783</v>
    <v t="i">3784</v>
    <v t="i">3785</v>
    <v t="i">3786</v>
    <v t="i">3787</v>
    <v t="i">3790</v>
    <v t="i">3791</v>
    <v t="i">3792</v>
    <v t="i">3793</v>
    <v t="i">3794</v>
    <v t="i">3797</v>
    <v t="i">3798</v>
    <v t="i">3799</v>
    <v t="i">3800</v>
    <v t="i">3801</v>
    <v t="i">3804</v>
    <v t="i">3805</v>
    <v t="i">3806</v>
    <v t="i">3807</v>
    <v t="i">3808</v>
    <v t="i">3811</v>
    <v t="i">3812</v>
    <v t="i">3813</v>
    <v t="i">3814</v>
    <v t="i">3815</v>
    <v t="i">3818</v>
    <v t="i">3819</v>
    <v t="i">3820</v>
    <v t="i">3821</v>
    <v t="i">3822</v>
    <v t="i">3825</v>
    <v t="i">3826</v>
    <v t="i">3827</v>
    <v t="i">3828</v>
    <v t="i">3829</v>
    <v t="i">3832</v>
    <v t="i">3833</v>
    <v t="i">3834</v>
    <v t="i">3835</v>
    <v t="i">3836</v>
    <v t="i">3840</v>
    <v t="i">3841</v>
    <v t="i">3842</v>
    <v t="i">3843</v>
    <v t="i">3846</v>
    <v t="i">3847</v>
    <v t="i">3848</v>
    <v t="i">3849</v>
    <v t="i">3850</v>
    <v t="i">3853</v>
    <v t="i">3854</v>
    <v t="i">3855</v>
    <v t="i">3856</v>
    <v t="i">3857</v>
    <v t="i">3860</v>
    <v t="i">3861</v>
    <v t="i">3862</v>
    <v t="i">3863</v>
    <v t="i">3864</v>
    <v t="i">3867</v>
    <v t="i">3868</v>
    <v t="i">3869</v>
    <v t="i">3870</v>
    <v t="i">3871</v>
    <v t="i">3874</v>
    <v t="i">3875</v>
    <v t="i">3876</v>
    <v t="i">3877</v>
    <v t="i">3878</v>
    <v t="i">3881</v>
    <v t="i">3882</v>
    <v t="i">3883</v>
    <v t="i">3884</v>
    <v t="i">3885</v>
    <v t="i">3888</v>
    <v t="i">3889</v>
    <v t="i">3890</v>
    <v t="i">3891</v>
    <v t="i">3892</v>
    <v t="i">3895</v>
    <v t="i">3896</v>
    <v t="i">3897</v>
    <v t="i">3898</v>
    <v t="i">3899</v>
    <v t="i">3902</v>
    <v t="i">3903</v>
    <v t="i">3904</v>
    <v t="i">3905</v>
    <v t="i">3906</v>
    <v t="i">3909</v>
    <v t="i">3910</v>
    <v t="i">3911</v>
    <v t="i">3912</v>
    <v t="i">3913</v>
    <v t="i">3916</v>
    <v t="i">3917</v>
    <v t="i">3918</v>
    <v t="i">3920</v>
    <v t="i">3923</v>
    <v t="i">3924</v>
    <v t="i">3925</v>
    <v t="i">3926</v>
    <v t="i">3927</v>
    <v t="i">3930</v>
    <v t="i">3931</v>
    <v t="i">3932</v>
    <v t="i">3933</v>
    <v t="i">3934</v>
    <v t="i">3937</v>
    <v t="i">3938</v>
    <v t="i">3939</v>
    <v t="i">3940</v>
    <v t="i">3941</v>
    <v t="i">3944</v>
    <v t="i">3945</v>
    <v t="i">3946</v>
    <v t="i">3947</v>
    <v t="i">3951</v>
    <v t="i">3952</v>
    <v t="i">3953</v>
    <v t="i">3954</v>
    <v t="i">3958</v>
    <v t="i">3959</v>
    <v t="i">3960</v>
    <v t="i">3961</v>
    <v t="i">3962</v>
    <v t="i">3965</v>
    <v t="i">3966</v>
    <v t="i">3967</v>
    <v t="i">3968</v>
    <v t="i">3969</v>
    <v t="i">3973</v>
    <v t="i">3974</v>
    <v t="i">3975</v>
    <v t="i">3976</v>
    <v t="i">3979</v>
    <v t="i">3980</v>
    <v t="i">3981</v>
    <v t="i">3982</v>
    <v t="i">3983</v>
    <v t="i">3986</v>
    <v t="i">3987</v>
    <v t="i">3988</v>
    <v t="i">3989</v>
    <v t="i">3990</v>
    <v t="i">3993</v>
    <v t="i">3994</v>
    <v t="i">3995</v>
    <v t="i">3996</v>
    <v t="i">3997</v>
    <v t="i">4001</v>
    <v t="i">4002</v>
    <v t="i">4003</v>
    <v t="i">4004</v>
    <v t="i">4007</v>
    <v t="i">4008</v>
    <v t="i">4009</v>
    <v t="i">4010</v>
    <v t="i">4011</v>
    <v t="i">4014</v>
    <v t="i">4015</v>
    <v t="i">4016</v>
    <v t="i">4017</v>
    <v t="i">4018</v>
    <v t="i">4021</v>
    <v t="i">4022</v>
    <v t="i">4023</v>
    <v t="i">4024</v>
    <v t="i">4025</v>
    <v t="i">4028</v>
    <v t="i">4029</v>
    <v t="i">4030</v>
    <v t="i">4031</v>
    <v t="i">4032</v>
    <v t="i">4035</v>
    <v t="i">4036</v>
    <v t="i">4037</v>
    <v t="i">4038</v>
    <v t="i">4039</v>
    <v t="i">4042</v>
    <v t="i">4043</v>
    <v t="i">4044</v>
    <v t="i">4045</v>
    <v t="i">4049</v>
    <v t="i">4050</v>
    <v t="i">4051</v>
    <v t="i">4052</v>
    <v t="i">4053</v>
    <v t="i">4056</v>
    <v t="i">4057</v>
    <v t="i">4058</v>
    <v t="i">4059</v>
    <v t="i">4060</v>
    <v t="i">4063</v>
    <v t="i">4064</v>
    <v t="i">4065</v>
    <v t="i">4066</v>
    <v t="i">4067</v>
    <v t="i">4070</v>
    <v t="i">4071</v>
    <v t="i">4072</v>
    <v t="i">4073</v>
    <v t="i">4074</v>
    <v t="i">4077</v>
    <v t="i">4078</v>
    <v t="i">4079</v>
    <v t="i">4080</v>
    <v t="i">4081</v>
    <v t="i">4084</v>
    <v t="i">4085</v>
    <v t="i">4086</v>
    <v t="i">4087</v>
    <v t="i">4088</v>
    <v t="i">4091</v>
    <v t="i">4092</v>
    <v t="i">4093</v>
    <v t="i">4094</v>
    <v t="i">4095</v>
    <v t="i">4098</v>
    <v t="i">4099</v>
    <v t="i">4100</v>
    <v t="i">4101</v>
    <v t="i">4102</v>
    <v t="i">4106</v>
    <v t="i">4107</v>
    <v t="i">4108</v>
    <v t="i">4109</v>
    <v t="i">4112</v>
    <v t="i">4113</v>
    <v t="i">4114</v>
    <v t="i">4115</v>
    <v t="i">4116</v>
    <v t="i">4119</v>
    <v t="i">4120</v>
    <v t="i">4121</v>
    <v t="i">4122</v>
    <v t="i">4123</v>
    <v t="i">4126</v>
    <v t="i">4127</v>
    <v t="i">4128</v>
    <v t="i">4129</v>
    <v t="i">4130</v>
    <v t="i">4133</v>
    <v t="i">4134</v>
    <v t="i">4135</v>
    <v t="i">4136</v>
    <v t="i">4137</v>
    <v t="i">4141</v>
    <v t="i">4142</v>
    <v t="i">4143</v>
    <v t="i">4144</v>
    <v t="i">4147</v>
    <v t="i">4148</v>
    <v t="i">4149</v>
    <v t="i">4150</v>
    <v t="i">4151</v>
    <v t="i">4154</v>
    <v t="i">4155</v>
    <v t="i">4156</v>
    <v t="i">4157</v>
    <v t="i">4158</v>
    <v t="i">4161</v>
    <v t="i">4162</v>
    <v t="i">4163</v>
    <v t="i">4164</v>
    <v t="i">4165</v>
    <v t="i">4168</v>
    <v t="i">4169</v>
    <v t="i">4170</v>
    <v t="i">4171</v>
    <v t="i">4172</v>
    <v t="i">4175</v>
    <v t="i">4176</v>
    <v t="i">4177</v>
    <v t="i">4178</v>
    <v t="i">4179</v>
    <v t="i">4182</v>
    <v t="i">4183</v>
    <v t="i">4184</v>
    <v t="i">4185</v>
    <v t="i">4186</v>
    <v t="i">4189</v>
    <v t="i">4190</v>
    <v t="i">4191</v>
    <v t="i">4192</v>
    <v t="i">4193</v>
    <v t="i">4196</v>
    <v t="i">4197</v>
    <v t="i">4198</v>
    <v t="i">4199</v>
    <v t="i">4200</v>
    <v t="i">4204</v>
    <v t="i">4205</v>
    <v t="i">4206</v>
    <v t="i">4207</v>
    <v t="i">4210</v>
    <v t="i">4211</v>
    <v t="i">4212</v>
    <v t="i">4213</v>
    <v t="i">4214</v>
    <v t="i">4217</v>
    <v t="i">4218</v>
    <v t="i">4219</v>
    <v t="i">4220</v>
    <v t="i">4221</v>
    <v t="i">4224</v>
    <v t="i">4225</v>
    <v t="i">4226</v>
    <v t="i">4227</v>
    <v t="i">4228</v>
    <v t="i">4231</v>
    <v t="i">4232</v>
    <v t="i">4233</v>
    <v t="i">4234</v>
    <v t="i">4235</v>
    <v t="i">4238</v>
    <v t="i">4239</v>
    <v t="i">4240</v>
    <v t="i">4241</v>
    <v t="i">4242</v>
    <v t="i">4245</v>
    <v t="i">4246</v>
    <v t="i">4247</v>
    <v t="i">4248</v>
    <v t="i">4249</v>
    <v t="i">4252</v>
    <v t="i">4253</v>
    <v t="i">4254</v>
    <v t="i">4255</v>
    <v t="i">4256</v>
    <v t="i">4259</v>
    <v t="i">4260</v>
    <v t="i">4261</v>
    <v t="i">4262</v>
    <v t="i">4263</v>
    <v t="i">4266</v>
    <v t="i">4267</v>
    <v t="i">4268</v>
    <v t="i">4269</v>
    <v t="i">4270</v>
    <v t="i">4273</v>
    <v t="i">4274</v>
    <v t="i">4275</v>
    <v t="i">4276</v>
    <v t="i">4277</v>
    <v t="i">4280</v>
    <v t="i">4281</v>
    <v t="i">4282</v>
    <v t="i">4284</v>
    <v t="i">4287</v>
    <v t="i">4288</v>
    <v t="i">4289</v>
    <v t="i">4290</v>
    <v t="i">4291</v>
    <v t="i">4294</v>
    <v t="i">4295</v>
    <v t="i">4296</v>
    <v t="i">4297</v>
    <v t="i">4298</v>
    <v t="i">4301</v>
    <v t="i">4302</v>
    <v t="i">4303</v>
    <v t="i">4304</v>
    <v t="i">4305</v>
    <v t="i">4308</v>
    <v t="i">4309</v>
    <v t="i">4310</v>
    <v t="i">4311</v>
    <v t="i">4315</v>
    <v t="i">4316</v>
    <v t="i">4317</v>
    <v t="i">4318</v>
    <v t="i">4319</v>
    <v t="i">4322</v>
    <v t="i">4323</v>
    <v t="i">4324</v>
    <v t="i">4325</v>
    <v t="i">4326</v>
    <v t="i">4329</v>
    <v t="i">4330</v>
    <v t="i">4331</v>
    <v t="i">4332</v>
    <v t="i">4333</v>
    <v t="i">4337</v>
    <v t="i">4338</v>
    <v t="i">4339</v>
    <v t="i">4340</v>
    <v t="i">4343</v>
    <v t="i">4344</v>
    <v t="i">4345</v>
    <v t="i">4346</v>
    <v t="i">4347</v>
    <v t="i">4350</v>
    <v t="i">4351</v>
    <v t="i">4352</v>
    <v t="i">4353</v>
    <v t="i">4354</v>
    <v t="i">4357</v>
    <v t="i">4358</v>
    <v t="i">4359</v>
    <v t="i">4360</v>
    <v t="i">4361</v>
    <v t="i">4364</v>
    <v t="i">4365</v>
    <v t="i">4366</v>
    <v t="i">4367</v>
    <v t="i">4368</v>
    <v t="i">4372</v>
    <v t="i">4373</v>
    <v t="i">4374</v>
    <v t="i">4375</v>
    <v t="i">4378</v>
    <v t="i">4379</v>
    <v t="i">4380</v>
    <v t="i">4381</v>
    <v t="i">4382</v>
    <v t="i">4385</v>
    <v t="i">4386</v>
    <v t="i">4387</v>
    <v t="i">4388</v>
    <v t="i">4389</v>
    <v t="i">4392</v>
    <v t="i">4393</v>
    <v t="i">4394</v>
    <v t="i">4395</v>
    <v t="i">4396</v>
    <v t="i">4399</v>
    <v t="i">4400</v>
    <v t="i">4401</v>
    <v t="i">4402</v>
    <v t="i">4403</v>
    <v t="i">4406</v>
    <v t="i">4407</v>
    <v t="i">4408</v>
    <v t="i">4409</v>
    <v t="i">4410</v>
    <v t="i">4413</v>
    <v t="i">4414</v>
    <v t="i">4415</v>
    <v t="i">4416</v>
    <v t="i">4417</v>
    <v t="i">4420</v>
    <v t="i">4421</v>
    <v t="i">4422</v>
    <v t="i">4423</v>
    <v t="i">4427</v>
    <v t="i">4428</v>
    <v t="i">4429</v>
    <v t="i">4430</v>
    <v t="i">4431</v>
    <v t="i">4434</v>
    <v t="i">4435</v>
    <v t="i">4436</v>
    <v t="i">4437</v>
    <v t="i">4438</v>
    <v t="i">4441</v>
    <v t="i">4442</v>
    <v t="i">4443</v>
    <v t="i">4444</v>
    <v t="i">4445</v>
    <v t="i">4448</v>
    <v t="i">4449</v>
    <v t="i">4450</v>
    <v t="i">4451</v>
    <v t="i">4452</v>
    <v t="i">4455</v>
    <v t="i">4456</v>
    <v t="i">4457</v>
    <v t="i">4458</v>
    <v t="i">4459</v>
    <v t="i">4462</v>
    <v t="i">4463</v>
    <v t="i">4464</v>
    <v t="i">4465</v>
    <v t="i">4466</v>
    <v t="i">4470</v>
    <v t="i">4471</v>
    <v t="i">4472</v>
    <v t="i">4473</v>
    <v t="i">4476</v>
    <v t="i">4477</v>
    <v t="i">4478</v>
    <v t="i">4479</v>
    <v t="i">4480</v>
    <v t="i">4483</v>
    <v t="i">4484</v>
    <v t="i">4485</v>
    <v t="i">4486</v>
    <v t="i">4487</v>
    <v t="i">4491</v>
    <v t="i">4492</v>
    <v t="i">4493</v>
    <v t="i">4494</v>
    <v t="i">4497</v>
    <v t="i">4498</v>
    <v t="i">4499</v>
    <v t="i">4500</v>
    <v t="i">4501</v>
    <v t="i">4505</v>
    <v t="i">4506</v>
    <v t="i">4507</v>
    <v t="i">4508</v>
    <v t="i">4511</v>
    <v t="i">4512</v>
    <v t="i">4513</v>
    <v t="i">4514</v>
    <v t="i">4515</v>
    <v t="i">4518</v>
    <v t="i">4519</v>
    <v t="i">4520</v>
    <v t="i">4521</v>
    <v t="i">4522</v>
    <v t="i">4525</v>
    <v t="i">4526</v>
    <v t="i">4527</v>
    <v t="i">4528</v>
    <v t="i">4529</v>
    <v t="i">4532</v>
    <v t="i">4533</v>
    <v t="i">4534</v>
    <v t="i">4535</v>
    <v t="i">4536</v>
    <v t="i">4539</v>
    <v t="i">4540</v>
    <v t="i">4541</v>
    <v t="i">4542</v>
    <v t="i">4543</v>
    <v t="i">4546</v>
    <v t="i">4547</v>
    <v t="i">4548</v>
    <v t="i">4549</v>
    <v t="i">4550</v>
    <v t="i">4553</v>
    <v t="i">4554</v>
    <v t="i">4555</v>
    <v t="i">4556</v>
    <v t="i">4557</v>
    <v t="i">4560</v>
    <v t="i">4561</v>
    <v t="i">4562</v>
    <v t="i">4563</v>
    <v t="i">4564</v>
    <v t="i">4568</v>
    <v t="i">4569</v>
    <v t="i">4570</v>
    <v t="i">4571</v>
    <v t="i">4574</v>
    <v t="i">4575</v>
    <v t="i">4576</v>
    <v t="i">4577</v>
    <v t="i">4578</v>
    <v t="i">4581</v>
    <v t="i">4582</v>
    <v t="i">4583</v>
    <v t="i">4584</v>
    <v t="i">4585</v>
    <v t="i">4588</v>
    <v t="i">4589</v>
    <v t="i">4590</v>
    <v t="i">4591</v>
    <v t="i">4592</v>
    <v t="i">4595</v>
    <v t="i">4596</v>
    <v t="i">4597</v>
    <v t="i">4598</v>
    <v t="i">4599</v>
    <v t="i">4602</v>
    <v t="i">4603</v>
    <v t="i">4604</v>
    <v t="i">4605</v>
    <v t="i">4606</v>
    <v t="i">4609</v>
    <v t="i">4610</v>
    <v t="i">4611</v>
    <v t="i">4612</v>
    <v t="i">4613</v>
    <v t="i">4616</v>
    <v t="i">4617</v>
    <v t="i">4618</v>
    <v t="i">4619</v>
    <v t="i">4620</v>
    <v t="i">4623</v>
    <v t="i">4624</v>
    <v t="i">4625</v>
    <v t="i">4626</v>
    <v t="i">4627</v>
    <v t="i">4630</v>
    <v t="i">4631</v>
    <v t="i">4632</v>
    <v t="i">4633</v>
    <v t="i">4634</v>
    <v t="i">4637</v>
    <v t="i">4638</v>
    <v t="i">4639</v>
    <v t="i">4640</v>
    <v t="i">4641</v>
    <v t="i">4644</v>
    <v t="i">4645</v>
    <v t="i">4646</v>
    <v t="i">4648</v>
    <v t="i">4651</v>
    <v t="i">4652</v>
    <v t="i">4653</v>
    <v t="i">4654</v>
    <v t="i">4655</v>
    <v t="i">4658</v>
    <v t="i">4659</v>
    <v t="i">4660</v>
    <v t="i">4661</v>
    <v t="i">4662</v>
    <v t="i">4665</v>
    <v t="i">4666</v>
    <v t="i">4667</v>
    <v t="i">4668</v>
    <v t="i">4669</v>
    <v t="i">4672</v>
    <v t="i">4673</v>
    <v t="i">4674</v>
    <v t="i">4675</v>
    <v t="i">4676</v>
    <v t="i">4680</v>
    <v t="i">4681</v>
    <v t="i">4682</v>
    <v t="i">4683</v>
    <v t="i">4687</v>
    <v t="i">4688</v>
    <v t="i">4689</v>
    <v t="i">4690</v>
    <v t="i">4693</v>
    <v t="i">4694</v>
    <v t="i">4695</v>
    <v t="i">4696</v>
    <v t="i">4697</v>
    <v t="i">4701</v>
    <v t="i">4702</v>
    <v t="i">4703</v>
    <v t="i">4704</v>
    <v t="i">4707</v>
    <v t="i">4708</v>
    <v t="i">4709</v>
    <v t="i">4710</v>
    <v t="i">4711</v>
    <v t="i">4714</v>
    <v t="i">4715</v>
    <v t="i">4716</v>
    <v t="i">4717</v>
    <v t="i">4718</v>
    <v t="i">4721</v>
    <v t="i">4722</v>
    <v t="i">4723</v>
    <v t="i">4724</v>
    <v t="i">4725</v>
    <v t="i">4728</v>
    <v t="i">4729</v>
    <v t="i">4730</v>
    <v t="i">4731</v>
    <v t="i">4732</v>
    <v t="i">4736</v>
    <v t="i">4737</v>
    <v t="i">4738</v>
    <v t="i">4739</v>
    <v t="i">4742</v>
    <v t="i">4743</v>
    <v t="i">4744</v>
    <v t="i">4745</v>
    <v t="i">4746</v>
    <v t="i">4749</v>
    <v t="i">4750</v>
    <v t="i">4751</v>
    <v t="i">4752</v>
    <v t="i">4753</v>
    <v t="i">4756</v>
    <v t="i">4757</v>
    <v t="i">4758</v>
    <v t="i">4759</v>
    <v t="i">4760</v>
    <v t="i">4763</v>
    <v t="i">4764</v>
    <v t="i">4765</v>
    <v t="i">4766</v>
    <v t="i">4767</v>
    <v t="i">4770</v>
    <v t="i">4771</v>
    <v t="i">4772</v>
    <v t="i">4773</v>
    <v t="i">4774</v>
    <v t="i">4777</v>
    <v t="i">4778</v>
    <v t="i">4779</v>
    <v t="i">4780</v>
    <v t="i">4784</v>
    <v t="i">4785</v>
    <v t="i">4786</v>
    <v t="i">4787</v>
    <v t="i">4788</v>
    <v t="i">4791</v>
    <v t="i">4792</v>
    <v t="i">4793</v>
    <v t="i">4794</v>
    <v t="i">4795</v>
    <v t="i">4798</v>
    <v t="i">4799</v>
    <v t="i">4800</v>
    <v t="i">4801</v>
    <v t="i">4802</v>
    <v t="i">4805</v>
    <v t="i">4806</v>
    <v t="i">4807</v>
    <v t="i">4808</v>
    <v t="i">4809</v>
    <v t="i">4812</v>
    <v t="i">4813</v>
    <v t="i">4814</v>
    <v t="i">4815</v>
    <v t="i">4816</v>
    <v t="i">4819</v>
    <v t="i">4820</v>
    <v t="i">4821</v>
    <v t="i">4822</v>
    <v t="i">4823</v>
    <v t="i">4826</v>
    <v t="i">4827</v>
    <v t="i">4828</v>
    <v t="i">4829</v>
    <v t="i">4830</v>
    <v t="i">4834</v>
    <v t="i">4835</v>
    <v t="i">4836</v>
    <v t="i">4837</v>
    <v t="i">4840</v>
    <v t="i">4841</v>
    <v t="i">4842</v>
    <v t="i">4843</v>
    <v t="i">4844</v>
    <v t="i">4847</v>
    <v t="i">4848</v>
    <v t="i">4849</v>
    <v t="i">4850</v>
    <v t="i">4851</v>
    <v t="i">4855</v>
    <v t="i">4856</v>
    <v t="i">4857</v>
    <v t="i">4858</v>
    <v t="i">4861</v>
    <v t="i">4862</v>
    <v t="i">4863</v>
    <v t="i">4864</v>
    <v t="i">4865</v>
    <v t="i">4868</v>
    <v t="i">4870</v>
    <v t="i">4871</v>
    <v t="i">4872</v>
    <v t="i">4875</v>
    <v t="i">4876</v>
    <v t="i">4877</v>
    <v t="i">4878</v>
    <v t="i">4879</v>
    <v t="i">4882</v>
    <v t="i">4883</v>
    <v t="i">4884</v>
    <v t="i">4885</v>
    <v t="i">4886</v>
    <v t="i">4889</v>
    <v t="i">4890</v>
    <v t="i">4891</v>
    <v t="i">4892</v>
    <v t="i">4893</v>
    <v t="i">4896</v>
    <v t="i">4897</v>
    <v t="i">4898</v>
    <v t="i">4899</v>
    <v t="i">4900</v>
    <v t="i">4903</v>
    <v t="i">4904</v>
    <v t="i">4905</v>
    <v t="i">4906</v>
    <v t="i">4907</v>
    <v t="i">4910</v>
    <v t="i">4911</v>
    <v t="i">4912</v>
    <v t="i">4913</v>
    <v t="i">4914</v>
    <v t="i">4917</v>
    <v t="i">4918</v>
    <v t="i">4919</v>
    <v t="i">4920</v>
    <v t="i">4921</v>
    <v t="i">4924</v>
    <v t="i">4925</v>
    <v t="i">4926</v>
    <v t="i">4927</v>
    <v t="i">4928</v>
    <v t="i">4932</v>
    <v t="i">4933</v>
    <v t="i">4934</v>
    <v t="i">4935</v>
    <v t="i">4938</v>
    <v t="i">4939</v>
    <v t="i">4940</v>
    <v t="i">4941</v>
    <v t="i">4942</v>
    <v t="i">4945</v>
    <v t="i">4946</v>
    <v t="i">4947</v>
    <v t="i">4948</v>
    <v t="i">4949</v>
    <v t="i">4952</v>
    <v t="i">4953</v>
    <v t="i">4954</v>
    <v t="i">4955</v>
    <v t="i">4956</v>
    <v t="i">4959</v>
    <v t="i">4960</v>
    <v t="i">4961</v>
    <v t="i">4962</v>
    <v t="i">4963</v>
    <v t="i">4966</v>
    <v t="i">4967</v>
    <v t="i">4968</v>
    <v t="i">4969</v>
    <v t="i">4970</v>
    <v t="i">4973</v>
    <v t="i">4974</v>
    <v t="i">4975</v>
    <v t="i">4976</v>
    <v t="i">4977</v>
    <v t="i">4980</v>
    <v t="i">4981</v>
    <v t="i">4982</v>
    <v t="i">4983</v>
    <v t="i">4984</v>
    <v t="i">4987</v>
    <v t="i">4988</v>
    <v t="i">4989</v>
    <v t="i">4990</v>
    <v t="i">4991</v>
    <v t="i">4994</v>
    <v t="i">4995</v>
    <v t="i">4996</v>
    <v t="i">4997</v>
    <v t="i">4998</v>
    <v t="i">5001</v>
    <v t="i">5002</v>
    <v t="i">5003</v>
    <v t="i">5004</v>
    <v t="i">5005</v>
    <v t="i">5008</v>
    <v t="i">5009</v>
    <v t="i">5010</v>
    <v t="i">5012</v>
    <v t="i">5015</v>
    <v t="i">5016</v>
    <v t="i">5017</v>
    <v t="i">5018</v>
    <v t="i">5019</v>
    <v t="i">5022</v>
    <v t="i">5023</v>
    <v t="i">5024</v>
    <v t="i">5025</v>
    <v t="i">5026</v>
    <v t="i">5029</v>
    <v t="i">5030</v>
    <v t="i">5031</v>
    <v t="i">5032</v>
    <v t="i">5033</v>
    <v t="i">5036</v>
    <v t="i">5037</v>
    <v t="i">5038</v>
    <v t="i">5039</v>
    <v t="i">5040</v>
    <v t="i">5044</v>
    <v t="i">5045</v>
    <v t="i">5046</v>
    <v t="i">5047</v>
    <v t="i">5051</v>
    <v t="i">5052</v>
    <v t="i">5053</v>
    <v t="i">5054</v>
    <v t="i">5057</v>
    <v t="i">5058</v>
    <v t="i">5059</v>
    <v t="i">5060</v>
    <v t="i">5061</v>
    <v t="i">5065</v>
    <v t="i">5066</v>
    <v t="i">5067</v>
    <v t="i">5068</v>
    <v t="i">5071</v>
    <v t="i">5072</v>
    <v t="i">5073</v>
    <v t="i">5074</v>
    <v t="i">5075</v>
    <v t="i">5078</v>
    <v t="i">5079</v>
    <v t="i">5080</v>
    <v t="i">5081</v>
    <v t="i">5082</v>
    <v t="i">5085</v>
    <v t="i">5086</v>
    <v t="i">5087</v>
    <v t="i">5088</v>
    <v t="i">5089</v>
    <v t="i">5092</v>
    <v t="i">5093</v>
    <v t="i">5094</v>
    <v t="i">5095</v>
    <v t="i">5096</v>
    <v t="i">5100</v>
    <v t="i">5101</v>
    <v t="i">5102</v>
    <v t="i">5103</v>
    <v t="i">5106</v>
    <v t="i">5107</v>
    <v t="i">5108</v>
    <v t="i">5109</v>
    <v t="i">5110</v>
    <v t="i">5113</v>
    <v t="i">5114</v>
    <v t="i">5115</v>
    <v t="i">5116</v>
    <v t="i">5117</v>
    <v t="i">5120</v>
    <v t="i">5121</v>
    <v t="i">5122</v>
    <v t="i">5123</v>
    <v t="i">5124</v>
    <v t="i">5127</v>
    <v t="i">5128</v>
    <v t="i">5129</v>
    <v t="i">5130</v>
    <v t="i">5131</v>
    <v t="i">5134</v>
    <v t="i">5135</v>
    <v t="i">5136</v>
    <v t="i">5137</v>
    <v t="i">5141</v>
    <v t="i">5142</v>
    <v t="i">5143</v>
    <v t="i">5144</v>
    <v t="i">5145</v>
    <v t="i">5148</v>
    <v t="i">5149</v>
    <v t="i">5150</v>
    <v t="i">5151</v>
    <v t="i">5152</v>
    <v t="i">5155</v>
    <v t="i">5156</v>
    <v t="i">5157</v>
    <v t="i">5158</v>
    <v t="i">5159</v>
    <v t="i">5162</v>
    <v t="i">5163</v>
    <v t="i">5164</v>
    <v t="i">5165</v>
    <v t="i">5166</v>
    <v t="i">5169</v>
    <v t="i">5170</v>
    <v t="i">5171</v>
    <v t="i">5172</v>
    <v t="i">5173</v>
    <v t="i">5176</v>
    <v t="i">5177</v>
    <v t="i">5178</v>
    <v t="i">5179</v>
    <v t="i">5180</v>
    <v t="i">5183</v>
    <v t="i">5184</v>
    <v t="i">5185</v>
    <v t="i">5186</v>
    <v t="i">5187</v>
    <v t="i">5190</v>
    <v t="i">5191</v>
    <v t="i">5192</v>
    <v t="i">5193</v>
    <v t="i">5194</v>
    <v t="i">5198</v>
    <v t="i">5199</v>
    <v t="i">5200</v>
    <v t="i">5201</v>
    <v t="i">5204</v>
    <v t="i">5205</v>
    <v t="i">5206</v>
    <v t="i">5207</v>
    <v t="i">5208</v>
    <v t="i">5211</v>
    <v t="i">5212</v>
    <v t="i">5213</v>
    <v t="i">5214</v>
    <v t="i">5215</v>
    <v t="i">5218</v>
    <v t="i">5219</v>
    <v t="i">5221</v>
    <v t="i">5222</v>
    <v t="i">5225</v>
    <v t="i">5226</v>
    <v t="i">5227</v>
    <v t="i">5228</v>
    <v t="i">5229</v>
    <v t="i">5232</v>
    <v t="i">5233</v>
    <v t="i">5234</v>
    <v t="i">5236</v>
    <v t="i">5239</v>
    <v t="i">5240</v>
    <v t="i">5241</v>
    <v t="i">5242</v>
    <v t="i">5243</v>
    <v t="i">5246</v>
    <v t="i">5247</v>
    <v t="i">5248</v>
    <v t="i">5249</v>
    <v t="i">5250</v>
    <v t="i">5253</v>
    <v t="i">5254</v>
    <v t="i">5255</v>
    <v t="i">5256</v>
    <v t="i">5257</v>
    <v t="i">5260</v>
    <v t="i">5261</v>
    <v t="i">5262</v>
    <v t="i">5263</v>
    <v t="i">5264</v>
    <v t="i">5267</v>
    <v t="i">5268</v>
    <v t="i">5269</v>
    <v t="i">5270</v>
    <v t="i">5271</v>
    <v t="i">5274</v>
    <v t="i">5275</v>
    <v t="i">5276</v>
    <v t="i">5277</v>
    <v t="i">5278</v>
    <v t="i">5281</v>
    <v t="i">5282</v>
    <v t="i">5283</v>
    <v t="i">5284</v>
    <v t="i">5285</v>
    <v t="i">5288</v>
    <v t="i">5289</v>
    <v t="i">5290</v>
    <v t="i">5291</v>
    <v t="i">5292</v>
    <v t="i">5296</v>
    <v t="i">5297</v>
    <v t="i">5298</v>
    <v t="i">5299</v>
    <v t="i">5302</v>
    <v t="i">5303</v>
    <v t="i">5304</v>
    <v t="i">5305</v>
    <v t="i">5306</v>
    <v t="i">5309</v>
    <v t="i">5310</v>
    <v t="i">5311</v>
    <v t="i">5312</v>
    <v t="i">5313</v>
    <v t="i">5316</v>
    <v t="i">5317</v>
    <v t="i">5318</v>
    <v t="i">5319</v>
    <v t="i">5320</v>
    <v t="i">5323</v>
    <v t="i">5324</v>
    <v t="i">5325</v>
    <v t="i">5326</v>
    <v t="i">5327</v>
    <v t="i">5330</v>
    <v t="i">5331</v>
    <v t="i">5332</v>
    <v t="i">5333</v>
    <v t="i">5334</v>
    <v t="i">5337</v>
    <v t="i">5338</v>
    <v t="i">5339</v>
    <v t="i">5340</v>
    <v t="i">5341</v>
    <v t="i">5344</v>
    <v t="i">5345</v>
    <v t="i">5346</v>
    <v t="i">5347</v>
    <v t="i">5348</v>
    <v t="i">5351</v>
    <v t="i">5352</v>
    <v t="i">5353</v>
    <v t="i">5354</v>
    <v t="i">5355</v>
    <v t="i">5358</v>
    <v t="i">5359</v>
    <v t="i">5360</v>
    <v t="i">5361</v>
    <v t="i">5362</v>
    <v t="i">5365</v>
    <v t="i">5366</v>
    <v t="i">5367</v>
    <v t="i">5368</v>
    <v t="i">5369</v>
    <v t="i">5372</v>
    <v t="i">5373</v>
    <v t="i">5374</v>
    <v t="i">5375</v>
    <v t="i">5376</v>
    <v t="i">5379</v>
    <v t="i">5380</v>
    <v t="i">5381</v>
    <v t="i">5383</v>
    <v t="i">5386</v>
    <v t="i">5387</v>
    <v t="i">5388</v>
    <v t="i">5389</v>
    <v t="i">5390</v>
    <v t="i">5393</v>
    <v t="i">5394</v>
    <v t="i">5395</v>
    <v t="i">5396</v>
    <v t="i">5397</v>
    <v t="i">5400</v>
    <v t="i">5401</v>
    <v t="i">5402</v>
    <v t="i">5403</v>
    <v t="i">5404</v>
    <v t="i">5407</v>
    <v t="i">5408</v>
    <v t="i">5410</v>
    <v t="i">5411</v>
    <v t="i">5414</v>
    <v t="i">5415</v>
    <v t="i">5417</v>
    <v t="i">5418</v>
    <v t="i">5421</v>
    <v t="i">5422</v>
    <v t="i">5423</v>
    <v t="i">5425</v>
    <v t="i">5428</v>
    <v t="i">5429</v>
    <v t="i">5430</v>
    <v t="i">5431</v>
    <v t="i">5432</v>
    <v t="i">5436</v>
    <v t="i">5437</v>
    <v t="i">5438</v>
    <v t="i">5439</v>
    <v t="i">5442</v>
    <v t="i">5443</v>
    <v t="i">5444</v>
    <v t="i">5445</v>
    <v t="i">5446</v>
    <v t="i">5449</v>
    <v t="i">5450</v>
    <v t="i">5451</v>
    <v t="i">5452</v>
    <v t="i">5453</v>
    <v t="i">5456</v>
    <v t="i">5457</v>
    <v t="i">5458</v>
    <v t="i">5459</v>
    <v t="i">5460</v>
    <v t="i">5464</v>
    <v t="i">5465</v>
    <v t="i">5466</v>
    <v t="i">5467</v>
    <v t="i">5470</v>
    <v t="i">5471</v>
    <v t="i">5472</v>
    <v t="i">5473</v>
    <v t="i">5474</v>
    <v t="i">5477</v>
    <v t="i">5478</v>
  </a>
  <a r="1" c="3773">
    <v>6.4455</v>
    <v>6.5054999999999996</v>
    <v>6.4409999999999998</v>
    <v>6.5255000000000001</v>
    <v>6.6790000000000003</v>
    <v>6.5910000000000002</v>
    <v>6.5564999999999998</v>
    <v>6.5895000000000001</v>
    <v>6.5670000000000002</v>
    <v>6.6379999999999999</v>
    <v>6.5175000000000001</v>
    <v>6.5235000000000003</v>
    <v>6.4630000000000001</v>
    <v>6.4020000000000001</v>
    <v>6.7365000000000004</v>
    <v>6.7530000000000001</v>
    <v>6.7560000000000002</v>
    <v>6.8289999999999997</v>
    <v>6.7885</v>
    <v>6.5904999999999996</v>
    <v>6.5744999999999996</v>
    <v>6.7779999999999996</v>
    <v>6.7435</v>
    <v>7.048</v>
    <v>7.0030000000000001</v>
    <v>7.06</v>
    <v>7.008</v>
    <v>7.2140000000000004</v>
    <v>7.2910000000000004</v>
    <v>7.1086</v>
    <v>7.1215000000000002</v>
    <v>7.21</v>
    <v>7.3215000000000003</v>
    <v>7.5045000000000002</v>
    <v>7.1814999999999998</v>
    <v>7.3555000000000001</v>
    <v>7.101</v>
    <v>6.9675000000000002</v>
    <v>7.0865</v>
    <v>6.8550000000000004</v>
    <v>6.8745000000000003</v>
    <v>6.4915000000000003</v>
    <v>6.5465</v>
    <v>6.4355000000000002</v>
    <v>6.2489999999999997</v>
    <v>6.5644999999999998</v>
    <v>6.5229999999999997</v>
    <v>6.6935000000000002</v>
    <v>6.5735000000000001</v>
    <v>6.4265999999999996</v>
    <v>6.4455</v>
    <v>6.3140000000000001</v>
    <v>6.2294999999999998</v>
    <v>5.9855</v>
    <v>6.1360000000000001</v>
    <v>6.1059999999999999</v>
    <v>6.2430000000000003</v>
    <v>6.1604999999999999</v>
    <v>6.335</v>
    <v>6.2729999999999997</v>
    <v>6.1619999999999999</v>
    <v>6.3155000000000001</v>
    <v>6.4379999999999997</v>
    <v>6.1384999999999996</v>
    <v>6.1005000000000003</v>
    <v>5.9417999999999997</v>
    <v>5.8955000000000002</v>
    <v>6.1604999999999999</v>
    <v>6.1515000000000004</v>
    <v>6.1914999999999996</v>
    <v>6.3419999999999996</v>
    <v>6.3449999999999998</v>
    <v>6.2945000000000002</v>
    <v>6.2915000000000001</v>
    <v>6.1275000000000004</v>
    <v>6.1154000000000002</v>
    <v>6.0724999999999998</v>
    <v>5.9165000000000001</v>
    <v>6.05</v>
    <v>5.89</v>
    <v>5.4305000000000003</v>
    <v>5.4630000000000001</v>
    <v>5.548</v>
    <v>5.4569999999999999</v>
    <v>5.5030000000000001</v>
    <v>5.6715</v>
    <v>5.8109999999999999</v>
    <v>5.8630000000000004</v>
    <v>5.9755000000000003</v>
    <v>6.1825000000000001</v>
    <v>6.165</v>
    <v>6.1029999999999998</v>
    <v>5.9245000000000001</v>
    <v>5.9969999999999999</v>
    <v>6.0049999999999999</v>
    <v>5.8715000000000002</v>
    <v>6.0034999999999998</v>
    <v>5.9435000000000002</v>
    <v>5.92</v>
    <v>5.8564999999999996</v>
    <v>5.8564999999999996</v>
    <v>5.843</v>
    <v>5.8944999999999999</v>
    <v>6.0034999999999998</v>
    <v>6.1210000000000004</v>
    <v>6.3789999999999996</v>
    <v>6.3914999999999997</v>
    <v>6.4160000000000004</v>
    <v>6.4414999999999996</v>
    <v>6.5</v>
    <v>6.2945000000000002</v>
    <v>6.3280000000000003</v>
    <v>6.2344999999999997</v>
    <v>6.3034999999999997</v>
    <v>6.4429999999999996</v>
    <v>6.4824999999999999</v>
    <v>6.3784999999999998</v>
    <v>6.3879999999999999</v>
    <v>6.33</v>
    <v>6.2264999999999997</v>
    <v>6.3425000000000002</v>
    <v>6.2430000000000003</v>
    <v>6.3319999999999999</v>
    <v>6.1894999999999998</v>
    <v>6.2415000000000003</v>
    <v>6.6245000000000003</v>
    <v>6.7605000000000004</v>
    <v>6.9394999999999998</v>
    <v>6.8609999999999998</v>
    <v>6.9569999999999999</v>
    <v>7.0190000000000001</v>
    <v>7.1219999999999999</v>
    <v>7.2534999999999998</v>
    <v>7.2874999999999996</v>
    <v>7.2725</v>
    <v>7.4065000000000003</v>
    <v>7.4162999999999997</v>
    <v>7.5651999999999999</v>
    <v>7.5365000000000002</v>
    <v>7.5914999999999999</v>
    <v>7.6425000000000001</v>
    <v>8.0365000000000002</v>
    <v>7.9684999999999997</v>
    <v>7.9850000000000003</v>
    <v>7.9494999999999996</v>
    <v>7.8529999999999998</v>
    <v>7.6855000000000002</v>
    <v>7.7694999999999999</v>
    <v>8.0434999999999999</v>
    <v>7.77</v>
    <v>7.8135000000000003</v>
    <v>7.7774999999999999</v>
    <v>7.6515000000000004</v>
    <v>7.8239999999999998</v>
    <v>7.7584999999999997</v>
    <v>7.7765000000000004</v>
    <v>8.2319999999999993</v>
    <v>8.1780000000000008</v>
    <v>7.9335000000000004</v>
    <v>7.9335000000000004</v>
    <v>8.2484999999999999</v>
    <v>8.4565000000000001</v>
    <v>8.4499999999999993</v>
    <v>8.4975000000000005</v>
    <v>8.3755000000000006</v>
    <v>8.3420000000000005</v>
    <v>8.2614999999999998</v>
    <v>8.1289999999999996</v>
    <v>8.2304999999999993</v>
    <v>8.4235000000000007</v>
    <v>8.4465000000000003</v>
    <v>8.5385000000000009</v>
    <v>8.5995000000000008</v>
    <v>8.5135000000000005</v>
    <v>8.6664999999999992</v>
    <v>8.5184999999999995</v>
    <v>8.2840000000000007</v>
    <v>7.9450000000000003</v>
    <v>7.8890000000000002</v>
    <v>7.9175000000000004</v>
    <v>8.2085000000000008</v>
    <v>8.2409999999999997</v>
    <v>8.5195000000000007</v>
    <v>8.41</v>
    <v>8.8625000000000007</v>
    <v>8.875</v>
    <v>8.9745000000000008</v>
    <v>8.77</v>
    <v>8.8275000000000006</v>
    <v>8.8264999999999993</v>
    <v>8.7840000000000007</v>
    <v>8.9024999999999999</v>
    <v>8.8384999999999998</v>
    <v>8.8145000000000007</v>
    <v>8.7424999999999997</v>
    <v>8.7810000000000006</v>
    <v>8.7125000000000004</v>
    <v>8.6969999999999992</v>
    <v>8.7784999999999993</v>
    <v>8.9019999999999992</v>
    <v>8.8789999999999996</v>
    <v>9.1645000000000003</v>
    <v>9.2375000000000007</v>
    <v>9.2379999999999995</v>
    <v>9.1295000000000002</v>
    <v>9.1069999999999993</v>
    <v>9.0545000000000009</v>
    <v>9.1684999999999999</v>
    <v>9.1374999999999993</v>
    <v>9</v>
    <v>9.2110000000000003</v>
    <v>9.2505000000000006</v>
    <v>9.3710000000000004</v>
    <v>9.2929999999999993</v>
    <v>9.2744999999999997</v>
    <v>9.234</v>
    <v>9.2170000000000005</v>
    <v>9.2040000000000006</v>
    <v>9.2765000000000004</v>
    <v>9.4375</v>
    <v>9.5625</v>
    <v>9.3435000000000006</v>
    <v>9.0980000000000008</v>
    <v>8.8710000000000004</v>
    <v>8.8424999999999994</v>
    <v>8.8350000000000009</v>
    <v>8.7695000000000007</v>
    <v>9.2225000000000001</v>
    <v>8.5570000000000004</v>
    <v>8.4819999999999993</v>
    <v>8.6054999999999993</v>
    <v>8.6765000000000008</v>
    <v>8.6854999999999993</v>
    <v>8.7965</v>
    <v>8.8215000000000003</v>
    <v>9.1530000000000005</v>
    <v>9.2650000000000006</v>
    <v>9.3104999999999993</v>
    <v>9.4625000000000004</v>
    <v>9.5210000000000008</v>
    <v>9.4514999999999993</v>
    <v>9.3309999999999995</v>
    <v>9.3879999999999999</v>
    <v>9.3249999999999993</v>
    <v>9.0210000000000008</v>
    <v>8.8339999999999996</v>
    <v>8.8874999999999993</v>
    <v>8.8620000000000001</v>
    <v>8.6645000000000003</v>
    <v>8.4719999999999995</v>
    <v>8.6010000000000009</v>
    <v>8.6395</v>
    <v>8.5835000000000008</v>
    <v>8.4540000000000006</v>
    <v>8.3445</v>
    <v>8.4525000000000006</v>
    <v>8.3070000000000004</v>
    <v>8.4034999999999993</v>
    <v>8.3364999999999991</v>
    <v>8.2539999999999996</v>
    <v>8.2349999999999994</v>
    <v>8.0485000000000007</v>
    <v>8.0909999999999993</v>
    <v>8.2263000000000002</v>
    <v>8.1300000000000008</v>
    <v>8.266</v>
    <v>8.5549999999999997</v>
    <v>8.5489999999999995</v>
    <v>8.4674999999999994</v>
    <v>8.7309999999999999</v>
    <v>8.9710000000000001</v>
    <v>9.0065000000000008</v>
    <v>9.0065000000000008</v>
    <v>9.1470000000000002</v>
    <v>9.2645</v>
    <v>9.1379999999999999</v>
    <v>9.2454999999999998</v>
    <v>9.2355</v>
    <v>9.202</v>
    <v>9.0239999999999991</v>
    <v>9.1144999999999996</v>
    <v>9.0909999999999993</v>
    <v>9.0005000000000006</v>
    <v>8.9169999999999998</v>
    <v>8.9410000000000007</v>
    <v>9.1935000000000002</v>
    <v>9.2944999999999993</v>
    <v>9.2710000000000008</v>
    <v>9.1150000000000002</v>
    <v>9.8315000000000001</v>
    <v>9.7535000000000007</v>
    <v>9.7904999999999998</v>
    <v>10.0595</v>
    <v>9.9224999999999994</v>
    <v>9.9984999999999999</v>
    <v>9.8554999999999993</v>
    <v>9.8800000000000008</v>
    <v>10.039999999999999</v>
    <v>10.196999999999999</v>
    <v>10.218999999999999</v>
    <v>10.3035</v>
    <v>10.128</v>
    <v>9.6255000000000006</v>
    <v>9.7405000000000008</v>
    <v>9.8544999999999998</v>
    <v>9.9403000000000006</v>
    <v>9.9324999999999992</v>
    <v>9.8109999999999999</v>
    <v>9.6635000000000009</v>
    <v>9.6129999999999995</v>
    <v>9.75</v>
    <v>9.7065000000000001</v>
    <v>9.8345000000000002</v>
    <v>9.6197999999999997</v>
    <v>9.6824999999999992</v>
    <v>9.4160000000000004</v>
    <v>9.2844999999999995</v>
    <v>9.3774999999999995</v>
    <v>9.4024999999999999</v>
    <v>9.484</v>
    <v>9.3264999999999993</v>
    <v>9.3145000000000007</v>
    <v>9.4979999999999993</v>
    <v>9.2989999999999995</v>
    <v>9.1824999999999992</v>
    <v>9.3185000000000002</v>
    <v>9.3859999999999992</v>
    <v>9.7114999999999991</v>
    <v>9.5815000000000001</v>
    <v>9.7080000000000002</v>
    <v>9.6274999999999995</v>
    <v>10.0625</v>
    <v>10.1175</v>
    <v>10.209</v>
    <v>10.224500000000001</v>
    <v>10.474500000000001</v>
    <v>10.6595</v>
    <v>10.7095</v>
    <v>10.837</v>
    <v>10.914</v>
    <v>10.6275</v>
    <v>10.561500000000001</v>
    <v>10.675000000000001</v>
    <v>10.519</v>
    <v>10.6435</v>
    <v>10.576499999999999</v>
    <v>10.903</v>
    <v>10.7775</v>
    <v>10.660500000000001</v>
    <v>10.826000000000001</v>
    <v>10.6745</v>
    <v>10.709</v>
    <v>11.1259</v>
    <v>11.195</v>
    <v>11.125999999999999</v>
    <v>11.066000000000001</v>
    <v>10.585000000000001</v>
    <v>10.497999999999999</v>
    <v>10.074</v>
    <v>10.135</v>
    <v>9.6850000000000005</v>
    <v>10.2545</v>
    <v>9.7065000000000001</v>
    <v>9.9179999999999993</v>
    <v>10.115</v>
    <v>10.147500000000001</v>
    <v>9.8840000000000003</v>
    <v>9.7965</v>
    <v>9.1259999999999994</v>
    <v>8.9465000000000003</v>
    <v>8.8770000000000007</v>
    <v>9.6775000000000002</v>
    <v>9.6865000000000006</v>
    <v>9.6014999999999997</v>
    <v>9.9634999999999998</v>
    <v>10.326499999999999</v>
    <v>10.545999999999999</v>
    <v>10.7615</v>
    <v>10.627000000000001</v>
    <v>10.5</v>
    <v>10.808999999999999</v>
    <v>10.994999999999999</v>
    <v>10.863</v>
    <v>10.5695</v>
    <v>10.827999999999999</v>
    <v>10.9765</v>
    <v>11.128500000000001</v>
    <v>11.339</v>
    <v>11.965</v>
    <v>12.0845</v>
    <v>11.6625</v>
    <v>11.593500000000001</v>
    <v>11.1615</v>
    <v>11.1805</v>
    <v>11.4925</v>
    <v>11.2105</v>
    <v>11.4855</v>
    <v>11.122</v>
    <v>10.811500000000001</v>
    <v>10.599</v>
    <v>10.625</v>
    <v>10.9749</v>
    <v>11.0755</v>
    <v>11.237</v>
    <v>11.566000000000001</v>
    <v>11.773999999999999</v>
    <v>11.8405</v>
    <v>11.807499999999999</v>
    <v>12.3355</v>
    <v>12.1165</v>
    <v>12.194000000000001</v>
    <v>11.576499999999999</v>
    <v>11.6805</v>
    <v>11.739000000000001</v>
    <v>11.8805</v>
    <v>11.3575</v>
    <v>9.92</v>
    <v>10.339</v>
    <v>10.866</v>
    <v>10.6755</v>
    <v>10.6053</v>
    <v>10.781000000000001</v>
    <v>10.9145</v>
    <v>10.824</v>
    <v>10.85</v>
    <v>10.8995</v>
    <v>10.561</v>
    <v>10.5395</v>
    <v>10.8695</v>
    <v>10.9465</v>
    <v>10.891500000000001</v>
    <v>10.599500000000001</v>
    <v>10.226000000000001</v>
    <v>9.8569999999999993</v>
    <v>9.4625000000000004</v>
    <v>9.6170000000000009</v>
    <v>9.4495000000000005</v>
    <v>9.1199999999999992</v>
    <v>9.7074999999999996</v>
    <v>9.4194999999999993</v>
    <v>9.6144999999999996</v>
    <v>9.8565000000000005</v>
    <v>9.8015000000000008</v>
    <v>9.8119999999999994</v>
    <v>9.5995000000000008</v>
    <v>9.766</v>
    <v>9.5239999999999991</v>
    <v>9.6515000000000004</v>
    <v>9.4760000000000009</v>
    <v>9.0254999999999992</v>
    <v>9.0105000000000004</v>
    <v>9.0630000000000006</v>
    <v>9.0630000000000006</v>
    <v>8.9664999999999999</v>
    <v>9.1259999999999994</v>
    <v>8.7174999999999994</v>
    <v>8.9514999999999993</v>
    <v>8.8640000000000008</v>
    <v>8.8134999999999994</v>
    <v>8.6944999999999997</v>
    <v>8.6929999999999996</v>
    <v>8.6549999999999994</v>
    <v>8.9514999999999993</v>
    <v>8.8755000000000006</v>
    <v>8.8804999999999996</v>
    <v>9.1304999999999996</v>
    <v>8.9280000000000008</v>
    <v>8.9670000000000005</v>
    <v>8.9450000000000003</v>
    <v>8.7965</v>
    <v>8.9209999999999994</v>
    <v>9.0830000000000002</v>
    <v>9.4719999999999995</v>
    <v>9.7225000000000001</v>
    <v>9.5465</v>
    <v>9.3045000000000009</v>
    <v>9.35</v>
    <v>9.39</v>
    <v>9.6658000000000008</v>
    <v>9.7684999999999995</v>
    <v>9.6074999999999999</v>
    <v>9.7219999999999995</v>
    <v>8.9730000000000008</v>
    <v>9.0860000000000003</v>
    <v>9.3840000000000003</v>
    <v>9.157</v>
    <v>9.2095000000000002</v>
    <v>9.2739999999999991</v>
    <v>9.2490000000000006</v>
    <v>9.2769999999999992</v>
    <v>9.5794999999999995</v>
    <v>9.5649999999999995</v>
    <v>9.2234999999999996</v>
    <v>8.9964999999999993</v>
    <v>9.125</v>
    <v>9.1129999999999995</v>
    <v>9.0289999999999999</v>
    <v>8.9444999999999997</v>
    <v>8.9565000000000001</v>
    <v>8.9265000000000008</v>
    <v>9.19</v>
    <v>8.9845000000000006</v>
    <v>9.0020000000000007</v>
    <v>8.9649999999999999</v>
    <v>9.0129999999999999</v>
    <v>9.0545000000000009</v>
    <v>9.1884999999999994</v>
    <v>9.3819999999999997</v>
    <v>9.2159999999999993</v>
    <v>9.1694999999999993</v>
    <v>9.2294999999999998</v>
    <v>9.1129999999999995</v>
    <v>9.2215000000000007</v>
    <v>9.2524999999999995</v>
    <v>9.2759999999999998</v>
    <v>9.6165000000000003</v>
    <v>9.5864999999999991</v>
    <v>9.6199999999999992</v>
    <v>9.7520000000000007</v>
    <v>10.1435</v>
    <v>10.272</v>
    <v>10.058</v>
    <v>10.230499999999999</v>
    <v>10.125500000000001</v>
    <v>9.9024999999999999</v>
    <v>9.9830000000000005</v>
    <v>9.6995000000000005</v>
    <v>9.7195</v>
    <v>9.5935000000000006</v>
    <v>9.3490000000000002</v>
    <v>9.3985000000000003</v>
    <v>9.5344999999999995</v>
    <v>9.423</v>
    <v>9.2750000000000004</v>
    <v>9.4194999999999993</v>
    <v>9.5534999999999997</v>
    <v>9.5549999999999997</v>
    <v>9.4990000000000006</v>
    <v>9.4120000000000008</v>
    <v>9.5165000000000006</v>
    <v>9.7210000000000001</v>
    <v>9.7995000000000001</v>
    <v>11.342499999999999</v>
    <v>11.595000000000001</v>
    <v>11.502000000000001</v>
    <v>11.512499999999999</v>
    <v>11.4725</v>
    <v>11.1995</v>
    <v>11.257999999999999</v>
    <v>11.195</v>
    <v>11.148999999999999</v>
    <v>11.3345</v>
    <v>11.384</v>
    <v>11.1465</v>
    <v>11.2195</v>
    <v>11.202999999999999</v>
    <v>10.917999999999999</v>
    <v>10.692500000000001</v>
    <v>10.9055</v>
    <v>10.766500000000001</v>
    <v>10.864000000000001</v>
    <v>10.762</v>
    <v>10.644500000000001</v>
    <v>10.737500000000001</v>
    <v>10.461499999999999</v>
    <v>10.6455</v>
    <v>10.411</v>
    <v>10.7285</v>
    <v>10.660500000000001</v>
    <v>10.882</v>
    <v>10.94</v>
    <v>10.923999999999999</v>
    <v>10.824999999999999</v>
    <v>10.821</v>
    <v>10.736499999999999</v>
    <v>10.7225</v>
    <v>10.9175</v>
    <v>11.132999999999999</v>
    <v>11.201499999999999</v>
    <v>11.151</v>
    <v>11.0288</v>
    <v>11.108000000000001</v>
    <v>11.003500000000001</v>
    <v>11.2805</v>
    <v>11.281000000000001</v>
    <v>11.0655</v>
    <v>11.4175</v>
    <v>11.465999999999999</v>
    <v>11.4765</v>
    <v>11.353</v>
    <v>11.2525</v>
    <v>11.2525</v>
    <v>10.975</v>
    <v>10.9185</v>
    <v>10.768000000000001</v>
    <v>10.919499999999999</v>
    <v>10.8005</v>
    <v>10.846500000000001</v>
    <v>10.8735</v>
    <v>11.3085</v>
    <v>11.4145</v>
    <v>11.3005</v>
    <v>11.151999999999999</v>
    <v>10.852499999999999</v>
    <v>11.000500000000001</v>
    <v>11.866</v>
    <v>11.804500000000001</v>
    <v>11.664999999999999</v>
    <v>11.6045</v>
    <v>11.5405</v>
    <v>11.7485</v>
    <v>11.6995</v>
    <v>11.827999999999999</v>
    <v>11.718999999999999</v>
    <v>11.702999999999999</v>
    <v>11.637499999999999</v>
    <v>11.622</v>
    <v>11.6595</v>
    <v>11.871</v>
    <v>12.077500000000001</v>
    <v>12.0585</v>
    <v>12.0175</v>
    <v>11.9725</v>
    <v>12.154999999999999</v>
    <v>12.059900000000001</v>
    <v>12.287000000000001</v>
    <v>12.196</v>
    <v>12.3055</v>
    <v>12.356</v>
    <v>12.311</v>
    <v>12.413500000000001</v>
    <v>12.394</v>
    <v>12.311</v>
    <v>12.569000000000001</v>
    <v>12.957000000000001</v>
    <v>12.8545</v>
    <v>12.7835</v>
    <v>12.781499999999999</v>
    <v>13.012</v>
    <v>13.063499999999999</v>
    <v>12.9</v>
    <v>12.9375</v>
    <v>13.084</v>
    <v>13.0405</v>
    <v>12.8735</v>
    <v>12.7403</v>
    <v>12.622999999999999</v>
    <v>12.483499999999999</v>
    <v>12.829499999999999</v>
    <v>12.715999999999999</v>
    <v>12.6005</v>
    <v>12.53</v>
    <v>12.795999999999999</v>
    <v>13.0235</v>
    <v>12.9255</v>
    <v>12.952999999999999</v>
    <v>12.548</v>
    <v>12.249499999999999</v>
    <v>12.211</v>
    <v>12.118</v>
    <v>12.209</v>
    <v>12.196999999999999</v>
    <v>12.374499999999999</v>
    <v>12.2425</v>
    <v>12</v>
    <v>11.689</v>
    <v>11.7155</v>
    <v>11.4245</v>
    <v>11.146000000000001</v>
    <v>11.912000000000001</v>
    <v>11.6447</v>
    <v>11.606999999999999</v>
    <v>11.6211</v>
    <v>11.7165</v>
    <v>11.878</v>
    <v>11.603</v>
    <v>11.3675</v>
    <v>11.3155</v>
    <v>11.323499999999999</v>
    <v>11.33</v>
    <v>11.147500000000001</v>
    <v>11.03</v>
    <v>11.2615</v>
    <v>11.4855</v>
    <v>11.689</v>
    <v>11.9015</v>
    <v>11.994</v>
    <v>12.180999999999999</v>
    <v>12.1701</v>
    <v>12.355499999999999</v>
    <v>12.563499999999999</v>
    <v>12.602499999999999</v>
    <v>12.516500000000001</v>
    <v>12.6244</v>
    <v>12.698</v>
    <v>12.6685</v>
    <v>12.663399999999999</v>
    <v>12.388500000000001</v>
    <v>12.5345</v>
    <v>12.587999999999999</v>
    <v>12.5625</v>
    <v>12.4595</v>
    <v>12.693</v>
    <v>13.02</v>
    <v>12.8995</v>
    <v>13.074999999999999</v>
    <v>12.846</v>
    <v>12.930999999999999</v>
    <v>12.4316</v>
    <v>12.4155</v>
    <v>12.259</v>
    <v>12.5435</v>
    <v>12.865500000000001</v>
    <v>12.923999999999999</v>
    <v>12.9575</v>
    <v>13.423</v>
    <v>13.319000000000001</v>
    <v>13.317500000000001</v>
    <v>13.266999999999999</v>
    <v>13.397</v>
    <v>13.6365</v>
    <v>13.595000000000001</v>
    <v>13.4465</v>
    <v>13.523999999999999</v>
    <v>13.606</v>
    <v>13.509499999999999</v>
    <v>13.4055</v>
    <v>13.680999999999999</v>
    <v>14.1995</v>
    <v>13.802</v>
    <v>13.0175</v>
    <v>13.638199999999999</v>
    <v>13.275</v>
    <v>13.25</v>
    <v>12.999000000000001</v>
    <v>13.3445</v>
    <v>13.111000000000001</v>
    <v>13.0115</v>
    <v>13.0975</v>
    <v>12.8605</v>
    <v>12.935</v>
    <v>13.4735</v>
    <v>13.462</v>
    <v>13.2545</v>
    <v>13.487500000000001</v>
    <v>13.320499999999999</v>
    <v>13.297000000000001</v>
    <v>13.271000000000001</v>
    <v>12.993499999999999</v>
    <v>12.968</v>
    <v>13.1625</v>
    <v>13.2135</v>
    <v>13.287000000000001</v>
    <v>13.6555</v>
    <v>13.779500000000001</v>
    <v>13.689500000000001</v>
    <v>13.694000000000001</v>
    <v>13.7095</v>
    <v>13.561999999999999</v>
    <v>13.7065</v>
    <v>13.755000000000001</v>
    <v>13.287000000000001</v>
    <v>13.090999999999999</v>
    <v>12.894500000000001</v>
    <v>12.820499999999999</v>
    <v>12.863899999999999</v>
    <v>12.669499999999999</v>
    <v>12.887499999999999</v>
    <v>12.801</v>
    <v>13.015499999999999</v>
    <v>13.265000000000001</v>
    <v>13.3245</v>
    <v>13.080500000000001</v>
    <v>13.1661</v>
    <v>12.951499999999999</v>
    <v>12.954000000000001</v>
    <v>12.773999999999999</v>
    <v>12.9475</v>
    <v>13.057</v>
    <v>13.2385</v>
    <v>13.4925</v>
    <v>13.6435</v>
    <v>13.385999999999999</v>
    <v>13.617000000000001</v>
    <v>13.37</v>
    <v>12.971</v>
    <v>13.016</v>
    <v>13.1775</v>
    <v>13.445</v>
    <v>13.439</v>
    <v>13.734999999999999</v>
    <v>12.740500000000001</v>
    <v>12.487</v>
    <v>12.6905</v>
    <v>12.4115</v>
    <v>12.6275</v>
    <v>12.9025</v>
    <v>12.786</v>
    <v>12.8865</v>
    <v>12.933999999999999</v>
    <v>13.007999999999999</v>
    <v>13.1815</v>
    <v>13.2255</v>
    <v>13.416499999999999</v>
    <v>13.327999999999999</v>
    <v>13.206</v>
    <v>13.494999999999999</v>
    <v>13.381500000000001</v>
    <v>13.443</v>
    <v>13.148</v>
    <v>13.09</v>
    <v>13.087</v>
    <v>13.3645</v>
    <v>13.2765</v>
    <v>13.3415</v>
    <v>13.46</v>
    <v>13.343999999999999</v>
    <v>13.285</v>
    <v>13.358499999999999</v>
    <v>13.391500000000001</v>
    <v>13.843500000000001</v>
    <v>14.0535</v>
    <v>13.739000000000001</v>
    <v>13.583500000000001</v>
    <v>13.7895</v>
    <v>13.6995</v>
    <v>13.903</v>
    <v>14.087999999999999</v>
    <v>13.907999999999999</v>
    <v>13.672000000000001</v>
    <v>13.667999999999999</v>
    <v>13.5305</v>
    <v>13.6044</v>
    <v>13.878500000000001</v>
    <v>13.8775</v>
    <v>13.884499999999999</v>
    <v>14.105</v>
    <v>14.186500000000001</v>
    <v>14.201499999999999</v>
    <v>14.294</v>
    <v>14.529500000000001</v>
    <v>14.576499999999999</v>
    <v>14.6165</v>
    <v>14.983000000000001</v>
    <v>15.3775</v>
    <v>15.3285</v>
    <v>15.343500000000001</v>
    <v>15.4345</v>
    <v>15.205500000000001</v>
    <v>15.2615</v>
    <v>15.173999999999999</v>
    <v>15.053000000000001</v>
    <v>14.946999999999999</v>
    <v>15.17</v>
    <v>15.6005</v>
    <v>15.305</v>
    <v>15.1205</v>
    <v>15.061</v>
    <v>15.278499999999999</v>
    <v>15.2105</v>
    <v>15.0495</v>
    <v>15.0375</v>
    <v>14.845499999999999</v>
    <v>14.787000000000001</v>
    <v>14.863</v>
    <v>14.8345</v>
    <v>14.698499999999999</v>
    <v>14.567</v>
    <v>14.323499999999999</v>
    <v>14.241</v>
    <v>14.278499999999999</v>
    <v>14.3545</v>
    <v>14.2285</v>
    <v>14.486499999999999</v>
    <v>14.500500000000001</v>
    <v>14.310499999999999</v>
    <v>14.0465</v>
    <v>14.079000000000001</v>
    <v>14.199</v>
    <v>14.048999999999999</v>
    <v>14.44</v>
    <v>14.682</v>
    <v>14.705</v>
    <v>14.792999999999999</v>
    <v>14.9855</v>
    <v>15.018000000000001</v>
    <v>14.981999999999999</v>
    <v>14.943</v>
    <v>14.896000000000001</v>
    <v>14.803000000000001</v>
    <v>15.208500000000001</v>
    <v>15.601699999999999</v>
    <v>15.603</v>
    <v>15.817</v>
    <v>15.5745</v>
    <v>15.7065</v>
    <v>15.6325</v>
    <v>15.906000000000001</v>
    <v>15.8005</v>
    <v>15.632</v>
    <v>16.047499999999999</v>
    <v>16.025500000000001</v>
    <v>15.738</v>
    <v>15.952</v>
    <v>15.5015</v>
    <v>15.1615</v>
    <v>14.9115</v>
    <v>15.258699999999999</v>
    <v>15.544499999999999</v>
    <v>15.535</v>
    <v>15.32</v>
    <v>15.5245</v>
    <v>15.538500000000001</v>
    <v>16.4465</v>
    <v>16.321999999999999</v>
    <v>16.626999999999999</v>
    <v>16.337800000000001</v>
    <v>16.610499999999998</v>
    <v>18.169499999999999</v>
    <v>17.908000000000001</v>
    <v>18.135000000000002</v>
    <v>18.053999999999998</v>
    <v>18.201499999999999</v>
    <v>17.950099999999999</v>
    <v>17.937000000000001</v>
    <v>17.944600000000001</v>
    <v>17.809000000000001</v>
    <v>17.178000000000001</v>
    <v>17.515499999999999</v>
    <v>17.718900000000001</v>
    <v>17.476500000000001</v>
    <v>17.811</v>
    <v>18.369800000000001</v>
    <v>18.458500000000001</v>
    <v>18.309000000000001</v>
    <v>18.247</v>
    <v>18.128499999999999</v>
    <v>18.446000000000002</v>
    <v>18.615500000000001</v>
    <v>18.832000000000001</v>
    <v>19.0685</v>
    <v>19.3355</v>
    <v>19.681000000000001</v>
    <v>19.614999999999998</v>
    <v>19.233000000000001</v>
    <v>19.297999999999998</v>
    <v>19.224499999999999</v>
    <v>19.3475</v>
    <v>19.244499999999999</v>
    <v>19.388999999999999</v>
    <v>19.109500000000001</v>
    <v>19.0625</v>
    <v>19.212</v>
    <v>19.448499999999999</v>
    <v>19.3825</v>
    <v>19.797999999999998</v>
    <v>19.759499999999999</v>
    <v>20.11</v>
    <v>20.146000000000001</v>
    <v>19.96</v>
    <v>20.2195</v>
    <v>19.904</v>
    <v>19.668500000000002</v>
    <v>19.939499999999999</v>
    <v>19.898499999999999</v>
    <v>19.821999999999999</v>
    <v>19.6815</v>
    <v>19.901499999999999</v>
    <v>20.096</v>
    <v>20.0505</v>
    <v>19.882999999999999</v>
    <v>19.548999999999999</v>
    <v>19.876999999999999</v>
    <v>19.793500000000002</v>
    <v>19.79</v>
    <v>19.980499999999999</v>
    <v>20.352499999999999</v>
    <v>20.227</v>
    <v>19.993500000000001</v>
    <v>19.38</v>
    <v>19.314</v>
    <v>19.721499999999999</v>
    <v>19.21</v>
    <v>20.150500000000001</v>
    <v>17.9345</v>
    <v>17.307500000000001</v>
    <v>17.397500000000001</v>
    <v>17.322500000000002</v>
    <v>17.729500000000002</v>
    <v>18.053999999999998</v>
    <v>18.043500000000002</v>
    <v>18.089500000000001</v>
    <v>17.462499999999999</v>
    <v>17.86</v>
    <v>17.8675</v>
    <v>17.682500000000001</v>
    <v>17.369</v>
    <v>17.489999999999998</v>
    <v>17.338000000000001</v>
    <v>17.588999999999999</v>
    <v>17.916</v>
    <v>17.989999999999998</v>
    <v>18.006499999999999</v>
    <v>18.105</v>
    <v>17.989000000000001</v>
    <v>18.195</v>
    <v>18.618500000000001</v>
    <v>18.608000000000001</v>
    <v>18.603000000000002</v>
    <v>18.526499999999999</v>
    <v>18.440999999999999</v>
    <v>18.532</v>
    <v>18.575500000000002</v>
    <v>18.687000000000001</v>
    <v>18.751999999999999</v>
    <v>18.938500000000001</v>
    <v>18.6615</v>
    <v>18.448499999999999</v>
    <v>18.030999999999999</v>
    <v>17.592500000000001</v>
    <v>17.735499999999998</v>
    <v>17.170500000000001</v>
    <v>16.923500000000001</v>
    <v>16.9145</v>
    <v>16.818300000000001</v>
    <v>17.1495</v>
    <v>17.097999999999999</v>
    <v>16.681000000000001</v>
    <v>16.149999999999999</v>
    <v>15.888</v>
    <v>16.3535</v>
    <v>16.590299999999999</v>
    <v>15.855499999999999</v>
    <v>15.586499999999999</v>
    <v>15.795500000000001</v>
    <v>15.804</v>
    <v>16.184000000000001</v>
    <v>16.2455</v>
    <v>16.543500000000002</v>
    <v>16.466000000000001</v>
    <v>16.228999999999999</v>
    <v>16.857500000000002</v>
    <v>15.1915</v>
    <v>14.829000000000001</v>
    <v>15.019</v>
    <v>15.2065</v>
    <v>15.394500000000001</v>
    <v>15.400499999999999</v>
    <v>15.5025</v>
    <v>14.869</v>
    <v>14.6355</v>
    <v>14.416</v>
    <v>14.612</v>
    <v>15.143000000000001</v>
    <v>15.231999999999999</v>
    <v>14.881</v>
    <v>14.759499999999999</v>
    <v>14.885</v>
    <v>14.8378</v>
    <v>15.0595</v>
    <v>15.250500000000001</v>
    <v>15.2455</v>
    <v>15.612</v>
    <v>15.541</v>
    <v>15.507999999999999</v>
    <v>15.689</v>
    <v>15.6275</v>
    <v>15.442</v>
    <v>15.359500000000001</v>
    <v>15.339</v>
    <v>16.1785</v>
    <v>16.483499999999999</v>
    <v>16.375</v>
    <v>16.6205</v>
    <v>16.760000000000002</v>
    <v>16.295500000000001</v>
    <v>16.313500000000001</v>
    <v>16.381</v>
    <v>16.280999999999999</v>
    <v>16.719000000000001</v>
    <v>16.350000000000001</v>
    <v>16.21</v>
    <v>16.361999999999998</v>
    <v>16.207999999999998</v>
    <v>16.372</v>
    <v>16.284500000000001</v>
    <v>16.2285</v>
    <v>16.239000000000001</v>
    <v>16.619499999999999</v>
    <v>16.642499999999998</v>
    <v>16.874600000000001</v>
    <v>16.677499999999998</v>
    <v>16.1905</v>
    <v>16.4985</v>
    <v>16.396000000000001</v>
    <v>17.309999999999999</v>
    <v>17.765999999999998</v>
    <v>17.722000000000001</v>
    <v>17.795000000000002</v>
    <v>17.622699999999998</v>
    <v>17.933</v>
    <v>17.988</v>
    <v>18.042000000000002</v>
    <v>17.907</v>
    <v>17.930499999999999</v>
    <v>16.200500000000002</v>
    <v>16.020499999999998</v>
    <v>16</v>
    <v>16.125499999999999</v>
    <v>15.6495</v>
    <v>15.353</v>
    <v>15.682499999999999</v>
    <v>15.616</v>
    <v>15.6945</v>
    <v>15.5725</v>
    <v>15.84</v>
    <v>15.916499999999999</v>
    <v>15.965999999999999</v>
    <v>16.314</v>
    <v>16.660499999999999</v>
    <v>16.6815</v>
    <v>16.726500000000001</v>
    <v>16.756499999999999</v>
    <v>16.789000000000001</v>
    <v>16.645499999999998</v>
    <v>16.579499999999999</v>
    <v>16.701000000000001</v>
    <v>17.0915</v>
    <v>17.158999999999999</v>
    <v>17.001000000000001</v>
    <v>16.952000000000002</v>
    <v>17.119</v>
    <v>16.95</v>
    <v>17.297499999999999</v>
    <v>17.318999999999999</v>
    <v>17.117000000000001</v>
    <v>16.487500000000001</v>
    <v>16.566500000000001</v>
    <v>16.526</v>
    <v>16.5595</v>
    <v>16.194500000000001</v>
    <v>16.388000000000002</v>
    <v>16.2</v>
    <v>16.25</v>
    <v>16.565999999999999</v>
    <v>16.225000000000001</v>
    <v>16.1815</v>
    <v>16.410499999999999</v>
    <v>16.096499999999999</v>
    <v>16.160499999999999</v>
    <v>16.091000000000001</v>
    <v>16.122</v>
    <v>15.872999999999999</v>
    <v>15.920500000000001</v>
    <v>16.137</v>
    <v>16.11</v>
    <v>15.849</v>
    <v>16.135000000000002</v>
    <v>15.7685</v>
    <v>15.5695</v>
    <v>15.3225</v>
    <v>15.4155</v>
    <v>15.298500000000001</v>
    <v>15.143000000000001</v>
    <v>15.182</v>
    <v>15.310499999999999</v>
    <v>15.766500000000001</v>
    <v>15.6485</v>
    <v>15.659000000000001</v>
    <v>14.353</v>
    <v>14.4985</v>
    <v>14.779500000000001</v>
    <v>14.706</v>
    <v>14.9535</v>
    <v>15.273</v>
    <v>15.286</v>
    <v>15.140499999999999</v>
    <v>14.826000000000001</v>
    <v>14.832000000000001</v>
    <v>14.993</v>
    <v>15.2555</v>
    <v>15.6005</v>
    <v>15.5755</v>
    <v>15.824</v>
    <v>16.390999999999998</v>
    <v>16.1525</v>
    <v>16.246500000000001</v>
    <v>16.327000000000002</v>
    <v>16.527000000000001</v>
    <v>16.631499999999999</v>
    <v>16.782</v>
    <v>16.751999999999999</v>
    <v>16.6785</v>
    <v>16.931999999999999</v>
    <v>16.3</v>
    <v>16.3155</v>
    <v>15.824999999999999</v>
    <v>15.846500000000001</v>
    <v>15.631500000000001</v>
    <v>15.332000000000001</v>
    <v>15.625</v>
    <v>15.292</v>
    <v>15.368</v>
    <v>15.366</v>
    <v>15.3035</v>
    <v>14.753</v>
    <v>14.944000000000001</v>
    <v>14.8865</v>
    <v>14.994999999999999</v>
    <v>15.327</v>
    <v>15.314299999999999</v>
    <v>15.1515</v>
    <v>15.454499999999999</v>
    <v>15.602</v>
    <v>15.515000000000001</v>
    <v>15.5175</v>
    <v>15.426</v>
    <v>15.109500000000001</v>
    <v>14.7645</v>
    <v>14.920999999999999</v>
    <v>15.023</v>
    <v>14.846500000000001</v>
    <v>14.570499999999999</v>
    <v>14.737</v>
    <v>14.663500000000001</v>
    <v>14.3475</v>
    <v>14.537000000000001</v>
    <v>14.472</v>
    <v>14.862500000000001</v>
    <v>15.516</v>
    <v>15.6195</v>
    <v>15.483000000000001</v>
    <v>15.3375</v>
    <v>15.195499999999999</v>
    <v>15.589</v>
    <v>17.726500000000001</v>
    <v>18.223500000000001</v>
    <v>18.177499999999998</v>
    <v>18.237500000000001</v>
    <v>18.694500000000001</v>
    <v>18.713999999999999</v>
    <v>18.527999999999999</v>
    <v>18.649799999999999</v>
    <v>18.757000000000001</v>
    <v>18.858499999999999</v>
    <v>19.0915</v>
    <v>18.7715</v>
    <v>18.668500000000002</v>
    <v>18.9498</v>
    <v>19.183</v>
    <v>19.007000000000001</v>
    <v>18.929500000000001</v>
    <v>19.2685</v>
    <v>19.239999999999998</v>
    <v>19.007999999999999</v>
    <v>19.282800000000002</v>
    <v>19.230499999999999</v>
    <v>19.135999999999999</v>
    <v>19.391500000000001</v>
    <v>19.0045</v>
    <v>18.928000000000001</v>
    <v>18.4755</v>
    <v>18.3185</v>
    <v>18.712</v>
    <v>18.529</v>
    <v>18.6675</v>
    <v>18.596</v>
    <v>18.756799999999998</v>
    <v>18.661999999999999</v>
    <v>18.924499999999998</v>
    <v>18.755500000000001</v>
    <v>18.704499999999999</v>
    <v>18.547999999999998</v>
    <v>18.3675</v>
    <v>18.527999999999999</v>
    <v>18.729500000000002</v>
    <v>18.605</v>
    <v>18.512799999999999</v>
    <v>18.612500000000001</v>
    <v>18.852</v>
    <v>18.720500000000001</v>
    <v>19.059999999999999</v>
    <v>19.177</v>
    <v>19.1325</v>
    <v>19.117999999999999</v>
    <v>19.255500000000001</v>
    <v>19.172499999999999</v>
    <v>19.302</v>
    <v>18.777999999999999</v>
    <v>19.4755</v>
    <v>19.559000000000001</v>
    <v>19.489999999999998</v>
    <v>19.499500000000001</v>
    <v>22.254999999999999</v>
    <v>21.928000000000001</v>
    <v>21.465499999999999</v>
    <v>21.468499999999999</v>
    <v>21.088999999999999</v>
    <v>21.1435</v>
    <v>21.152000000000001</v>
    <v>21.0595</v>
    <v>20.954999999999998</v>
    <v>21.344000000000001</v>
    <v>21.6845</v>
    <v>21.642499999999998</v>
    <v>21.550999999999998</v>
    <v>21.343499999999999</v>
    <v>21.614000000000001</v>
    <v>21.3</v>
    <v>21.262</v>
    <v>21.0855</v>
    <v>21.193000000000001</v>
    <v>21.581499999999998</v>
    <v>21.381499999999999</v>
    <v>21.273499999999999</v>
    <v>21.571000000000002</v>
    <v>21.328499999999998</v>
    <v>21.461500000000001</v>
    <v>21.545999999999999</v>
    <v>21.549499999999998</v>
    <v>21.829499999999999</v>
    <v>21.539000000000001</v>
    <v>21.3475</v>
    <v>21.175000000000001</v>
    <v>21.274000000000001</v>
    <v>21.538499999999999</v>
    <v>21.648499999999999</v>
    <v>21.495999999999999</v>
    <v>21.183499999999999</v>
    <v>21.363</v>
    <v>21.390499999999999</v>
    <v>21.9695</v>
    <v>21.745999999999999</v>
    <v>21.814499999999999</v>
    <v>22.299499999999998</v>
    <v>22.042000000000002</v>
    <v>22.004999999999999</v>
    <v>21.905000000000001</v>
    <v>21.492999999999999</v>
    <v>21.704499999999999</v>
    <v>21.869499999999999</v>
    <v>21.8855</v>
    <v>21.802</v>
    <v>21.835999999999999</v>
    <v>21.484999999999999</v>
    <v>21.7195</v>
    <v>22.1755</v>
    <v>22.778500000000001</v>
    <v>23.278500000000001</v>
    <v>23.0595</v>
    <v>23.774000000000001</v>
    <v>24.150500000000001</v>
    <v>24.405000000000001</v>
    <v>24.4</v>
    <v>24.413499999999999</v>
    <v>24.109000000000002</v>
    <v>26.471</v>
    <v>26.570499999999999</v>
    <v>26.301500000000001</v>
    <v>26.45</v>
    <v>26.838000000000001</v>
    <v>26.807500000000001</v>
    <v>26.7515</v>
    <v>26.594999999999999</v>
    <v>26.8505</v>
    <v>26.472999999999999</v>
    <v>26.131</v>
    <v>26.2</v>
    <v>26.373000000000001</v>
    <v>26.295500000000001</v>
    <v>26.483000000000001</v>
    <v>26.576000000000001</v>
    <v>26.760999999999999</v>
    <v>26.751000000000001</v>
    <v>26.646000000000001</v>
    <v>25.789000000000001</v>
    <v>24.723500000000001</v>
    <v>23.168500000000002</v>
    <v>23.3185</v>
    <v>25.038499999999999</v>
    <v>25.918500000000002</v>
    <v>25.900500000000001</v>
    <v>25.644500000000001</v>
    <v>24.827000000000002</v>
    <v>25.5275</v>
    <v>25.236000000000001</v>
    <v>24.95</v>
    <v>25.876999999999999</v>
    <v>25.8445</v>
    <v>26.111999999999998</v>
    <v>26.472000000000001</v>
    <v>26.068999999999999</v>
    <v>26.118500000000001</v>
    <v>26.369499999999999</v>
    <v>26.9435</v>
    <v>27.013000000000002</v>
    <v>27.419499999999999</v>
    <v>26.92</v>
    <v>26.8035</v>
    <v>26.6875</v>
    <v>26.212499999999999</v>
    <v>25.202999999999999</v>
    <v>24.8035</v>
    <v>25.5945</v>
    <v>26.036000000000001</v>
    <v>26.626999999999999</v>
    <v>27.184000000000001</v>
    <v>26.873999999999999</v>
    <v>27.097000000000001</v>
    <v>26.658000000000001</v>
    <v>26.99</v>
    <v>27.509499999999999</v>
    <v>27.445</v>
    <v>27.241499999999998</v>
    <v>28.122</v>
    <v>28.538</v>
    <v>28.657499999999999</v>
    <v>28.044</v>
    <v>27.788499999999999</v>
    <v>28.195499999999999</v>
    <v>29.951499999999999</v>
    <v>30.430499999999999</v>
    <v>30.5505</v>
    <v>30.855</v>
    <v>31.327500000000001</v>
    <v>31.295000000000002</v>
    <v>31.4175</v>
    <v>31.265499999999999</v>
    <v>32.047499999999999</v>
    <v>32.782499999999999</v>
    <v>32.968499999999999</v>
    <v>32.774500000000003</v>
    <v>32.984000000000002</v>
    <v>33.662500000000001</v>
    <v>33.28</v>
    <v>32.1175</v>
    <v>32.390500000000003</v>
    <v>32.164999999999999</v>
    <v>33.177</v>
    <v>33.063499999999998</v>
    <v>33.422499999999999</v>
    <v>33.9495</v>
    <v>33.557499999999997</v>
    <v>33.767000000000003</v>
    <v>33.662999999999997</v>
    <v>33.24</v>
    <v>33.953000000000003</v>
    <v>33.8005</v>
    <v>33.3125</v>
    <v>33.631999999999998</v>
    <v>33.491500000000002</v>
    <v>33.866500000000002</v>
    <v>33.2395</v>
    <v>33.116</v>
    <v>32.0075</v>
    <v>32.895499999999998</v>
    <v>32.932000000000002</v>
    <v>33.788499999999999</v>
    <v>33.532499999999999</v>
    <v>33.207000000000001</v>
    <v>33.225499999999997</v>
    <v>33.157499999999999</v>
    <v>33.185000000000002</v>
    <v>33.139499999999998</v>
    <v>33.76</v>
    <v>34.698500000000003</v>
    <v>34.453499999999998</v>
    <v>33.794499999999999</v>
    <v>31.849499999999999</v>
    <v>31.689499999999999</v>
    <v>31.6325</v>
    <v>30.396999999999998</v>
    <v>30.352499999999999</v>
    <v>30.887</v>
    <v>30.894500000000001</v>
    <v>29.090499999999999</v>
    <v>29.65</v>
    <v>28.509</v>
    <v>28.724</v>
    <v>28.5885</v>
    <v>28.751000000000001</v>
    <v>29.818999999999999</v>
    <v>29.826499999999999</v>
    <v>30.0625</v>
    <v>29.1675</v>
    <v>31.767499999999998</v>
    <v>29.35</v>
    <v>28.740500000000001</v>
    <v>27.605</v>
    <v>26.5535</v>
    <v>26.812999999999999</v>
    <v>25.1065</v>
    <v>24.405000000000001</v>
    <v>24.1035</v>
    <v>24.524000000000001</v>
    <v>25.190999999999999</v>
    <v>25.353999999999999</v>
    <v>26.055</v>
    <v>26.704999999999998</v>
    <v>26.25</v>
    <v>26.745000000000001</v>
    <v>27.975000000000001</v>
    <v>27.646999999999998</v>
    <v>27.702000000000002</v>
    <v>27.7575</v>
    <v>27.761500000000002</v>
    <v>27.626000000000001</v>
    <v>28.952000000000002</v>
    <v>29.0105</v>
    <v>28.874500000000001</v>
    <v>28.757000000000001</v>
    <v>28.14</v>
    <v>28.013000000000002</v>
    <v>27.973500000000001</v>
    <v>27.9465</v>
    <v>28.480499999999999</v>
    <v>28.668500000000002</v>
    <v>28.850999999999999</v>
    <v>28.7135</v>
    <v>27.972000000000001</v>
    <v>27.603999999999999</v>
    <v>27.699000000000002</v>
    <v>28.024000000000001</v>
    <v>28.4815</v>
    <v>29.147500000000001</v>
    <v>28.993500000000001</v>
    <v>29.693000000000001</v>
    <v>29.9345</v>
    <v>29.681999999999999</v>
    <v>29.925000000000001</v>
    <v>29.659500000000001</v>
    <v>29.306999999999999</v>
    <v>30.103999999999999</v>
    <v>29.5715</v>
    <v>29.73</v>
    <v>29.796500000000002</v>
    <v>30.1585</v>
    <v>30.741</v>
    <v>31.037500000000001</v>
    <v>31.294499999999999</v>
    <v>31.767499999999998</v>
    <v>31.395</v>
    <v>31.6495</v>
    <v>31.55</v>
    <v>31.024999999999999</v>
    <v>31.31</v>
    <v>30.844000000000001</v>
    <v>30.328499999999998</v>
    <v>30.1</v>
    <v>32.979500000000002</v>
    <v>34.192500000000003</v>
    <v>33.566000000000003</v>
    <v>33.545000000000002</v>
    <v>32.954500000000003</v>
    <v>33.697499999999998</v>
    <v>33.987499999999997</v>
    <v>35.153500000000001</v>
    <v>35.661499999999997</v>
    <v>35.896500000000003</v>
    <v>35.496000000000002</v>
    <v>35.533000000000001</v>
    <v>34.763500000000001</v>
    <v>34.872500000000002</v>
    <v>34.926000000000002</v>
    <v>35.14</v>
    <v>34.837499999999999</v>
    <v>35.21</v>
    <v>35.417499999999997</v>
    <v>35.7455</v>
    <v>35.612000000000002</v>
    <v>36.139499999999998</v>
    <v>35.972000000000001</v>
    <v>36.411999999999999</v>
    <v>36.277000000000001</v>
    <v>36.336500000000001</v>
    <v>36.186999999999998</v>
    <v>36.332000000000001</v>
    <v>36.3825</v>
    <v>35.895499999999998</v>
    <v>35.762</v>
    <v>35.965000000000003</v>
    <v>35.713000000000001</v>
    <v>35.875500000000002</v>
    <v>35.319499999999998</v>
    <v>35.700499999999998</v>
    <v>35.790999999999997</v>
    <v>35.53</v>
    <v>36.103999999999999</v>
    <v>34.948</v>
    <v>34.567999999999998</v>
    <v>35.397500000000001</v>
    <v>35.78</v>
    <v>35.780999999999999</v>
    <v>36.283999999999999</v>
    <v>36.405000000000001</v>
    <v>36.880499999999998</v>
    <v>36.828499999999998</v>
    <v>37.290500000000002</v>
    <v>37.689</v>
    <v>37.410499999999999</v>
    <v>37.131500000000003</v>
    <v>37.06</v>
    <v>36.771999999999998</v>
    <v>36.8035</v>
    <v>36.997500000000002</v>
    <v>37.286000000000001</v>
    <v>37.221499999999999</v>
    <v>37.243000000000002</v>
    <v>36.980499999999999</v>
    <v>36.779499999999999</v>
    <v>36.833500000000001</v>
    <v>37.630499999999998</v>
    <v>37.9405</v>
    <v>38.387</v>
    <v>38.029000000000003</v>
    <v>37.731999999999999</v>
    <v>38.038499999999999</v>
    <v>38.298999999999999</v>
    <v>38.328000000000003</v>
    <v>38.415500000000002</v>
    <v>38.427999999999997</v>
    <v>38.561999999999998</v>
    <v>38.628</v>
    <v>38.424500000000002</v>
    <v>38.201999999999998</v>
    <v>38.231499999999997</v>
    <v>38.222999999999999</v>
    <v>37.865499999999997</v>
    <v>37.973999999999997</v>
    <v>38.122500000000002</v>
    <v>37.862499999999997</v>
    <v>37.960999999999999</v>
    <v>38.450000000000003</v>
    <v>38.564500000000002</v>
    <v>38.378999999999998</v>
    <v>38.457999999999998</v>
    <v>38.530999999999999</v>
    <v>38.622</v>
    <v>39.4435</v>
    <v>39.223999999999997</v>
    <v>39.203000000000003</v>
    <v>38.006999999999998</v>
    <v>38.5745</v>
    <v>38.0505</v>
    <v>38.054499999999997</v>
    <v>38.484499999999997</v>
    <v>38.926000000000002</v>
    <v>38.755000000000003</v>
    <v>39.011000000000003</v>
    <v>39.487000000000002</v>
    <v>40.234999999999999</v>
    <v>40.287500000000001</v>
    <v>39.957999999999998</v>
    <v>40.805500000000002</v>
    <v>41.436</v>
    <v>41.452500000000001</v>
    <v>41.865499999999997</v>
    <v>41.837000000000003</v>
    <v>41.701500000000003</v>
    <v>42.218000000000004</v>
    <v>42.082999999999998</v>
    <v>41.971499999999999</v>
    <v>42.085500000000003</v>
    <v>41.55</v>
    <v>41.704500000000003</v>
    <v>41.463999999999999</v>
    <v>41.148000000000003</v>
    <v>40.647500000000001</v>
    <v>40.8825</v>
    <v>40.884500000000003</v>
    <v>40.515999999999998</v>
    <v>40.9495</v>
    <v>41.904499999999999</v>
    <v>41.759</v>
    <v>41.1295</v>
    <v>40.917999999999999</v>
    <v>38.816000000000003</v>
    <v>39.491</v>
    <v>39.270499999999998</v>
    <v>38.277999999999999</v>
    <v>38.351500000000001</v>
    <v>37.752499999999998</v>
    <v>39.246499999999997</v>
    <v>39.387500000000003</v>
    <v>38.594000000000001</v>
    <v>37.119</v>
    <v>36.950499999999998</v>
    <v>35.953499999999998</v>
    <v>37.161999999999999</v>
    <v>37.3245</v>
    <v>37.82</v>
    <v>38.008000000000003</v>
    <v>39</v>
    <v>39.266500000000001</v>
    <v>39.006</v>
    <v>39.018500000000003</v>
    <v>38.338500000000003</v>
    <v>38.125999999999998</v>
    <v>37.528500000000001</v>
    <v>37.182499999999997</v>
    <v>37.017000000000003</v>
    <v>37.968000000000004</v>
    <v>38.235999999999997</v>
    <v>38.521000000000001</v>
    <v>38.366500000000002</v>
    <v>38.433</v>
    <v>38.006</v>
    <v>38.716999999999999</v>
    <v>38.441000000000003</v>
    <v>38.049999999999997</v>
    <v>37.888500000000001</v>
    <v>38.299999999999997</v>
    <v>38.561</v>
    <v>38.53</v>
    <v>38.317</v>
    <v>38.029499999999999</v>
    <v>38.57</v>
    <v>38.606499999999997</v>
    <v>38.2575</v>
    <v>37.493499999999997</v>
    <v>37.683500000000002</v>
    <v>37.859000000000002</v>
    <v>39.022500000000001</v>
    <v>39.799500000000002</v>
    <v>39.845999999999997</v>
    <v>39.795000000000002</v>
    <v>39.951000000000001</v>
    <v>40.682000000000002</v>
    <v>40.856999999999999</v>
    <v>40.485999999999997</v>
    <v>40.374000000000002</v>
    <v>40.451999999999998</v>
    <v>40.416499999999999</v>
    <v>40.893999999999998</v>
    <v>41.122</v>
    <v>41.826000000000001</v>
    <v>41.957500000000003</v>
    <v>41.788499999999999</v>
    <v>41.518999999999998</v>
    <v>41.173999999999999</v>
    <v>41.6175</v>
    <v>41.997500000000002</v>
    <v>40.51</v>
    <v>40.381999999999998</v>
    <v>40.625</v>
    <v>40.985500000000002</v>
    <v>41.067999999999998</v>
    <v>41.372999999999998</v>
    <v>41.826500000000003</v>
    <v>41.819499999999998</v>
    <v>42.134999999999998</v>
    <v>42.207000000000001</v>
    <v>42.253500000000003</v>
    <v>42.822000000000003</v>
    <v>42.780500000000004</v>
    <v>42.609499999999997</v>
    <v>42.262</v>
    <v>42.432000000000002</v>
    <v>42.252000000000002</v>
    <v>42.654000000000003</v>
    <v>42.445500000000003</v>
    <v>42.494</v>
    <v>42.330500000000001</v>
    <v>42.301000000000002</v>
    <v>42.524999999999999</v>
    <v>42.65</v>
    <v>42.622999999999998</v>
    <v>42.729500000000002</v>
    <v>42.6265</v>
    <v>42.648499999999999</v>
    <v>42.670999999999999</v>
    <v>42.615499999999997</v>
    <v>42.848500000000001</v>
    <v>42.16</v>
    <v>42.402999999999999</v>
    <v>42.369</v>
    <v>42.280500000000004</v>
    <v>42.341000000000001</v>
    <v>42.8</v>
    <v>43.716000000000001</v>
    <v>43.817</v>
    <v>44.326999999999998</v>
    <v>44.575499999999998</v>
    <v>45.341500000000003</v>
    <v>45.463999999999999</v>
    <v>44.914000000000001</v>
    <v>44.744</v>
    <v>45.351999999999997</v>
    <v>45.118000000000002</v>
    <v>44.811500000000002</v>
    <v>44.233499999999999</v>
    <v>45.099499999999999</v>
    <v>45.189</v>
    <v>44.96</v>
    <v>45.103000000000002</v>
    <v>44.926499999999997</v>
    <v>45.3705</v>
    <v>45.381</v>
    <v>45.464500000000001</v>
    <v>45.918999999999997</v>
    <v>46.249499999999998</v>
    <v>47.411499999999997</v>
    <v>47.347000000000001</v>
    <v>47.051499999999997</v>
    <v>46.8765</v>
    <v>46.707500000000003</v>
    <v>47.451999999999998</v>
    <v>47.640999999999998</v>
    <v>47.447499999999998</v>
    <v>47.381</v>
    <v>48.067500000000003</v>
    <v>47.898499999999999</v>
    <v>48.3035</v>
    <v>47.238</v>
    <v>47.924500000000002</v>
    <v>47.991999999999997</v>
    <v>48.533499999999997</v>
    <v>48.576999999999998</v>
    <v>49.017499999999998</v>
    <v>49.668999999999997</v>
    <v>49.789000000000001</v>
    <v>49.835000000000001</v>
    <v>49.731000000000002</v>
    <v>49.797499999999999</v>
    <v>50.336500000000001</v>
    <v>50.567</v>
    <v>50.15</v>
    <v>50.503500000000003</v>
    <v>50.513500000000001</v>
    <v>48.915500000000002</v>
    <v>48.2455</v>
    <v>49.039499999999997</v>
    <v>48.823500000000003</v>
    <v>48.208500000000001</v>
    <v>49.3855</v>
    <v>49.758499999999998</v>
    <v>49.6295</v>
    <v>50.111499999999999</v>
    <v>50.064999999999998</v>
    <v>50.186999999999998</v>
    <v>49.698999999999998</v>
    <v>48.838999999999999</v>
    <v>49.516500000000001</v>
    <v>48.796500000000002</v>
    <v>48.4</v>
    <v>47.683</v>
    <v>48.57</v>
    <v>48.256999999999998</v>
    <v>48.938000000000002</v>
    <v>49.823500000000003</v>
    <v>49.706499999999998</v>
    <v>50.325499999999998</v>
    <v>50.031500000000001</v>
    <v>50.090499999999999</v>
    <v>50.502000000000002</v>
    <v>51.222499999999997</v>
    <v>51.343499999999999</v>
    <v>51.435000000000002</v>
    <v>51.283499999999997</v>
    <v>51.947499999999998</v>
    <v>51.993499999999997</v>
    <v>52.64</v>
    <v>52.3</v>
    <v>51.002000000000002</v>
    <v>49.389000000000003</v>
    <v>49.8095</v>
    <v>49.794499999999999</v>
    <v>49.345999999999997</v>
    <v>49.378999999999998</v>
    <v>49.613500000000002</v>
    <v>49.491999999999997</v>
    <v>49.100499999999997</v>
    <v>47.845999999999997</v>
    <v>48.399500000000003</v>
    <v>49.164999999999999</v>
    <v>49.137</v>
    <v>48.908999999999999</v>
    <v>48.028500000000001</v>
    <v>47.923499999999997</v>
    <v>47.664499999999997</v>
    <v>48.344999999999999</v>
    <v>47.9</v>
    <v>47.622500000000002</v>
    <v>47.262999999999998</v>
    <v>47.301000000000002</v>
    <v>47.703000000000003</v>
    <v>48.3795</v>
    <v>49.03</v>
    <v>48.912500000000001</v>
    <v>48.263500000000001</v>
    <v>48.39</v>
    <v>48.973500000000001</v>
    <v>48.295000000000002</v>
    <v>48.898000000000003</v>
    <v>49.128999999999998</v>
    <v>49.98</v>
    <v>49.610500000000002</v>
    <v>49.339500000000001</v>
    <v>48.709499999999998</v>
    <v>48.493000000000002</v>
    <v>48.660499999999999</v>
    <v>48.232500000000002</v>
    <v>47.755000000000003</v>
    <v>46.9895</v>
    <v>46.93</v>
    <v>47.543500000000002</v>
    <v>47.82</v>
    <v>48.067500000000003</v>
    <v>47.959499999999998</v>
    <v>47.854999999999997</v>
    <v>48.272500000000001</v>
    <v>49.042499999999997</v>
    <v>49.478999999999999</v>
    <v>49.549500000000002</v>
    <v>49.36</v>
    <v>49.75</v>
    <v>50.046500000000002</v>
    <v>50.146999999999998</v>
    <v>50.317</v>
    <v>50.456499999999998</v>
    <v>49.85</v>
    <v>49.330500000000001</v>
    <v>49.145499999999998</v>
    <v>48.314999999999998</v>
    <v>48.795000000000002</v>
    <v>48.645499999999998</v>
    <v>48.621499999999997</v>
    <v>55.047499999999999</v>
    <v>55.542499999999997</v>
    <v>55.264000000000003</v>
    <v>55.183999999999997</v>
    <v>54.710999999999999</v>
    <v>55.58</v>
    <v>56.033000000000001</v>
    <v>56.158499999999997</v>
    <v>56.643999999999998</v>
    <v>56.456499999999998</v>
    <v>56.267499999999998</v>
    <v>56.458500000000001</v>
    <v>56.841999999999999</v>
    <v>56.334499999999998</v>
    <v>56.8645</v>
    <v>56.494</v>
    <v>56.3155</v>
    <v>56.974499999999999</v>
    <v>57.808</v>
    <v>59.3</v>
    <v>59.791499999999999</v>
    <v>59.68</v>
    <v>58.063499999999998</v>
    <v>58.837499999999999</v>
    <v>58.1175</v>
    <v>56.697499999999998</v>
    <v>57.078499999999998</v>
    <v>57.6175</v>
    <v>57.9895</v>
    <v>58.1</v>
    <v>58.445999999999998</v>
    <v>58.253999999999998</v>
    <v>58.206499999999998</v>
    <v>58.713000000000001</v>
    <v>58.957000000000001</v>
    <v>59.529000000000003</v>
    <v>59.369</v>
    <v>58.881</v>
    <v>58.738</v>
    <v>58.417999999999999</v>
    <v>58.838000000000001</v>
    <v>59.113</v>
    <v>59.305</v>
    <v>58.473500000000001</v>
    <v>59.450499999999998</v>
    <v>60.21</v>
    <v>60.479500000000002</v>
    <v>61.457000000000001</v>
    <v>62.343499999999999</v>
    <v>62.634999999999998</v>
    <v>62.716500000000003</v>
    <v>63.834000000000003</v>
    <v>65.260000000000005</v>
    <v>65.242999999999995</v>
    <v>64.75</v>
    <v>64.665999999999997</v>
    <v>64.728999999999999</v>
    <v>66.365499999999997</v>
    <v>68.126999999999995</v>
    <v>67.875500000000002</v>
    <v>68.897499999999994</v>
    <v>70.102500000000006</v>
    <v>70.884</v>
    <v>71.891000000000005</v>
    <v>72.544499999999999</v>
    <v>69.5</v>
    <v>71.497500000000002</v>
    <v>69.5</v>
    <v>72.141999999999996</v>
    <v>70.838999999999999</v>
    <v>67.525000000000006</v>
    <v>66.98</v>
    <v>69.311499999999995</v>
    <v>70.725499999999997</v>
    <v>72.552499999999995</v>
    <v>73.087999999999994</v>
    <v>72.4345</v>
    <v>73.417500000000004</v>
    <v>74.146000000000001</v>
    <v>74.266999999999996</v>
    <v>75</v>
    <v>76.097499999999997</v>
    <v>75.599000000000004</v>
    <v>75.622500000000002</v>
    <v>74.672499999999999</v>
    <v>75.012500000000003</v>
    <v>76.180499999999995</v>
    <v>76.882000000000005</v>
    <v>77.25</v>
    <v>77.593000000000004</v>
    <v>78.944500000000005</v>
    <v>79.919499999999999</v>
    <v>79.409000000000006</v>
    <v>79.55</v>
    <v>79.116</v>
    <v>78.584000000000003</v>
    <v>77.246499999999997</v>
    <v>79.325500000000005</v>
    <v>79.093000000000004</v>
    <v>77.245999999999995</v>
    <v>74.778000000000006</v>
    <v>77.793000000000006</v>
    <v>74.852500000000006</v>
    <v>71.570999999999998</v>
    <v>72.367000000000004</v>
    <v>68.599500000000006</v>
    <v>69.602500000000006</v>
    <v>70.528499999999994</v>
    <v>72.587500000000006</v>
    <v>70.261499999999998</v>
    <v>70.304000000000002</v>
    <v>71.811000000000007</v>
    <v>71.352500000000006</v>
    <v>72.424999999999997</v>
    <v>71.539500000000004</v>
    <v>72.075000000000003</v>
    <v>75.191500000000005</v>
    <v>76.391999999999996</v>
    <v>77.845500000000001</v>
    <v>76.374499999999998</v>
    <v>75.893000000000001</v>
    <v>73.004499999999993</v>
    <v>73.008499999999998</v>
    <v>75.897999999999996</v>
    <v>78.631</v>
    <v>78.3065</v>
    <v>79.113</v>
    <v>78.483999999999995</v>
    <v>78.603800000000007</v>
    <v>79.047499999999999</v>
    <v>80.007000000000005</v>
    <v>79.619500000000002</v>
    <v>80.400000000000006</v>
    <v>80.453999999999994</v>
    <v>80.145499999999998</v>
    <v>80.076999999999998</v>
    <v>78.805999999999997</v>
    <v>79.364000000000004</v>
    <v>79.087999999999994</v>
    <v>78.718500000000006</v>
    <v>79.272999999999996</v>
    <v>79.069999999999993</v>
    <v>80.093000000000004</v>
    <v>80.153499999999994</v>
    <v>80.507499999999993</v>
    <v>80.643500000000003</v>
    <v>81.244500000000002</v>
    <v>81.480999999999995</v>
    <v>82.076999999999998</v>
    <v>83.263499999999993</v>
    <v>84.817499999999995</v>
    <v>84.787499999999994</v>
    <v>84.465000000000003</v>
    <v>84.1995</v>
    <v>84.456000000000003</v>
    <v>84.9375</v>
    <v>85.242999999999995</v>
    <v>86.192999999999998</v>
    <v>85.798500000000004</v>
    <v>86.189499999999995</v>
    <v>86.739000000000004</v>
    <v>87.504000000000005</v>
    <v>86.510999999999996</v>
    <v>85.783500000000004</v>
    <v>83.157499999999999</v>
    <v>84.554500000000004</v>
    <v>83.025499999999994</v>
    <v>85.072500000000005</v>
    <v>84.99</v>
    <v>85.688999999999993</v>
    <v>84.697999999999993</v>
    <v>84.986500000000007</v>
    <v>85.531499999999994</v>
    <v>86.950999999999993</v>
    <v>87.153499999999994</v>
    <v>87.75</v>
    <v>89.831000000000003</v>
    <v>90.651499999999999</v>
    <v>91.124499999999998</v>
    <v>92.1965</v>
    <v>92.146000000000001</v>
    <v>90.648499999999999</v>
    <v>90.685000000000002</v>
    <v>90.1</v>
    <v>91.462000000000003</v>
    <v>93.180499999999995</v>
    <v>90.4</v>
    <v>90.863500000000002</v>
    <v>88.960999999999999</v>
    <v>88.872</v>
    <v>89.858500000000006</v>
    <v>91.716499999999996</v>
    <v>91.164500000000004</v>
    <v>92.387500000000003</v>
    <v>93.123999999999995</v>
    <v>94.325999999999993</v>
    <v>94.926000000000002</v>
    <v>94.314999999999998</v>
    <v>94.81</v>
    <v>95.982500000000002</v>
    <v>94.131</v>
    <v>94.325999999999993</v>
    <v>94.111000000000004</v>
    <v>93.835499999999996</v>
    <v>94.171000000000006</v>
    <v>95.245000000000005</v>
    <v>95.144999999999996</v>
    <v>95.269499999999994</v>
    <v>96.384</v>
    <v>96.641000000000005</v>
    <v>99.905000000000001</v>
    <v>100.119</v>
    <v>100.63549999999999</v>
    <v>101.9755</v>
    <v>99.741</v>
    <v>97.915499999999994</v>
    <v>97.603499999999997</v>
    <v>96.950500000000005</v>
    <v>99.357500000000002</v>
    <v>99.5</v>
    <v>99.493499999999997</v>
    <v>98.509500000000003</v>
    <v>95.401499999999999</v>
    <v>97.052499999999995</v>
    <v>96.320999999999998</v>
    <v>97.215000000000003</v>
    <v>95.750500000000002</v>
    <v>96.718000000000004</v>
    <v>98.727500000000006</v>
    <v>98.742500000000007</v>
    <v>100.649</v>
    <v>100.15</v>
    <v>100.218</v>
    <v>98.5655</v>
    <v>97.638000000000005</v>
    <v>95.471000000000004</v>
    <v>94.482500000000002</v>
    <v>93.221000000000004</v>
    <v>93.516000000000005</v>
    <v>87.762500000000003</v>
    <v>85.968000000000004</v>
    <v>89.430499999999995</v>
    <v>88.047499999999999</v>
    <v>90.998000000000005</v>
    <v>91.586500000000001</v>
    <v>88.536000000000001</v>
    <v>88.201499999999996</v>
    <v>89.465000000000003</v>
    <v>88.435000000000002</v>
    <v>83.21</v>
    <v>89.108500000000006</v>
    <v>82.140500000000003</v>
    <v>76.944000000000003</v>
    <v>76.521000000000001</v>
    <v>79.900499999999994</v>
    <v>83.276499999999999</v>
    <v>83.276499999999999</v>
    <v>81.39</v>
    <v>82.140500000000003</v>
    <v>87.774500000000003</v>
    <v>87.745500000000007</v>
    <v>85.621499999999997</v>
    <v>81.842500000000001</v>
    <v>81.558499999999995</v>
    <v>79.950500000000005</v>
    <v>80.971999999999994</v>
    <v>79.670500000000004</v>
    <v>75.614500000000007</v>
    <v>74.772999999999996</v>
    <v>75.836500000000001</v>
    <v>75.102999999999994</v>
    <v>79.066500000000005</v>
    <v>79.070999999999998</v>
    <v>83.887500000000003</v>
    <v>83.6785</v>
    <v>84.508499999999998</v>
    <v>88.617999999999995</v>
    <v>83.42</v>
    <v>84.959500000000006</v>
    <v>81.456500000000005</v>
    <v>82.051500000000004</v>
    <v>82.162000000000006</v>
    <v>83.177000000000007</v>
    <v>82.918999999999997</v>
    <v>79.595500000000001</v>
    <v>76.045500000000004</v>
    <v>77.573999999999998</v>
    <v>74.754000000000005</v>
    <v>73.041499999999999</v>
    <v>68.872500000000002</v>
    <v>67.197999999999993</v>
    <v>73.545000000000002</v>
    <v>73.081999999999994</v>
    <v>73.900999999999996</v>
    <v>75.098500000000001</v>
    <v>76.956500000000005</v>
    <v>75.013999999999996</v>
    <v>78.769499999999994</v>
    <v>81.475499999999997</v>
    <v>82.828999999999994</v>
    <v>82.971000000000004</v>
    <v>82.811000000000007</v>
    <v>82.028000000000006</v>
    <v>80.860500000000002</v>
    <v>83.727999999999994</v>
    <v>84.188999999999993</v>
    <v>84.661000000000001</v>
    <v>84.81</v>
    <v>81.608500000000006</v>
    <v>82.001000000000005</v>
    <v>82.746499999999997</v>
    <v>83.528499999999994</v>
    <v>81.894499999999994</v>
    <v>79.694000000000003</v>
    <v>83.521500000000003</v>
    <v>85.936499999999995</v>
    <v>81.311499999999995</v>
    <v>81.665499999999994</v>
    <v>82.9405</v>
    <v>82.013000000000005</v>
    <v>80.718500000000006</v>
    <v>79.411000000000001</v>
    <v>79.55</v>
    <v>81.900499999999994</v>
    <v>82</v>
    <v>81.132499999999993</v>
    <v>80.397499999999994</v>
    <v>81.379000000000005</v>
    <v>81.105000000000004</v>
    <v>80.971999999999994</v>
    <v>81.578000000000003</v>
    <v>81.650000000000006</v>
    <v>81.819999999999993</v>
    <v>82.054500000000004</v>
    <v>81.991500000000002</v>
    <v>83.586500000000001</v>
    <v>84.808499999999995</v>
    <v>84.621499999999997</v>
    <v>83.447500000000005</v>
    <v>81.297499999999999</v>
    <v>81.040000000000006</v>
    <v>83.531000000000006</v>
    <v>83.655000000000001</v>
    <v>84.540499999999994</v>
    <v>84.311000000000007</v>
    <v>85.617999999999995</v>
    <v>87.107500000000002</v>
    <v>88.092500000000001</v>
    <v>89.863500000000002</v>
    <v>90.962999999999994</v>
    <v>88.238500000000002</v>
    <v>88.712999999999994</v>
    <v>89.188000000000002</v>
    <v>88.284999999999997</v>
    <v>88.671000000000006</v>
    <v>89.037499999999994</v>
    <v>90.709500000000006</v>
    <v>90.698999999999998</v>
    <v>91.034999999999997</v>
    <v>90.942999999999998</v>
    <v>91.864000000000004</v>
    <v>92.492999999999995</v>
    <v>91.792000000000002</v>
    <v>92.366500000000002</v>
    <v>92.203500000000005</v>
    <v>92.153000000000006</v>
    <v>92.243499999999997</v>
    <v>93.152000000000001</v>
    <v>93.241</v>
    <v>93.084500000000006</v>
    <v>94.365499999999997</v>
    <v>96.188500000000005</v>
    <v>95.087500000000006</v>
    <v>95.112499999999997</v>
    <v>97.531499999999994</v>
    <v>96.921499999999995</v>
    <v>96.325999999999993</v>
    <v>95.575999999999993</v>
    <v>95.040999999999997</v>
    <v>98.123000000000005</v>
    <v>97.527500000000003</v>
    <v>96.05</v>
    <v>95.888499999999993</v>
    <v>94.993499999999997</v>
    <v>94.498999999999995</v>
    <v>91.134</v>
    <v>92.006</v>
    <v>93.557500000000005</v>
    <v>95.378500000000003</v>
    <v>93.45</v>
    <v>92.948499999999996</v>
    <v>92.876000000000005</v>
    <v>92.983999999999995</v>
    <v>90.774000000000001</v>
    <v>91.164000000000001</v>
    <v>91.8215</v>
    <v>90.959500000000006</v>
    <v>90.816000000000003</v>
    <v>88.753500000000003</v>
    <v>84.634500000000003</v>
    <v>86.477999999999994</v>
    <v>86.924999999999997</v>
    <v>87.718000000000004</v>
    <v>90.201499999999996</v>
    <v>93.031499999999994</v>
    <v>93.185000000000002</v>
    <v>92.766000000000005</v>
    <v>93.515000000000001</v>
    <v>93.483500000000006</v>
    <v>94.301500000000004</v>
    <v>95.0685</v>
    <v>95.439499999999995</v>
    <v>95.909499999999994</v>
    <v>95.564999999999998</v>
    <v>95.694999999999993</v>
    <v>93.913499999999999</v>
    <v>94.891499999999994</v>
    <v>95.213999999999999</v>
    <v>94.6815</v>
    <v>96.109499999999997</v>
    <v>96.715500000000006</v>
    <v>96.95</v>
    <v>97.145499999999998</v>
    <v>97.616</v>
    <v>99.415000000000006</v>
    <v>100.87050000000001</v>
    <v>100.0535</v>
    <v>100.55</v>
    <v>101.04949999999999</v>
    <v>100.495</v>
    <v>99.601500000000001</v>
    <v>98.894999999999996</v>
    <v>98.225999999999999</v>
    <v>99.281499999999994</v>
    <v>99.724500000000006</v>
    <v>100.04049999999999</v>
    <v>98.691000000000003</v>
    <v>97.152500000000003</v>
    <v>95.622500000000002</v>
    <v>94.926500000000004</v>
    <v>93.338999999999999</v>
    <v>92.766000000000005</v>
    <v>91.162000000000006</v>
    <v>88.256500000000003</v>
    <v>89.391499999999994</v>
    <v>89.67</v>
    <v>91.644499999999994</v>
    <v>90.379000000000005</v>
    <v>89.245999999999995</v>
    <v>91.216999999999999</v>
    <v>88.147999999999996</v>
    <v>88.805999999999997</v>
    <v>89.628500000000003</v>
    <v>90.805999999999997</v>
    <v>90.069000000000003</v>
    <v>91.177000000000007</v>
    <v>90.28</v>
    <v>87.480999999999995</v>
    <v>88.4435</v>
    <v>88.091499999999996</v>
    <v>88.212500000000006</v>
    <v>89.32</v>
    <v>88.814499999999995</v>
    <v>89.492000000000004</v>
    <v>90.031000000000006</v>
    <v>92.036000000000001</v>
    <v>91.6755</v>
    <v>91.567499999999995</v>
    <v>91.027500000000003</v>
    <v>91.149500000000003</v>
    <v>92.177499999999995</v>
    <v>91.966999999999999</v>
    <v>90.391999999999996</v>
    <v>91.127499999999998</v>
    <v>90.873000000000005</v>
    <v>91.075000000000003</v>
    <v>89.707999999999998</v>
    <v>89.265000000000001</v>
    <v>87.080500000000001</v>
    <v>88.416499999999999</v>
    <v>86.992000000000004</v>
    <v>86.272499999999994</v>
    <v>86.795500000000004</v>
    <v>86.782499999999999</v>
    <v>85.661500000000004</v>
    <v>86.221000000000004</v>
    <v>86.982500000000002</v>
    <v>86.632999999999996</v>
    <v>85.275499999999994</v>
    <v>86.099500000000006</v>
    <v>86.013000000000005</v>
    <v>86.596000000000004</v>
    <v>86.8215</v>
    <v>88.369</v>
    <v>88.871499999999997</v>
    <v>89.373999999999995</v>
    <v>87.875500000000002</v>
    <v>89.283000000000001</v>
    <v>88.286500000000004</v>
    <v>88.108500000000006</v>
    <v>89.039000000000001</v>
    <v>88.066500000000005</v>
    <v>88.853999999999999</v>
    <v>88.135499999999993</v>
    <v>88.999499999999998</v>
    <v>88.832999999999998</v>
    <v>89.572000000000003</v>
    <v>90.233000000000004</v>
    <v>90.085499999999996</v>
    <v>89.788499999999999</v>
    <v>89.41</v>
    <v>89.293999999999997</v>
    <v>88.582499999999996</v>
    <v>88.9</v>
    <v>87.655500000000004</v>
    <v>87.73</v>
    <v>86.974500000000006</v>
    <v>87.626499999999993</v>
    <v>87.639499999999998</v>
    <v>87.276499999999999</v>
    <v>86.735500000000002</v>
    <v>87.286000000000001</v>
    <v>88.691999999999993</v>
    <v>89.846999999999994</v>
    <v>90.9255</v>
    <v>90.04</v>
    <v>89.08</v>
    <v>88.498000000000005</v>
    <v>88.034499999999994</v>
    <v>87.024000000000001</v>
    <v>87.58</v>
    <v>87.475499999999997</v>
    <v>86.960499999999996</v>
    <v>87.436000000000007</v>
    <v>88.016499999999994</v>
    <v>88.046999999999997</v>
    <v>88.460499999999996</v>
    <v>89.533000000000001</v>
    <v>89.201499999999996</v>
    <v>89.614000000000004</v>
    <v>89.325000000000003</v>
    <v>89.65</v>
    <v>89.460499999999996</v>
    <v>93.438500000000005</v>
    <v>93.49</v>
    <v>92.344499999999996</v>
    <v>92.391999999999996</v>
    <v>94.900499999999994</v>
    <v>93.748500000000007</v>
    <v>95.144000000000005</v>
    <v>95.343000000000004</v>
    <v>94.598500000000001</v>
    <v>95.052499999999995</v>
    <v>94.158000000000001</v>
    <v>94.564999999999998</v>
    <v>93.471999999999994</v>
    <v>93.100999999999999</v>
    <v>93.897000000000006</v>
    <v>93.236000000000004</v>
    <v>94.6</v>
    <v>94.373000000000005</v>
    <v>94.228999999999999</v>
    <v>93.081999999999994</v>
    <v>91.417000000000002</v>
    <v>92.662499999999994</v>
    <v>92.9</v>
    <v>93.534000000000006</v>
    <v>100.43600000000001</v>
    <v>100.21</v>
    <v>102.48350000000001</v>
    <v>101.9935</v>
    <v>102.5115</v>
    <v>103.964</v>
    <v>106.6955</v>
    <v>107.54</v>
    <v>108</v>
    <v>107.4935</v>
    <v>106.7435</v>
    <v>107.7835</v>
    <v>108.511</v>
    <v>107.655</v>
    <v>104.7985</v>
    <v>100.4645</v>
    <v>98.637</v>
    <v>98.979500000000002</v>
    <v>94.215000000000003</v>
    <v>94.1875</v>
    <v>97.697500000000005</v>
    <v>95.4495</v>
    <v>98.791499999999999</v>
    <v>96.201499999999996</v>
    <v>95.054500000000004</v>
    <v>90.030500000000004</v>
    <v>94.590999999999994</v>
    <v>91.043000000000006</v>
    <v>83.830500000000001</v>
    <v>89.25</v>
    <v>84.457499999999996</v>
    <v>90.391999999999996</v>
    <v>91.5</v>
    <v>94.046499999999995</v>
    <v>92.304500000000004</v>
    <v>95.141499999999994</v>
    <v>97.004999999999995</v>
    <v>94.292000000000002</v>
    <v>97.774500000000003</v>
    <v>95.004999999999995</v>
    <v>98.197500000000005</v>
    <v>97.486000000000004</v>
    <v>95.385000000000005</v>
    <v>95.941500000000005</v>
    <v>95.329499999999996</v>
    <v>99.879499999999993</v>
    <v>100.58</v>
    <v>102.15</v>
    <v>102.13800000000001</v>
    <v>108.4435</v>
    <v>114.166</v>
    <v>115.384</v>
    <v>120.40949999999999</v>
    <v>118.75</v>
    <v>119.68049999999999</v>
    <v>116.40600000000001</v>
    <v>118.17449999999999</v>
    <v>119.9725</v>
    <v>120.511</v>
    <v>118.8</v>
    <v>115.70399999999999</v>
    <v>118.63549999999999</v>
    <v>123.7</v>
    <v>114.30200000000001</v>
    <v>115.79949999999999</v>
    <v>115.89</v>
    <v>117.563</v>
    <v>118.3805</v>
    <v>118.98050000000001</v>
    <v>120.45</v>
    <v>117.8475</v>
    <v>118.396</v>
    <v>119.4425</v>
    <v>120.489</v>
    <v>121.313</v>
    <v>122.4665</v>
    <v>124.89700000000001</v>
    <v>122.337</v>
    <v>121.84399999999999</v>
    <v>121.093</v>
    <v>120.51949999999999</v>
    <v>120.05500000000001</v>
    <v>122.1185</v>
    <v>123.55200000000001</v>
    <v>123.62050000000001</v>
    <v>123.92</v>
    <v>123.03</v>
    <v>124.15</v>
    <v>126.203</v>
    <v>130.04300000000001</v>
    <v>132.3725</v>
    <v>127.898</v>
    <v>127.251</v>
    <v>128.63399999999999</v>
    <v>130.76349999999999</v>
    <v>132.04900000000001</v>
    <v>132.69900000000001</v>
    <v>133.75049999999999</v>
    <v>135.691</v>
    <v>138.22049999999999</v>
    <v>136.72</v>
    <v>137.72900000000001</v>
    <v>134.64349999999999</v>
    <v>134.01900000000001</v>
    <v>137.941</v>
    <v>143.935</v>
    <v>144.51499999999999</v>
    <v>152.852</v>
    <v>150.006</v>
    <v>154.05549999999999</v>
    <v>159.13149999999999</v>
    <v>160</v>
    <v>155.19999999999999</v>
    <v>154.19999999999999</v>
    <v>150.4435</v>
    <v>149.995</v>
    <v>148.0985</v>
    <v>159.84200000000001</v>
    <v>156.9145</v>
    <v>154.99549999999999</v>
    <v>149.32749999999999</v>
    <v>150.44550000000001</v>
    <v>152.76050000000001</v>
    <v>150.01650000000001</v>
    <v>151.6765</v>
    <v>152.59399999999999</v>
    <v>158.23400000000001</v>
    <v>155.59450000000001</v>
    <v>156.94149999999999</v>
    <v>160.25149999999999</v>
    <v>161.25</v>
    <v>158.37299999999999</v>
    <v>157.40799999999999</v>
    <v>154.0335</v>
    <v>158.11199999999999</v>
    <v>158.05099999999999</v>
    <v>157.40100000000001</v>
    <v>159.12049999999999</v>
    <v>165.62450000000001</v>
    <v>163.024</v>
    <v>164.86850000000001</v>
    <v>164.23599999999999</v>
    <v>165.37299999999999</v>
    <v>167.3245</v>
    <v>172.0925</v>
    <v>170</v>
    <v>170.09</v>
    <v>172.548</v>
    <v>174.95599999999999</v>
    <v>176.57249999999999</v>
    <v>168.4</v>
    <v>164.73099999999999</v>
    <v>157.49199999999999</v>
    <v>163.43049999999999</v>
    <v>158.75550000000001</v>
    <v>155.81100000000001</v>
    <v>155.14850000000001</v>
    <v>157.8065</v>
    <v>153.905</v>
    <v>150.4365</v>
    <v>147.74549999999999</v>
    <v>148.02350000000001</v>
    <v>156.4495</v>
    <v>149.99299999999999</v>
    <v>150.98949999999999</v>
    <v>154.75649999999999</v>
    <v>158.70249999999999</v>
    <v>157.244</v>
    <v>157.4365</v>
    <v>161.06299999999999</v>
    <v>156.25</v>
    <v>159.96</v>
    <v>154.99799999999999</v>
    <v>159.78450000000001</v>
    <v>159.5275</v>
    <v>164.33250000000001</v>
    <v>172.1465</v>
    <v>172.1815</v>
    <v>168.18549999999999</v>
    <v>166.9325</v>
    <v>163.63550000000001</v>
    <v>160.3605</v>
    <v>160.85050000000001</v>
    <v>159.24700000000001</v>
    <v>158.82</v>
    <v>160.22</v>
    <v>160.352</v>
    <v>164.31649999999999</v>
    <v>158.13900000000001</v>
    <v>160.5505</v>
    <v>151.8075</v>
    <v>150.22399999999999</v>
    <v>152.4205</v>
    <v>162.05799999999999</v>
    <v>166.1</v>
    <v>165.5685</v>
    <v>157.18700000000001</v>
    <v>151.751</v>
    <v>156.86949999999999</v>
    <v>155.51400000000001</v>
    <v>156.44049999999999</v>
    <v>156.553</v>
    <v>156.78299999999999</v>
    <v>155.273</v>
    <v>155.851</v>
    <v>154.97</v>
    <v>154.9195</v>
    <v>155.90299999999999</v>
    <v>159.2535</v>
    <v>159.767</v>
    <v>158.40199999999999</v>
    <v>161.00399999999999</v>
    <v>160.1765</v>
    <v>159.3365</v>
    <v>158.12899999999999</v>
    <v>157.9</v>
    <v>158.86449999999999</v>
    <v>155.21</v>
    <v>155.0745</v>
    <v>155.821</v>
    <v>157.8485</v>
    <v>158.256</v>
    <v>162.048</v>
    <v>161.804</v>
    <v>160.08250000000001</v>
    <v>160.309</v>
    <v>160.32599999999999</v>
    <v>159.26349999999999</v>
    <v>158.6345</v>
    <v>164.19800000000001</v>
    <v>166.1</v>
    <v>164.29249999999999</v>
    <v>162.84649999999999</v>
    <v>159.33150000000001</v>
    <v>160.9255</v>
    <v>156.91900000000001</v>
    <v>158.108</v>
    <v>159.13499999999999</v>
    <v>155.7105</v>
    <v>156.04150000000001</v>
    <v>158.2945</v>
    <v>156.37350000000001</v>
    <v>155.21250000000001</v>
    <v>156.03800000000001</v>
    <v>163.16900000000001</v>
    <v>165.34950000000001</v>
    <v>164.61150000000001</v>
    <v>164.7</v>
    <v>166.3065</v>
    <v>161.62899999999999</v>
    <v>161.881</v>
    <v>160.31</v>
    <v>167.14400000000001</v>
    <v>169</v>
    <v>165.62649999999999</v>
    <v>166.55</v>
    <v>167.60749999999999</v>
    <v>166.14699999999999</v>
    <v>165.25</v>
    <v>164.32900000000001</v>
    <v>163.10650000000001</v>
    <v>163.88550000000001</v>
    <v>163.44749999999999</v>
    <v>165.43199999999999</v>
    <v>166.41149999999999</v>
    <v>162.495</v>
    <v>159.03700000000001</v>
    <v>159.72499999999999</v>
    <v>157.97649999999999</v>
    <v>152.858</v>
    <v>154.6465</v>
    <v>157.30699999999999</v>
    <v>154.72649999999999</v>
    <v>150.25</v>
    <v>148.8785</v>
    <v>150.023</v>
    <v>147.5975</v>
    <v>153.14250000000001</v>
    <v>152.88200000000001</v>
    <v>155.67949999999999</v>
    <v>154.47450000000001</v>
    <v>154.084</v>
    <v>154.59299999999999</v>
    <v>156.78649999999999</v>
    <v>151.39949999999999</v>
    <v>153.74799999999999</v>
    <v>155.54349999999999</v>
    <v>156.875</v>
    <v>154.3535</v>
    <v>152.31299999999999</v>
    <v>152.60149999999999</v>
    <v>153.78649999999999</v>
    <v>152.7645</v>
    <v>154.70400000000001</v>
    <v>158.05000000000001</v>
    <v>161.3365</v>
    <v>161.191</v>
    <v>163.96950000000001</v>
    <v>164.965</v>
    <v>168.61</v>
    <v>168.96950000000001</v>
    <v>170</v>
    <v>166.65</v>
    <v>168.9545</v>
    <v>169.97200000000001</v>
    <v>168.60050000000001</v>
    <v>166.7345</v>
    <v>168.101</v>
    <v>165.452</v>
    <v>167.04400000000001</v>
    <v>170.45</v>
    <v>170.8715</v>
    <v>172.92500000000001</v>
    <v>173.56549999999999</v>
    <v>173.37100000000001</v>
    <v>169.3245</v>
    <v>165.59350000000001</v>
    <v>163.52699999999999</v>
    <v>165.3185</v>
    <v>164.5805</v>
    <v>159.52449999999999</v>
    <v>161.19550000000001</v>
    <v>157.59700000000001</v>
    <v>158.0735</v>
    <v>161.14500000000001</v>
    <v>163.51949999999999</v>
    <v>161.614</v>
    <v>161.59</v>
    <v>162.38399999999999</v>
    <v>160.154</v>
    <v>162.24950000000001</v>
    <v>162.95249999999999</v>
    <v>163.25800000000001</v>
    <v>161.50550000000001</v>
    <v>161.15350000000001</v>
    <v>160.9325</v>
    <v>161.6995</v>
    <v>159.35050000000001</v>
    <v>160.31100000000001</v>
    <v>159.90049999999999</v>
    <v>163.2055</v>
    <v>164.0575</v>
    <v>167.48249999999999</v>
    <v>167.3415</v>
    <v>169.1935</v>
    <v>169.15649999999999</v>
    <v>170.76249999999999</v>
    <v>174.46199999999999</v>
    <v>174.345</v>
    <v>172.69800000000001</v>
    <v>175.27199999999999</v>
    <v>175.191</v>
    <v>172.45400000000001</v>
    <v>170.07300000000001</v>
    <v>172.19450000000001</v>
    <v>172.40700000000001</v>
    <v>172.00800000000001</v>
    <v>171.64850000000001</v>
    <v>175.54900000000001</v>
    <v>183.78700000000001</v>
    <v>184.82900000000001</v>
    <v>186.57050000000001</v>
    <v>185.96700000000001</v>
    <v>185.92750000000001</v>
    <v>183.86799999999999</v>
    <v>184.084</v>
    <v>181.56</v>
    <v>178.6815</v>
    <v>177.4795</v>
    <v>178.65950000000001</v>
    <v>179.26</v>
    <v>181.9015</v>
    <v>182.83199999999999</v>
    <v>184.99100000000001</v>
    <v>181.31950000000001</v>
    <v>181.51599999999999</v>
    <v>179.99600000000001</v>
    <v>166.37950000000001</v>
    <v>166.57400000000001</v>
    <v>168.31200000000001</v>
    <v>167.73599999999999</v>
    <v>168.79949999999999</v>
    <v>167.24700000000001</v>
    <v>167.09350000000001</v>
    <v>166.03399999999999</v>
    <v>164.60550000000001</v>
    <v>165.17500000000001</v>
    <v>164.6985</v>
    <v>164.9495</v>
    <v>162.09800000000001</v>
    <v>160.06100000000001</v>
    <v>159.38749999999999</v>
    <v>159.9975</v>
    <v>163.29349999999999</v>
    <v>165.28899999999999</v>
    <v>164.959</v>
    <v>165.8</v>
    <v>167.48150000000001</v>
    <v>171.07849999999999</v>
    <v>173.5395</v>
    <v>173.95</v>
    <v>173.15600000000001</v>
    <v>173.9025</v>
    <v>175.46449999999999</v>
    <v>176.27500000000001</v>
    <v>174.208</v>
    <v>173.45750000000001</v>
    <v>172.85849999999999</v>
    <v>172.5</v>
    <v>173.7895</v>
    <v>174.41200000000001</v>
    <v>173.126</v>
    <v>167.78649999999999</v>
    <v>167.1815</v>
    <v>169.0025</v>
    <v>170.8</v>
    <v>171.27600000000001</v>
    <v>170.29</v>
    <v>165.798</v>
    <v>165.05600000000001</v>
    <v>164.25200000000001</v>
    <v>164.16300000000001</v>
    <v>159.489</v>
    <v>161.05000000000001</v>
    <v>163.10050000000001</v>
    <v>165.1215</v>
    <v>164.43100000000001</v>
    <v>162.315</v>
    <v>162.3665</v>
    <v>164.214</v>
    <v>164.99299999999999</v>
    <v>170.45099999999999</v>
    <v>172.33699999999999</v>
    <v>172.20750000000001</v>
    <v>170.75299999999999</v>
    <v>171.75049999999999</v>
    <v>166.7775</v>
    <v>166.01849999999999</v>
    <v>168.80350000000001</v>
    <v>169.62450000000001</v>
    <v>172.32849999999999</v>
    <v>168.6215</v>
    <v>165.90549999999999</v>
    <v>165.63749999999999</v>
    <v>169.2</v>
    <v>173.85</v>
    <v>175.9495</v>
    <v>174.44900000000001</v>
    <v>178.8115</v>
    <v>174.10249999999999</v>
    <v>173.625</v>
    <v>176.25749999999999</v>
    <v>177.28399999999999</v>
    <v>177.035</v>
    <v>177.45</v>
    <v>184.803</v>
    <v>183.82849999999999</v>
    <v>178.6285</v>
    <v>179.00200000000001</v>
    <v>179.0205</v>
    <v>175.22800000000001</v>
    <v>178.07849999999999</v>
    <v>175.3535</v>
    <v>172.18600000000001</v>
    <v>171.86799999999999</v>
    <v>169.48949999999999</v>
    <v>171.36850000000001</v>
    <v>176.1645</v>
    <v>176.15799999999999</v>
    <v>174.17099999999999</v>
    <v>172.21199999999999</v>
    <v>169.5675</v>
    <v>169.0915</v>
    <v>173.315</v>
    <v>168.87100000000001</v>
    <v>170.01750000000001</v>
    <v>167.07900000000001</v>
    <v>170.417</v>
    <v>171.03700000000001</v>
    <v>171.0685</v>
    <v>169.6695</v>
    <v>170.661</v>
    <v>169.20099999999999</v>
    <v>168.64449999999999</v>
    <v>166.71700000000001</v>
    <v>170.40450000000001</v>
    <v>167.52199999999999</v>
    <v>164.357</v>
    <v>163.25399999999999</v>
    <v>162.554</v>
    <v>161.48599999999999</v>
    <v>165.36199999999999</v>
    <v>165.20699999999999</v>
    <v>161.214</v>
    <v>162.13800000000001</v>
    <v>158.91749999999999</v>
    <v>156.29900000000001</v>
    <v>151.66749999999999</v>
    <v>142.643</v>
    <v>144.54400000000001</v>
    <v>139.98599999999999</v>
    <v>138.8725</v>
    <v>139.63749999999999</v>
    <v>143.97800000000001</v>
    <v>149.5735</v>
    <v>151.1935</v>
    <v>150.61250000000001</v>
    <v>138.84549999999999</v>
    <v>157.6395</v>
    <v>157.93549999999999</v>
    <v>161.4135</v>
    <v>161.18950000000001</v>
    <v>159.0035</v>
    <v>153.29349999999999</v>
    <v>155.167</v>
    <v>156.51050000000001</v>
    <v>158.10050000000001</v>
    <v>154.6525</v>
    <v>152.60149999999999</v>
    <v>150.19749999999999</v>
    <v>144.827</v>
    <v>151.358</v>
    <v>153.7885</v>
    <v>153.56299999999999</v>
    <v>151.142</v>
    <v>152.05250000000001</v>
    <v>147.89850000000001</v>
    <v>145.64099999999999</v>
    <v>137.453</v>
    <v>136.0145</v>
    <v>139.279</v>
    <v>146.8175</v>
    <v>145.52449999999999</v>
    <v>141.85300000000001</v>
    <v>147.3665</v>
    <v>153.10400000000001</v>
    <v>157.239</v>
    <v>161.25049999999999</v>
    <v>161.4915</v>
    <v>164.88900000000001</v>
    <v>163.40799999999999</v>
    <v>163.64949999999999</v>
    <v>164.77350000000001</v>
    <v>168.9905</v>
    <v>169.315</v>
    <v>166.30099999999999</v>
    <v>162.9975</v>
    <v>163.56</v>
    <v>168.34649999999999</v>
    <v>164.05500000000001</v>
    <v>158.756</v>
    <v>157.78450000000001</v>
    <v>154.4605</v>
    <v>151.12200000000001</v>
    <v>150.78749999999999</v>
    <v>155.541</v>
    <v>151.70650000000001</v>
    <v>152.785</v>
    <v>158.1155</v>
    <v>153.99799999999999</v>
    <v>148.29599999999999</v>
    <v>144.35</v>
    <v>146.07400000000001</v>
    <v>139.39099999999999</v>
    <v>138.167</v>
    <v>144.59649999999999</v>
    <v>124.28149999999999</v>
    <v>124.5</v>
    <v>124.2535</v>
    <v>125.9285</v>
    <v>116.407</v>
    <v>114.77249999999999</v>
    <v>108.789</v>
    <v>108.85899999999999</v>
    <v>105.372</v>
    <v>106.93049999999999</v>
    <v>113.05500000000001</v>
    <v>110.8105</v>
    <v>115.3685</v>
    <v>107.1125</v>
    <v>107.319</v>
    <v>107.59099999999999</v>
    <v>107.557</v>
    <v>104.1</v>
    <v>106.77500000000001</v>
    <v>111.0775</v>
    <v>115.1465</v>
    <v>120.20950000000001</v>
    <v>121.684</v>
    <v>125.511</v>
    <v>122.35</v>
    <v>124.79</v>
    <v>123</v>
    <v>121.18</v>
    <v>116.15</v>
    <v>109.65</v>
    <v>103.67</v>
    <v>102.31</v>
    <v>107.67</v>
    <v>103.66</v>
    <v>106.22</v>
    <v>108.68</v>
    <v>108.95</v>
    <v>112.44</v>
    <v>116.46</v>
    <v>113.22</v>
    <v>107.4</v>
    <v>108.92</v>
    <v>106.21</v>
    <v>109.56</v>
    <v>113.5</v>
    <v>114.33</v>
    <v>116.33</v>
    <v>115.54</v>
    <v>111.75</v>
    <v>109.22</v>
    <v>110.4</v>
    <v>110.63</v>
    <v>113.55</v>
    <v>113.76</v>
    <v>118.21</v>
    <v>122.77</v>
    <v>124.63</v>
    <v>122.42</v>
    <v>121.14</v>
    <v>114.81</v>
    <v>120.97</v>
    <v>122.28</v>
    <v>134.94999999999999</v>
    <v>135.38999999999999</v>
    <v>134.16</v>
    <v>139.52000000000001</v>
    <v>142.57</v>
    <v>140.80000000000001</v>
    <v>139.41</v>
    <v>137.83000000000001</v>
    <v>142.69</v>
    <v>140.63999999999999</v>
    <v>143.55000000000001</v>
    <v>143.18</v>
    <v>144.78</v>
    <v>142.1</v>
    <v>142.30000000000001</v>
    <v>138.22999999999999</v>
    <v>133.22</v>
    <v>133.62</v>
    <v>133.80000000000001</v>
    <v>137.28</v>
    <v>130.75</v>
    <v>129.79</v>
    <v>128.72999999999999</v>
    <v>126.77</v>
    <v>127.82</v>
    <v>127.51</v>
    <v>126.11</v>
    <v>129.47999999999999</v>
    <v>129.82</v>
    <v>133.27000000000001</v>
    <v>136.44999999999999</v>
    <v>126.82</v>
    <v>128.55000000000001</v>
    <v>126.28</v>
    <v>123.53</v>
    <v>124.66</v>
    <v>122.19</v>
    <v>118.54</v>
    <v>117.31</v>
    <v>113.78</v>
    <v>115.15</v>
    <v>114.41</v>
    <v>118.01</v>
    <v>114.8</v>
    <v>113</v>
    <v>115.88</v>
    <v>121.09</v>
    <v>120.95</v>
    <v>120.3</v>
    <v>114.56</v>
    <v>113.67</v>
    <v>112.21</v>
    <v>112.9</v>
    <v>112.53</v>
    <v>106.9</v>
    <v>113.79</v>
    <v>116.36</v>
    <v>115.07</v>
    <v>115.25</v>
    <v>119.32</v>
    <v>119.82</v>
    <v>120.6</v>
    <v>115.66</v>
    <v>110.96</v>
    <v>103.41</v>
    <v>102.44</v>
    <v>96.79</v>
    <v>92.12</v>
    <v>89.3</v>
    <v>90.98</v>
    <v>90.53</v>
    <v>89.98</v>
    <v>86.14</v>
    <v>96.63</v>
    <v>100.79</v>
    <v>98.49</v>
    <v>98.94</v>
    <v>97.12</v>
    <v>94.85</v>
    <v>94.14</v>
    <v>92.46</v>
    <v>93.2</v>
    <v>94.13</v>
    <v>93.41</v>
    <v>93.95</v>
    <v>92.42</v>
    <v>96.54</v>
    <v>95.5</v>
    <v>94.13</v>
    <v>91.01</v>
    <v>88.25</v>
    <v>88.46</v>
    <v>90.35</v>
    <v>89.09</v>
    <v>90.55</v>
    <v>92.49</v>
    <v>91.58</v>
    <v>88.45</v>
    <v>87.86</v>
    <v>84.92</v>
    <v>85.19</v>
    <v>86.77</v>
    <v>83.79</v>
    <v>85.25</v>
    <v>83.04</v>
    <v>81.819999999999993</v>
    <v>84.18</v>
    <v>84</v>
    <v>85.82</v>
    <v>85.14</v>
    <v>83.12</v>
    <v>86.08</v>
    <v>87.36</v>
    <v>89.87</v>
    <v>95.09</v>
    <v>95.27</v>
    <v>98.12</v>
    <v>96.05</v>
    <v>95.46</v>
    <v>93.68</v>
    <v>97.25</v>
    <v>97.52</v>
    <v>96.32</v>
    <v>97.18</v>
    <v>99.22</v>
    <v>102.24</v>
    <v>100.55</v>
    <v>103.13</v>
    <v>105.15</v>
    <v>112.91</v>
    <v>103.39</v>
    <v>102.18</v>
    <v>102.11</v>
    <v>100.05</v>
    <v>98.24</v>
    <v>97.61</v>
    <v>99.54</v>
    <v>99.7</v>
    <v>101.16</v>
    <v>98.15</v>
    <v>97.2</v>
    <v>94.58</v>
    <v>95.79</v>
    <v>95.82</v>
    <v>93.5</v>
    <v>93.76</v>
    <v>94.23</v>
    <v>92.17</v>
    <v>92.13</v>
    <v>94.9</v>
    <v>93.75</v>
    <v>93.55</v>
    <v>93.92</v>
    <v>92.25</v>
    <v>90.73</v>
    <v>92.43</v>
    <v>94.88</v>
    <v>96.2</v>
    <v>100.04</v>
    <v>98.95</v>
    <v>97.71</v>
    <v>100.61</v>
    <v>98.7</v>
    <v>98.71</v>
    <v>98.13</v>
    <v>98.04</v>
    <v>97.24</v>
    <v>100.25</v>
    <v>102</v>
    <v>103.29</v>
    <v>102.41</v>
    <v>103.95</v>
    <v>101.1</v>
    <v>102.06</v>
    <v>102.17</v>
    <v>99.92</v>
    <v>97.83</v>
    <v>102.4</v>
    <v>102.51</v>
    <v>102.74</v>
    <v>102.3</v>
    <v>104.3</v>
    <v>103.81</v>
    <v>106.96</v>
    <v>106.21</v>
    <v>102.57</v>
    <v>104.98</v>
    <v>109.82</v>
    <v>105.45</v>
    <v>102.05</v>
    <v>103.63</v>
    <v>103.65</v>
    <v>104</v>
    <v>105.655</v>
    <v>105.83</v>
    <v>106.62</v>
    <v>110.19</v>
    <v>112.18</v>
    <v>110.26</v>
    <v>111.2</v>
    <v>113.4</v>
    <v>115.5</v>
    <v>118.15</v>
    <v>116.25</v>
    <v>115.01</v>
    <v>114.99</v>
    <v>116.75</v>
    <v>115</v>
    <v>120.11</v>
    <v>121.66</v>
    <v>120.58</v>
    <v>122.77</v>
    <v>124.25</v>
    <v>125.3</v>
    <v>126.61</v>
    <v>121.23</v>
    <v>124.25</v>
    <v>123.43</v>
    <v>126.57</v>
    <v>126.66</v>
    <v>126.42</v>
    <v>127.11</v>
    <v>125.49</v>
    <v>125.78</v>
    <v>124.83</v>
    <v>130.15</v>
    <v>129.33000000000001</v>
    <v>127.33</v>
    <v>129.18</v>
    <v>129.04</v>
    <v>127.9</v>
    <v>130.36000000000001</v>
    <v>130.22</v>
    <v>130.38</v>
    <v>128.36000000000001</v>
    <v>129.78</v>
    <v>127.13</v>
    <v>128.78</v>
    <v>130.80000000000001</v>
    <v>134.30000000000001</v>
    <v>134.68</v>
    <v>133.56</v>
    <v>132.83000000000001</v>
    <v>135.36000000000001</v>
    <v>129.96</v>
    <v>130</v>
    <v>128.80000000000001</v>
    <v>129.13</v>
    <v>128.15</v>
    <v>128.25</v>
    <v>132.21</v>
    <v>133.68</v>
    <v>131.69</v>
    <v>128.21</v>
    <v>128.91</v>
    <v>139.57</v>
    <v>142.22</v>
    <v>139.94</v>
    <v>137.85</v>
    <v>138.56</v>
    <v>138.41</v>
    <v>140.57</v>
    <v>137.66999999999999</v>
    <v>135.07</v>
    <v>133.97999999999999</v>
    <v>133.22</v>
    <v>134.68</v>
    <v>134.25</v>
    <v>135.52000000000001</v>
    <v>131.84</v>
    <v>133.26</v>
    <v>133.13999999999999</v>
    <v>134.91</v>
    <v>135.07</v>
    <v>138.01</v>
    <v>138.12</v>
    <v>137.27000000000001</v>
    <v>135.36000000000001</v>
    <v>137.85</v>
    <v>138.22999999999999</v>
    <v>143.1</v>
    <v>141.22999999999999</v>
    <v>144.85</v>
    <v>144.72</v>
    <v>140.38999999999999</v>
    <v>139.97999999999999</v>
    <v>137.63</v>
    <v>135.29</v>
    <v>129.33000000000001</v>
    <v>129.12</v>
    <v>131.27000000000001</v>
    <v>125.98</v>
    <v>125.98</v>
    <v>125.98</v>
    <v>127.12</v>
    <v>129.46</v>
    <v>124.72</v>
    <v>127</v>
    <v>125.96</v>
    <v>127.96</v>
    <v>128.26</v>
    <v>129.47999999999999</v>
    <v>131.83000000000001</v>
    <v>132.33000000000001</v>
    <v>129.79</v>
    <v>132.55000000000001</v>
    <v>131.47</v>
    <v>128.13</v>
    <v>128.4</v>
    <v>125.17</v>
    <v>126.56</v>
    <v>128.56</v>
    <v>121.39</v>
    <v>119.57</v>
    <v>127.74</v>
    <v>132.71</v>
    <v>133.09</v>
    <v>137</v>
    <v>138.07</v>
    <v>138.6</v>
    <v>139.74</v>
    <v>142.71</v>
    <v>142.08000000000001</v>
    <v>140.6</v>
    <v>143.56</v>
    <v>142.59</v>
    <v>145.80000000000001</v>
    <v>143.19999999999999</v>
    <v>142.83000000000001</v>
    <v>145.18</v>
    <v>146.13</v>
    <v>143.9</v>
    <v>146.71</v>
    <v>146.74</v>
    <v>147.72999999999999</v>
    <v>147.03</v>
    <v>146.32</v>
    <v>146.09</v>
    <v>147.03</v>
    <v>144.84</v>
    <v>146.88</v>
    <v>144.52000000000001</v>
    <v>146.88</v>
    <v>147.41999999999999</v>
    <v>145.88999999999999</v>
    <v>147.47999999999999</v>
    <v>148.84</v>
    <v>147.41999999999999</v>
    <v>149.97</v>
    <v>154.07</v>
    <v>153.79</v>
    <v>152.12</v>
    <v>153.84</v>
    <v>153.41999999999999</v>
    <v>153.41</v>
    <v>153.34</v>
    <v>153.38</v>
    <v>151.94</v>
    <v>149.93</v>
    <v>148.47</v>
    <v>144.57</v>
    <v>145.24</v>
    <v>149.1</v>
    <v>151.37</v>
    <v>153.72999999999999</v>
    <v>155.18</v>
    <v>154.62</v>
    <v>153.16</v>
    <v>151.71</v>
    <v>153.5</v>
    <v>155.34</v>
    <v>154.78</v>
    <v>156.02000000000001</v>
    <v>156.87</v>
    <v>157.75</v>
    <v>159.12</v>
    <v>161.26</v>
    <v>159</v>
    <v>155.19999999999999</v>
    <v>159.28</v>
    <v>171.81</v>
    <v>170.31</v>
    <v>169.15</v>
    <v>170.53</v>
    <v>169.84</v>
    <v>174.45</v>
    <v>172.34</v>
    <v>168.64</v>
    <v>170.98</v>
    <v>169.8</v>
    <v>169.51</v>
    <v>167.08</v>
    <v>168.59</v>
    <v>174.58</v>
    <v>174.99</v>
    <v>174.73</v>
    <v>173.54</v>
    <v>173.16</v>
    <v>176.76</v>
    <v>178.22</v>
    <v>177.58</v>
    <v>174.12</v>
    <v>173.51</v>
    <v>176.82</v>
    <v>175.35</v>
    <v>171.96</v>
    <v>175.39</v>
    <v>176.55500000000001</v>
    <v>178.75</v>
    <v>174.42</v>
    <v>174.48</v>
    <v>175.9</v>
    <v>178.15</v>
    <v>178.15</v>
    <v>178.87</v>
    <v>179.71</v>
    <v>178.3</v>
    <v>179.83</v>
    <v>180.38</v>
    <v>180.97</v>
    <v>180.69</v>
    <v>182.41</v>
    <v>180</v>
    <v>185.07</v>
    <v>185.19</v>
    <v>185.67</v>
    <v>185.95</v>
    <v>189.05</v>
    <v>186.13</v>
    <v>183.62</v>
    <v>183.32</v>
    <v>181.28</v>
    <v>179.22</v>
    <v>174.63</v>
    <v>177.23</v>
    <v>179.54</v>
    <v>176.59</v>
    <v>173.67</v>
    <v>179.62</v>
    <v>180.96</v>
    <v>175</v>
    <v>179</v>
    <v>184.72</v>
    <v>186.21</v>
    <v>188.7</v>
    <v>188.76</v>
    <v>188</v>
    <v>189.5</v>
    <v>187.48</v>
    <v>186.57</v>
    <v>187.07</v>
    <v>185.99</v>
    <v>183.63</v>
    <v>184.7</v>
    <v>183.54</v>
    <v>183.15</v>
    <v>183.13</v>
    <v>181.05</v>
    <v>180.75</v>
    <v>182.15</v>
    <v>182.02</v>
    <v>179.32</v>
    <v>176.44</v>
    <v>178.34</v>
    <v>179.34</v>
    <v>181.28</v>
    <v>185</v>
    <v>184.3</v>
    <v>187.06</v>
    <v>187.23</v>
    <v>186.89</v>
    <v>183.83</v>
    <v>183.66</v>
    <v>184.06</v>
    <v>182.81</v>
    <v>186.1</v>
    <v>189.08</v>
    <v>185.57</v>
    <v>186.34</v>
    <v>193.61</v>
    <v>197.85</v>
    <v>193.25</v>
    <v>197.2</v>
    <v>200</v>
    <v>197.59</v>
    <v>200</v>
    <v>199.29</v>
    <v>199.34</v>
    <v>199.79</v>
    <v>195.05</v>
    <v>194.49</v>
    <v>192.72</v>
    <v>193.02</v>
    <v>187.93</v>
    <v>183.75</v>
    <v>183.13</v>
    <v>182.55</v>
    <v>186.41</v>
    <v>180.83</v>
    <v>179.85</v>
    <v>182.5</v>
    <v>183.2</v>
    <v>181.71</v>
    <v>186.98</v>
    <v>184.07</v>
    <v>167.9</v>
    <v>161.02000000000001</v>
    <v>161.93</v>
    <v>162.77000000000001</v>
    <v>165.8</v>
    <v>166.94</v>
    <v>166.8</v>
    <v>170.23</v>
    <v>170.1</v>
    <v>177.59</v>
    <v>177.06</v>
    <v>178.22</v>
    <v>178.88</v>
    <v>180.11</v>
    <v>176.13</v>
    <v>177.04</v>
    <v>175.5</v>
    <v>173.12</v>
    <v>170.8</v>
    <v>172.12</v>
    <v>178.5</v>
    <v>176.25</v>
    <v>173.33</v>
    <v>177.89</v>
    <v>171.39</v>
    <v>175.4</v>
    <v>179.55</v>
    <v>184.52</v>
    <v>187</v>
    <v>186.49</v>
    <v>184.89</v>
    <v>186.88</v>
    <v>186.43</v>
    <v>189.87</v>
    <v>191.6</v>
    <v>193.88</v>
    <v>193.96</v>
    <v>192.53</v>
    <v>191.16</v>
    <v>187.97</v>
    <v>186.33</v>
    <v>185.13</v>
    <v>184.76</v>
    <v>181.96</v>
    <v>186.51</v>
    <v>180.8</v>
    <v>182.72</v>
    <v>185.17</v>
    <v>186.65</v>
    <v>188.82</v>
    <v>187.54</v>
    <v>187.69</v>
    <v>186.89</v>
    <v>187.53</v>
    <v>188.99</v>
    <v>189.07</v>
    <v>189.7</v>
    <v>184.71</v>
    <v>186.38</v>
    <v>187.83</v>
    <v>188.39</v>
    <v>190.83</v>
    <v>192.73</v>
    <v>186.4</v>
    <v>197.93</v>
    <v>195.78</v>
    <v>199.5</v>
    <v>207.09</v>
    <v>210.05</v>
    <v>208.18</v>
    <v>206.84</v>
    <v>208.91</v>
    <v>214.1</v>
    <v>211.48</v>
    <v>202.61</v>
    <v>201.7</v>
    <v>204.61</v>
    <v>202.88</v>
    <v>198.38</v>
    <v>197.12</v>
    <v>201.45</v>
    <v>207.86</v>
    <v>205.74</v>
    <v>207.89</v>
    <v>210.71</v>
    <v>213.44</v>
    <v>218.16</v>
    <v>220.55</v>
    <v>227.03</v>
    <v>226.09</v>
    <v>225.04</v>
    <v>230.26</v>
    <v>228.97</v>
    <v>227.46</v>
    <v>232.93</v>
    <v>231.15</v>
    <v>220.52</v>
    <v>223.29</v>
    <v>224.92</v>
    <v>225.06</v>
    <v>229.05</v>
    <v>227.05</v>
    <v>223.75</v>
    <v>221.3</v>
    <v>219.39</v>
    <v>220.22</v>
    <v>224.19</v>
    <v>227.61</v>
    <v>222.11</v>
    <v>222.13</v>
    <v>218.94</v>
    <v>218.46</v>
    <v>217.76</v>
    <v>223.35</v>
    <v>220.66</v>
    <v>225.94</v>
    <v>230.71</v>
    <v>235.01</v>
    <v>235.42</v>
    <v>234.85</v>
    <v>235.42</v>
    <v>238.15</v>
    <v>237.07</v>
    <v>234.64</v>
    <v>237.68</v>
    <v>237.42</v>
    <v>242.06</v>
    <v>236.17</v>
    <v>238.83</v>
    <v>229.15</v>
    <v>233.14</v>
    <v>232.76</v>
    <v>228.93</v>
    <v>230.37</v>
    <v>228.68</v>
    <v>226.65</v>
    <v>226.63</v>
    <v>222.88</v>
    <v>216.58</v>
    <v>212.71</v>
    <v>212.8</v>
    <v>214.35</v>
    <v>208.74</v>
    <v>212.28</v>
    <v>205.02</v>
    <v>203.8</v>
  </a>
  <a r="1" c="784">
    <v t="i">1</v>
    <v t="i">8</v>
    <v t="i">15</v>
    <v t="i">22</v>
    <v t="i">29</v>
    <v t="i">36</v>
    <v t="i">43</v>
    <v t="i">50</v>
    <v t="i">57</v>
    <v t="i">64</v>
    <v t="i">71</v>
    <v t="i">78</v>
    <v t="i">85</v>
    <v t="i">93</v>
    <v t="i">99</v>
    <v t="i">106</v>
    <v t="i">113</v>
    <v t="i">120</v>
    <v t="i">128</v>
    <v t="i">134</v>
    <v t="i">141</v>
    <v t="i">148</v>
    <v t="i">155</v>
    <v t="i">162</v>
    <v t="i">169</v>
    <v t="i">176</v>
    <v t="i">183</v>
    <v t="i">191</v>
    <v t="i">197</v>
    <v t="i">204</v>
    <v t="i">211</v>
    <v t="i">218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324</v>
    <v t="i">330</v>
    <v t="i">337</v>
    <v t="i">344</v>
    <v t="i">351</v>
    <v t="i">359</v>
    <v t="i">365</v>
    <v t="i">372</v>
    <v t="i">379</v>
    <v t="i">386</v>
    <v t="i">393</v>
    <v t="i">400</v>
    <v t="i">407</v>
    <v t="i">414</v>
    <v t="i">421</v>
    <v t="i">428</v>
    <v t="i">435</v>
    <v t="i">442</v>
    <v t="i">449</v>
    <v t="i">457</v>
    <v t="i">463</v>
    <v t="i">470</v>
    <v t="i">477</v>
    <v t="i">484</v>
    <v t="i">492</v>
    <v t="i">498</v>
    <v t="i">505</v>
    <v t="i">512</v>
    <v t="i">519</v>
    <v t="i">526</v>
    <v t="i">533</v>
    <v t="i">540</v>
    <v t="i">547</v>
    <v t="i">555</v>
    <v t="i">561</v>
    <v t="i">568</v>
    <v t="i">575</v>
    <v t="i">582</v>
    <v t="i">589</v>
    <v t="i">596</v>
    <v t="i">603</v>
    <v t="i">610</v>
    <v t="i">617</v>
    <v t="i">624</v>
    <v t="i">631</v>
    <v t="i">638</v>
    <v t="i">645</v>
    <v t="i">652</v>
    <v t="i">659</v>
    <v t="i">667</v>
    <v t="i">674</v>
    <v t="i">680</v>
    <v t="i">688</v>
    <v t="i">694</v>
    <v t="i">701</v>
    <v t="i">708</v>
    <v t="i">715</v>
    <v t="i">723</v>
    <v t="i">729</v>
    <v t="i">736</v>
    <v t="i">743</v>
    <v t="i">750</v>
    <v t="i">757</v>
    <v t="i">764</v>
    <v t="i">771</v>
    <v t="i">778</v>
    <v t="i">785</v>
    <v t="i">792</v>
    <v t="i">799</v>
    <v t="i">806</v>
    <v t="i">813</v>
    <v t="i">821</v>
    <v t="i">827</v>
    <v t="i">834</v>
    <v t="i">841</v>
    <v t="i">848</v>
    <v t="i">855</v>
    <v t="i">862</v>
    <v t="i">869</v>
    <v t="i">876</v>
    <v t="i">883</v>
    <v t="i">890</v>
    <v t="i">897</v>
    <v t="i">904</v>
    <v t="i">911</v>
    <v t="i">919</v>
    <v t="i">925</v>
    <v t="i">932</v>
    <v t="i">939</v>
    <v t="i">946</v>
    <v t="i">953</v>
    <v t="i">960</v>
    <v t="i">967</v>
    <v t="i">976</v>
    <v t="i">981</v>
    <v t="i">988</v>
    <v t="i">995</v>
    <v t="i">1002</v>
    <v t="i">1009</v>
    <v t="i">1016</v>
    <v t="i">1023</v>
    <v t="i">1030</v>
    <v t="i">1037</v>
    <v t="i">1044</v>
    <v t="i">1051</v>
    <v t="i">1059</v>
    <v t="i">1065</v>
    <v t="i">1072</v>
    <v t="i">1079</v>
    <v t="i">1087</v>
    <v t="i">1093</v>
    <v t="i">1100</v>
    <v t="i">1107</v>
    <v t="i">1114</v>
    <v t="i">1121</v>
    <v t="i">1128</v>
    <v t="i">1135</v>
    <v t="i">1142</v>
    <v t="i">1149</v>
    <v t="i">1156</v>
    <v t="i">1163</v>
    <v t="i">1170</v>
    <v t="i">1177</v>
    <v t="i">1185</v>
    <v t="i">1191</v>
    <v t="i">1198</v>
    <v t="i">1205</v>
    <v t="i">1212</v>
    <v t="i">1219</v>
    <v t="i">1226</v>
    <v t="i">1233</v>
    <v t="i">1240</v>
    <v t="i">1247</v>
    <v t="i">1254</v>
    <v t="i">1261</v>
    <v t="i">1268</v>
    <v t="i">1275</v>
    <v t="i">1283</v>
    <v t="i">1289</v>
    <v t="i">1296</v>
    <v t="i">1303</v>
    <v t="i">1310</v>
    <v t="i">1317</v>
    <v t="i">1324</v>
    <v t="i">1331</v>
    <v t="i">1338</v>
    <v t="i">1345</v>
    <v t="i">1352</v>
    <v t="i">1359</v>
    <v t="i">1366</v>
    <v t="i">1373</v>
    <v t="i">1380</v>
    <v t="i">1387</v>
    <v t="i">1394</v>
    <v t="i">1401</v>
    <v t="i">1408</v>
    <v t="i">1415</v>
    <v t="i">1423</v>
    <v t="i">1429</v>
    <v t="i">1436</v>
    <v t="i">1443</v>
    <v t="i">1451</v>
    <v t="i">1457</v>
    <v t="i">1464</v>
    <v t="i">1471</v>
    <v t="i">1478</v>
    <v t="i">1485</v>
    <v t="i">1492</v>
    <v t="i">1499</v>
    <v t="i">1506</v>
    <v t="i">1513</v>
    <v t="i">1520</v>
    <v t="i">1527</v>
    <v t="i">1534</v>
    <v t="i">1541</v>
    <v t="i">1549</v>
    <v t="i">1555</v>
    <v t="i">1562</v>
    <v t="i">1569</v>
    <v t="i">1576</v>
    <v t="i">1583</v>
    <v t="i">1590</v>
    <v t="i">1597</v>
    <v t="i">1604</v>
    <v t="i">1611</v>
    <v t="i">1618</v>
    <v t="i">1625</v>
    <v t="i">1632</v>
    <v t="i">1639</v>
    <v t="i">1647</v>
    <v t="i">1653</v>
    <v t="i">1660</v>
    <v t="i">1667</v>
    <v t="i">1674</v>
    <v t="i">1681</v>
    <v t="i">1688</v>
    <v t="i">1695</v>
    <v t="i">1702</v>
    <v t="i">1709</v>
    <v t="i">1716</v>
    <v t="i">1723</v>
    <v t="i">1730</v>
    <v t="i">1737</v>
    <v t="i">1744</v>
    <v t="i">1751</v>
    <v t="i">1758</v>
    <v t="i">1765</v>
    <v t="i">1772</v>
    <v t="i">1779</v>
    <v t="i">1787</v>
    <v t="i">1793</v>
    <v t="i">1800</v>
    <v t="i">1807</v>
    <v t="i">1815</v>
    <v t="i">1821</v>
    <v t="i">1828</v>
    <v t="i">1835</v>
    <v t="i">1842</v>
    <v t="i">1849</v>
    <v t="i">1856</v>
    <v t="i">1863</v>
    <v t="i">1870</v>
    <v t="i">1877</v>
    <v t="i">1884</v>
    <v t="i">1891</v>
    <v t="i">1898</v>
    <v t="i">1905</v>
    <v t="i">1913</v>
    <v t="i">1919</v>
    <v t="i">1926</v>
    <v t="i">1933</v>
    <v t="i">1940</v>
    <v t="i">1947</v>
    <v t="i">1954</v>
    <v t="i">1961</v>
    <v t="i">1968</v>
    <v t="i">1975</v>
    <v t="i">1982</v>
    <v t="i">1989</v>
    <v t="i">1996</v>
    <v t="i">2003</v>
    <v t="i">2010</v>
    <v t="i">2018</v>
    <v t="i">2024</v>
    <v t="i">2031</v>
    <v t="i">2038</v>
    <v t="i">2045</v>
    <v t="i">2052</v>
    <v t="i">2059</v>
    <v t="i">2066</v>
    <v t="i">2073</v>
    <v t="i">2080</v>
    <v t="i">2087</v>
    <v t="i">2094</v>
    <v t="i">2101</v>
    <v t="i">2108</v>
    <v t="i">2115</v>
    <v t="i">2122</v>
    <v t="i">2129</v>
    <v t="i">2136</v>
    <v t="i">2143</v>
    <v t="i">2151</v>
    <v t="i">2157</v>
    <v t="i">2164</v>
    <v t="i">2171</v>
    <v t="i">2179</v>
    <v t="i">2185</v>
    <v t="i">2192</v>
    <v t="i">2199</v>
    <v t="i">2206</v>
    <v t="i">2213</v>
    <v t="i">2220</v>
    <v t="i">2227</v>
    <v t="i">2234</v>
    <v t="i">2241</v>
    <v t="i">2248</v>
    <v t="i">2255</v>
    <v t="i">2262</v>
    <v t="i">2269</v>
    <v t="i">2276</v>
    <v t="i">2284</v>
    <v t="i">2290</v>
    <v t="i">2297</v>
    <v t="i">2304</v>
    <v t="i">2311</v>
    <v t="i">2319</v>
    <v t="i">2325</v>
    <v t="i">2332</v>
    <v t="i">2339</v>
    <v t="i">2346</v>
    <v t="i">2353</v>
    <v t="i">2360</v>
    <v t="i">2367</v>
    <v t="i">2374</v>
    <v t="i">2382</v>
    <v t="i">2388</v>
    <v t="i">2395</v>
    <v t="i">2402</v>
    <v t="i">2409</v>
    <v t="i">2416</v>
    <v t="i">2423</v>
    <v t="i">2430</v>
    <v t="i">2437</v>
    <v t="i">2444</v>
    <v t="i">2451</v>
    <v t="i">2458</v>
    <v t="i">2465</v>
    <v t="i">2472</v>
    <v t="i">2479</v>
    <v t="i">2486</v>
    <v t="i">2494</v>
    <v t="i">2501</v>
    <v t="i">2507</v>
    <v t="i">2515</v>
    <v t="i">2521</v>
    <v t="i">2528</v>
    <v t="i">2535</v>
    <v t="i">2542</v>
    <v t="i">2550</v>
    <v t="i">2556</v>
    <v t="i">2563</v>
    <v t="i">2570</v>
    <v t="i">2577</v>
    <v t="i">2584</v>
    <v t="i">2591</v>
    <v t="i">2598</v>
    <v t="i">2605</v>
    <v t="i">2612</v>
    <v t="i">2619</v>
    <v t="i">2626</v>
    <v t="i">2633</v>
    <v t="i">2640</v>
    <v t="i">2648</v>
    <v t="i">2654</v>
    <v t="i">2661</v>
    <v t="i">2668</v>
    <v t="i">2675</v>
    <v t="i">2682</v>
    <v t="i">2689</v>
    <v t="i">2696</v>
    <v t="i">2703</v>
    <v t="i">2710</v>
    <v t="i">2717</v>
    <v t="i">2724</v>
    <v t="i">2731</v>
    <v t="i">2738</v>
    <v t="i">2746</v>
    <v t="i">2752</v>
    <v t="i">2759</v>
    <v t="i">2766</v>
    <v t="i">2773</v>
    <v t="i">2780</v>
    <v t="i">2787</v>
    <v t="i">2794</v>
    <v t="i">2801</v>
    <v t="i">2808</v>
    <v t="i">2815</v>
    <v t="i">2822</v>
    <v t="i">2829</v>
    <v t="i">2836</v>
    <v t="i">2843</v>
    <v t="i">2850</v>
    <v t="i">2858</v>
    <v t="i">2865</v>
    <v t="i">2871</v>
    <v t="i">2879</v>
    <v t="i">2885</v>
    <v t="i">2892</v>
    <v t="i">2899</v>
    <v t="i">2906</v>
    <v t="i">2914</v>
    <v t="i">2920</v>
    <v t="i">2927</v>
    <v t="i">2934</v>
    <v t="i">2941</v>
    <v t="i">2948</v>
    <v t="i">2955</v>
    <v t="i">2962</v>
    <v t="i">2969</v>
    <v t="i">2976</v>
    <v t="i">2983</v>
    <v t="i">2990</v>
    <v t="i">2997</v>
    <v t="i">3004</v>
    <v t="i">3012</v>
    <v t="i">3018</v>
    <v t="i">3025</v>
    <v t="i">3032</v>
    <v t="i">3039</v>
    <v t="i">3046</v>
    <v t="i">3053</v>
    <v t="i">3060</v>
    <v t="i">3067</v>
    <v t="i">3074</v>
    <v t="i">3081</v>
    <v t="i">3088</v>
    <v t="i">3095</v>
    <v t="i">3102</v>
    <v t="i">3110</v>
    <v t="i">3116</v>
    <v t="i">3123</v>
    <v t="i">3130</v>
    <v t="i">3137</v>
    <v t="i">3144</v>
    <v t="i">3151</v>
    <v t="i">3158</v>
    <v t="i">3165</v>
    <v t="i">3172</v>
    <v t="i">3179</v>
    <v t="i">3186</v>
    <v t="i">3193</v>
    <v t="i">3200</v>
    <v t="i">3207</v>
    <v t="i">3214</v>
    <v t="i">3221</v>
    <v t="i">3228</v>
    <v t="i">3235</v>
    <v t="i">3242</v>
    <v t="i">3250</v>
    <v t="i">3256</v>
    <v t="i">3263</v>
    <v t="i">3270</v>
    <v t="i">3278</v>
    <v t="i">3284</v>
    <v t="i">3291</v>
    <v t="i">3298</v>
    <v t="i">3305</v>
    <v t="i">3312</v>
    <v t="i">3319</v>
    <v t="i">3326</v>
    <v t="i">3333</v>
    <v t="i">3340</v>
    <v t="i">3347</v>
    <v t="i">3354</v>
    <v t="i">3361</v>
    <v t="i">3368</v>
    <v t="i">3376</v>
    <v t="i">3382</v>
    <v t="i">3389</v>
    <v t="i">3396</v>
    <v t="i">3403</v>
    <v t="i">3410</v>
    <v t="i">3417</v>
    <v t="i">3424</v>
    <v t="i">3431</v>
    <v t="i">3438</v>
    <v t="i">3445</v>
    <v t="i">3452</v>
    <v t="i">3459</v>
    <v t="i">3466</v>
    <v t="i">3474</v>
    <v t="i">3480</v>
    <v t="i">3487</v>
    <v t="i">3494</v>
    <v t="i">3501</v>
    <v t="i">3508</v>
    <v t="i">3515</v>
    <v t="i">3522</v>
    <v t="i">3529</v>
    <v t="i">3536</v>
    <v t="i">3543</v>
    <v t="i">3550</v>
    <v t="i">3557</v>
    <v t="i">3564</v>
    <v t="i">3571</v>
    <v t="i">3578</v>
    <v t="i">3585</v>
    <v t="i">3592</v>
    <v t="i">3599</v>
    <v t="i">3606</v>
    <v t="i">3614</v>
    <v t="i">3620</v>
    <v t="i">3627</v>
    <v t="i">3634</v>
    <v t="i">3642</v>
    <v t="i">3648</v>
    <v t="i">3655</v>
    <v t="i">3662</v>
    <v t="i">3669</v>
    <v t="i">3676</v>
    <v t="i">3683</v>
    <v t="i">3690</v>
    <v t="i">3697</v>
    <v t="i">3704</v>
    <v t="i">3711</v>
    <v t="i">3718</v>
    <v t="i">3725</v>
    <v t="i">3732</v>
    <v t="i">3740</v>
    <v t="i">3746</v>
    <v t="i">3753</v>
    <v t="i">3760</v>
    <v t="i">3767</v>
    <v t="i">3774</v>
    <v t="i">3781</v>
    <v t="i">3788</v>
    <v t="i">3795</v>
    <v t="i">3802</v>
    <v t="i">3809</v>
    <v t="i">3816</v>
    <v t="i">3823</v>
    <v t="i">3830</v>
    <v t="i">3837</v>
    <v t="i">3845</v>
    <v t="i">3851</v>
    <v t="i">3858</v>
    <v t="i">3865</v>
    <v t="i">3872</v>
    <v t="i">3879</v>
    <v t="i">3886</v>
    <v t="i">3893</v>
    <v t="i">3900</v>
    <v t="i">3907</v>
    <v t="i">3914</v>
    <v t="i">3921</v>
    <v t="i">3928</v>
    <v t="i">3935</v>
    <v t="i">3942</v>
    <v t="i">3949</v>
    <v t="i">3956</v>
    <v t="i">3963</v>
    <v t="i">3970</v>
    <v t="i">3978</v>
    <v t="i">3984</v>
    <v t="i">3991</v>
    <v t="i">3998</v>
    <v t="i">4006</v>
    <v t="i">4012</v>
    <v t="i">4019</v>
    <v t="i">4026</v>
    <v t="i">4033</v>
    <v t="i">4040</v>
    <v t="i">4047</v>
    <v t="i">4054</v>
    <v t="i">4061</v>
    <v t="i">4068</v>
    <v t="i">4075</v>
    <v t="i">4082</v>
    <v t="i">4089</v>
    <v t="i">4096</v>
    <v t="i">4103</v>
    <v t="i">4111</v>
    <v t="i">4117</v>
    <v t="i">4124</v>
    <v t="i">4131</v>
    <v t="i">4138</v>
    <v t="i">4146</v>
    <v t="i">4152</v>
    <v t="i">4159</v>
    <v t="i">4166</v>
    <v t="i">4173</v>
    <v t="i">4180</v>
    <v t="i">4187</v>
    <v t="i">4194</v>
    <v t="i">4201</v>
    <v t="i">4209</v>
    <v t="i">4215</v>
    <v t="i">4222</v>
    <v t="i">4229</v>
    <v t="i">4236</v>
    <v t="i">4243</v>
    <v t="i">4250</v>
    <v t="i">4257</v>
    <v t="i">4264</v>
    <v t="i">4271</v>
    <v t="i">4278</v>
    <v t="i">4285</v>
    <v t="i">4292</v>
    <v t="i">4299</v>
    <v t="i">4306</v>
    <v t="i">4313</v>
    <v t="i">4320</v>
    <v t="i">4327</v>
    <v t="i">4334</v>
    <v t="i">4342</v>
    <v t="i">4348</v>
    <v t="i">4355</v>
    <v t="i">4362</v>
    <v t="i">4369</v>
    <v t="i">4377</v>
    <v t="i">4383</v>
    <v t="i">4390</v>
    <v t="i">4397</v>
    <v t="i">4404</v>
    <v t="i">4411</v>
    <v t="i">4418</v>
    <v t="i">4425</v>
    <v t="i">4432</v>
    <v t="i">4439</v>
    <v t="i">4446</v>
    <v t="i">4453</v>
    <v t="i">4460</v>
    <v t="i">4467</v>
    <v t="i">4475</v>
    <v t="i">4481</v>
    <v t="i">4488</v>
    <v t="i">4496</v>
    <v t="i">4502</v>
    <v t="i">4510</v>
    <v t="i">4516</v>
    <v t="i">4523</v>
    <v t="i">4530</v>
    <v t="i">4537</v>
    <v t="i">4544</v>
    <v t="i">4551</v>
    <v t="i">4558</v>
    <v t="i">4565</v>
    <v t="i">4573</v>
    <v t="i">4579</v>
    <v t="i">4586</v>
    <v t="i">4593</v>
    <v t="i">4600</v>
    <v t="i">4607</v>
    <v t="i">4614</v>
    <v t="i">4621</v>
    <v t="i">4628</v>
    <v t="i">4635</v>
    <v t="i">4642</v>
    <v t="i">4649</v>
    <v t="i">4656</v>
    <v t="i">4663</v>
    <v t="i">4670</v>
    <v t="i">4677</v>
    <v t="i">4685</v>
    <v t="i">4692</v>
    <v t="i">4698</v>
    <v t="i">4706</v>
    <v t="i">4712</v>
    <v t="i">4719</v>
    <v t="i">4726</v>
    <v t="i">4733</v>
    <v t="i">4741</v>
    <v t="i">4747</v>
    <v t="i">4754</v>
    <v t="i">4761</v>
    <v t="i">4768</v>
    <v t="i">4775</v>
    <v t="i">4782</v>
    <v t="i">4789</v>
    <v t="i">4796</v>
    <v t="i">4803</v>
    <v t="i">4810</v>
    <v t="i">4817</v>
    <v t="i">4824</v>
    <v t="i">4831</v>
    <v t="i">4839</v>
    <v t="i">4845</v>
    <v t="i">4852</v>
    <v t="i">4860</v>
    <v t="i">4866</v>
    <v t="i">4873</v>
    <v t="i">4880</v>
    <v t="i">4887</v>
    <v t="i">4894</v>
    <v t="i">4901</v>
    <v t="i">4908</v>
    <v t="i">4915</v>
    <v t="i">4922</v>
    <v t="i">4929</v>
    <v t="i">4937</v>
    <v t="i">4943</v>
    <v t="i">4950</v>
    <v t="i">4957</v>
    <v t="i">4964</v>
    <v t="i">4971</v>
    <v t="i">4978</v>
    <v t="i">4985</v>
    <v t="i">4992</v>
    <v t="i">4999</v>
    <v t="i">5006</v>
    <v t="i">5013</v>
    <v t="i">5020</v>
    <v t="i">5027</v>
    <v t="i">5034</v>
    <v t="i">5041</v>
    <v t="i">5049</v>
    <v t="i">5056</v>
    <v t="i">5062</v>
    <v t="i">5070</v>
    <v t="i">5076</v>
    <v t="i">5083</v>
    <v t="i">5090</v>
    <v t="i">5097</v>
    <v t="i">5105</v>
    <v t="i">5111</v>
    <v t="i">5118</v>
    <v t="i">5125</v>
    <v t="i">5132</v>
    <v t="i">5139</v>
    <v t="i">5146</v>
    <v t="i">5153</v>
    <v t="i">5160</v>
    <v t="i">5167</v>
    <v t="i">5174</v>
    <v t="i">5181</v>
    <v t="i">5188</v>
    <v t="i">5195</v>
    <v t="i">5203</v>
    <v t="i">5209</v>
    <v t="i">5216</v>
    <v t="i">5223</v>
    <v t="i">5230</v>
    <v t="i">5237</v>
    <v t="i">5244</v>
    <v t="i">5251</v>
    <v t="i">5258</v>
    <v t="i">5265</v>
    <v t="i">5272</v>
    <v t="i">5279</v>
    <v t="i">5286</v>
    <v t="i">5293</v>
    <v t="i">5301</v>
    <v t="i">5307</v>
    <v t="i">5314</v>
    <v t="i">5321</v>
    <v t="i">5328</v>
    <v t="i">5335</v>
    <v t="i">5342</v>
    <v t="i">5349</v>
    <v t="i">5356</v>
    <v t="i">5363</v>
    <v t="i">5370</v>
    <v t="i">5377</v>
    <v t="i">5384</v>
    <v t="i">5391</v>
    <v t="i">5398</v>
    <v t="i">5405</v>
    <v t="i">5412</v>
    <v t="i">5419</v>
    <v t="i">5426</v>
    <v t="i">5433</v>
    <v t="i">5441</v>
    <v t="i">5447</v>
    <v t="i">5454</v>
    <v t="i">5461</v>
    <v t="i">5469</v>
    <v t="i">5475</v>
    <v t="i">5482</v>
  </a>
  <a r="1" c="784">
    <v>6.4455</v>
    <v>6.5910000000000002</v>
    <v>6.5175000000000001</v>
    <v>6.7530000000000001</v>
    <v>6.5904999999999996</v>
    <v>7.0030000000000001</v>
    <v>7.1086</v>
    <v>7.1814999999999998</v>
    <v>6.8550000000000004</v>
    <v>6.2489999999999997</v>
    <v>6.4265999999999996</v>
    <v>6.1360000000000001</v>
    <v>6.2729999999999997</v>
    <v>6.1384999999999996</v>
    <v>6.1515000000000004</v>
    <v>6.2915000000000001</v>
    <v>6.05</v>
    <v>5.4569999999999999</v>
    <v>5.8630000000000004</v>
    <v>5.9245000000000001</v>
    <v>5.9435000000000002</v>
    <v>5.8944999999999999</v>
    <v>6.4160000000000004</v>
    <v>6.2344999999999997</v>
    <v>6.3879999999999999</v>
    <v>6.3319999999999999</v>
    <v>6.9394999999999998</v>
    <v>7.1219999999999999</v>
    <v>7.4162999999999997</v>
    <v>8.0365000000000002</v>
    <v>7.6855000000000002</v>
    <v>7.7774999999999999</v>
    <v>8.2319999999999993</v>
    <v>8.4565000000000001</v>
    <v>8.2614999999999998</v>
    <v>8.5385000000000009</v>
    <v>8.2840000000000007</v>
    <v>8.2409999999999997</v>
    <v>8.875</v>
    <v>8.7840000000000007</v>
    <v>8.7810000000000006</v>
    <v>8.8789999999999996</v>
    <v>9.1295000000000002</v>
    <v>9</v>
    <v>9.2744999999999997</v>
    <v>9.4375</v>
    <v>8.8710000000000004</v>
    <v>8.5570000000000004</v>
    <v>8.7965</v>
    <v>9.4625000000000004</v>
    <v>9.3249999999999993</v>
    <v>8.8620000000000001</v>
    <v>8.5835000000000008</v>
    <v>8.4034999999999993</v>
    <v>8.0909999999999993</v>
    <v>8.5489999999999995</v>
    <v>9.0065000000000008</v>
    <v>9.2355</v>
    <v>9.0005000000000006</v>
    <v>9.2944999999999993</v>
    <v>9.7904999999999998</v>
    <v>9.8800000000000008</v>
    <v>10.128</v>
    <v>9.9324999999999992</v>
    <v>9.7065000000000001</v>
    <v>9.4160000000000004</v>
    <v>9.3264999999999993</v>
    <v>9.3185000000000002</v>
    <v>9.6274999999999995</v>
    <v>10.474500000000001</v>
    <v>10.914</v>
    <v>10.6435</v>
    <v>10.826000000000001</v>
    <v>11.125999999999999</v>
    <v>10.135</v>
    <v>10.115</v>
    <v>8.9465000000000003</v>
    <v>9.9634999999999998</v>
    <v>10.5</v>
    <v>10.5695</v>
    <v>11.965</v>
    <v>11.1805</v>
    <v>10.811500000000001</v>
    <v>11.237</v>
    <v>12.3355</v>
    <v>11.739000000000001</v>
    <v>10.866</v>
    <v>10.824</v>
    <v>10.8695</v>
    <v>9.8569999999999993</v>
    <v>9.1199999999999992</v>
    <v>9.8015000000000008</v>
    <v>9.6515000000000004</v>
    <v>9.0630000000000006</v>
    <v>8.8640000000000008</v>
    <v>8.6549999999999994</v>
    <v>9.1304999999999996</v>
    <v>8.9209999999999994</v>
    <v>9.5465</v>
    <v>9.7684999999999995</v>
    <v>9.3840000000000003</v>
    <v>9.2769999999999992</v>
    <v>9.125</v>
    <v>8.9565000000000001</v>
    <v>8.9649999999999999</v>
    <v>9.2159999999999993</v>
    <v>9.2524999999999995</v>
    <v>9.7520000000000007</v>
    <v>10.125500000000001</v>
    <v>9.7195</v>
    <v>9.423</v>
    <v>9.4990000000000006</v>
    <v>11.342499999999999</v>
    <v>11.1995</v>
    <v>11.384</v>
    <v>10.692500000000001</v>
    <v>10.644500000000001</v>
    <v>10.411</v>
    <v>10.923999999999999</v>
    <v>10.9175</v>
    <v>11.108000000000001</v>
    <v>11.4175</v>
    <v>11.2525</v>
    <v>10.919499999999999</v>
    <v>11.4145</v>
    <v>11.866</v>
    <v>11.7485</v>
    <v>11.637499999999999</v>
    <v>12.0585</v>
    <v>12.287000000000001</v>
    <v>12.413500000000001</v>
    <v>12.957000000000001</v>
    <v>13.063499999999999</v>
    <v>12.8735</v>
    <v>12.715999999999999</v>
    <v>12.9255</v>
    <v>12.118</v>
    <v>12</v>
    <v>11.912000000000001</v>
    <v>11.6211</v>
    <v>11.3155</v>
    <v>11.2615</v>
    <v>11.994</v>
    <v>12.602499999999999</v>
    <v>12.663399999999999</v>
    <v>12.4595</v>
    <v>12.846</v>
    <v>12.259</v>
    <v>12.9575</v>
    <v>13.397</v>
    <v>13.606</v>
    <v>14.1995</v>
    <v>13.25</v>
    <v>13.0975</v>
    <v>13.2545</v>
    <v>13.271000000000001</v>
    <v>13.287000000000001</v>
    <v>13.7095</v>
    <v>13.090999999999999</v>
    <v>12.887499999999999</v>
    <v>13.3245</v>
    <v>12.773999999999999</v>
    <v>13.6435</v>
    <v>13.016</v>
    <v>12.740500000000001</v>
    <v>12.9025</v>
    <v>13.1815</v>
    <v>13.494999999999999</v>
    <v>13.087</v>
    <v>13.46</v>
    <v>13.843500000000001</v>
    <v>13.6995</v>
    <v>13.667999999999999</v>
    <v>13.884499999999999</v>
    <v>14.294</v>
    <v>15.3775</v>
    <v>15.2615</v>
    <v>15.6005</v>
    <v>15.2105</v>
    <v>14.863</v>
    <v>14.241</v>
    <v>14.500500000000001</v>
    <v>14.048999999999999</v>
    <v>14.792999999999999</v>
    <v>14.896000000000001</v>
    <v>15.817</v>
    <v>15.8005</v>
    <v>15.952</v>
    <v>15.544499999999999</v>
    <v>16.4465</v>
    <v>18.169499999999999</v>
    <v>17.950099999999999</v>
    <v>17.515499999999999</v>
    <v>18.458500000000001</v>
    <v>18.615500000000001</v>
    <v>19.681000000000001</v>
    <v>19.3475</v>
    <v>19.212</v>
    <v>20.11</v>
    <v>19.904</v>
    <v>19.821999999999999</v>
    <v>19.882999999999999</v>
    <v>19.980499999999999</v>
    <v>19.38</v>
    <v>17.9345</v>
    <v>18.053999999999998</v>
    <v>17.8675</v>
    <v>17.338000000000001</v>
    <v>18.105</v>
    <v>18.603000000000002</v>
    <v>18.687000000000001</v>
    <v>18.030999999999999</v>
    <v>16.9145</v>
    <v>16.149999999999999</v>
    <v>15.586499999999999</v>
    <v>16.2455</v>
    <v>15.1915</v>
    <v>15.400499999999999</v>
    <v>14.612</v>
    <v>14.885</v>
    <v>15.612</v>
    <v>15.6275</v>
    <v>16.483499999999999</v>
    <v>16.313500000000001</v>
    <v>16.21</v>
    <v>16.2285</v>
    <v>16.874600000000001</v>
    <v>17.309999999999999</v>
    <v>17.933</v>
    <v>16.200500000000002</v>
    <v>15.353</v>
    <v>15.84</v>
    <v>16.6815</v>
    <v>16.579499999999999</v>
    <v>16.952000000000002</v>
    <v>17.318999999999999</v>
    <v>16.5595</v>
    <v>16.565999999999999</v>
    <v>16.160499999999999</v>
    <v>16.137</v>
    <v>15.5695</v>
    <v>15.182</v>
    <v>14.353</v>
    <v>15.273</v>
    <v>14.993</v>
    <v>16.390999999999998</v>
    <v>16.631499999999999</v>
    <v>16.931999999999999</v>
    <v>15.631500000000001</v>
    <v>15.366</v>
    <v>14.994999999999999</v>
    <v>15.454499999999999</v>
    <v>15.426</v>
    <v>14.846500000000001</v>
    <v>14.537000000000001</v>
    <v>15.6195</v>
    <v>17.726500000000001</v>
    <v>18.713999999999999</v>
    <v>19.0915</v>
    <v>19.183</v>
    <v>19.007999999999999</v>
    <v>19.0045</v>
    <v>18.529</v>
    <v>18.924499999999998</v>
    <v>18.527999999999999</v>
    <v>18.612500000000001</v>
    <v>19.1325</v>
    <v>18.777999999999999</v>
    <v>22.254999999999999</v>
    <v>21.1435</v>
    <v>21.6845</v>
    <v>21.3</v>
    <v>21.381499999999999</v>
    <v>21.461500000000001</v>
    <v>21.3475</v>
    <v>21.495999999999999</v>
    <v>21.745999999999999</v>
    <v>21.905000000000001</v>
    <v>21.8855</v>
    <v>22.1755</v>
    <v>24.150500000000001</v>
    <v>26.471</v>
    <v>26.807500000000001</v>
    <v>26.131</v>
    <v>26.576000000000001</v>
    <v>24.723500000000001</v>
    <v>25.900500000000001</v>
    <v>24.95</v>
    <v>26.472000000000001</v>
    <v>27.013000000000002</v>
    <v>26.212499999999999</v>
    <v>26.626999999999999</v>
    <v>26.99</v>
    <v>28.538</v>
    <v>29.951499999999999</v>
    <v>31.295000000000002</v>
    <v>32.968499999999999</v>
    <v>32.1175</v>
    <v>33.422499999999999</v>
    <v>33.662999999999997</v>
    <v>33.631999999999998</v>
    <v>32.0075</v>
    <v>33.207000000000001</v>
    <v>33.139499999999998</v>
    <v>33.794499999999999</v>
    <v>30.352499999999999</v>
    <v>28.509</v>
    <v>29.818999999999999</v>
    <v>29.35</v>
    <v>25.1065</v>
    <v>25.353999999999999</v>
    <v>26.745000000000001</v>
    <v>27.761500000000002</v>
    <v>28.757000000000001</v>
    <v>28.480499999999999</v>
    <v>27.603999999999999</v>
    <v>29.147500000000001</v>
    <v>29.925000000000001</v>
    <v>29.73</v>
    <v>31.294499999999999</v>
    <v>31.024999999999999</v>
    <v>32.979500000000002</v>
    <v>33.697499999999998</v>
    <v>35.496000000000002</v>
    <v>35.14</v>
    <v>35.612000000000002</v>
    <v>36.277000000000001</v>
    <v>35.895499999999998</v>
    <v>35.319499999999998</v>
    <v>34.948</v>
    <v>36.283999999999999</v>
    <v>37.290500000000002</v>
    <v>36.771999999999998</v>
    <v>37.243000000000002</v>
    <v>37.9405</v>
    <v>38.298999999999999</v>
    <v>38.628</v>
    <v>37.865499999999997</v>
    <v>38.450000000000003</v>
    <v>38.622</v>
    <v>38.006999999999998</v>
    <v>38.926000000000002</v>
    <v>40.287500000000001</v>
    <v>41.865499999999997</v>
    <v>41.971499999999999</v>
    <v>41.148000000000003</v>
    <v>40.9495</v>
    <v>38.816000000000003</v>
    <v>37.752499999999998</v>
    <v>36.950499999999998</v>
    <v>38.008000000000003</v>
    <v>39.018500000000003</v>
    <v>37.017000000000003</v>
    <v>38.433</v>
    <v>37.888500000000001</v>
    <v>38.029499999999999</v>
    <v>37.493499999999997</v>
    <v>39.799500000000002</v>
    <v>40.856999999999999</v>
    <v>40.416499999999999</v>
    <v>41.788499999999999</v>
    <v>40.51</v>
    <v>41.372999999999998</v>
    <v>42.253500000000003</v>
    <v>42.262</v>
    <v>42.494</v>
    <v>42.622999999999998</v>
    <v>42.615499999999997</v>
    <v>42.280500000000004</v>
    <v>44.326999999999998</v>
    <v>44.744</v>
    <v>44.233499999999999</v>
    <v>44.926499999999997</v>
    <v>46.249499999999998</v>
    <v>46.707500000000003</v>
    <v>48.067500000000003</v>
    <v>47.991999999999997</v>
    <v>49.789000000000001</v>
    <v>50.336500000000001</v>
    <v>48.915500000000002</v>
    <v>49.3855</v>
    <v>50.186999999999998</v>
    <v>48.4</v>
    <v>48.938000000000002</v>
    <v>50.090499999999999</v>
    <v>51.283499999999997</v>
    <v>51.002000000000002</v>
    <v>49.378999999999998</v>
    <v>48.399500000000003</v>
    <v>47.923499999999997</v>
    <v>47.262999999999998</v>
    <v>48.912500000000001</v>
    <v>48.295000000000002</v>
    <v>49.339500000000001</v>
    <v>47.755000000000003</v>
    <v>48.067500000000003</v>
    <v>49.478999999999999</v>
    <v>50.146999999999998</v>
    <v>49.145499999999998</v>
    <v>55.047499999999999</v>
    <v>55.58</v>
    <v>56.267499999999998</v>
    <v>56.494</v>
    <v>59.3</v>
    <v>58.1175</v>
    <v>58.1</v>
    <v>58.957000000000001</v>
    <v>58.417999999999999</v>
    <v>58.473500000000001</v>
    <v>61.457000000000001</v>
    <v>65.260000000000005</v>
    <v>64.728999999999999</v>
    <v>70.102500000000006</v>
    <v>71.497500000000002</v>
    <v>66.98</v>
    <v>72.4345</v>
    <v>75</v>
    <v>75.012500000000003</v>
    <v>78.944500000000005</v>
    <v>78.584000000000003</v>
    <v>74.778000000000006</v>
    <v>72.367000000000004</v>
    <v>70.261499999999998</v>
    <v>71.539500000000004</v>
    <v>76.374499999999998</v>
    <v>78.631</v>
    <v>79.047499999999999</v>
    <v>80.145499999999998</v>
    <v>78.718500000000006</v>
    <v>80.507499999999993</v>
    <v>82.076999999999998</v>
    <v>84.1995</v>
    <v>85.798500000000004</v>
    <v>85.783500000000004</v>
    <v>84.99</v>
    <v>85.531499999999994</v>
    <v>90.651499999999999</v>
    <v>90.685000000000002</v>
    <v>90.863500000000002</v>
    <v>91.164500000000004</v>
    <v>94.314999999999998</v>
    <v>94.111000000000004</v>
    <v>95.269499999999994</v>
    <v>100.63549999999999</v>
    <v>97.603499999999997</v>
    <v>98.509500000000003</v>
    <v>95.750500000000002</v>
    <v>100.15</v>
    <v>94.482500000000002</v>
    <v>89.430499999999995</v>
    <v>88.201499999999996</v>
    <v>82.140500000000003</v>
    <v>83.276499999999999</v>
    <v>85.621499999999997</v>
    <v>79.670500000000004</v>
    <v>75.102999999999994</v>
    <v>84.508499999999998</v>
    <v>81.456500000000005</v>
    <v>79.595500000000001</v>
    <v>68.872500000000002</v>
    <v>73.900999999999996</v>
    <v>78.769499999999994</v>
    <v>82.028000000000006</v>
    <v>84.81</v>
    <v>83.528499999999994</v>
    <v>81.311499999999995</v>
    <v>79.411000000000001</v>
    <v>80.397499999999994</v>
    <v>81.578000000000003</v>
    <v>83.586500000000001</v>
    <v>81.040000000000006</v>
    <v>85.617999999999995</v>
    <v>88.238500000000002</v>
    <v>89.037499999999994</v>
    <v>91.864000000000004</v>
    <v>92.153000000000006</v>
    <v>93.084500000000006</v>
    <v>97.531499999999994</v>
    <v>98.123000000000005</v>
    <v>94.498999999999995</v>
    <v>93.45</v>
    <v>91.164000000000001</v>
    <v>88.753500000000003</v>
    <v>90.201499999999996</v>
    <v>93.483500000000006</v>
    <v>95.564999999999998</v>
    <v>94.6815</v>
    <v>97.145499999999998</v>
    <v>100.55</v>
    <v>98.225999999999999</v>
    <v>97.152500000000003</v>
    <v>91.162000000000006</v>
    <v>90.379000000000005</v>
    <v>89.628500000000003</v>
    <v>87.480999999999995</v>
    <v>88.814499999999995</v>
    <v>91.6755</v>
    <v>91.966999999999999</v>
    <v>89.707999999999998</v>
    <v>86.272499999999994</v>
    <v>86.982500000000002</v>
    <v>86.596000000000004</v>
    <v>87.875500000000002</v>
    <v>88.066500000000005</v>
    <v>89.572000000000003</v>
    <v>89.293999999999997</v>
    <v>86.974500000000006</v>
    <v>87.286000000000001</v>
    <v>90.04</v>
    <v>87.58</v>
    <v>88.046999999999997</v>
    <v>89.325000000000003</v>
    <v>93.49</v>
    <v>93.748500000000007</v>
    <v>94.158000000000001</v>
    <v>93.236000000000004</v>
    <v>93.081999999999994</v>
    <v>100.43600000000001</v>
    <v>103.964</v>
    <v>106.7435</v>
    <v>104.7985</v>
    <v>94.1875</v>
    <v>95.054500000000004</v>
    <v>89.25</v>
    <v>92.304500000000004</v>
    <v>95.004999999999995</v>
    <v>95.329499999999996</v>
    <v>102.13800000000001</v>
    <v>118.75</v>
    <v>120.511</v>
    <v>114.30200000000001</v>
    <v>118.98050000000001</v>
    <v>120.489</v>
    <v>121.84399999999999</v>
    <v>122.1185</v>
    <v>124.15</v>
    <v>127.251</v>
    <v>133.75049999999999</v>
    <v>134.64349999999999</v>
    <v>144.51499999999999</v>
    <v>160</v>
    <v>148.0985</v>
    <v>150.44550000000001</v>
    <v>158.23400000000001</v>
    <v>158.37299999999999</v>
    <v>157.40100000000001</v>
    <v>164.23599999999999</v>
    <v>170.09</v>
    <v>164.73099999999999</v>
    <v>155.81100000000001</v>
    <v>147.74549999999999</v>
    <v>154.75649999999999</v>
    <v>156.25</v>
    <v>164.33250000000001</v>
    <v>163.63550000000001</v>
    <v>160.22</v>
    <v>151.8075</v>
    <v>165.5685</v>
    <v>156.44049999999999</v>
    <v>154.97</v>
    <v>159.767</v>
    <v>158.12899999999999</v>
    <v>155.821</v>
    <v>160.08250000000001</v>
    <v>158.6345</v>
    <v>162.84649999999999</v>
    <v>159.13499999999999</v>
    <v>155.21250000000001</v>
    <v>164.61150000000001</v>
    <v>160.31</v>
    <v>167.60749999999999</v>
    <v>163.88550000000001</v>
    <v>162.495</v>
    <v>154.6465</v>
    <v>150.023</v>
    <v>154.47450000000001</v>
    <v>153.74799999999999</v>
    <v>152.60149999999999</v>
    <v>158.05000000000001</v>
    <v>168.61</v>
    <v>169.97200000000001</v>
    <v>167.04400000000001</v>
    <v>173.37100000000001</v>
    <v>164.5805</v>
    <v>161.14500000000001</v>
    <v>160.154</v>
    <v>161.15350000000001</v>
    <v>160.31100000000001</v>
    <v>167.3415</v>
    <v>174.345</v>
    <v>170.07300000000001</v>
    <v>175.54900000000001</v>
    <v>185.96700000000001</v>
    <v>178.6815</v>
    <v>182.83199999999999</v>
    <v>166.37950000000001</v>
    <v>167.24700000000001</v>
    <v>164.6985</v>
    <v>159.9975</v>
    <v>167.48150000000001</v>
    <v>173.9025</v>
    <v>173.45750000000001</v>
    <v>173.126</v>
    <v>171.27600000000001</v>
    <v>164.16300000000001</v>
    <v>164.43100000000001</v>
    <v>170.45099999999999</v>
    <v>166.7775</v>
    <v>168.6215</v>
    <v>175.9495</v>
    <v>176.25749999999999</v>
    <v>183.82849999999999</v>
    <v>175.22800000000001</v>
    <v>169.48949999999999</v>
    <v>172.21199999999999</v>
    <v>170.01750000000001</v>
    <v>171.0685</v>
    <v>166.71700000000001</v>
    <v>162.554</v>
    <v>162.13800000000001</v>
    <v>142.643</v>
    <v>143.97800000000001</v>
    <v>157.6395</v>
    <v>153.29349999999999</v>
    <v>152.60149999999999</v>
    <v>153.7885</v>
    <v>145.64099999999999</v>
    <v>145.52449999999999</v>
    <v>161.25049999999999</v>
    <v>164.77350000000001</v>
    <v>163.56</v>
    <v>154.4605</v>
    <v>151.70650000000001</v>
    <v>144.35</v>
    <v>124.28149999999999</v>
    <v>114.77249999999999</v>
    <v>113.05500000000001</v>
    <v>107.59099999999999</v>
    <v>115.1465</v>
    <v>122.35</v>
    <v>109.65</v>
    <v>106.22</v>
    <v>116.46</v>
    <v>109.56</v>
    <v>115.54</v>
    <v>113.55</v>
    <v>122.42</v>
    <v>134.94999999999999</v>
    <v>140.80000000000001</v>
    <v>143.55000000000001</v>
    <v>138.22999999999999</v>
    <v>130.75</v>
    <v>127.51</v>
    <v>133.27000000000001</v>
    <v>123.53</v>
    <v>113.78</v>
    <v>113</v>
    <v>114.56</v>
    <v>106.9</v>
    <v>119.32</v>
    <v>103.41</v>
    <v>90.98</v>
    <v>100.79</v>
    <v>94.14</v>
    <v>93.41</v>
    <v>94.13</v>
    <v>89.09</v>
    <v>87.86</v>
    <v>85.25</v>
    <v>84</v>
    <v>86.08</v>
    <v>98.12</v>
    <v>97.25</v>
    <v>102.24</v>
    <v>103.39</v>
    <v>97.61</v>
    <v>97.2</v>
    <v>93.5</v>
    <v>94.9</v>
    <v>90.73</v>
    <v>98.95</v>
    <v>98.13</v>
    <v>103.29</v>
    <v>102.06</v>
    <v>102.51</v>
    <v>106.96</v>
    <v>105.45</v>
    <v>105.655</v>
    <v>110.26</v>
    <v>116.25</v>
    <v>120.11</v>
    <v>124.25</v>
    <v>123.43</v>
    <v>125.49</v>
    <v>129.33000000000001</v>
    <v>130.36000000000001</v>
    <v>129.78</v>
    <v>134.68</v>
    <v>130</v>
    <v>132.21</v>
    <v>139.57</v>
    <v>138.41</v>
    <v>133.22</v>
    <v>133.26</v>
    <v>138.12</v>
    <v>138.22999999999999</v>
    <v>140.38999999999999</v>
    <v>129.12</v>
    <v>127.12</v>
    <v>127.96</v>
    <v>129.79</v>
    <v>125.17</v>
    <v>127.74</v>
    <v>138.6</v>
    <v>143.56</v>
    <v>145.18</v>
    <v>146.74</v>
    <v>147.03</v>
    <v>147.41999999999999</v>
    <v>149.97</v>
    <v>153.41999999999999</v>
    <v>151.94</v>
    <v>145.24</v>
    <v>154.62</v>
    <v>155.34</v>
    <v>159.12</v>
    <v>171.81</v>
    <v>174.45</v>
    <v>169.51</v>
    <v>174.99</v>
    <v>178.22</v>
    <v>175.35</v>
    <v>174.42</v>
    <v>178.87</v>
    <v>180.38</v>
    <v>185.07</v>
    <v>186.13</v>
    <v>174.63</v>
    <v>179.62</v>
    <v>186.21</v>
    <v>187.48</v>
    <v>184.7</v>
    <v>180.75</v>
    <v>176.44</v>
    <v>184.3</v>
    <v>183.66</v>
    <v>189.08</v>
    <v>193.25</v>
    <v>200</v>
    <v>194.49</v>
    <v>183.13</v>
    <v>182.5</v>
    <v>167.9</v>
    <v>166.94</v>
    <v>177.06</v>
    <v>177.04</v>
    <v>178.5</v>
    <v>171.39</v>
    <v>186.49</v>
    <v>191.6</v>
    <v>187.97</v>
    <v>186.51</v>
    <v>188.82</v>
    <v>188.99</v>
    <v>187.83</v>
    <v>197.93</v>
    <v>208.18</v>
    <v>202.61</v>
    <v>197.12</v>
    <v>207.89</v>
    <v>227.03</v>
    <v>227.46</v>
    <v>224.92</v>
    <v>223.75</v>
    <v>224.19</v>
    <v>218.94</v>
    <v>225.94</v>
    <v>234.85</v>
    <v>237.68</v>
    <v>229.15</v>
    <v>228.68</v>
    <v>216.58</v>
    <v>212.28</v>
    <v>203.8</v>
  </a>
</arrayData>
</file>

<file path=xl/richData/rdrichvalue.xml><?xml version="1.0" encoding="utf-8"?>
<rvData xmlns="http://schemas.microsoft.com/office/spreadsheetml/2017/richdata" count="2356">
  <rv s="0">
    <fb>44424.25</fb>
    <v>0</v>
  </rv>
  <rv s="0">
    <fb>44303.4</fb>
    <v>0</v>
  </rv>
  <rv s="0">
    <fb>40238</fb>
    <v>1</v>
  </rv>
  <rv s="0">
    <fb>44296.51</fb>
    <v>0</v>
  </rv>
  <rv s="0">
    <fb>40245</fb>
    <v>1</v>
  </rv>
  <rv s="0">
    <fb>43988.99</fb>
    <v>0</v>
  </rv>
  <rv s="0">
    <fb>40252</fb>
    <v>1</v>
  </rv>
  <rv s="0">
    <fb>43840.91</fb>
    <v>0</v>
  </rv>
  <rv s="0">
    <fb>40259</fb>
    <v>1</v>
  </rv>
  <rv s="0">
    <fb>43828.06</fb>
    <v>0</v>
  </rv>
  <rv s="0">
    <fb>40266</fb>
    <v>1</v>
  </rv>
  <rv s="0">
    <fb>43487.83</fb>
    <v>0</v>
  </rv>
  <rv s="0">
    <fb>40273</fb>
    <v>1</v>
  </rv>
  <rv s="0">
    <fb>43444.99</fb>
    <v>0</v>
  </rv>
  <rv s="0">
    <fb>40280</fb>
    <v>1</v>
  </rv>
  <rv s="0">
    <fb>43428.02</fb>
    <v>0</v>
  </rv>
  <rv s="0">
    <fb>40287</fb>
    <v>1</v>
  </rv>
  <rv s="0">
    <fb>43275.91</fb>
    <v>0</v>
  </rv>
  <rv s="0">
    <fb>40294</fb>
    <v>1</v>
  </rv>
  <rv s="0">
    <fb>42992.21</fb>
    <v>0</v>
  </rv>
  <rv s="0">
    <fb>40301</fb>
    <v>1</v>
  </rv>
  <rv s="0">
    <fb>42863.86</fb>
    <v>0</v>
  </rv>
  <rv s="0">
    <fb>40308</fb>
    <v>1</v>
  </rv>
  <rv s="0">
    <fb>42840.26</fb>
    <v>0</v>
  </rv>
  <rv s="0">
    <fb>40315</fb>
    <v>1</v>
  </rv>
  <rv s="0">
    <fb>42732.13</fb>
    <v>0</v>
  </rv>
  <rv s="0">
    <fb>40322</fb>
    <v>1</v>
  </rv>
  <rv s="0">
    <fb>42520.99</fb>
    <v>0</v>
  </rv>
  <rv s="0">
    <fb>40330</fb>
    <v>1</v>
  </rv>
  <rv s="0">
    <fb>42352.75</fb>
    <v>0</v>
  </rv>
  <rv s="0">
    <fb>40336</fb>
    <v>1</v>
  </rv>
  <rv s="0">
    <fb>42313</fb>
    <v>0</v>
  </rv>
  <rv s="0">
    <fb>40343</fb>
    <v>1</v>
  </rv>
  <rv s="0">
    <fb>42114.400000000001</fb>
    <v>0</v>
  </rv>
  <rv s="0">
    <fb>40350</fb>
    <v>1</v>
  </rv>
  <rv s="0">
    <fb>42063.360000000001</fb>
    <v>0</v>
  </rv>
  <rv s="0">
    <fb>40357</fb>
    <v>1</v>
  </rv>
  <rv s="0">
    <fb>42052.19</fb>
    <v>0</v>
  </rv>
  <rv s="0">
    <fb>40365</fb>
    <v>1</v>
  </rv>
  <rv s="0">
    <fb>41938.449999999997</fb>
    <v>0</v>
  </rv>
  <rv s="0">
    <fb>40371</fb>
    <v>1</v>
  </rv>
  <rv s="0">
    <fb>41563.08</fb>
    <v>0</v>
  </rv>
  <rv s="0">
    <fb>40378</fb>
    <v>1</v>
  </rv>
  <rv s="0">
    <fb>41393.78</fb>
    <v>0</v>
  </rv>
  <rv s="0">
    <fb>40385</fb>
    <v>1</v>
  </rv>
  <rv s="0">
    <fb>41175.08</fb>
    <v>0</v>
  </rv>
  <rv s="0">
    <fb>40392</fb>
    <v>1</v>
  </rv>
  <rv s="0">
    <fb>40659.760000000002</fb>
    <v>0</v>
  </rv>
  <rv s="0">
    <fb>40399</fb>
    <v>1</v>
  </rv>
  <rv s="0">
    <fb>40589.337200000002</fb>
    <v>0</v>
  </rv>
  <rv s="0">
    <fb>40406</fb>
    <v>1</v>
  </rv>
  <rv s="0">
    <fb>40345.410000000003</fb>
    <v>0</v>
  </rv>
  <rv s="0">
    <fb>40413</fb>
    <v>1</v>
  </rv>
  <rv s="0">
    <fb>40287.529900000001</fb>
    <v>0</v>
  </rv>
  <rv s="0">
    <fb>40420</fb>
    <v>1</v>
  </rv>
  <rv s="0">
    <fb>40003.591899999999</fb>
    <v>0</v>
  </rv>
  <rv s="0">
    <fb>40428</fb>
    <v>1</v>
  </rv>
  <rv s="0">
    <fb>40000.898399999998</fb>
    <v>0</v>
  </rv>
  <rv s="0">
    <fb>40434</fb>
    <v>1</v>
  </rv>
  <rv s="0">
    <fb>39807.374499999998</fb>
    <v>0</v>
  </rv>
  <rv s="0">
    <fb>40441</fb>
    <v>1</v>
  </rv>
  <rv s="0">
    <fb>39737.260399999999</fb>
    <v>0</v>
  </rv>
  <rv s="0">
    <fb>40448</fb>
    <v>1</v>
  </rv>
  <rv s="0">
    <fb>39512.843000000001</fb>
    <v>0</v>
  </rv>
  <rv s="0">
    <fb>40455</fb>
    <v>1</v>
  </rv>
  <rv s="0">
    <fb>39497.54</fb>
    <v>0</v>
  </rv>
  <rv s="0">
    <fb>40462</fb>
    <v>1</v>
  </rv>
  <rv s="0">
    <fb>39475.904000000002</fb>
    <v>0</v>
  </rv>
  <rv s="0">
    <fb>40469</fb>
    <v>1</v>
  </rv>
  <rv s="0">
    <fb>39375.866900000001</fb>
    <v>0</v>
  </rv>
  <rv s="0">
    <fb>40476</fb>
    <v>1</v>
  </rv>
  <rv s="0">
    <fb>39150.332600000002</fb>
    <v>0</v>
  </rv>
  <rv s="0">
    <fb>40483</fb>
    <v>1</v>
  </rv>
  <rv s="0">
    <fb>39131.5285</fb>
    <v>0</v>
  </rv>
  <rv s="0">
    <fb>40490</fb>
    <v>1</v>
  </rv>
  <rv s="0">
    <fb>39118.864200000004</fb>
    <v>0</v>
  </rv>
  <rv s="0">
    <fb>40497</fb>
    <v>1</v>
  </rv>
  <rv s="0">
    <fb>39087.376100000001</fb>
    <v>0</v>
  </rv>
  <rv s="0">
    <fb>40504</fb>
    <v>1</v>
  </rv>
  <rv s="0">
    <fb>39069.592299999997</fb>
    <v>0</v>
  </rv>
  <rv s="0">
    <fb>40511</fb>
    <v>1</v>
  </rv>
  <rv s="0">
    <fb>38904.038399999998</fb>
    <v>0</v>
  </rv>
  <rv s="0">
    <fb>40518</fb>
    <v>1</v>
  </rv>
  <rv s="0">
    <fb>38798.9905</fb>
    <v>0</v>
  </rv>
  <rv s="0">
    <fb>40525</fb>
    <v>1</v>
  </rv>
  <rv s="0">
    <fb>38722.693099999997</fb>
    <v>0</v>
  </rv>
  <rv s="0">
    <fb>40532</fb>
    <v>1</v>
  </rv>
  <rv s="0">
    <fb>38714.766600000003</fb>
    <v>0</v>
  </rv>
  <rv s="0">
    <fb>40539</fb>
    <v>1</v>
  </rv>
  <rv s="0">
    <fb>38686.321900000003</fb>
    <v>0</v>
  </rv>
  <rv s="0">
    <fb>40546</fb>
    <v>1</v>
  </rv>
  <rv s="0">
    <fb>38675.679199999999</fb>
    <v>0</v>
  </rv>
  <rv s="0">
    <fb>40553</fb>
    <v>1</v>
  </rv>
  <rv s="0">
    <fb>38671.690999999999</fb>
    <v>0</v>
  </rv>
  <rv s="0">
    <fb>40561</fb>
    <v>1</v>
  </rv>
  <rv s="0">
    <fb>38654.423199999997</fb>
    <v>0</v>
  </rv>
  <rv s="0">
    <fb>40567</fb>
    <v>1</v>
  </rv>
  <rv s="0">
    <fb>38627.994299999998</fb>
    <v>0</v>
  </rv>
  <rv s="0">
    <fb>40574</fb>
    <v>1</v>
  </rv>
  <rv s="0">
    <fb>38589.157599999999</fb>
    <v>0</v>
  </rv>
  <rv s="0">
    <fb>40581</fb>
    <v>1</v>
  </rv>
  <rv s="0">
    <fb>38239.654999999999</fb>
    <v>0</v>
  </rv>
  <rv s="0">
    <fb>40588</fb>
    <v>1</v>
  </rv>
  <rv s="0">
    <fb>38109.433100000002</fb>
    <v>0</v>
  </rv>
  <rv s="0">
    <fb>40596</fb>
    <v>1</v>
  </rv>
  <rv s="0">
    <fb>37986.396999999997</fb>
    <v>0</v>
  </rv>
  <rv s="0">
    <fb>40602</fb>
    <v>1</v>
  </rv>
  <rv s="0">
    <fb>37983.243600000002</fb>
    <v>0</v>
  </rv>
  <rv s="0">
    <fb>40609</fb>
    <v>1</v>
  </rv>
  <rv s="0">
    <fb>37863.795400000003</fb>
    <v>0</v>
  </rv>
  <rv s="0">
    <fb>40616</fb>
    <v>1</v>
  </rv>
  <rv s="0">
    <fb>37689.5357</fb>
    <v>0</v>
  </rv>
  <rv s="0">
    <fb>40623</fb>
    <v>1</v>
  </rv>
  <rv s="0">
    <fb>37592.981</fb>
    <v>0</v>
  </rv>
  <rv s="0">
    <fb>40630</fb>
    <v>1</v>
  </rv>
  <rv s="0">
    <fb>37466.108800000002</fb>
    <v>0</v>
  </rv>
  <rv s="0">
    <fb>40637</fb>
    <v>1</v>
  </rv>
  <rv s="0">
    <fb>37385.965199999999</fb>
    <v>0</v>
  </rv>
  <rv s="0">
    <fb>40644</fb>
    <v>1</v>
  </rv>
  <rv s="0">
    <fb>37305.162400000001</fb>
    <v>0</v>
  </rv>
  <rv s="0">
    <fb>40651</fb>
    <v>1</v>
  </rv>
  <rv s="0">
    <fb>36338.297700000003</fb>
    <v>0</v>
  </rv>
  <rv s="0">
    <fb>40658</fb>
    <v>1</v>
  </rv>
  <rv s="0">
    <fb>36327.950199999999</fb>
    <v>0</v>
  </rv>
  <rv s="0">
    <fb>40665</fb>
    <v>1</v>
  </rv>
  <rv s="0">
    <fb>36247.8724</fb>
    <v>0</v>
  </rv>
  <rv s="0">
    <fb>40672</fb>
    <v>1</v>
  </rv>
  <rv s="0">
    <fb>36245.4997</fb>
    <v>0</v>
  </rv>
  <rv s="0">
    <fb>40679</fb>
    <v>1</v>
  </rv>
  <rv s="0">
    <fb>36231.659099999997</fb>
    <v>0</v>
  </rv>
  <rv s="0">
    <fb>40686</fb>
    <v>1</v>
  </rv>
  <rv s="0">
    <fb>36100.305200000003</fb>
    <v>0</v>
  </rv>
  <rv s="0">
    <fb>40694</fb>
    <v>1</v>
  </rv>
  <rv s="0">
    <fb>35970.994500000001</fb>
    <v>0</v>
  </rv>
  <rv s="0">
    <fb>40700</fb>
    <v>1</v>
  </rv>
  <rv s="0">
    <fb>35950.563099999999</fb>
    <v>0</v>
  </rv>
  <rv s="0">
    <fb>40707</fb>
    <v>1</v>
  </rv>
  <rv s="0">
    <fb>35911.809500000003</fb>
    <v>0</v>
  </rv>
  <rv s="0">
    <fb>40714</fb>
    <v>1</v>
  </rv>
  <rv s="0">
    <fb>35819.560400000002</fb>
    <v>0</v>
  </rv>
  <rv s="0">
    <fb>40721</fb>
    <v>1</v>
  </rv>
  <rv s="0">
    <fb>35677.018499999998</fb>
    <v>0</v>
  </rv>
  <rv s="0">
    <fb>40729</fb>
    <v>1</v>
  </rv>
  <rv s="0">
    <fb>35601.977700000003</fb>
    <v>0</v>
  </rv>
  <rv s="0">
    <fb>40735</fb>
    <v>1</v>
  </rv>
  <rv s="0">
    <fb>35515.383300000001</fb>
    <v>0</v>
  </rv>
  <rv s="0">
    <fb>40742</fb>
    <v>1</v>
  </rv>
  <rv s="0">
    <fb>35459.287700000001</fb>
    <v>0</v>
  </rv>
  <rv s="0">
    <fb>40749</fb>
    <v>1</v>
  </rv>
  <rv s="0">
    <fb>35455.798799999997</fb>
    <v>0</v>
  </rv>
  <rv s="0">
    <fb>40756</fb>
    <v>1</v>
  </rv>
  <rv s="0">
    <fb>35390.150600000001</fb>
    <v>0</v>
  </rv>
  <rv s="0">
    <fb>40763</fb>
    <v>1</v>
  </rv>
  <rv s="0">
    <fb>35369.088600000003</fb>
    <v>0</v>
  </rv>
  <rv s="0">
    <fb>40770</fb>
    <v>1</v>
  </rv>
  <rv s="0">
    <fb>35365.435299999997</fb>
    <v>0</v>
  </rv>
  <rv s="0">
    <fb>40777</fb>
    <v>1</v>
  </rv>
  <rv s="0">
    <fb>35294.756099999999</fb>
    <v>0</v>
  </rv>
  <rv s="0">
    <fb>40784</fb>
    <v>1</v>
  </rv>
  <rv s="0">
    <fb>35281.403100000003</fb>
    <v>0</v>
  </rv>
  <rv s="0">
    <fb>40792</fb>
    <v>1</v>
  </rv>
  <rv s="0">
    <fb>35227.688399999999</fb>
    <v>0</v>
  </rv>
  <rv s="0">
    <fb>40798</fb>
    <v>1</v>
  </rv>
  <rv s="0">
    <fb>35208.506699999998</fb>
    <v>0</v>
  </rv>
  <rv s="0">
    <fb>40805</fb>
    <v>1</v>
  </rv>
  <rv s="0">
    <fb>35120.084600000002</fb>
    <v>0</v>
  </rv>
  <rv s="0">
    <fb>40812</fb>
    <v>1</v>
  </rv>
  <rv s="0">
    <fb>35089.743699999999</fb>
    <v>0</v>
  </rv>
  <rv s="0">
    <fb>40819</fb>
    <v>1</v>
  </rv>
  <rv s="0">
    <fb>35065.621500000001</fb>
    <v>0</v>
  </rv>
  <rv s="0">
    <fb>40826</fb>
    <v>1</v>
  </rv>
  <rv s="0">
    <fb>35061.553599999999</fb>
    <v>0</v>
  </rv>
  <rv s="0">
    <fb>40833</fb>
    <v>1</v>
  </rv>
  <rv s="0">
    <fb>34947.284399999997</fb>
    <v>0</v>
  </rv>
  <rv s="0">
    <fb>40840</fb>
    <v>1</v>
  </rv>
  <rv s="0">
    <fb>34935.4715</fb>
    <v>0</v>
  </rv>
  <rv s="0">
    <fb>40847</fb>
    <v>1</v>
  </rv>
  <rv s="0">
    <fb>34899.336600000002</fb>
    <v>0</v>
  </rv>
  <rv s="0">
    <fb>40854</fb>
    <v>1</v>
  </rv>
  <rv s="0">
    <fb>34870.159</fb>
    <v>0</v>
  </rv>
  <rv s="0">
    <fb>40861</fb>
    <v>1</v>
  </rv>
  <rv s="0">
    <fb>34861.241999999998</fb>
    <v>0</v>
  </rv>
  <rv s="0">
    <fb>40868</fb>
    <v>1</v>
  </rv>
  <rv s="0">
    <fb>34837.713000000003</fb>
    <v>0</v>
  </rv>
  <rv s="0">
    <fb>40875</fb>
    <v>1</v>
  </rv>
  <rv s="0">
    <fb>34818.270199999999</fb>
    <v>0</v>
  </rv>
  <rv s="0">
    <fb>40882</fb>
    <v>1</v>
  </rv>
  <rv s="0">
    <fb>34797.999199999998</fb>
    <v>0</v>
  </rv>
  <rv s="0">
    <fb>40889</fb>
    <v>1</v>
  </rv>
  <rv s="0">
    <fb>34786.345699999998</fb>
    <v>0</v>
  </rv>
  <rv s="0">
    <fb>40896</fb>
    <v>1</v>
  </rv>
  <rv s="0">
    <fb>34777.759700000002</fb>
    <v>0</v>
  </rv>
  <rv s="0">
    <fb>40904</fb>
    <v>1</v>
  </rv>
  <rv s="0">
    <fb>34756.388800000001</fb>
    <v>0</v>
  </rv>
  <rv s="0">
    <fb>40911</fb>
    <v>1</v>
  </rv>
  <rv s="0">
    <fb>34754.932999999997</fb>
    <v>0</v>
  </rv>
  <rv s="0">
    <fb>40917</fb>
    <v>1</v>
  </rv>
  <rv s="0">
    <fb>34746.249600000003</fb>
    <v>0</v>
  </rv>
  <rv s="0">
    <fb>40925</fb>
    <v>1</v>
  </rv>
  <rv s="0">
    <fb>34738.060700000002</fb>
    <v>0</v>
  </rv>
  <rv s="0">
    <fb>40931</fb>
    <v>1</v>
  </rv>
  <rv s="0">
    <fb>34725.472300000001</fb>
    <v>0</v>
  </rv>
  <rv s="0">
    <fb>40938</fb>
    <v>1</v>
  </rv>
  <rv s="0">
    <fb>34721.1224</fb>
    <v>0</v>
  </rv>
  <rv s="0">
    <fb>40945</fb>
    <v>1</v>
  </rv>
  <rv s="0">
    <fb>34687.850200000001</fb>
    <v>0</v>
  </rv>
  <rv s="0">
    <fb>40952</fb>
    <v>1</v>
  </rv>
  <rv s="0">
    <fb>34618.240599999997</fb>
    <v>0</v>
  </rv>
  <rv s="0">
    <fb>40960</fb>
    <v>1</v>
  </rv>
  <rv s="0">
    <fb>34607.723899999997</fb>
    <v>0</v>
  </rv>
  <rv s="0">
    <fb>40966</fb>
    <v>1</v>
  </rv>
  <rv s="0">
    <fb>34584.877699999997</fb>
    <v>0</v>
  </rv>
  <rv s="0">
    <fb>40973</fb>
    <v>1</v>
  </rv>
  <rv s="0">
    <fb>34580.080099999999</fb>
    <v>0</v>
  </rv>
  <rv s="0">
    <fb>40980</fb>
    <v>1</v>
  </rv>
  <rv s="0">
    <fb>34576.587</fb>
    <v>0</v>
  </rv>
  <rv s="0">
    <fb>40987</fb>
    <v>1</v>
  </rv>
  <rv s="0">
    <fb>34529.449200000003</fb>
    <v>0</v>
  </rv>
  <rv s="0">
    <fb>40994</fb>
    <v>1</v>
  </rv>
  <rv s="0">
    <fb>34509.0317</fb>
    <v>0</v>
  </rv>
  <rv s="0">
    <fb>41001</fb>
    <v>1</v>
  </rv>
  <rv s="0">
    <fb>34500.661399999997</fb>
    <v>0</v>
  </rv>
  <rv s="0">
    <fb>41008</fb>
    <v>1</v>
  </rv>
  <rv s="0">
    <fb>34479.6008</fb>
    <v>0</v>
  </rv>
  <rv s="0">
    <fb>41015</fb>
    <v>1</v>
  </rv>
  <rv s="0">
    <fb>34451.2307</fb>
    <v>0</v>
  </rv>
  <rv s="0">
    <fb>41022</fb>
    <v>1</v>
  </rv>
  <rv s="0">
    <fb>34433.842499999999</fb>
    <v>0</v>
  </rv>
  <rv s="0">
    <fb>41029</fb>
    <v>1</v>
  </rv>
  <rv s="0">
    <fb>34429.876600000003</fb>
    <v>0</v>
  </rv>
  <rv s="0">
    <fb>41036</fb>
    <v>1</v>
  </rv>
  <rv s="0">
    <fb>34407.599900000001</fb>
    <v>0</v>
  </rv>
  <rv s="0">
    <fb>41043</fb>
    <v>1</v>
  </rv>
  <rv s="0">
    <fb>34382.133999999998</fb>
    <v>0</v>
  </rv>
  <rv s="0">
    <fb>41050</fb>
    <v>1</v>
  </rv>
  <rv s="0">
    <fb>34347.0308</fb>
    <v>0</v>
  </rv>
  <rv s="0">
    <fb>41058</fb>
    <v>1</v>
  </rv>
  <rv s="0">
    <fb>34346.8989</fb>
    <v>0</v>
  </rv>
  <rv s="0">
    <fb>41064</fb>
    <v>1</v>
  </rv>
  <rv s="0">
    <fb>34326.4588</fb>
    <v>0</v>
  </rv>
  <rv s="0">
    <fb>41071</fb>
    <v>1</v>
  </rv>
  <rv s="0">
    <fb>34302.608999999997</fb>
    <v>0</v>
  </rv>
  <rv s="0">
    <fb>41078</fb>
    <v>1</v>
  </rv>
  <rv s="0">
    <fb>34299.115899999997</fb>
    <v>0</v>
  </rv>
  <rv s="0">
    <fb>41085</fb>
    <v>1</v>
  </rv>
  <rv s="0">
    <fb>34283.100400000003</fb>
    <v>0</v>
  </rv>
  <rv s="0">
    <fb>41092</fb>
    <v>1</v>
  </rv>
  <rv s="0">
    <fb>34265.371200000001</fb>
    <v>0</v>
  </rv>
  <rv s="0">
    <fb>41099</fb>
    <v>1</v>
  </rv>
  <rv s="0">
    <fb>34207.842900000003</fb>
    <v>0</v>
  </rv>
  <rv s="0">
    <fb>41106</fb>
    <v>1</v>
  </rv>
  <rv s="0">
    <fb>34200.671199999997</fb>
    <v>0</v>
  </rv>
  <rv s="0">
    <fb>41113</fb>
    <v>1</v>
  </rv>
  <rv s="0">
    <fb>34098.1636</fb>
    <v>0</v>
  </rv>
  <rv s="0">
    <fb>41120</fb>
    <v>1</v>
  </rv>
  <rv s="0">
    <fb>34079.182200000003</fb>
    <v>0</v>
  </rv>
  <rv s="0">
    <fb>41127</fb>
    <v>1</v>
  </rv>
  <rv s="0">
    <fb>34061.321199999998</fb>
    <v>0</v>
  </rv>
  <rv s="0">
    <fb>41134</fb>
    <v>1</v>
  </rv>
  <rv s="0">
    <fb>34058.750800000002</fb>
    <v>0</v>
  </rv>
  <rv s="0">
    <fb>41141</fb>
    <v>1</v>
  </rv>
  <rv s="0">
    <fb>34043.486799999999</fb>
    <v>0</v>
  </rv>
  <rv s="0">
    <fb>41148</fb>
    <v>1</v>
  </rv>
  <rv s="0">
    <fb>33978.079899999997</fb>
    <v>0</v>
  </rv>
  <rv s="0">
    <fb>41156</fb>
    <v>1</v>
  </rv>
  <rv s="0">
    <fb>33963.8439</fb>
    <v>0</v>
  </rv>
  <rv s="0">
    <fb>41162</fb>
    <v>1</v>
  </rv>
  <rv s="0">
    <fb>33926.012900000002</fb>
    <v>0</v>
  </rv>
  <rv s="0">
    <fb>41169</fb>
    <v>1</v>
  </rv>
  <rv s="0">
    <fb>33886.4683</fb>
    <v>0</v>
  </rv>
  <rv s="0">
    <fb>41176</fb>
    <v>1</v>
  </rv>
  <rv s="0">
    <fb>33876.779900000001</fb>
    <v>0</v>
  </rv>
  <rv s="0">
    <fb>41183</fb>
    <v>1</v>
  </rv>
  <rv s="0">
    <fb>33874.853999999999</fb>
    <v>0</v>
  </rv>
  <rv s="0">
    <fb>41190</fb>
    <v>1</v>
  </rv>
  <rv s="0">
    <fb>33869.2664</fb>
    <v>0</v>
  </rv>
  <rv s="0">
    <fb>41197</fb>
    <v>1</v>
  </rv>
  <rv s="0">
    <fb>33826.6901</fb>
    <v>0</v>
  </rv>
  <rv s="0">
    <fb>41204</fb>
    <v>1</v>
  </rv>
  <rv s="0">
    <fb>33811.3995</fb>
    <v>0</v>
  </rv>
  <rv s="0">
    <fb>41213</fb>
    <v>1</v>
  </rv>
  <rv s="0">
    <fb>33808.961000000003</fb>
    <v>0</v>
  </rv>
  <rv s="0">
    <fb>41218</fb>
    <v>1</v>
  </rv>
  <rv s="0">
    <fb>33800.604299999999</fb>
    <v>0</v>
  </rv>
  <rv s="0">
    <fb>41225</fb>
    <v>1</v>
  </rv>
  <rv s="0">
    <fb>33762.759700000002</fb>
    <v>0</v>
  </rv>
  <rv s="0">
    <fb>41232</fb>
    <v>1</v>
  </rv>
  <rv s="0">
    <fb>33761.0461</fb>
    <v>0</v>
  </rv>
  <rv s="0">
    <fb>41239</fb>
    <v>1</v>
  </rv>
  <rv s="0">
    <fb>33747.864600000001</fb>
    <v>0</v>
  </rv>
  <rv s="0">
    <fb>41246</fb>
    <v>1</v>
  </rv>
  <rv s="0">
    <fb>33745.689599999998</fb>
    <v>0</v>
  </rv>
  <rv s="0">
    <fb>41253</fb>
    <v>1</v>
  </rv>
  <rv s="0">
    <fb>33734.880799999999</fb>
    <v>0</v>
  </rv>
  <rv s="0">
    <fb>41260</fb>
    <v>1</v>
  </rv>
  <rv s="0">
    <fb>33727.433199999999</fb>
    <v>0</v>
  </rv>
  <rv s="0">
    <fb>41267</fb>
    <v>1</v>
  </rv>
  <rv s="0">
    <fb>33706.7382</fb>
    <v>0</v>
  </rv>
  <rv s="0">
    <fb>41274</fb>
    <v>1</v>
  </rv>
  <rv s="0">
    <fb>33674.3776</fb>
    <v>0</v>
  </rv>
  <rv s="0">
    <fb>41281</fb>
    <v>1</v>
  </rv>
  <rv s="0">
    <fb>33670.291299999997</fb>
    <v>0</v>
  </rv>
  <rv s="0">
    <fb>41288</fb>
    <v>1</v>
  </rv>
  <rv s="0">
    <fb>33630.6149</fb>
    <v>0</v>
  </rv>
  <rv s="0">
    <fb>41296</fb>
    <v>1</v>
  </rv>
  <rv s="0">
    <fb>33614.797100000003</fb>
    <v>0</v>
  </rv>
  <rv s="0">
    <fb>41302</fb>
    <v>1</v>
  </rv>
  <rv s="0">
    <fb>33507.499499999998</fb>
    <v>0</v>
  </rv>
  <rv s="0">
    <fb>41309</fb>
    <v>1</v>
  </rv>
  <rv s="0">
    <fb>33485.2886</fb>
    <v>0</v>
  </rv>
  <rv s="0">
    <fb>41316</fb>
    <v>1</v>
  </rv>
  <rv s="0">
    <fb>33476.457000000002</fb>
    <v>0</v>
  </rv>
  <rv s="0">
    <fb>41324</fb>
    <v>1</v>
  </rv>
  <rv s="0">
    <fb>33426.630899999996</fb>
    <v>0</v>
  </rv>
  <rv s="0">
    <fb>41330</fb>
    <v>1</v>
  </rv>
  <rv s="0">
    <fb>33407.583599999998</fb>
    <v>0</v>
  </rv>
  <rv s="0">
    <fb>41337</fb>
    <v>1</v>
  </rv>
  <rv s="0">
    <fb>33390.974800000004</fb>
    <v>0</v>
  </rv>
  <rv s="0">
    <fb>41344</fb>
    <v>1</v>
  </rv>
  <rv s="0">
    <fb>33375.486499999999</fb>
    <v>0</v>
  </rv>
  <rv s="0">
    <fb>41351</fb>
    <v>1</v>
  </rv>
  <rv s="0">
    <fb>33300.6155</fb>
    <v>0</v>
  </rv>
  <rv s="0">
    <fb>41358</fb>
    <v>1</v>
  </rv>
  <rv s="0">
    <fb>33290.083700000003</fb>
    <v>0</v>
  </rv>
  <rv s="0">
    <fb>41365</fb>
    <v>1</v>
  </rv>
  <rv s="0">
    <fb>33274.153599999998</fb>
    <v>0</v>
  </rv>
  <rv s="0">
    <fb>41372</fb>
    <v>1</v>
  </rv>
  <rv s="0">
    <fb>33212.958400000003</fb>
    <v>0</v>
  </rv>
  <rv s="0">
    <fb>41379</fb>
    <v>1</v>
  </rv>
  <rv s="0">
    <fb>33203.928999999996</fb>
    <v>0</v>
  </rv>
  <rv s="0">
    <fb>41386</fb>
    <v>1</v>
  </rv>
  <rv s="0">
    <fb>33153.2137</fb>
    <v>0</v>
  </rv>
  <rv s="0">
    <fb>41393</fb>
    <v>1</v>
  </rv>
  <rv s="0">
    <fb>33147.248500000002</fb>
    <v>0</v>
  </rv>
  <rv s="0">
    <fb>41400</fb>
    <v>1</v>
  </rv>
  <rv s="0">
    <fb>33127.278400000003</fb>
    <v>0</v>
  </rv>
  <rv s="0">
    <fb>41407</fb>
    <v>1</v>
  </rv>
  <rv s="0">
    <fb>33093.336000000003</fb>
    <v>0</v>
  </rv>
  <rv s="0">
    <fb>41414</fb>
    <v>1</v>
  </rv>
  <rv s="0">
    <fb>33072.877899999999</fb>
    <v>0</v>
  </rv>
  <rv s="0">
    <fb>41422</fb>
    <v>1</v>
  </rv>
  <rv s="0">
    <fb>32977.2068</fb>
    <v>0</v>
  </rv>
  <rv s="0">
    <fb>41428</fb>
    <v>1</v>
  </rv>
  <rv s="0">
    <fb>32944.187100000003</fb>
    <v>0</v>
  </rv>
  <rv s="0">
    <fb>41435</fb>
    <v>1</v>
  </rv>
  <rv s="0">
    <fb>32920.460299999999</fb>
    <v>0</v>
  </rv>
  <rv s="0">
    <fb>41442</fb>
    <v>1</v>
  </rv>
  <rv s="0">
    <fb>32899.699399999998</fb>
    <v>0</v>
  </rv>
  <rv s="0">
    <fb>41449</fb>
    <v>1</v>
  </rv>
  <rv s="0">
    <fb>32899.369899999998</fb>
    <v>0</v>
  </rv>
  <rv s="0">
    <fb>41456</fb>
    <v>1</v>
  </rv>
  <rv s="0">
    <fb>32861.802600000003</fb>
    <v>0</v>
  </rv>
  <rv s="0">
    <fb>41463</fb>
    <v>1</v>
  </rv>
  <rv s="0">
    <fb>32845.127899999999</fb>
    <v>0</v>
  </rv>
  <rv s="0">
    <fb>41470</fb>
    <v>1</v>
  </rv>
  <rv s="0">
    <fb>32816.919500000004</fb>
    <v>0</v>
  </rv>
  <rv s="0">
    <fb>41477</fb>
    <v>1</v>
  </rv>
  <rv s="0">
    <fb>32803.474300000002</fb>
    <v>0</v>
  </rv>
  <rv s="0">
    <fb>41484</fb>
    <v>1</v>
  </rv>
  <rv s="0">
    <fb>32778.642399999997</fb>
    <v>0</v>
  </rv>
  <rv s="0">
    <fb>41491</fb>
    <v>1</v>
  </rv>
  <rv s="0">
    <fb>32627.971699999998</fb>
    <v>0</v>
  </rv>
  <rv s="0">
    <fb>41498</fb>
    <v>1</v>
  </rv>
  <rv s="0">
    <fb>32417.585200000001</fb>
    <v>0</v>
  </rv>
  <rv s="0">
    <fb>41505</fb>
    <v>1</v>
  </rv>
  <rv s="0">
    <fb>32403.2173</fb>
    <v>0</v>
  </rv>
  <rv s="0">
    <fb>41512</fb>
    <v>1</v>
  </rv>
  <rv s="0">
    <fb>32283.397300000001</fb>
    <v>0</v>
  </rv>
  <rv s="0">
    <fb>41520</fb>
    <v>1</v>
  </rv>
  <rv s="0">
    <fb>32237.525600000001</fb>
    <v>0</v>
  </rv>
  <rv s="0">
    <fb>41526</fb>
    <v>1</v>
  </rv>
  <rv s="0">
    <fb>32196.662899999999</fb>
    <v>0</v>
  </rv>
  <rv s="0">
    <fb>41533</fb>
    <v>1</v>
  </rv>
  <rv s="0">
    <fb>32151.713899999999</fb>
    <v>0</v>
  </rv>
  <rv s="0">
    <fb>41540</fb>
    <v>1</v>
  </rv>
  <rv s="0">
    <fb>31909.635200000001</fb>
    <v>0</v>
  </rv>
  <rv s="0">
    <fb>41547</fb>
    <v>1</v>
  </rv>
  <rv s="0">
    <fb>31899.287700000001</fb>
    <v>0</v>
  </rv>
  <rv s="0">
    <fb>41554</fb>
    <v>1</v>
  </rv>
  <rv s="0">
    <fb>31861.984</fb>
    <v>0</v>
  </rv>
  <rv s="0">
    <fb>41561</fb>
    <v>1</v>
  </rv>
  <rv s="0">
    <fb>31500.678400000001</fb>
    <v>0</v>
  </rv>
  <rv s="0">
    <fb>41568</fb>
    <v>1</v>
  </rv>
  <rv s="0">
    <fb>31496.2965</fb>
    <v>0</v>
  </rv>
  <rv s="0">
    <fb>41575</fb>
    <v>1</v>
  </rv>
  <rv s="0">
    <fb>31494.322700000001</fb>
    <v>0</v>
  </rv>
  <rv s="0">
    <fb>41582</fb>
    <v>1</v>
  </rv>
  <rv s="0">
    <fb>31458.3986</fb>
    <v>0</v>
  </rv>
  <rv s="0">
    <fb>41589</fb>
    <v>1</v>
  </rv>
  <rv s="0">
    <fb>31392.7876</fb>
    <v>0</v>
  </rv>
  <rv s="0">
    <fb>41596</fb>
    <v>1</v>
  </rv>
  <rv s="0">
    <fb>31338.1502</fb>
    <v>0</v>
  </rv>
  <rv s="0">
    <fb>41603</fb>
    <v>1</v>
  </rv>
  <rv s="0">
    <fb>31318.443800000001</fb>
    <v>0</v>
  </rv>
  <rv s="0">
    <fb>41610</fb>
    <v>1</v>
  </rv>
  <rv s="0">
    <fb>31288.2582</fb>
    <v>0</v>
  </rv>
  <rv s="0">
    <fb>41617</fb>
    <v>1</v>
  </rv>
  <rv s="0">
    <fb>31261.895100000002</fb>
    <v>0</v>
  </rv>
  <rv s="0">
    <fb>41624</fb>
    <v>1</v>
  </rv>
  <rv s="0">
    <fb>31148.240600000001</fb>
    <v>0</v>
  </rv>
  <rv s="0">
    <fb>41631</fb>
    <v>1</v>
  </rv>
  <rv s="0">
    <fb>31097.9732</fb>
    <v>0</v>
  </rv>
  <rv s="0">
    <fb>41638</fb>
    <v>1</v>
  </rv>
  <rv s="0">
    <fb>31097.257900000001</fb>
    <v>0</v>
  </rv>
  <rv s="0">
    <fb>41645</fb>
    <v>1</v>
  </rv>
  <rv s="0">
    <fb>31082.5605</fb>
    <v>0</v>
  </rv>
  <rv s="0">
    <fb>41652</fb>
    <v>1</v>
  </rv>
  <rv s="0">
    <fb>30996.977699999999</fb>
    <v>0</v>
  </rv>
  <rv s="0">
    <fb>41660</fb>
    <v>1</v>
  </rv>
  <rv s="0">
    <fb>30932.366999999998</fb>
    <v>0</v>
  </rv>
  <rv s="0">
    <fb>41666</fb>
    <v>1</v>
  </rv>
  <rv s="0">
    <fb>30822.4231</fb>
    <v>0</v>
  </rv>
  <rv s="0">
    <fb>41673</fb>
    <v>1</v>
  </rv>
  <rv s="0">
    <fb>30814.264800000001</fb>
    <v>0</v>
  </rv>
  <rv s="0">
    <fb>41680</fb>
    <v>1</v>
  </rv>
  <rv s="0">
    <fb>30606.484</fb>
    <v>0</v>
  </rv>
  <rv s="0">
    <fb>41688</fb>
    <v>1</v>
  </rv>
  <rv s="0">
    <fb>30218.260200000001</fb>
    <v>0</v>
  </rv>
  <rv s="0">
    <fb>41694</fb>
    <v>1</v>
  </rv>
  <rv s="0">
    <fb>30199.870500000001</fb>
    <v>0</v>
  </rv>
  <rv s="0">
    <fb>41701</fb>
    <v>1</v>
  </rv>
  <rv s="0">
    <fb>30179.046300000002</fb>
    <v>0</v>
  </rv>
  <rv s="0">
    <fb>41708</fb>
    <v>1</v>
  </rv>
  <rv s="0">
    <fb>30046.370599999998</fb>
    <v>0</v>
  </rv>
  <rv s="0">
    <fb>41715</fb>
    <v>1</v>
  </rv>
  <rv s="0">
    <fb>29982.6152</fb>
    <v>0</v>
  </rv>
  <rv s="0">
    <fb>41722</fb>
    <v>1</v>
  </rv>
  <rv s="0">
    <fb>29910.372200000002</fb>
    <v>0</v>
  </rv>
  <rv s="0">
    <fb>41729</fb>
    <v>1</v>
  </rv>
  <rv s="0">
    <fb>29888.775799999999</fb>
    <v>0</v>
  </rv>
  <rv s="0">
    <fb>41736</fb>
    <v>1</v>
  </rv>
  <rv s="0">
    <fb>29634.833699999999</fb>
    <v>0</v>
  </rv>
  <rv s="0">
    <fb>41743</fb>
    <v>1</v>
  </rv>
  <rv s="0">
    <fb>29590.412</fb>
    <v>0</v>
  </rv>
  <rv s="0">
    <fb>41750</fb>
    <v>1</v>
  </rv>
  <rv s="0">
    <fb>29479.809300000001</fb>
    <v>0</v>
  </rv>
  <rv s="0">
    <fb>41757</fb>
    <v>1</v>
  </rv>
  <rv s="0">
    <fb>29296.7935</fb>
    <v>0</v>
  </rv>
  <rv s="0">
    <fb>41764</fb>
    <v>1</v>
  </rv>
  <rv s="0">
    <fb>29263.4751</fb>
    <v>0</v>
  </rv>
  <rv s="0">
    <fb>41771</fb>
    <v>1</v>
  </rv>
  <rv s="0">
    <fb>28725.506300000001</fb>
    <v>0</v>
  </rv>
  <rv s="0">
    <fb>41778</fb>
    <v>1</v>
  </rv>
  <rv s="0">
    <fb>28653.867300000002</fb>
    <v>0</v>
  </rv>
  <rv s="0">
    <fb>41786</fb>
    <v>1</v>
  </rv>
  <rv s="0">
    <fb>28606.313900000001</fb>
    <v>0</v>
  </rv>
  <rv s="0">
    <fb>41792</fb>
    <v>1</v>
  </rv>
  <rv s="0">
    <fb>28586.904399999999</fb>
    <v>0</v>
  </rv>
  <rv s="0">
    <fb>41799</fb>
    <v>1</v>
  </rv>
  <rv s="0">
    <fb>28335.567200000001</fb>
    <v>0</v>
  </rv>
  <rv s="0">
    <fb>41806</fb>
    <v>1</v>
  </rv>
  <rv s="0">
    <fb>28323.395100000002</fb>
    <v>0</v>
  </rv>
  <rv s="0">
    <fb>41813</fb>
    <v>1</v>
  </rv>
  <rv s="0">
    <fb>28133.313200000001</fb>
    <v>0</v>
  </rv>
  <rv s="0">
    <fb>41820</fb>
    <v>1</v>
  </rv>
  <rv s="0">
    <fb>27931.018499999998</fb>
    <v>0</v>
  </rv>
  <rv s="0">
    <fb>41827</fb>
    <v>1</v>
  </rv>
  <rv s="0">
    <fb>27930.332600000002</fb>
    <v>0</v>
  </rv>
  <rv s="0">
    <fb>41834</fb>
    <v>1</v>
  </rv>
  <rv s="0">
    <fb>27682.814399999999</fb>
    <v>0</v>
  </rv>
  <rv s="0">
    <fb>41841</fb>
    <v>1</v>
  </rv>
  <rv s="0">
    <fb>27665.641800000001</fb>
    <v>0</v>
  </rv>
  <rv s="0">
    <fb>41848</fb>
    <v>1</v>
  </rv>
  <rv s="0">
    <fb>27657.4175</fb>
    <v>0</v>
  </rv>
  <rv s="0">
    <fb>41855</fb>
    <v>1</v>
  </rv>
  <rv s="0">
    <fb>27433.481199999998</fb>
    <v>0</v>
  </rv>
  <rv s="0">
    <fb>41862</fb>
    <v>1</v>
  </rv>
  <rv s="0">
    <fb>27173.955300000001</fb>
    <v>0</v>
  </rv>
  <rv s="0">
    <fb>41869</fb>
    <v>1</v>
  </rv>
  <rv s="0">
    <fb>27110.980500000001</fb>
    <v>0</v>
  </rv>
  <rv s="0">
    <fb>41876</fb>
    <v>1</v>
  </rv>
  <rv s="0">
    <fb>26671.948799999998</fb>
    <v>0</v>
  </rv>
  <rv s="0">
    <fb>41884</fb>
    <v>1</v>
  </rv>
  <rv s="0">
    <fb>26501.595499999999</fb>
    <v>0</v>
  </rv>
  <rv s="0">
    <fb>41890</fb>
    <v>1</v>
  </rv>
  <rv s="0">
    <fb>26469.888599999998</fb>
    <v>0</v>
  </rv>
  <rv s="0">
    <fb>41897</fb>
    <v>1</v>
  </rv>
  <rv s="0">
    <fb>26428.324199999999</fb>
    <v>0</v>
  </rv>
  <rv s="0">
    <fb>41904</fb>
    <v>1</v>
  </rv>
  <rv s="0">
    <fb>26075.301800000001</fb>
    <v>0</v>
  </rv>
  <rv s="0">
    <fb>41911</fb>
    <v>1</v>
  </rv>
  <rv s="0">
    <fb>25871.458299999998</fb>
    <v>0</v>
  </rv>
  <rv s="0">
    <fb>41918</fb>
    <v>1</v>
  </rv>
  <rv s="0">
    <fb>25864.778900000001</fb>
    <v>0</v>
  </rv>
  <rv s="0">
    <fb>41925</fb>
    <v>1</v>
  </rv>
  <rv s="0">
    <fb>25827.356299999999</fb>
    <v>0</v>
  </rv>
  <rv s="0">
    <fb>41932</fb>
    <v>1</v>
  </rv>
  <rv s="0">
    <fb>25605.542700000002</fb>
    <v>0</v>
  </rv>
  <rv s="0">
    <fb>41939</fb>
    <v>1</v>
  </rv>
  <rv s="0">
    <fb>25383.1119</fb>
    <v>0</v>
  </rv>
  <rv s="0">
    <fb>41946</fb>
    <v>1</v>
  </rv>
  <rv s="0">
    <fb>25015.5488</fb>
    <v>0</v>
  </rv>
  <rv s="0">
    <fb>41953</fb>
    <v>1</v>
  </rv>
  <rv s="0">
    <fb>24465.164499999999</fb>
    <v>0</v>
  </rv>
  <rv s="0">
    <fb>41960</fb>
    <v>1</v>
  </rv>
  <rv s="0">
    <fb>24331.314999999999</fb>
    <v>0</v>
  </rv>
  <rv s="0">
    <fb>41967</fb>
    <v>1</v>
  </rv>
  <rv s="0">
    <fb>24242.493600000002</fb>
    <v>0</v>
  </rv>
  <rv s="0">
    <fb>41974</fb>
    <v>1</v>
  </rv>
  <rv s="0">
    <fb>23775.272199999999</fb>
    <v>0</v>
  </rv>
  <rv s="0">
    <fb>41981</fb>
    <v>1</v>
  </rv>
  <rv s="0">
    <fb>23723.694</fb>
    <v>0</v>
  </rv>
  <rv s="0">
    <fb>41988</fb>
    <v>1</v>
  </rv>
  <rv s="0">
    <fb>23719.373</fb>
    <v>0</v>
  </rv>
  <rv s="0">
    <fb>41995</fb>
    <v>1</v>
  </rv>
  <rv s="0">
    <fb>23685.421900000001</fb>
    <v>0</v>
  </rv>
  <rv s="0">
    <fb>42002</fb>
    <v>1</v>
  </rv>
  <rv s="0">
    <fb>42009</fb>
    <v>1</v>
  </rv>
  <rv s="0">
    <fb>42016</fb>
    <v>1</v>
  </rv>
  <rv s="0">
    <fb>42024</fb>
    <v>1</v>
  </rv>
  <rv s="0">
    <fb>42030</fb>
    <v>1</v>
  </rv>
  <rv s="0">
    <fb>42037</fb>
    <v>1</v>
  </rv>
  <rv s="0">
    <fb>42044</fb>
    <v>1</v>
  </rv>
  <rv s="0">
    <fb>42052</fb>
    <v>1</v>
  </rv>
  <rv s="0">
    <fb>42058</fb>
    <v>1</v>
  </rv>
  <rv s="0">
    <fb>42065</fb>
    <v>1</v>
  </rv>
  <rv s="0">
    <fb>42072</fb>
    <v>1</v>
  </rv>
  <rv s="0">
    <fb>42079</fb>
    <v>1</v>
  </rv>
  <rv s="0">
    <fb>42086</fb>
    <v>1</v>
  </rv>
  <rv s="0">
    <fb>42093</fb>
    <v>1</v>
  </rv>
  <rv s="0">
    <fb>42100</fb>
    <v>1</v>
  </rv>
  <rv s="0">
    <fb>42107</fb>
    <v>1</v>
  </rv>
  <rv s="0">
    <fb>42114</fb>
    <v>1</v>
  </rv>
  <rv s="0">
    <fb>42121</fb>
    <v>1</v>
  </rv>
  <rv s="0">
    <fb>42128</fb>
    <v>1</v>
  </rv>
  <rv s="0">
    <fb>42135</fb>
    <v>1</v>
  </rv>
  <rv s="0">
    <fb>42142</fb>
    <v>1</v>
  </rv>
  <rv s="0">
    <fb>42150</fb>
    <v>1</v>
  </rv>
  <rv s="0">
    <fb>42156</fb>
    <v>1</v>
  </rv>
  <rv s="0">
    <fb>42163</fb>
    <v>1</v>
  </rv>
  <rv s="0">
    <fb>42170</fb>
    <v>1</v>
  </rv>
  <rv s="0">
    <fb>42177</fb>
    <v>1</v>
  </rv>
  <rv s="0">
    <fb>42184</fb>
    <v>1</v>
  </rv>
  <rv s="0">
    <fb>42191</fb>
    <v>1</v>
  </rv>
  <rv s="0">
    <fb>42198</fb>
    <v>1</v>
  </rv>
  <rv s="0">
    <fb>42205</fb>
    <v>1</v>
  </rv>
  <rv s="0">
    <fb>42212</fb>
    <v>1</v>
  </rv>
  <rv s="0">
    <fb>42219</fb>
    <v>1</v>
  </rv>
  <rv s="0">
    <fb>42226</fb>
    <v>1</v>
  </rv>
  <rv s="0">
    <fb>42233</fb>
    <v>1</v>
  </rv>
  <rv s="0">
    <fb>42240</fb>
    <v>1</v>
  </rv>
  <rv s="0">
    <fb>42247</fb>
    <v>1</v>
  </rv>
  <rv s="0">
    <fb>42255</fb>
    <v>1</v>
  </rv>
  <rv s="0">
    <fb>42261</fb>
    <v>1</v>
  </rv>
  <rv s="0">
    <fb>42268</fb>
    <v>1</v>
  </rv>
  <rv s="0">
    <fb>42275</fb>
    <v>1</v>
  </rv>
  <rv s="0">
    <fb>42282</fb>
    <v>1</v>
  </rv>
  <rv s="0">
    <fb>42289</fb>
    <v>1</v>
  </rv>
  <rv s="0">
    <fb>42296</fb>
    <v>1</v>
  </rv>
  <rv s="0">
    <fb>42303</fb>
    <v>1</v>
  </rv>
  <rv s="0">
    <fb>42310</fb>
    <v>1</v>
  </rv>
  <rv s="0">
    <fb>42317</fb>
    <v>1</v>
  </rv>
  <rv s="0">
    <fb>42324</fb>
    <v>1</v>
  </rv>
  <rv s="0">
    <fb>42331</fb>
    <v>1</v>
  </rv>
  <rv s="0">
    <fb>42338</fb>
    <v>1</v>
  </rv>
  <rv s="0">
    <fb>42345</fb>
    <v>1</v>
  </rv>
  <rv s="0">
    <fb>42352</fb>
    <v>1</v>
  </rv>
  <rv s="0">
    <fb>42359</fb>
    <v>1</v>
  </rv>
  <rv s="0">
    <fb>42366</fb>
    <v>1</v>
  </rv>
  <rv s="0">
    <fb>42373</fb>
    <v>1</v>
  </rv>
  <rv s="0">
    <fb>42380</fb>
    <v>1</v>
  </rv>
  <rv s="0">
    <fb>42388</fb>
    <v>1</v>
  </rv>
  <rv s="0">
    <fb>42394</fb>
    <v>1</v>
  </rv>
  <rv s="0">
    <fb>42401</fb>
    <v>1</v>
  </rv>
  <rv s="0">
    <fb>42408</fb>
    <v>1</v>
  </rv>
  <rv s="0">
    <fb>42416</fb>
    <v>1</v>
  </rv>
  <rv s="0">
    <fb>42422</fb>
    <v>1</v>
  </rv>
  <rv s="0">
    <fb>42429</fb>
    <v>1</v>
  </rv>
  <rv s="0">
    <fb>42436</fb>
    <v>1</v>
  </rv>
  <rv s="0">
    <fb>42443</fb>
    <v>1</v>
  </rv>
  <rv s="0">
    <fb>42450</fb>
    <v>1</v>
  </rv>
  <rv s="0">
    <fb>42457</fb>
    <v>1</v>
  </rv>
  <rv s="0">
    <fb>42464</fb>
    <v>1</v>
  </rv>
  <rv s="0">
    <fb>42471</fb>
    <v>1</v>
  </rv>
  <rv s="0">
    <fb>42478</fb>
    <v>1</v>
  </rv>
  <rv s="0">
    <fb>42485</fb>
    <v>1</v>
  </rv>
  <rv s="0">
    <fb>42492</fb>
    <v>1</v>
  </rv>
  <rv s="0">
    <fb>42499</fb>
    <v>1</v>
  </rv>
  <rv s="0">
    <fb>42506</fb>
    <v>1</v>
  </rv>
  <rv s="0">
    <fb>42513</fb>
    <v>1</v>
  </rv>
  <rv s="0">
    <fb>42521</fb>
    <v>1</v>
  </rv>
  <rv s="0">
    <fb>42527</fb>
    <v>1</v>
  </rv>
  <rv s="0">
    <fb>42534</fb>
    <v>1</v>
  </rv>
  <rv s="0">
    <fb>42541</fb>
    <v>1</v>
  </rv>
  <rv s="0">
    <fb>42548</fb>
    <v>1</v>
  </rv>
  <rv s="0">
    <fb>42556</fb>
    <v>1</v>
  </rv>
  <rv s="0">
    <fb>42562</fb>
    <v>1</v>
  </rv>
  <rv s="0">
    <fb>42569</fb>
    <v>1</v>
  </rv>
  <rv s="0">
    <fb>42576</fb>
    <v>1</v>
  </rv>
  <rv s="0">
    <fb>42583</fb>
    <v>1</v>
  </rv>
  <rv s="0">
    <fb>42590</fb>
    <v>1</v>
  </rv>
  <rv s="0">
    <fb>42597</fb>
    <v>1</v>
  </rv>
  <rv s="0">
    <fb>42604</fb>
    <v>1</v>
  </rv>
  <rv s="0">
    <fb>42611</fb>
    <v>1</v>
  </rv>
  <rv s="0">
    <fb>42619</fb>
    <v>1</v>
  </rv>
  <rv s="0">
    <fb>42625</fb>
    <v>1</v>
  </rv>
  <rv s="0">
    <fb>42632</fb>
    <v>1</v>
  </rv>
  <rv s="0">
    <fb>42639</fb>
    <v>1</v>
  </rv>
  <rv s="0">
    <fb>42646</fb>
    <v>1</v>
  </rv>
  <rv s="0">
    <fb>42653</fb>
    <v>1</v>
  </rv>
  <rv s="0">
    <fb>42660</fb>
    <v>1</v>
  </rv>
  <rv s="0">
    <fb>42667</fb>
    <v>1</v>
  </rv>
  <rv s="0">
    <fb>42674</fb>
    <v>1</v>
  </rv>
  <rv s="0">
    <fb>42681</fb>
    <v>1</v>
  </rv>
  <rv s="0">
    <fb>42688</fb>
    <v>1</v>
  </rv>
  <rv s="0">
    <fb>42695</fb>
    <v>1</v>
  </rv>
  <rv s="0">
    <fb>42702</fb>
    <v>1</v>
  </rv>
  <rv s="0">
    <fb>42709</fb>
    <v>1</v>
  </rv>
  <rv s="0">
    <fb>42716</fb>
    <v>1</v>
  </rv>
  <rv s="0">
    <fb>42723</fb>
    <v>1</v>
  </rv>
  <rv s="0">
    <fb>42731</fb>
    <v>1</v>
  </rv>
  <rv s="0">
    <fb>42738</fb>
    <v>1</v>
  </rv>
  <rv s="0">
    <fb>42744</fb>
    <v>1</v>
  </rv>
  <rv s="0">
    <fb>42752</fb>
    <v>1</v>
  </rv>
  <rv s="0">
    <fb>42758</fb>
    <v>1</v>
  </rv>
  <rv s="0">
    <fb>42765</fb>
    <v>1</v>
  </rv>
  <rv s="0">
    <fb>42772</fb>
    <v>1</v>
  </rv>
  <rv s="0">
    <fb>42779</fb>
    <v>1</v>
  </rv>
  <rv s="0">
    <fb>42787</fb>
    <v>1</v>
  </rv>
  <rv s="0">
    <fb>42793</fb>
    <v>1</v>
  </rv>
  <rv s="0">
    <fb>42800</fb>
    <v>1</v>
  </rv>
  <rv s="0">
    <fb>42807</fb>
    <v>1</v>
  </rv>
  <rv s="0">
    <fb>42814</fb>
    <v>1</v>
  </rv>
  <rv s="0">
    <fb>42821</fb>
    <v>1</v>
  </rv>
  <rv s="0">
    <fb>42828</fb>
    <v>1</v>
  </rv>
  <rv s="0">
    <fb>42835</fb>
    <v>1</v>
  </rv>
  <rv s="0">
    <fb>42842</fb>
    <v>1</v>
  </rv>
  <rv s="0">
    <fb>42849</fb>
    <v>1</v>
  </rv>
  <rv s="0">
    <fb>42856</fb>
    <v>1</v>
  </rv>
  <rv s="0">
    <fb>42863</fb>
    <v>1</v>
  </rv>
  <rv s="0">
    <fb>42870</fb>
    <v>1</v>
  </rv>
  <rv s="0">
    <fb>42877</fb>
    <v>1</v>
  </rv>
  <rv s="0">
    <fb>42885</fb>
    <v>1</v>
  </rv>
  <rv s="0">
    <fb>42891</fb>
    <v>1</v>
  </rv>
  <rv s="0">
    <fb>42898</fb>
    <v>1</v>
  </rv>
  <rv s="0">
    <fb>42905</fb>
    <v>1</v>
  </rv>
  <rv s="0">
    <fb>42912</fb>
    <v>1</v>
  </rv>
  <rv s="0">
    <fb>42919</fb>
    <v>1</v>
  </rv>
  <rv s="0">
    <fb>42926</fb>
    <v>1</v>
  </rv>
  <rv s="0">
    <fb>42933</fb>
    <v>1</v>
  </rv>
  <rv s="0">
    <fb>42940</fb>
    <v>1</v>
  </rv>
  <rv s="0">
    <fb>42947</fb>
    <v>1</v>
  </rv>
  <rv s="0">
    <fb>42954</fb>
    <v>1</v>
  </rv>
  <rv s="0">
    <fb>42961</fb>
    <v>1</v>
  </rv>
  <rv s="0">
    <fb>42968</fb>
    <v>1</v>
  </rv>
  <rv s="0">
    <fb>42975</fb>
    <v>1</v>
  </rv>
  <rv s="0">
    <fb>42983</fb>
    <v>1</v>
  </rv>
  <rv s="0">
    <fb>42989</fb>
    <v>1</v>
  </rv>
  <rv s="0">
    <fb>42996</fb>
    <v>1</v>
  </rv>
  <rv s="0">
    <fb>43003</fb>
    <v>1</v>
  </rv>
  <rv s="0">
    <fb>43010</fb>
    <v>1</v>
  </rv>
  <rv s="0">
    <fb>43017</fb>
    <v>1</v>
  </rv>
  <rv s="0">
    <fb>43024</fb>
    <v>1</v>
  </rv>
  <rv s="0">
    <fb>43031</fb>
    <v>1</v>
  </rv>
  <rv s="0">
    <fb>43038</fb>
    <v>1</v>
  </rv>
  <rv s="0">
    <fb>43045</fb>
    <v>1</v>
  </rv>
  <rv s="0">
    <fb>43052</fb>
    <v>1</v>
  </rv>
  <rv s="0">
    <fb>43059</fb>
    <v>1</v>
  </rv>
  <rv s="0">
    <fb>43066</fb>
    <v>1</v>
  </rv>
  <rv s="0">
    <fb>43073</fb>
    <v>1</v>
  </rv>
  <rv s="0">
    <fb>43080</fb>
    <v>1</v>
  </rv>
  <rv s="0">
    <fb>43087</fb>
    <v>1</v>
  </rv>
  <rv s="0">
    <fb>43095</fb>
    <v>1</v>
  </rv>
  <rv s="0">
    <fb>43102</fb>
    <v>1</v>
  </rv>
  <rv s="0">
    <fb>43108</fb>
    <v>1</v>
  </rv>
  <rv s="0">
    <fb>43116</fb>
    <v>1</v>
  </rv>
  <rv s="0">
    <fb>43122</fb>
    <v>1</v>
  </rv>
  <rv s="0">
    <fb>43129</fb>
    <v>1</v>
  </rv>
  <rv s="0">
    <fb>43136</fb>
    <v>1</v>
  </rv>
  <rv s="0">
    <fb>43143</fb>
    <v>1</v>
  </rv>
  <rv s="0">
    <fb>43151</fb>
    <v>1</v>
  </rv>
  <rv s="0">
    <fb>43157</fb>
    <v>1</v>
  </rv>
  <rv s="0">
    <fb>43164</fb>
    <v>1</v>
  </rv>
  <rv s="0">
    <fb>43171</fb>
    <v>1</v>
  </rv>
  <rv s="0">
    <fb>43178</fb>
    <v>1</v>
  </rv>
  <rv s="0">
    <fb>43185</fb>
    <v>1</v>
  </rv>
  <rv s="0">
    <fb>43192</fb>
    <v>1</v>
  </rv>
  <rv s="0">
    <fb>43199</fb>
    <v>1</v>
  </rv>
  <rv s="0">
    <fb>43206</fb>
    <v>1</v>
  </rv>
  <rv s="0">
    <fb>43213</fb>
    <v>1</v>
  </rv>
  <rv s="0">
    <fb>43220</fb>
    <v>1</v>
  </rv>
  <rv s="0">
    <fb>43227</fb>
    <v>1</v>
  </rv>
  <rv s="0">
    <fb>43234</fb>
    <v>1</v>
  </rv>
  <rv s="0">
    <fb>43241</fb>
    <v>1</v>
  </rv>
  <rv s="0">
    <fb>43249</fb>
    <v>1</v>
  </rv>
  <rv s="0">
    <fb>43255</fb>
    <v>1</v>
  </rv>
  <rv s="0">
    <fb>43262</fb>
    <v>1</v>
  </rv>
  <rv s="0">
    <fb>43269</fb>
    <v>1</v>
  </rv>
  <rv s="0">
    <fb>43276</fb>
    <v>1</v>
  </rv>
  <rv s="0">
    <fb>43283</fb>
    <v>1</v>
  </rv>
  <rv s="0">
    <fb>43290</fb>
    <v>1</v>
  </rv>
  <rv s="0">
    <fb>43297</fb>
    <v>1</v>
  </rv>
  <rv s="0">
    <fb>43304</fb>
    <v>1</v>
  </rv>
  <rv s="0">
    <fb>43311</fb>
    <v>1</v>
  </rv>
  <rv s="0">
    <fb>43318</fb>
    <v>1</v>
  </rv>
  <rv s="0">
    <fb>43325</fb>
    <v>1</v>
  </rv>
  <rv s="0">
    <fb>43332</fb>
    <v>1</v>
  </rv>
  <rv s="0">
    <fb>43339</fb>
    <v>1</v>
  </rv>
  <rv s="0">
    <fb>43347</fb>
    <v>1</v>
  </rv>
  <rv s="0">
    <fb>43353</fb>
    <v>1</v>
  </rv>
  <rv s="0">
    <fb>43360</fb>
    <v>1</v>
  </rv>
  <rv s="0">
    <fb>43367</fb>
    <v>1</v>
  </rv>
  <rv s="0">
    <fb>43374</fb>
    <v>1</v>
  </rv>
  <rv s="0">
    <fb>43381</fb>
    <v>1</v>
  </rv>
  <rv s="0">
    <fb>43388</fb>
    <v>1</v>
  </rv>
  <rv s="0">
    <fb>43395</fb>
    <v>1</v>
  </rv>
  <rv s="0">
    <fb>43402</fb>
    <v>1</v>
  </rv>
  <rv s="0">
    <fb>43409</fb>
    <v>1</v>
  </rv>
  <rv s="0">
    <fb>43416</fb>
    <v>1</v>
  </rv>
  <rv s="0">
    <fb>43423</fb>
    <v>1</v>
  </rv>
  <rv s="0">
    <fb>43430</fb>
    <v>1</v>
  </rv>
  <rv s="0">
    <fb>43437</fb>
    <v>1</v>
  </rv>
  <rv s="0">
    <fb>43444</fb>
    <v>1</v>
  </rv>
  <rv s="0">
    <fb>43451</fb>
    <v>1</v>
  </rv>
  <rv s="0">
    <fb>43458</fb>
    <v>1</v>
  </rv>
  <rv s="0">
    <fb>43465</fb>
    <v>1</v>
  </rv>
  <rv s="0">
    <fb>43472</fb>
    <v>1</v>
  </rv>
  <rv s="0">
    <fb>43479</fb>
    <v>1</v>
  </rv>
  <rv s="0">
    <fb>43487</fb>
    <v>1</v>
  </rv>
  <rv s="0">
    <fb>43493</fb>
    <v>1</v>
  </rv>
  <rv s="0">
    <fb>43500</fb>
    <v>1</v>
  </rv>
  <rv s="0">
    <fb>43507</fb>
    <v>1</v>
  </rv>
  <rv s="0">
    <fb>43515</fb>
    <v>1</v>
  </rv>
  <rv s="0">
    <fb>43521</fb>
    <v>1</v>
  </rv>
  <rv s="0">
    <fb>43528</fb>
    <v>1</v>
  </rv>
  <rv s="0">
    <fb>43535</fb>
    <v>1</v>
  </rv>
  <rv s="0">
    <fb>43542</fb>
    <v>1</v>
  </rv>
  <rv s="0">
    <fb>43549</fb>
    <v>1</v>
  </rv>
  <rv s="0">
    <fb>43556</fb>
    <v>1</v>
  </rv>
  <rv s="0">
    <fb>43563</fb>
    <v>1</v>
  </rv>
  <rv s="0">
    <fb>43570</fb>
    <v>1</v>
  </rv>
  <rv s="0">
    <fb>43577</fb>
    <v>1</v>
  </rv>
  <rv s="0">
    <fb>43584</fb>
    <v>1</v>
  </rv>
  <rv s="0">
    <fb>43591</fb>
    <v>1</v>
  </rv>
  <rv s="0">
    <fb>43598</fb>
    <v>1</v>
  </rv>
  <rv s="0">
    <fb>43605</fb>
    <v>1</v>
  </rv>
  <rv s="0">
    <fb>43613</fb>
    <v>1</v>
  </rv>
  <rv s="0">
    <fb>43619</fb>
    <v>1</v>
  </rv>
  <rv s="0">
    <fb>43626</fb>
    <v>1</v>
  </rv>
  <rv s="0">
    <fb>43633</fb>
    <v>1</v>
  </rv>
  <rv s="0">
    <fb>43640</fb>
    <v>1</v>
  </rv>
  <rv s="0">
    <fb>43647</fb>
    <v>1</v>
  </rv>
  <rv s="0">
    <fb>43654</fb>
    <v>1</v>
  </rv>
  <rv s="0">
    <fb>43661</fb>
    <v>1</v>
  </rv>
  <rv s="0">
    <fb>43668</fb>
    <v>1</v>
  </rv>
  <rv s="0">
    <fb>43675</fb>
    <v>1</v>
  </rv>
  <rv s="0">
    <fb>43682</fb>
    <v>1</v>
  </rv>
  <rv s="0">
    <fb>43689</fb>
    <v>1</v>
  </rv>
  <rv s="0">
    <fb>43696</fb>
    <v>1</v>
  </rv>
  <rv s="0">
    <fb>43703</fb>
    <v>1</v>
  </rv>
  <rv s="0">
    <fb>43711</fb>
    <v>1</v>
  </rv>
  <rv s="0">
    <fb>43717</fb>
    <v>1</v>
  </rv>
  <rv s="0">
    <fb>43724</fb>
    <v>1</v>
  </rv>
  <rv s="0">
    <fb>43731</fb>
    <v>1</v>
  </rv>
  <rv s="0">
    <fb>43738</fb>
    <v>1</v>
  </rv>
  <rv s="0">
    <fb>43745</fb>
    <v>1</v>
  </rv>
  <rv s="0">
    <fb>43752</fb>
    <v>1</v>
  </rv>
  <rv s="0">
    <fb>43759</fb>
    <v>1</v>
  </rv>
  <rv s="0">
    <fb>43766</fb>
    <v>1</v>
  </rv>
  <rv s="0">
    <fb>43773</fb>
    <v>1</v>
  </rv>
  <rv s="0">
    <fb>43780</fb>
    <v>1</v>
  </rv>
  <rv s="0">
    <fb>43787</fb>
    <v>1</v>
  </rv>
  <rv s="0">
    <fb>43794</fb>
    <v>1</v>
  </rv>
  <rv s="0">
    <fb>43801</fb>
    <v>1</v>
  </rv>
  <rv s="0">
    <fb>43808</fb>
    <v>1</v>
  </rv>
  <rv s="0">
    <fb>43815</fb>
    <v>1</v>
  </rv>
  <rv s="0">
    <fb>43822</fb>
    <v>1</v>
  </rv>
  <rv s="0">
    <fb>43829</fb>
    <v>1</v>
  </rv>
  <rv s="0">
    <fb>43836</fb>
    <v>1</v>
  </rv>
  <rv s="0">
    <fb>43843</fb>
    <v>1</v>
  </rv>
  <rv s="0">
    <fb>43851</fb>
    <v>1</v>
  </rv>
  <rv s="0">
    <fb>43857</fb>
    <v>1</v>
  </rv>
  <rv s="0">
    <fb>43864</fb>
    <v>1</v>
  </rv>
  <rv s="0">
    <fb>43871</fb>
    <v>1</v>
  </rv>
  <rv s="0">
    <fb>43879</fb>
    <v>1</v>
  </rv>
  <rv s="0">
    <fb>43885</fb>
    <v>1</v>
  </rv>
  <rv s="0">
    <fb>43892</fb>
    <v>1</v>
  </rv>
  <rv s="0">
    <fb>43899</fb>
    <v>1</v>
  </rv>
  <rv s="0">
    <fb>43906</fb>
    <v>1</v>
  </rv>
  <rv s="0">
    <fb>43913</fb>
    <v>1</v>
  </rv>
  <rv s="0">
    <fb>43920</fb>
    <v>1</v>
  </rv>
  <rv s="0">
    <fb>43927</fb>
    <v>1</v>
  </rv>
  <rv s="0">
    <fb>43934</fb>
    <v>1</v>
  </rv>
  <rv s="0">
    <fb>43941</fb>
    <v>1</v>
  </rv>
  <rv s="0">
    <fb>43948</fb>
    <v>1</v>
  </rv>
  <rv s="0">
    <fb>43955</fb>
    <v>1</v>
  </rv>
  <rv s="0">
    <fb>43962</fb>
    <v>1</v>
  </rv>
  <rv s="0">
    <fb>43969</fb>
    <v>1</v>
  </rv>
  <rv s="0">
    <fb>43977</fb>
    <v>1</v>
  </rv>
  <rv s="0">
    <fb>43983</fb>
    <v>1</v>
  </rv>
  <rv s="0">
    <fb>43990</fb>
    <v>1</v>
  </rv>
  <rv s="0">
    <fb>43997</fb>
    <v>1</v>
  </rv>
  <rv s="0">
    <fb>44004</fb>
    <v>1</v>
  </rv>
  <rv s="0">
    <fb>44011</fb>
    <v>1</v>
  </rv>
  <rv s="0">
    <fb>44018</fb>
    <v>1</v>
  </rv>
  <rv s="0">
    <fb>44025</fb>
    <v>1</v>
  </rv>
  <rv s="0">
    <fb>44032</fb>
    <v>1</v>
  </rv>
  <rv s="0">
    <fb>44039</fb>
    <v>1</v>
  </rv>
  <rv s="0">
    <fb>44046</fb>
    <v>1</v>
  </rv>
  <rv s="0">
    <fb>44053</fb>
    <v>1</v>
  </rv>
  <rv s="0">
    <fb>44060</fb>
    <v>1</v>
  </rv>
  <rv s="0">
    <fb>44067</fb>
    <v>1</v>
  </rv>
  <rv s="0">
    <fb>44074</fb>
    <v>1</v>
  </rv>
  <rv s="0">
    <fb>44082</fb>
    <v>1</v>
  </rv>
  <rv s="0">
    <fb>44088</fb>
    <v>1</v>
  </rv>
  <rv s="0">
    <fb>44095</fb>
    <v>1</v>
  </rv>
  <rv s="0">
    <fb>44102</fb>
    <v>1</v>
  </rv>
  <rv s="0">
    <fb>44109</fb>
    <v>1</v>
  </rv>
  <rv s="0">
    <fb>44116</fb>
    <v>1</v>
  </rv>
  <rv s="0">
    <fb>44123</fb>
    <v>1</v>
  </rv>
  <rv s="0">
    <fb>44130</fb>
    <v>1</v>
  </rv>
  <rv s="0">
    <fb>44137</fb>
    <v>1</v>
  </rv>
  <rv s="0">
    <fb>44144</fb>
    <v>1</v>
  </rv>
  <rv s="0">
    <fb>44151</fb>
    <v>1</v>
  </rv>
  <rv s="0">
    <fb>44158</fb>
    <v>1</v>
  </rv>
  <rv s="0">
    <fb>44165</fb>
    <v>1</v>
  </rv>
  <rv s="0">
    <fb>44172</fb>
    <v>1</v>
  </rv>
  <rv s="0">
    <fb>44179</fb>
    <v>1</v>
  </rv>
  <rv s="0">
    <fb>44186</fb>
    <v>1</v>
  </rv>
  <rv s="0">
    <fb>44193</fb>
    <v>1</v>
  </rv>
  <rv s="0">
    <fb>44200</fb>
    <v>1</v>
  </rv>
  <rv s="0">
    <fb>44207</fb>
    <v>1</v>
  </rv>
  <rv s="0">
    <fb>44215</fb>
    <v>1</v>
  </rv>
  <rv s="0">
    <fb>44221</fb>
    <v>1</v>
  </rv>
  <rv s="0">
    <fb>44228</fb>
    <v>1</v>
  </rv>
  <rv s="0">
    <fb>44235</fb>
    <v>1</v>
  </rv>
  <rv s="0">
    <fb>44243</fb>
    <v>1</v>
  </rv>
  <rv s="0">
    <fb>44249</fb>
    <v>1</v>
  </rv>
  <rv s="0">
    <fb>44256</fb>
    <v>1</v>
  </rv>
  <rv s="0">
    <fb>44263</fb>
    <v>1</v>
  </rv>
  <rv s="0">
    <fb>44270</fb>
    <v>1</v>
  </rv>
  <rv s="0">
    <fb>44277</fb>
    <v>1</v>
  </rv>
  <rv s="0">
    <fb>44284</fb>
    <v>1</v>
  </rv>
  <rv s="0">
    <fb>44291</fb>
    <v>1</v>
  </rv>
  <rv s="0">
    <fb>44298</fb>
    <v>1</v>
  </rv>
  <rv s="0">
    <fb>44305</fb>
    <v>1</v>
  </rv>
  <rv s="0">
    <fb>44312</fb>
    <v>1</v>
  </rv>
  <rv s="0">
    <fb>44319</fb>
    <v>1</v>
  </rv>
  <rv s="0">
    <fb>44326</fb>
    <v>1</v>
  </rv>
  <rv s="0">
    <fb>44333</fb>
    <v>1</v>
  </rv>
  <rv s="0">
    <fb>44340</fb>
    <v>1</v>
  </rv>
  <rv s="0">
    <fb>44348</fb>
    <v>1</v>
  </rv>
  <rv s="0">
    <fb>44354</fb>
    <v>1</v>
  </rv>
  <rv s="0">
    <fb>44361</fb>
    <v>1</v>
  </rv>
  <rv s="0">
    <fb>44368</fb>
    <v>1</v>
  </rv>
  <rv s="0">
    <fb>44375</fb>
    <v>1</v>
  </rv>
  <rv s="0">
    <fb>44383</fb>
    <v>1</v>
  </rv>
  <rv s="0">
    <fb>44389</fb>
    <v>1</v>
  </rv>
  <rv s="0">
    <fb>44396</fb>
    <v>1</v>
  </rv>
  <rv s="0">
    <fb>44403</fb>
    <v>1</v>
  </rv>
  <rv s="0">
    <fb>44410</fb>
    <v>1</v>
  </rv>
  <rv s="0">
    <fb>44417</fb>
    <v>1</v>
  </rv>
  <rv s="0">
    <fb>44424</fb>
    <v>1</v>
  </rv>
  <rv s="0">
    <fb>44431</fb>
    <v>1</v>
  </rv>
  <rv s="0">
    <fb>44438</fb>
    <v>1</v>
  </rv>
  <rv s="0">
    <fb>44446</fb>
    <v>1</v>
  </rv>
  <rv s="0">
    <fb>44452</fb>
    <v>1</v>
  </rv>
  <rv s="0">
    <fb>44459</fb>
    <v>1</v>
  </rv>
  <rv s="0">
    <fb>44466</fb>
    <v>1</v>
  </rv>
  <rv s="0">
    <fb>44473</fb>
    <v>1</v>
  </rv>
  <rv s="0">
    <fb>44480</fb>
    <v>1</v>
  </rv>
  <rv s="0">
    <fb>44487</fb>
    <v>1</v>
  </rv>
  <rv s="0">
    <fb>44494</fb>
    <v>1</v>
  </rv>
  <rv s="0">
    <fb>44501</fb>
    <v>1</v>
  </rv>
  <rv s="0">
    <fb>44508</fb>
    <v>1</v>
  </rv>
  <rv s="0">
    <fb>44515</fb>
    <v>1</v>
  </rv>
  <rv s="0">
    <fb>44522</fb>
    <v>1</v>
  </rv>
  <rv s="0">
    <fb>44529</fb>
    <v>1</v>
  </rv>
  <rv s="0">
    <fb>44536</fb>
    <v>1</v>
  </rv>
  <rv s="0">
    <fb>44543</fb>
    <v>1</v>
  </rv>
  <rv s="0">
    <fb>44550</fb>
    <v>1</v>
  </rv>
  <rv s="0">
    <fb>44557</fb>
    <v>1</v>
  </rv>
  <rv s="0">
    <fb>44564</fb>
    <v>1</v>
  </rv>
  <rv s="0">
    <fb>44571</fb>
    <v>1</v>
  </rv>
  <rv s="0">
    <fb>44579</fb>
    <v>1</v>
  </rv>
  <rv s="0">
    <fb>44585</fb>
    <v>1</v>
  </rv>
  <rv s="0">
    <fb>44592</fb>
    <v>1</v>
  </rv>
  <rv s="0">
    <fb>44599</fb>
    <v>1</v>
  </rv>
  <rv s="0">
    <fb>44606</fb>
    <v>1</v>
  </rv>
  <rv s="0">
    <fb>44614</fb>
    <v>1</v>
  </rv>
  <rv s="0">
    <fb>44620</fb>
    <v>1</v>
  </rv>
  <rv s="0">
    <fb>44627</fb>
    <v>1</v>
  </rv>
  <rv s="0">
    <fb>44634</fb>
    <v>1</v>
  </rv>
  <rv s="0">
    <fb>44641</fb>
    <v>1</v>
  </rv>
  <rv s="0">
    <fb>44648</fb>
    <v>1</v>
  </rv>
  <rv s="0">
    <fb>44655</fb>
    <v>1</v>
  </rv>
  <rv s="0">
    <fb>44662</fb>
    <v>1</v>
  </rv>
  <rv s="0">
    <fb>44669</fb>
    <v>1</v>
  </rv>
  <rv s="0">
    <fb>44676</fb>
    <v>1</v>
  </rv>
  <rv s="0">
    <fb>44683</fb>
    <v>1</v>
  </rv>
  <rv s="0">
    <fb>44690</fb>
    <v>1</v>
  </rv>
  <rv s="0">
    <fb>44697</fb>
    <v>1</v>
  </rv>
  <rv s="0">
    <fb>44704</fb>
    <v>1</v>
  </rv>
  <rv s="0">
    <fb>44712</fb>
    <v>1</v>
  </rv>
  <rv s="0">
    <fb>44718</fb>
    <v>1</v>
  </rv>
  <rv s="0">
    <fb>44725</fb>
    <v>1</v>
  </rv>
  <rv s="0">
    <fb>44733</fb>
    <v>1</v>
  </rv>
  <rv s="0">
    <fb>44739</fb>
    <v>1</v>
  </rv>
  <rv s="0">
    <fb>44747</fb>
    <v>1</v>
  </rv>
  <rv s="0">
    <fb>44753</fb>
    <v>1</v>
  </rv>
  <rv s="0">
    <fb>44760</fb>
    <v>1</v>
  </rv>
  <rv s="0">
    <fb>44767</fb>
    <v>1</v>
  </rv>
  <rv s="0">
    <fb>44774</fb>
    <v>1</v>
  </rv>
  <rv s="0">
    <fb>44781</fb>
    <v>1</v>
  </rv>
  <rv s="0">
    <fb>44788</fb>
    <v>1</v>
  </rv>
  <rv s="0">
    <fb>44795</fb>
    <v>1</v>
  </rv>
  <rv s="0">
    <fb>44802</fb>
    <v>1</v>
  </rv>
  <rv s="0">
    <fb>44810</fb>
    <v>1</v>
  </rv>
  <rv s="0">
    <fb>44816</fb>
    <v>1</v>
  </rv>
  <rv s="0">
    <fb>44823</fb>
    <v>1</v>
  </rv>
  <rv s="0">
    <fb>44830</fb>
    <v>1</v>
  </rv>
  <rv s="0">
    <fb>44837</fb>
    <v>1</v>
  </rv>
  <rv s="0">
    <fb>44844</fb>
    <v>1</v>
  </rv>
  <rv s="0">
    <fb>44851</fb>
    <v>1</v>
  </rv>
  <rv s="0">
    <fb>44858</fb>
    <v>1</v>
  </rv>
  <rv s="0">
    <fb>44865</fb>
    <v>1</v>
  </rv>
  <rv s="0">
    <fb>44872</fb>
    <v>1</v>
  </rv>
  <rv s="0">
    <fb>44879</fb>
    <v>1</v>
  </rv>
  <rv s="0">
    <fb>44886</fb>
    <v>1</v>
  </rv>
  <rv s="0">
    <fb>44893</fb>
    <v>1</v>
  </rv>
  <rv s="0">
    <fb>44900</fb>
    <v>1</v>
  </rv>
  <rv s="0">
    <fb>44907</fb>
    <v>1</v>
  </rv>
  <rv s="0">
    <fb>44914</fb>
    <v>1</v>
  </rv>
  <rv s="0">
    <fb>44922</fb>
    <v>1</v>
  </rv>
  <rv s="0">
    <fb>44929</fb>
    <v>1</v>
  </rv>
  <rv s="0">
    <fb>44935</fb>
    <v>1</v>
  </rv>
  <rv s="0">
    <fb>44943</fb>
    <v>1</v>
  </rv>
  <rv s="0">
    <fb>44949</fb>
    <v>1</v>
  </rv>
  <rv s="0">
    <fb>44956</fb>
    <v>1</v>
  </rv>
  <rv s="0">
    <fb>44963</fb>
    <v>1</v>
  </rv>
  <rv s="0">
    <fb>44970</fb>
    <v>1</v>
  </rv>
  <rv s="0">
    <fb>44978</fb>
    <v>1</v>
  </rv>
  <rv s="0">
    <fb>44984</fb>
    <v>1</v>
  </rv>
  <rv s="0">
    <fb>44991</fb>
    <v>1</v>
  </rv>
  <rv s="0">
    <fb>44998</fb>
    <v>1</v>
  </rv>
  <rv s="0">
    <fb>45005</fb>
    <v>1</v>
  </rv>
  <rv s="0">
    <fb>45012</fb>
    <v>1</v>
  </rv>
  <rv s="0">
    <fb>45019</fb>
    <v>1</v>
  </rv>
  <rv s="0">
    <fb>45026</fb>
    <v>1</v>
  </rv>
  <rv s="0">
    <fb>45033</fb>
    <v>1</v>
  </rv>
  <rv s="0">
    <fb>45040</fb>
    <v>1</v>
  </rv>
  <rv s="0">
    <fb>45047</fb>
    <v>1</v>
  </rv>
  <rv s="0">
    <fb>45054</fb>
    <v>1</v>
  </rv>
  <rv s="0">
    <fb>45061</fb>
    <v>1</v>
  </rv>
  <rv s="0">
    <fb>45068</fb>
    <v>1</v>
  </rv>
  <rv s="0">
    <fb>45076</fb>
    <v>1</v>
  </rv>
  <rv s="0">
    <fb>45082</fb>
    <v>1</v>
  </rv>
  <rv s="0">
    <fb>45089</fb>
    <v>1</v>
  </rv>
  <rv s="0">
    <fb>45097</fb>
    <v>1</v>
  </rv>
  <rv s="0">
    <fb>45103</fb>
    <v>1</v>
  </rv>
  <rv s="0">
    <fb>45110</fb>
    <v>1</v>
  </rv>
  <rv s="0">
    <fb>45117</fb>
    <v>1</v>
  </rv>
  <rv s="0">
    <fb>45124</fb>
    <v>1</v>
  </rv>
  <rv s="0">
    <fb>45131</fb>
    <v>1</v>
  </rv>
  <rv s="0">
    <fb>45138</fb>
    <v>1</v>
  </rv>
  <rv s="0">
    <fb>45145</fb>
    <v>1</v>
  </rv>
  <rv s="0">
    <fb>45152</fb>
    <v>1</v>
  </rv>
  <rv s="0">
    <fb>45159</fb>
    <v>1</v>
  </rv>
  <rv s="0">
    <fb>45166</fb>
    <v>1</v>
  </rv>
  <rv s="0">
    <fb>45174</fb>
    <v>1</v>
  </rv>
  <rv s="0">
    <fb>45180</fb>
    <v>1</v>
  </rv>
  <rv s="0">
    <fb>45187</fb>
    <v>1</v>
  </rv>
  <rv s="0">
    <fb>45194</fb>
    <v>1</v>
  </rv>
  <rv s="0">
    <fb>45201</fb>
    <v>1</v>
  </rv>
  <rv s="0">
    <fb>45208</fb>
    <v>1</v>
  </rv>
  <rv s="0">
    <fb>45215</fb>
    <v>1</v>
  </rv>
  <rv s="0">
    <fb>45222</fb>
    <v>1</v>
  </rv>
  <rv s="0">
    <fb>45229</fb>
    <v>1</v>
  </rv>
  <rv s="0">
    <fb>45236</fb>
    <v>1</v>
  </rv>
  <rv s="0">
    <fb>45243</fb>
    <v>1</v>
  </rv>
  <rv s="0">
    <fb>45250</fb>
    <v>1</v>
  </rv>
  <rv s="0">
    <fb>45257</fb>
    <v>1</v>
  </rv>
  <rv s="0">
    <fb>45264</fb>
    <v>1</v>
  </rv>
  <rv s="0">
    <fb>45271</fb>
    <v>1</v>
  </rv>
  <rv s="0">
    <fb>45278</fb>
    <v>1</v>
  </rv>
  <rv s="0">
    <fb>45286</fb>
    <v>1</v>
  </rv>
  <rv s="0">
    <fb>45293</fb>
    <v>1</v>
  </rv>
  <rv s="0">
    <fb>45299</fb>
    <v>1</v>
  </rv>
  <rv s="0">
    <fb>45307</fb>
    <v>1</v>
  </rv>
  <rv s="0">
    <fb>45313</fb>
    <v>1</v>
  </rv>
  <rv s="0">
    <fb>45320</fb>
    <v>1</v>
  </rv>
  <rv s="0">
    <fb>45327</fb>
    <v>1</v>
  </rv>
  <rv s="0">
    <fb>45334</fb>
    <v>1</v>
  </rv>
  <rv s="0">
    <fb>45342</fb>
    <v>1</v>
  </rv>
  <rv s="0">
    <fb>45348</fb>
    <v>1</v>
  </rv>
  <rv s="0">
    <fb>45355</fb>
    <v>1</v>
  </rv>
  <rv s="0">
    <fb>45362</fb>
    <v>1</v>
  </rv>
  <rv s="0">
    <fb>45369</fb>
    <v>1</v>
  </rv>
  <rv s="0">
    <fb>45376</fb>
    <v>1</v>
  </rv>
  <rv s="0">
    <fb>45383</fb>
    <v>1</v>
  </rv>
  <rv s="0">
    <fb>45390</fb>
    <v>1</v>
  </rv>
  <rv s="0">
    <fb>45397</fb>
    <v>1</v>
  </rv>
  <rv s="0">
    <fb>45404</fb>
    <v>1</v>
  </rv>
  <rv s="0">
    <fb>45411</fb>
    <v>1</v>
  </rv>
  <rv s="0">
    <fb>45418</fb>
    <v>1</v>
  </rv>
  <rv s="0">
    <fb>45425</fb>
    <v>1</v>
  </rv>
  <rv s="0">
    <fb>45432</fb>
    <v>1</v>
  </rv>
  <rv s="0">
    <fb>45440</fb>
    <v>1</v>
  </rv>
  <rv s="0">
    <fb>45446</fb>
    <v>1</v>
  </rv>
  <rv s="0">
    <fb>45453</fb>
    <v>1</v>
  </rv>
  <rv s="0">
    <fb>45460</fb>
    <v>1</v>
  </rv>
  <rv s="0">
    <fb>45467</fb>
    <v>1</v>
  </rv>
  <rv s="0">
    <fb>45474</fb>
    <v>1</v>
  </rv>
  <rv s="0">
    <fb>45481</fb>
    <v>1</v>
  </rv>
  <rv s="0">
    <fb>45488</fb>
    <v>1</v>
  </rv>
  <rv s="0">
    <fb>45495</fb>
    <v>1</v>
  </rv>
  <rv s="0">
    <fb>45502</fb>
    <v>1</v>
  </rv>
  <rv s="0">
    <fb>45509</fb>
    <v>1</v>
  </rv>
  <rv s="0">
    <fb>45516</fb>
    <v>1</v>
  </rv>
  <rv s="0">
    <fb>45523</fb>
    <v>1</v>
  </rv>
  <rv s="0">
    <fb>45530</fb>
    <v>1</v>
  </rv>
  <rv s="0">
    <fb>45538</fb>
    <v>1</v>
  </rv>
  <rv s="0">
    <fb>45544</fb>
    <v>1</v>
  </rv>
  <rv s="0">
    <fb>45551</fb>
    <v>1</v>
  </rv>
  <rv s="0">
    <fb>45558</fb>
    <v>1</v>
  </rv>
  <rv s="0">
    <fb>45565</fb>
    <v>1</v>
  </rv>
  <rv s="0">
    <fb>45572</fb>
    <v>1</v>
  </rv>
  <rv s="0">
    <fb>45579</fb>
    <v>1</v>
  </rv>
  <rv s="0">
    <fb>45586</fb>
    <v>1</v>
  </rv>
  <rv s="0">
    <fb>45593</fb>
    <v>1</v>
  </rv>
  <rv s="0">
    <fb>45600</fb>
    <v>1</v>
  </rv>
  <rv s="0">
    <fb>45607</fb>
    <v>1</v>
  </rv>
  <rv s="0">
    <fb>45614</fb>
    <v>1</v>
  </rv>
  <rv s="0">
    <fb>45621</fb>
    <v>1</v>
  </rv>
  <rv s="0">
    <fb>45628</fb>
    <v>1</v>
  </rv>
  <rv s="0">
    <fb>45635</fb>
    <v>1</v>
  </rv>
  <rv s="0">
    <fb>45642</fb>
    <v>1</v>
  </rv>
  <rv s="0">
    <fb>45649</fb>
    <v>1</v>
  </rv>
  <rv s="0">
    <fb>45656</fb>
    <v>1</v>
  </rv>
  <rv s="0">
    <fb>45663</fb>
    <v>1</v>
  </rv>
  <rv s="0">
    <fb>45670</fb>
    <v>1</v>
  </rv>
  <rv s="0">
    <fb>45678</fb>
    <v>1</v>
  </rv>
  <rv s="0">
    <fb>45684</fb>
    <v>1</v>
  </rv>
  <rv s="0">
    <fb>6.4455</fb>
    <v>0</v>
  </rv>
  <rv s="0">
    <fb>10566.197399999999</fb>
    <v>0</v>
  </rv>
  <rv s="0">
    <fb>6.5910000000000002</fb>
    <v>0</v>
  </rv>
  <rv s="0">
    <fb>10624.6924</fb>
    <v>0</v>
  </rv>
  <rv s="0">
    <fb>212.28</fb>
    <v>0</v>
  </rv>
  <rv s="0">
    <fb>6.5175000000000001</fb>
    <v>0</v>
  </rv>
  <rv s="0">
    <fb>10741.9846</fb>
    <v>0</v>
  </rv>
  <rv s="0">
    <fb>6.7530000000000001</fb>
    <v>0</v>
  </rv>
  <rv s="0">
    <fb>10850.358899999999</fb>
    <v>0</v>
  </rv>
  <rv s="0">
    <fb>6.5904999999999996</fb>
    <v>0</v>
  </rv>
  <rv s="0">
    <fb>10927.0674</fb>
    <v>0</v>
  </rv>
  <rv s="0">
    <fb>7.0030000000000001</fb>
    <v>0</v>
  </rv>
  <rv s="0">
    <fb>10997.3521</fb>
    <v>0</v>
  </rv>
  <rv s="0">
    <fb>7.1086</fb>
    <v>0</v>
  </rv>
  <rv s="0">
    <fb>11018.664199999999</fb>
    <v>0</v>
  </rv>
  <rv s="0">
    <fb>7.1814999999999998</fb>
    <v>0</v>
  </rv>
  <rv s="0">
    <fb>11204.276</fb>
    <v>0</v>
  </rv>
  <rv s="0">
    <fb>6.8550000000000004</fb>
    <v>0</v>
  </rv>
  <rv s="0">
    <fb>11008.6127</fb>
    <v>0</v>
  </rv>
  <rv s="0">
    <fb>6.2489999999999997</fb>
    <v>0</v>
  </rv>
  <rv s="0">
    <fb>10380.4344</fb>
    <v>0</v>
  </rv>
  <rv s="0">
    <fb>6.4265999999999996</fb>
    <v>0</v>
  </rv>
  <rv s="0">
    <fb>10620.1579</fb>
    <v>0</v>
  </rv>
  <rv s="0">
    <fb>6.1360000000000001</fb>
    <v>0</v>
  </rv>
  <rv s="0">
    <fb>10193.3866</fb>
    <v>0</v>
  </rv>
  <rv s="0">
    <fb>6.2729999999999997</fb>
    <v>0</v>
  </rv>
  <rv s="0">
    <fb>10136.6299</fb>
    <v>0</v>
  </rv>
  <rv s="0">
    <fb>6.1384999999999996</fb>
    <v>0</v>
  </rv>
  <rv s="0">
    <fb>9931.9732000000004</fb>
    <v>0</v>
  </rv>
  <rv s="0">
    <fb>6.1515000000000004</fb>
    <v>0</v>
  </rv>
  <rv s="0">
    <fb>10211.0712</fb>
    <v>0</v>
  </rv>
  <rv s="0">
    <fb>6.2915000000000001</fb>
    <v>0</v>
  </rv>
  <rv s="0">
    <fb>10450.6435</fb>
    <v>0</v>
  </rv>
  <rv s="0">
    <fb>6.05</fb>
    <v>0</v>
  </rv>
  <rv s="0">
    <fb>10143.809499999999</fb>
    <v>0</v>
  </rv>
  <rv s="0">
    <fb>5.4569999999999999</fb>
    <v>0</v>
  </rv>
  <rv s="0">
    <fb>9686.4822999999997</fb>
    <v>0</v>
  </rv>
  <rv s="0">
    <fb>5.8630000000000004</fb>
    <v>0</v>
  </rv>
  <rv s="0">
    <fb>10198.026</fb>
    <v>0</v>
  </rv>
  <rv s="0">
    <fb>5.9245000000000001</fb>
    <v>0</v>
  </rv>
  <rv s="0">
    <fb>10097.8969</fb>
    <v>0</v>
  </rv>
  <rv s="0">
    <fb>5.9435000000000002</fb>
    <v>0</v>
  </rv>
  <rv s="0">
    <fb>10424.6219</fb>
    <v>0</v>
  </rv>
  <rv s="0">
    <fb>5.8944999999999999</fb>
    <v>0</v>
  </rv>
  <rv s="0">
    <fb>10465.9449</fb>
    <v>0</v>
  </rv>
  <rv s="0">
    <fb>6.4160000000000004</fb>
    <v>0</v>
  </rv>
  <rv s="0">
    <fb>10653.563899999999</fb>
    <v>0</v>
  </rv>
  <rv s="0">
    <fb>6.2344999999999997</fb>
    <v>0</v>
  </rv>
  <rv s="0">
    <fb>10303.150100000001</fb>
    <v>0</v>
  </rv>
  <rv s="0">
    <fb>6.3879999999999999</fb>
    <v>0</v>
  </rv>
  <rv s="0">
    <fb>10213.6167</fb>
    <v>0</v>
  </rv>
  <rv s="0">
    <fb>6.3319999999999999</fb>
    <v>0</v>
  </rv>
  <rv s="0">
    <fb>10150.6482</fb>
    <v>0</v>
  </rv>
  <rv s="0">
    <fb>6.9394999999999998</fb>
    <v>0</v>
  </rv>
  <rv s="0">
    <fb>10447.9323</fb>
    <v>0</v>
  </rv>
  <rv s="0">
    <fb>7.1219999999999999</fb>
    <v>0</v>
  </rv>
  <rv s="0">
    <fb>10462.766299999999</fb>
    <v>0</v>
  </rv>
  <rv s="0">
    <fb>7.4162999999999997</fb>
    <v>0</v>
  </rv>
  <rv s="0">
    <fb>10607.851199999999</fb>
    <v>0</v>
  </rv>
  <rv s="0">
    <fb>8.0365000000000002</fb>
    <v>0</v>
  </rv>
  <rv s="0">
    <fb>10860.2551</fb>
    <v>0</v>
  </rv>
  <rv s="0">
    <fb>7.6855000000000002</fb>
    <v>0</v>
  </rv>
  <rv s="0">
    <fb>10829.679</fb>
    <v>0</v>
  </rv>
  <rv s="0">
    <fb>7.7774999999999999</fb>
    <v>0</v>
  </rv>
  <rv s="0">
    <fb>11006.4753</fb>
    <v>0</v>
  </rv>
  <rv s="0">
    <fb>8.2319999999999993</fb>
    <v>0</v>
  </rv>
  <rv s="0">
    <fb>11062.7837</fb>
    <v>0</v>
  </rv>
  <rv s="0">
    <fb>8.4565000000000001</fb>
    <v>0</v>
  </rv>
  <rv s="0">
    <fb>11132.563700000001</fb>
    <v>0</v>
  </rv>
  <rv s="0">
    <fb>8.2614999999999998</fb>
    <v>0</v>
  </rv>
  <rv s="0">
    <fb>11118.4866</fb>
    <v>0</v>
  </rv>
  <rv s="0">
    <fb>8.5385000000000009</fb>
    <v>0</v>
  </rv>
  <rv s="0">
    <fb>11444.076300000001</fb>
    <v>0</v>
  </rv>
  <rv s="0">
    <fb>8.2840000000000007</fb>
    <v>0</v>
  </rv>
  <rv s="0">
    <fb>11192.580599999999</fb>
    <v>0</v>
  </rv>
  <rv s="0">
    <fb>8.2409999999999997</fb>
    <v>0</v>
  </rv>
  <rv s="0">
    <fb>11203.554700000001</fb>
    <v>0</v>
  </rv>
  <rv s="0">
    <fb>8.875</fb>
    <v>0</v>
  </rv>
  <rv s="0">
    <fb>11091.997499999999</fb>
    <v>0</v>
  </rv>
  <rv s="0">
    <fb>8.7840000000000007</fb>
    <v>0</v>
  </rv>
  <rv s="0">
    <fb>11382.091700000001</fb>
    <v>0</v>
  </rv>
  <rv s="0">
    <fb>8.7810000000000006</fb>
    <v>0</v>
  </rv>
  <rv s="0">
    <fb>11410.3215</fb>
    <v>0</v>
  </rv>
  <rv s="0">
    <fb>8.8789999999999996</fb>
    <v>0</v>
  </rv>
  <rv s="0">
    <fb>11491.9082</fb>
    <v>0</v>
  </rv>
  <rv s="0">
    <fb>9.1295000000000002</fb>
    <v>0</v>
  </rv>
  <rv s="0">
    <fb>11573.4948</fb>
    <v>0</v>
  </rv>
  <rv s="0">
    <fb>9</fb>
    <v>0</v>
  </rv>
  <rv s="0">
    <fb>11577.505999999999</fb>
    <v>0</v>
  </rv>
  <rv s="0">
    <fb>9.2744999999999997</fb>
    <v>0</v>
  </rv>
  <rv s="0">
    <fb>11674.759099999999</fb>
    <v>0</v>
  </rv>
  <rv s="0">
    <fb>9.4375</fb>
    <v>0</v>
  </rv>
  <rv s="0">
    <fb>11787.375899999999</fb>
    <v>0</v>
  </rv>
  <rv s="0">
    <fb>8.8710000000000004</fb>
    <v>0</v>
  </rv>
  <rv s="0">
    <fb>11871.8385</fb>
    <v>0</v>
  </rv>
  <rv s="0">
    <fb>8.5570000000000004</fb>
    <v>0</v>
  </rv>
  <rv s="0">
    <fb>11823.7039</fb>
    <v>0</v>
  </rv>
  <rv s="0">
    <fb>8.7965</fb>
    <v>0</v>
  </rv>
  <rv s="0">
    <fb>12092.152700000001</fb>
    <v>0</v>
  </rv>
  <rv s="0">
    <fb>9.4625000000000004</fb>
    <v>0</v>
  </rv>
  <rv s="0">
    <fb>12273.2629</fb>
    <v>0</v>
  </rv>
  <rv s="0">
    <fb>9.3249999999999993</fb>
    <v>0</v>
  </rv>
  <rv s="0">
    <fb>12391.253199999999</fb>
    <v>0</v>
  </rv>
  <rv s="0">
    <fb>8.8620000000000001</fb>
    <v>0</v>
  </rv>
  <rv s="0">
    <fb>12130.448399999999</fb>
    <v>0</v>
  </rv>
  <rv s="0">
    <fb>8.5835000000000008</fb>
    <v>0</v>
  </rv>
  <rv s="0">
    <fb>12169.8794</fb>
    <v>0</v>
  </rv>
  <rv s="0">
    <fb>8.4034999999999993</fb>
    <v>0</v>
  </rv>
  <rv s="0">
    <fb>12044.396500000001</fb>
    <v>0</v>
  </rv>
  <rv s="0">
    <fb>8.0909999999999993</fb>
    <v>0</v>
  </rv>
  <rv s="0">
    <fb>11858.5182</fb>
    <v>0</v>
  </rv>
  <rv s="0">
    <fb>8.5489999999999995</fb>
    <v>0</v>
  </rv>
  <rv s="0">
    <fb>12220.587299999999</fb>
    <v>0</v>
  </rv>
  <rv s="0">
    <fb>9.0065000000000008</fb>
    <v>0</v>
  </rv>
  <rv s="0">
    <fb>12376.722</fb>
    <v>0</v>
  </rv>
  <rv s="0">
    <fb>9.2355</fb>
    <v>0</v>
  </rv>
  <rv s="0">
    <fb>12380.052</fb>
    <v>0</v>
  </rv>
  <rv s="0">
    <fb>9.0005000000000006</fb>
    <v>0</v>
  </rv>
  <rv s="0">
    <fb>12341.832</fb>
    <v>0</v>
  </rv>
  <rv s="0">
    <fb>9.2944999999999993</fb>
    <v>0</v>
  </rv>
  <rv s="0">
    <fb>12505.989100000001</fb>
    <v>0</v>
  </rv>
  <rv s="0">
    <fb>9.7904999999999998</fb>
    <v>0</v>
  </rv>
  <rv s="0">
    <fb>12810.5388</fb>
    <v>0</v>
  </rv>
  <rv s="0">
    <fb>9.8800000000000008</fb>
    <v>0</v>
  </rv>
  <rv s="0">
    <fb>12638.7377</fb>
    <v>0</v>
  </rv>
  <rv s="0">
    <fb>10.128</fb>
    <v>0</v>
  </rv>
  <rv s="0">
    <fb>12595.7495</fb>
    <v>0</v>
  </rv>
  <rv s="0">
    <fb>9.9324999999999992</fb>
    <v>0</v>
  </rv>
  <rv s="0">
    <fb>12512.043799999999</fb>
    <v>0</v>
  </rv>
  <rv s="0">
    <fb>9.7065000000000001</fb>
    <v>0</v>
  </rv>
  <rv s="0">
    <fb>12441.5826</fb>
    <v>0</v>
  </rv>
  <rv s="0">
    <fb>9.4160000000000004</fb>
    <v>0</v>
  </rv>
  <rv s="0">
    <fb>12151.2613</fb>
    <v>0</v>
  </rv>
  <rv s="0">
    <fb>9.3264999999999993</fb>
    <v>0</v>
  </rv>
  <rv s="0">
    <fb>11951.9115</fb>
    <v>0</v>
  </rv>
  <rv s="0">
    <fb>9.3185000000000002</fb>
    <v>0</v>
  </rv>
  <rv s="0">
    <fb>12004.36</fb>
    <v>0</v>
  </rv>
  <rv s="0">
    <fb>9.6274999999999995</fb>
    <v>0</v>
  </rv>
  <rv s="0">
    <fb>11934.58</fb>
    <v>0</v>
  </rv>
  <rv s="0">
    <fb>10.474500000000001</fb>
    <v>0</v>
  </rv>
  <rv s="0">
    <fb>12582.7698</fb>
    <v>0</v>
  </rv>
  <rv s="0">
    <fb>10.914</fb>
    <v>0</v>
  </rv>
  <rv s="0">
    <fb>12657.204400000001</fb>
    <v>0</v>
  </rv>
  <rv s="0">
    <fb>10.6435</fb>
    <v>0</v>
  </rv>
  <rv s="0">
    <fb>12479.727000000001</fb>
    <v>0</v>
  </rv>
  <rv s="0">
    <fb>10.826000000000001</fb>
    <v>0</v>
  </rv>
  <rv s="0">
    <fb>12681.1582</fb>
    <v>0</v>
  </rv>
  <rv s="0">
    <fb>11.125999999999999</fb>
    <v>0</v>
  </rv>
  <rv s="0">
    <fb>12143.2389</fb>
    <v>0</v>
  </rv>
  <rv s="0">
    <fb>10.135</fb>
    <v>0</v>
  </rv>
  <rv s="0">
    <fb>11444.606100000001</fb>
    <v>0</v>
  </rv>
  <rv s="0">
    <fb>10.115</fb>
    <v>0</v>
  </rv>
  <rv s="0">
    <fb>11269.0208</fb>
    <v>0</v>
  </rv>
  <rv s="0">
    <fb>8.9465000000000003</fb>
    <v>0</v>
  </rv>
  <rv s="0">
    <fb>10817.645399999999</fb>
    <v>0</v>
  </rv>
  <rv s="0">
    <fb>9.9634999999999998</fb>
    <v>0</v>
  </rv>
  <rv s="0">
    <fb>11284.535900000001</fb>
    <v>0</v>
  </rv>
  <rv s="0">
    <fb>10.5</fb>
    <v>0</v>
  </rv>
  <rv s="0">
    <fb>11240.2611</fb>
    <v>0</v>
  </rv>
  <rv s="0">
    <fb>10.5695</fb>
    <v>0</v>
  </rv>
  <rv s="0">
    <fb>10992.1333</fb>
    <v>0</v>
  </rv>
  <rv s="0">
    <fb>11.965</fb>
    <v>0</v>
  </rv>
  <rv s="0">
    <fb>11509.088299999999</fb>
    <v>0</v>
  </rv>
  <rv s="0">
    <fb>11.1805</fb>
    <v>0</v>
  </rv>
  <rv s="0">
    <fb>10771.4786</fb>
    <v>0</v>
  </rv>
  <rv s="0">
    <fb>10.811500000000001</fb>
    <v>0</v>
  </rv>
  <rv s="0">
    <fb>10913.3848</fb>
    <v>0</v>
  </rv>
  <rv s="0">
    <fb>11.237</fb>
    <v>0</v>
  </rv>
  <rv s="0">
    <fb>11103.1229</fb>
    <v>0</v>
  </rv>
  <rv s="0">
    <fb>12.3355</fb>
    <v>0</v>
  </rv>
  <rv s="0">
    <fb>11644.4858</fb>
    <v>0</v>
  </rv>
  <rv s="0">
    <fb>11.739000000000001</fb>
    <v>0</v>
  </rv>
  <rv s="0">
    <fb>11808.7943</fb>
    <v>0</v>
  </rv>
  <rv s="0">
    <fb>10.866</fb>
    <v>0</v>
  </rv>
  <rv s="0">
    <fb>12231.1072</fb>
    <v>0</v>
  </rv>
  <rv s="0">
    <fb>10.824</fb>
    <v>0</v>
  </rv>
  <rv s="0">
    <fb>11983.2444</fb>
    <v>0</v>
  </rv>
  <rv s="0">
    <fb>10.8695</fb>
    <v>0</v>
  </rv>
  <rv s="0">
    <fb>12153.683199999999</fb>
    <v>0</v>
  </rv>
  <rv s="0">
    <fb>9.8569999999999993</fb>
    <v>0</v>
  </rv>
  <rv s="0">
    <fb>11796.155199999999</fb>
    <v>0</v>
  </rv>
  <rv s="0">
    <fb>9.1199999999999992</fb>
    <v>0</v>
  </rv>
  <rv s="0">
    <fb>11231.784600000001</fb>
    <v>0</v>
  </rv>
  <rv s="0">
    <fb>9.8015000000000008</fb>
    <v>0</v>
  </rv>
  <rv s="0">
    <fb>12019.421</fb>
    <v>0</v>
  </rv>
  <rv s="0">
    <fb>9.6515000000000004</fb>
    <v>0</v>
  </rv>
  <rv s="0">
    <fb>12184.2593</fb>
    <v>0</v>
  </rv>
  <rv s="0">
    <fb>9.0630000000000006</fb>
    <v>0</v>
  </rv>
  <rv s="0">
    <fb>11866.389300000001</fb>
    <v>0</v>
  </rv>
  <rv s="0">
    <fb>8.8640000000000008</fb>
    <v>0</v>
  </rv>
  <rv s="0">
    <fb>12294.000099999999</fb>
    <v>0</v>
  </rv>
  <rv s="0">
    <fb>8.6549999999999994</fb>
    <v>0</v>
  </rv>
  <rv s="0">
    <fb>12217.5599</fb>
    <v>0</v>
  </rv>
  <rv s="0">
    <fb>9.1304999999999996</fb>
    <v>0</v>
  </rv>
  <rv s="0">
    <fb>12359.9203</fb>
    <v>0</v>
  </rv>
  <rv s="0">
    <fb>8.9209999999999994</fb>
    <v>0</v>
  </rv>
  <rv s="0">
    <fb>12422.0563</fb>
    <v>0</v>
  </rv>
  <rv s="0">
    <fb>9.5465</fb>
    <v>0</v>
  </rv>
  <rv s="0">
    <fb>12720.475700000001</fb>
    <v>0</v>
  </rv>
  <rv s="0">
    <fb>9.7684999999999995</fb>
    <v>0</v>
  </rv>
  <rv s="0">
    <fb>12660.4588</fb>
    <v>0</v>
  </rv>
  <rv s="0">
    <fb>9.3840000000000003</fb>
    <v>0</v>
  </rv>
  <rv s="0">
    <fb>12862.2305</fb>
    <v>0</v>
  </rv>
  <rv s="0">
    <fb>9.2769999999999992</fb>
    <v>0</v>
  </rv>
  <rv s="0">
    <fb>12801.229799999999</fb>
    <v>0</v>
  </rv>
  <rv s="0">
    <fb>9.125</fb>
    <v>0</v>
  </rv>
  <rv s="0">
    <fb>12949.871800000001</fb>
    <v>0</v>
  </rv>
  <rv s="0">
    <fb>8.9565000000000001</fb>
    <v>0</v>
  </rv>
  <rv s="0">
    <fb>12982.9455</fb>
    <v>0</v>
  </rv>
  <rv s="0">
    <fb>8.9649999999999999</fb>
    <v>0</v>
  </rv>
  <rv s="0">
    <fb>12977.571900000001</fb>
    <v>0</v>
  </rv>
  <rv s="0">
    <fb>9.2159999999999993</fb>
    <v>0</v>
  </rv>
  <rv s="0">
    <fb>12922.020399999999</fb>
    <v>0</v>
  </rv>
  <rv s="0">
    <fb>9.2524999999999995</fb>
    <v>0</v>
  </rv>
  <rv s="0">
    <fb>13232.6248</fb>
    <v>0</v>
  </rv>
  <rv s="0">
    <fb>9.7520000000000007</fb>
    <v>0</v>
  </rv>
  <rv s="0">
    <fb>13080.728300000001</fb>
    <v>0</v>
  </rv>
  <rv s="0">
    <fb>10.125500000000001</fb>
    <v>0</v>
  </rv>
  <rv s="0">
    <fb>13212.0389</fb>
    <v>0</v>
  </rv>
  <rv s="0">
    <fb>9.7195</fb>
    <v>0</v>
  </rv>
  <rv s="0">
    <fb>13060.1425</fb>
    <v>0</v>
  </rv>
  <rv s="0">
    <fb>9.423</fb>
    <v>0</v>
  </rv>
  <rv s="0">
    <fb>12849.591399999999</fb>
    <v>0</v>
  </rv>
  <rv s="0">
    <fb>9.4990000000000006</fb>
    <v>0</v>
  </rv>
  <rv s="0">
    <fb>13029.2637</fb>
    <v>0</v>
  </rv>
  <rv s="0">
    <fb>11.342499999999999</fb>
    <v>0</v>
  </rv>
  <rv s="0">
    <fb>13228.310799999999</fb>
    <v>0</v>
  </rv>
  <rv s="0">
    <fb>11.1995</fb>
    <v>0</v>
  </rv>
  <rv s="0">
    <fb>13038.27</fb>
    <v>0</v>
  </rv>
  <rv s="0">
    <fb>11.384</fb>
    <v>0</v>
  </rv>
  <rv s="0">
    <fb>12820.6047</fb>
    <v>0</v>
  </rv>
  <rv s="0">
    <fb>10.692500000000001</fb>
    <v>0</v>
  </rv>
  <rv s="0">
    <fb>12369.3807</fb>
    <v>0</v>
  </rv>
  <rv s="0">
    <fb>10.644500000000001</fb>
    <v>0</v>
  </rv>
  <rv s="0">
    <fb>12454.8272</fb>
    <v>0</v>
  </rv>
  <rv s="0">
    <fb>10.411</fb>
    <v>0</v>
  </rv>
  <rv s="0">
    <fb>12118.5661</fb>
    <v>0</v>
  </rv>
  <rv s="0">
    <fb>10.923999999999999</fb>
    <v>0</v>
  </rv>
  <rv s="0">
    <fb>12554.1994</fb>
    <v>0</v>
  </rv>
  <rv s="0">
    <fb>10.9175</fb>
    <v>0</v>
  </rv>
  <rv s="0">
    <fb>12767.1723</fb>
    <v>0</v>
  </rv>
  <rv s="0">
    <fb>11.108000000000001</fb>
    <v>0</v>
  </rv>
  <rv s="0">
    <fb>12640.7811</fb>
    <v>0</v>
  </rv>
  <rv s="0">
    <fb>11.4175</fb>
    <v>0</v>
  </rv>
  <rv s="0">
    <fb>12880.0918</fb>
    <v>0</v>
  </rv>
  <rv s="0">
    <fb>11.2525</fb>
    <v>0</v>
  </rv>
  <rv s="0">
    <fb>12772.4701</fb>
    <v>0</v>
  </rv>
  <rv s="0">
    <fb>10.919499999999999</fb>
    <v>0</v>
  </rv>
  <rv s="0">
    <fb>12777.086799999999</fb>
    <v>0</v>
  </rv>
  <rv s="0">
    <fb>11.4145</fb>
    <v>0</v>
  </rv>
  <rv s="0">
    <fb>12822.5725</fb>
    <v>0</v>
  </rv>
  <rv s="0">
    <fb>11.866</fb>
    <v>0</v>
  </rv>
  <rv s="0">
    <fb>13075.657499999999</fb>
    <v>0</v>
  </rv>
  <rv s="0">
    <fb>11.7485</fb>
    <v>0</v>
  </rv>
  <rv s="0">
    <fb>13096.1677</fb>
    <v>0</v>
  </rv>
  <rv s="0">
    <fb>11.637499999999999</fb>
    <v>0</v>
  </rv>
  <rv s="0">
    <fb>13207.951999999999</fb>
    <v>0</v>
  </rv>
  <rv s="0">
    <fb>12.0585</fb>
    <v>0</v>
  </rv>
  <rv s="0">
    <fb>13275.2011</fb>
    <v>0</v>
  </rv>
  <rv s="0">
    <fb>12.287000000000001</fb>
    <v>0</v>
  </rv>
  <rv s="0">
    <fb>13157.9701</fb>
    <v>0</v>
  </rv>
  <rv s="0">
    <fb>12.413500000000001</fb>
    <v>0</v>
  </rv>
  <rv s="0">
    <fb>13090.8372</fb>
    <v>0</v>
  </rv>
  <rv s="0">
    <fb>12.957000000000001</fb>
    <v>0</v>
  </rv>
  <rv s="0">
    <fb>13306.6381</fb>
    <v>0</v>
  </rv>
  <rv s="0">
    <fb>13.063499999999999</fb>
    <v>0</v>
  </rv>
  <rv s="0">
    <fb>13593.366099999999</fb>
    <v>0</v>
  </rv>
  <rv s="0">
    <fb>12.8735</fb>
    <v>0</v>
  </rv>
  <rv s="0">
    <fb>13579.467199999999</fb>
    <v>0</v>
  </rv>
  <rv s="0">
    <fb>12.715999999999999</fb>
    <v>0</v>
  </rv>
  <rv s="0">
    <fb>13437.126899999999</fb>
    <v>0</v>
  </rv>
  <rv s="0">
    <fb>12.9255</fb>
    <v>0</v>
  </rv>
  <rv s="0">
    <fb>13610.147000000001</fb>
    <v>0</v>
  </rv>
  <rv s="0">
    <fb>12.118</fb>
    <v>0</v>
  </rv>
  <rv s="0">
    <fb>13328.845300000001</fb>
    <v>0</v>
  </rv>
  <rv s="0">
    <fb>12</fb>
    <v>0</v>
  </rv>
  <rv s="0">
    <fb>13343.513199999999</fb>
    <v>0</v>
  </rv>
  <rv s="0">
    <fb>11.912000000000001</fb>
    <v>0</v>
  </rv>
  <rv s="0">
    <fb>13107.2137</fb>
    <v>0</v>
  </rv>
  <rv s="0">
    <fb>11.6211</fb>
    <v>0</v>
  </rv>
  <rv s="0">
    <fb>13093.160099999999</fb>
    <v>0</v>
  </rv>
  <rv s="0">
    <fb>11.3155</fb>
    <v>0</v>
  </rv>
  <rv s="0">
    <fb>12815.391100000001</fb>
    <v>0</v>
  </rv>
  <rv s="0">
    <fb>11.2615</fb>
    <v>0</v>
  </rv>
  <rv s="0">
    <fb>12588.307000000001</fb>
    <v>0</v>
  </rv>
  <rv s="0">
    <fb>11.994</fb>
    <v>0</v>
  </rv>
  <rv s="0">
    <fb>13009.683499999999</fb>
    <v>0</v>
  </rv>
  <rv s="0">
    <fb>12.602499999999999</fb>
    <v>0</v>
  </rv>
  <rv s="0">
    <fb>13025.5802</fb>
    <v>0</v>
  </rv>
  <rv s="0">
    <fb>12.663399999999999</fb>
    <v>0</v>
  </rv>
  <rv s="0">
    <fb>13155.134</fb>
    <v>0</v>
  </rv>
  <rv s="0">
    <fb>12.4595</fb>
    <v>0</v>
  </rv>
  <rv s="0">
    <fb>13135.0136</fb>
    <v>0</v>
  </rv>
  <rv s="0">
    <fb>12.846</fb>
    <v>0</v>
  </rv>
  <rv s="0">
    <fb>13190.8439</fb>
    <v>0</v>
  </rv>
  <rv s="0">
    <fb>12.259</fb>
    <v>0</v>
  </rv>
  <rv s="0">
    <fb>12938.110199999999</fb>
    <v>0</v>
  </rv>
  <rv s="0">
    <fb>12.9575</fb>
    <v>0</v>
  </rv>
  <rv s="0">
    <fb>13435.207</fb>
    <v>0</v>
  </rv>
  <rv s="0">
    <fb>13.397</fb>
    <v>0</v>
  </rv>
  <rv s="0">
    <fb>13488.4262</fb>
    <v>0</v>
  </rv>
  <rv s="0">
    <fb>13.606</fb>
    <v>0</v>
  </rv>
  <rv s="0">
    <fb>13649.696599999999</fb>
    <v>0</v>
  </rv>
  <rv s="0">
    <fb>14.1995</fb>
    <v>0</v>
  </rv>
  <rv s="0">
    <fb>13895.979600000001</fb>
    <v>0</v>
  </rv>
  <rv s="0">
    <fb>13.25</fb>
    <v>0</v>
  </rv>
  <rv s="0">
    <fb>14009.7904</fb>
    <v>0</v>
  </rv>
  <rv s="0">
    <fb>13.0975</fb>
    <v>0</v>
  </rv>
  <rv s="0">
    <fb>13992.9722</fb>
    <v>0</v>
  </rv>
  <rv s="0">
    <fb>13.2545</fb>
    <v>0</v>
  </rv>
  <rv s="0">
    <fb>13981.7601</fb>
    <v>0</v>
  </rv>
  <rv s="0">
    <fb>13.271000000000001</fb>
    <v>0</v>
  </rv>
  <rv s="0">
    <fb>14000.5749</fb>
    <v>0</v>
  </rv>
  <rv s="0">
    <fb>13.287000000000001</fb>
    <v>0</v>
  </rv>
  <rv s="0">
    <fb>14089.6576</fb>
    <v>0</v>
  </rv>
  <rv s="0">
    <fb>13.7095</fb>
    <v>0</v>
  </rv>
  <rv s="0">
    <fb>14397.0697</fb>
    <v>0</v>
  </rv>
  <rv s="0">
    <fb>13.090999999999999</fb>
    <v>0</v>
  </rv>
  <rv s="0">
    <fb>14514.106</fb>
    <v>0</v>
  </rv>
  <rv s="0">
    <fb>12.887499999999999</fb>
    <v>0</v>
  </rv>
  <rv s="0">
    <fb>14512.032499999999</fb>
    <v>0</v>
  </rv>
  <rv s="0">
    <fb>13.3245</fb>
    <v>0</v>
  </rv>
  <rv s="0">
    <fb>14578.537399999999</fb>
    <v>0</v>
  </rv>
  <rv s="0">
    <fb>12.773999999999999</fb>
    <v>0</v>
  </rv>
  <rv s="0">
    <fb>14565.251700000001</fb>
    <v>0</v>
  </rv>
  <rv s="0">
    <fb>13.6435</fb>
    <v>0</v>
  </rv>
  <rv s="0">
    <fb>14865.061100000001</fb>
    <v>0</v>
  </rv>
  <rv s="0">
    <fb>13.016</fb>
    <v>0</v>
  </rv>
  <rv s="0">
    <fb>14547.512000000001</fb>
    <v>0</v>
  </rv>
  <rv s="0">
    <fb>12.740500000000001</fb>
    <v>0</v>
  </rv>
  <rv s="0">
    <fb>14712.545400000001</fb>
    <v>0</v>
  </rv>
  <rv s="0">
    <fb>12.9025</fb>
    <v>0</v>
  </rv>
  <rv s="0">
    <fb>14973.957</fb>
    <v>0</v>
  </rv>
  <rv s="0">
    <fb>13.1815</fb>
    <v>0</v>
  </rv>
  <rv s="0">
    <fb>15118.486000000001</fb>
    <v>0</v>
  </rv>
  <rv s="0">
    <fb>13.494999999999999</fb>
    <v>0</v>
  </rv>
  <rv s="0">
    <fb>15354.401599999999</fb>
    <v>0</v>
  </rv>
  <rv s="0">
    <fb>13.087</fb>
    <v>0</v>
  </rv>
  <rv s="0">
    <fb>15303.102199999999</fb>
    <v>0</v>
  </rv>
  <rv s="0">
    <fb>13.46</fb>
    <v>0</v>
  </rv>
  <rv s="0">
    <fb>15115.567800000001</fb>
    <v>0</v>
  </rv>
  <rv s="0">
    <fb>13.843500000000001</fb>
    <v>0</v>
  </rv>
  <rv s="0">
    <fb>15248.1167</fb>
    <v>0</v>
  </rv>
  <rv s="0">
    <fb>13.6995</fb>
    <v>0</v>
  </rv>
  <rv s="0">
    <fb>15070.181699999999</fb>
    <v>0</v>
  </rv>
  <rv s="0">
    <fb>13.667999999999999</fb>
    <v>0</v>
  </rv>
  <rv s="0">
    <fb>14799.401</fb>
    <v>0</v>
  </rv>
  <rv s="0">
    <fb>13.884499999999999</fb>
    <v>0</v>
  </rv>
  <rv s="0">
    <fb>14909.602500000001</fb>
    <v>0</v>
  </rv>
  <rv s="0">
    <fb>14.294</fb>
    <v>0</v>
  </rv>
  <rv s="0">
    <fb>15135.8418</fb>
    <v>0</v>
  </rv>
  <rv s="0">
    <fb>15.3775</fb>
    <v>0</v>
  </rv>
  <rv s="0">
    <fb>15464.2958</fb>
    <v>0</v>
  </rv>
  <rv s="0">
    <fb>15.2615</fb>
    <v>0</v>
  </rv>
  <rv s="0">
    <fb>15543.7407</fb>
    <v>0</v>
  </rv>
  <rv s="0">
    <fb>15.6005</fb>
    <v>0</v>
  </rv>
  <rv s="0">
    <fb>15558.831</fb>
    <v>0</v>
  </rv>
  <rv s="0">
    <fb>15.2105</fb>
    <v>0</v>
  </rv>
  <rv s="0">
    <fb>15658.357900000001</fb>
    <v>0</v>
  </rv>
  <rv s="0">
    <fb>14.863</fb>
    <v>0</v>
  </rv>
  <rv s="0">
    <fb>15425.5142</fb>
    <v>0</v>
  </rv>
  <rv s="0">
    <fb>14.241</fb>
    <v>0</v>
  </rv>
  <rv s="0">
    <fb>15081.470600000001</fb>
    <v>0</v>
  </rv>
  <rv s="0">
    <fb>14.500500000000001</fb>
    <v>0</v>
  </rv>
  <rv s="0">
    <fb>15010.5116</fb>
    <v>0</v>
  </rv>
  <rv s="0">
    <fb>14.048999999999999</fb>
    <v>0</v>
  </rv>
  <rv s="0">
    <fb>14810.306</fb>
    <v>0</v>
  </rv>
  <rv s="0">
    <fb>14.792999999999999</fb>
    <v>0</v>
  </rv>
  <rv s="0">
    <fb>14922.5041</fb>
    <v>0</v>
  </rv>
  <rv s="0">
    <fb>14.896000000000001</fb>
    <v>0</v>
  </rv>
  <rv s="0">
    <fb>15376.0579</fb>
    <v>0</v>
  </rv>
  <rv s="0">
    <fb>15.817</fb>
    <v>0</v>
  </rv>
  <rv s="0">
    <fb>15451.087</fb>
    <v>0</v>
  </rv>
  <rv s="0">
    <fb>15.8005</fb>
    <v>0</v>
  </rv>
  <rv s="0">
    <fb>15258.2358</fb>
    <v>0</v>
  </rv>
  <rv s="0">
    <fb>15.952</fb>
    <v>0</v>
  </rv>
  <rv s="0">
    <fb>15072.5772</fb>
    <v>0</v>
  </rv>
  <rv s="0">
    <fb>15.544499999999999</fb>
    <v>0</v>
  </rv>
  <rv s="0">
    <fb>15237.107599999999</fb>
    <v>0</v>
  </rv>
  <rv s="0">
    <fb>16.4465</fb>
    <v>0</v>
  </rv>
  <rv s="0">
    <fb>15399.647199999999</fb>
    <v>0</v>
  </rv>
  <rv s="0">
    <fb>18.169499999999999</fb>
    <v>0</v>
  </rv>
  <rv s="0">
    <fb>15570.2785</fb>
    <v>0</v>
  </rv>
  <rv s="0">
    <fb>17.950099999999999</fb>
    <v>0</v>
  </rv>
  <rv s="0">
    <fb>15615.5532</fb>
    <v>0</v>
  </rv>
  <rv s="0">
    <fb>17.515499999999999</fb>
    <v>0</v>
  </rv>
  <rv s="0">
    <fb>15761.781000000001</fb>
    <v>0</v>
  </rv>
  <rv s="0">
    <fb>18.458500000000001</fb>
    <v>0</v>
  </rv>
  <rv s="0">
    <fb>15961.696400000001</fb>
    <v>0</v>
  </rv>
  <rv s="0">
    <fb>18.615500000000001</fb>
    <v>0</v>
  </rv>
  <rv s="0">
    <fb>16064.768700000001</fb>
    <v>0</v>
  </rv>
  <rv s="0">
    <fb>19.681000000000001</fb>
    <v>0</v>
  </rv>
  <rv s="0">
    <fb>16086.4107</fb>
    <v>0</v>
  </rv>
  <rv s="0">
    <fb>19.3475</fb>
    <v>0</v>
  </rv>
  <rv s="0">
    <fb>16020.2004</fb>
    <v>0</v>
  </rv>
  <rv s="0">
    <fb>19.212</fb>
    <v>0</v>
  </rv>
  <rv s="0">
    <fb>15755.3591</fb>
    <v>0</v>
  </rv>
  <rv s="0">
    <fb>20.11</fb>
    <v>0</v>
  </rv>
  <rv s="0">
    <fb>16221.1432</fb>
    <v>0</v>
  </rv>
  <rv s="0">
    <fb>19.904</fb>
    <v>0</v>
  </rv>
  <rv s="0">
    <fb>16478.406599999998</fb>
    <v>0</v>
  </rv>
  <rv s="0">
    <fb>19.821999999999999</fb>
    <v>0</v>
  </rv>
  <rv s="0">
    <fb>16469.993900000001</fb>
    <v>0</v>
  </rv>
  <rv s="0">
    <fb>19.882999999999999</fb>
    <v>0</v>
  </rv>
  <rv s="0">
    <fb>16437.049299999999</fb>
    <v>0</v>
  </rv>
  <rv s="0">
    <fb>19.980499999999999</fb>
    <v>0</v>
  </rv>
  <rv s="0">
    <fb>16458.5628</fb>
    <v>0</v>
  </rv>
  <rv s="0">
    <fb>19.38</fb>
    <v>0</v>
  </rv>
  <rv s="0">
    <fb>15879.1101</fb>
    <v>0</v>
  </rv>
  <rv s="0">
    <fb>17.9345</fb>
    <v>0</v>
  </rv>
  <rv s="0">
    <fb>15698.8459</fb>
    <v>0</v>
  </rv>
  <rv s="0">
    <fb>18.053999999999998</fb>
    <v>0</v>
  </rv>
  <rv s="0">
    <fb>15794.083500000001</fb>
    <v>0</v>
  </rv>
  <rv s="0">
    <fb>17.8675</fb>
    <v>0</v>
  </rv>
  <rv s="0">
    <fb>16154.3871</fb>
    <v>0</v>
  </rv>
  <rv s="0">
    <fb>17.338000000000001</fb>
    <v>0</v>
  </rv>
  <rv s="0">
    <fb>16103.3004</fb>
    <v>0</v>
  </rv>
  <rv s="0">
    <fb>18.105</fb>
    <v>0</v>
  </rv>
  <rv s="0">
    <fb>16321.710999999999</fb>
    <v>0</v>
  </rv>
  <rv s="0">
    <fb>18.603000000000002</fb>
    <v>0</v>
  </rv>
  <rv s="0">
    <fb>16452.718799999999</fb>
    <v>0</v>
  </rv>
  <rv s="0">
    <fb>18.687000000000001</fb>
    <v>0</v>
  </rv>
  <rv s="0">
    <fb>16065.667799999999</fb>
    <v>0</v>
  </rv>
  <rv s="0">
    <fb>18.030999999999999</fb>
    <v>0</v>
  </rv>
  <rv s="0">
    <fb>16302.7662</fb>
    <v>0</v>
  </rv>
  <rv s="0">
    <fb>16.9145</fb>
    <v>0</v>
  </rv>
  <rv s="0">
    <fb>16323.059600000001</fb>
    <v>0</v>
  </rv>
  <rv s="0">
    <fb>16.149999999999999</fb>
    <v>0</v>
  </rv>
  <rv s="0">
    <fb>16412.7101</fb>
    <v>0</v>
  </rv>
  <rv s="0">
    <fb>15.586499999999999</fb>
    <v>0</v>
  </rv>
  <rv s="0">
    <fb>16026.7508</fb>
    <v>0</v>
  </rv>
  <rv s="0">
    <fb>16.2455</fb>
    <v>0</v>
  </rv>
  <rv s="0">
    <fb>16408.535800000001</fb>
    <v>0</v>
  </rv>
  <rv s="0">
    <fb>15.1915</fb>
    <v>0</v>
  </rv>
  <rv s="0">
    <fb>16361.4629</fb>
    <v>0</v>
  </rv>
  <rv s="0">
    <fb>15.400499999999999</fb>
    <v>0</v>
  </rv>
  <rv s="0">
    <fb>16512.892500000002</fb>
    <v>0</v>
  </rv>
  <rv s="0">
    <fb>14.612</fb>
    <v>0</v>
  </rv>
  <rv s="0">
    <fb>16583.3413</fb>
    <v>0</v>
  </rv>
  <rv s="0">
    <fb>14.885</fb>
    <v>0</v>
  </rv>
  <rv s="0">
    <fb>16491.314699999999</fb>
    <v>0</v>
  </rv>
  <rv s="0">
    <fb>15.612</fb>
    <v>0</v>
  </rv>
  <rv s="0">
    <fb>16606.2677</fb>
    <v>0</v>
  </rv>
  <rv s="0">
    <fb>15.6275</fb>
    <v>0</v>
  </rv>
  <rv s="0">
    <fb>16717.174800000001</fb>
    <v>0</v>
  </rv>
  <rv s="0">
    <fb>16.483499999999999</fb>
    <v>0</v>
  </rv>
  <rv s="0">
    <fb>16924.2827</fb>
    <v>0</v>
  </rv>
  <rv s="0">
    <fb>16.313500000000001</fb>
    <v>0</v>
  </rv>
  <rv s="0">
    <fb>16775.742999999999</fb>
    <v>0</v>
  </rv>
  <rv s="0">
    <fb>16.21</fb>
    <v>0</v>
  </rv>
  <rv s="0">
    <fb>16947.080699999999</fb>
    <v>0</v>
  </rv>
  <rv s="0">
    <fb>16.2285</fb>
    <v>0</v>
  </rv>
  <rv s="0">
    <fb>16851.843099999998</fb>
    <v>0</v>
  </rv>
  <rv s="0">
    <fb>16.874600000000001</fb>
    <v>0</v>
  </rv>
  <rv s="0">
    <fb>17068.262900000002</fb>
    <v>0</v>
  </rv>
  <rv s="0">
    <fb>17.309999999999999</fb>
    <v>0</v>
  </rv>
  <rv s="0">
    <fb>16943.805499999999</fb>
    <v>0</v>
  </rv>
  <rv s="0">
    <fb>17.933</fb>
    <v>0</v>
  </rv>
  <rv s="0">
    <fb>17100.18</fb>
    <v>0</v>
  </rv>
  <rv s="0">
    <fb>16.200500000000002</fb>
    <v>0</v>
  </rv>
  <rv s="0">
    <fb>16960.566699999999</fb>
    <v>0</v>
  </rv>
  <rv s="0">
    <fb>15.353</fb>
    <v>0</v>
  </rv>
  <rv s="0">
    <fb>16493.3698</fb>
    <v>0</v>
  </rv>
  <rv s="0">
    <fb>15.84</fb>
    <v>0</v>
  </rv>
  <rv s="0">
    <fb>16553.928800000002</fb>
    <v>0</v>
  </rv>
  <rv s="0">
    <fb>16.6815</fb>
    <v>0</v>
  </rv>
  <rv s="0">
    <fb>16662.909299999999</fb>
    <v>0</v>
  </rv>
  <rv s="0">
    <fb>16.579499999999999</fb>
    <v>0</v>
  </rv>
  <rv s="0">
    <fb>17001.217700000001</fb>
    <v>0</v>
  </rv>
  <rv s="0">
    <fb>16.952000000000002</fb>
    <v>0</v>
  </rv>
  <rv s="0">
    <fb>17098.446</fb>
    <v>0</v>
  </rv>
  <rv s="0">
    <fb>17.318999999999999</fb>
    <v>0</v>
  </rv>
  <rv s="0">
    <fb>17137.363099999999</fb>
    <v>0</v>
  </rv>
  <rv s="0">
    <fb>16.5595</fb>
    <v>0</v>
  </rv>
  <rv s="0">
    <fb>16987.506799999999</fb>
    <v>0</v>
  </rv>
  <rv s="0">
    <fb>16.565999999999999</fb>
    <v>0</v>
  </rv>
  <rv s="0">
    <fb>17279.737700000001</fb>
    <v>0</v>
  </rv>
  <rv s="0">
    <fb>16.160499999999999</fb>
    <v>0</v>
  </rv>
  <rv s="0">
    <fb>17113.152300000002</fb>
    <v>0</v>
  </rv>
  <rv s="0">
    <fb>16.137</fb>
    <v>0</v>
  </rv>
  <rv s="0">
    <fb>17009.6947</fb>
    <v>0</v>
  </rv>
  <rv s="0">
    <fb>15.5695</fb>
    <v>0</v>
  </rv>
  <rv s="0">
    <fb>16544.103200000001</fb>
    <v>0</v>
  </rv>
  <rv s="0">
    <fb>15.182</fb>
    <v>0</v>
  </rv>
  <rv s="0">
    <fb>16380.4076</fb>
    <v>0</v>
  </rv>
  <rv s="0">
    <fb>14.353</fb>
    <v>0</v>
  </rv>
  <rv s="0">
    <fb>16805.412400000001</fb>
    <v>0</v>
  </rv>
  <rv s="0">
    <fb>15.273</fb>
    <v>0</v>
  </rv>
  <rv s="0">
    <fb>17390.5164</fb>
    <v>0</v>
  </rv>
  <rv s="0">
    <fb>14.993</fb>
    <v>0</v>
  </rv>
  <rv s="0">
    <fb>17573.927299999999</fb>
    <v>0</v>
  </rv>
  <rv s="0">
    <fb>16.390999999999998</fb>
    <v>0</v>
  </rv>
  <rv s="0">
    <fb>17634.743200000001</fb>
    <v>0</v>
  </rv>
  <rv s="0">
    <fb>16.631499999999999</fb>
    <v>0</v>
  </rv>
  <rv s="0">
    <fb>17810.0625</fb>
    <v>0</v>
  </rv>
  <rv s="0">
    <fb>16.931999999999999</fb>
    <v>0</v>
  </rv>
  <rv s="0">
    <fb>17828.2366</fb>
    <v>0</v>
  </rv>
  <rv s="0">
    <fb>15.631500000000001</fb>
    <v>0</v>
  </rv>
  <rv s="0">
    <fb>17958.794900000001</fb>
    <v>0</v>
  </rv>
  <rv s="0">
    <fb>15.366</fb>
    <v>0</v>
  </rv>
  <rv s="0">
    <fb>17280.8295</fb>
    <v>0</v>
  </rv>
  <rv s="0">
    <fb>14.994999999999999</fb>
    <v>0</v>
  </rv>
  <rv s="0">
    <fb>17804.7965</fb>
    <v>0</v>
  </rv>
  <rv s="0">
    <fb>15.454499999999999</fb>
    <v>0</v>
  </rv>
  <rv s="0">
    <fb>18053.711299999999</fb>
    <v>0</v>
  </rv>
  <rv s="0">
    <fb>15.426</fb>
    <v>0</v>
  </rv>
  <rv s="0">
    <fb>17832.9889</fb>
    <v>0</v>
  </rv>
  <rv s="0">
    <fb>14.846500000000001</fb>
    <v>0</v>
  </rv>
  <rv s="0">
    <fb>17737.366000000002</fb>
    <v>0</v>
  </rv>
  <rv s="0">
    <fb>14.537000000000001</fb>
    <v>0</v>
  </rv>
  <rv s="0">
    <fb>17511.570199999998</fb>
    <v>0</v>
  </rv>
  <rv s="0">
    <fb>15.6195</fb>
    <v>0</v>
  </rv>
  <rv s="0">
    <fb>17672.600600000002</fb>
    <v>0</v>
  </rv>
  <rv s="0">
    <fb>17.726500000000001</fb>
    <v>0</v>
  </rv>
  <rv s="0">
    <fb>17164.945400000001</fb>
    <v>0</v>
  </rv>
  <rv s="0">
    <fb>18.713999999999999</fb>
    <v>0</v>
  </rv>
  <rv s="0">
    <fb>17824.287100000001</fb>
    <v>0</v>
  </rv>
  <rv s="0">
    <fb>19.0915</fb>
    <v>0</v>
  </rv>
  <rv s="0">
    <fb>18019.353899999998</fb>
    <v>0</v>
  </rv>
  <rv s="0">
    <fb>19.183</fb>
    <v>0</v>
  </rv>
  <rv s="0">
    <fb>18140.4398</fb>
    <v>0</v>
  </rv>
  <rv s="0">
    <fb>19.007999999999999</fb>
    <v>0</v>
  </rv>
  <rv s="0">
    <fb>18132.701300000001</fb>
    <v>0</v>
  </rv>
  <rv s="0">
    <fb>19.0045</fb>
    <v>0</v>
  </rv>
  <rv s="0">
    <fb>17856.782200000001</fb>
    <v>0</v>
  </rv>
  <rv s="0">
    <fb>18.529</fb>
    <v>0</v>
  </rv>
  <rv s="0">
    <fb>17749.310799999999</fb>
    <v>0</v>
  </rv>
  <rv s="0">
    <fb>18.924499999999998</fb>
    <v>0</v>
  </rv>
  <rv s="0">
    <fb>18127.653300000002</fb>
    <v>0</v>
  </rv>
  <rv s="0">
    <fb>18.527999999999999</fb>
    <v>0</v>
  </rv>
  <rv s="0">
    <fb>17712.662899999999</fb>
    <v>0</v>
  </rv>
  <rv s="0">
    <fb>18.612500000000001</fb>
    <v>0</v>
  </rv>
  <rv s="0">
    <fb>17763.2438</fb>
    <v>0</v>
  </rv>
  <rv s="0">
    <fb>19.1325</fb>
    <v>0</v>
  </rv>
  <rv s="0">
    <fb>18057.6541</fb>
    <v>0</v>
  </rv>
  <rv s="0">
    <fb>18.777999999999999</fb>
    <v>0</v>
  </rv>
  <rv s="0">
    <fb>17826.303100000001</fb>
    <v>0</v>
  </rv>
  <rv s="0">
    <fb>22.254999999999999</fb>
    <v>0</v>
  </rv>
  <rv s="0">
    <fb>18080.141899999999</fb>
    <v>0</v>
  </rv>
  <rv s="0">
    <fb>21.1435</fb>
    <v>0</v>
  </rv>
  <rv s="0">
    <fb>18024.055799999998</fb>
    <v>0</v>
  </rv>
  <rv s="0">
    <fb>21.6845</fb>
    <v>0</v>
  </rv>
  <rv s="0">
    <fb>18191.113000000001</fb>
    <v>0</v>
  </rv>
  <rv s="0">
    <fb>21.3</fb>
    <v>0</v>
  </rv>
  <rv s="0">
    <fb>18272.556199999999</fb>
    <v>0</v>
  </rv>
  <rv s="0">
    <fb>21.381499999999999</fb>
    <v>0</v>
  </rv>
  <rv s="0">
    <fb>18232.018100000001</fb>
    <v>0</v>
  </rv>
  <rv s="0">
    <fb>21.461500000000001</fb>
    <v>0</v>
  </rv>
  <rv s="0">
    <fb>18010.676500000001</fb>
    <v>0</v>
  </rv>
  <rv s="0">
    <fb>21.3475</fb>
    <v>0</v>
  </rv>
  <rv s="0">
    <fb>17849.458200000001</fb>
    <v>0</v>
  </rv>
  <rv s="0">
    <fb>21.495999999999999</fb>
    <v>0</v>
  </rv>
  <rv s="0">
    <fb>17898.838</fb>
    <v>0</v>
  </rv>
  <rv s="0">
    <fb>21.745999999999999</fb>
    <v>0</v>
  </rv>
  <rv s="0">
    <fb>18015.948199999999</fb>
    <v>0</v>
  </rv>
  <rv s="0">
    <fb>21.905000000000001</fb>
    <v>0</v>
  </rv>
  <rv s="0">
    <fb>17946.683000000001</fb>
    <v>0</v>
  </rv>
  <rv s="0">
    <fb>21.8855</fb>
    <v>0</v>
  </rv>
  <rv s="0">
    <fb>17730.1132</fb>
    <v>0</v>
  </rv>
  <rv s="0">
    <fb>22.1755</fb>
    <v>0</v>
  </rv>
  <rv s="0">
    <fb>17760.411700000001</fb>
    <v>0</v>
  </rv>
  <rv s="0">
    <fb>24.150500000000001</fb>
    <v>0</v>
  </rv>
  <rv s="0">
    <fb>18086.446499999998</fb>
    <v>0</v>
  </rv>
  <rv s="0">
    <fb>26.471</fb>
    <v>0</v>
  </rv>
  <rv s="0">
    <fb>17568.532200000001</fb>
    <v>0</v>
  </rv>
  <rv s="0">
    <fb>26.807500000000001</fb>
    <v>0</v>
  </rv>
  <rv s="0">
    <fb>17689.859899999999</fb>
    <v>0</v>
  </rv>
  <rv s="0">
    <fb>26.131</fb>
    <v>0</v>
  </rv>
  <rv s="0">
    <fb>17373.379000000001</fb>
    <v>0</v>
  </rv>
  <rv s="0">
    <fb>26.576000000000001</fb>
    <v>0</v>
  </rv>
  <rv s="0">
    <fb>17477.4028</fb>
    <v>0</v>
  </rv>
  <rv s="0">
    <fb>24.723500000000001</fb>
    <v>0</v>
  </rv>
  <rv s="0">
    <fb>16459.7467</fb>
    <v>0</v>
  </rv>
  <rv s="0">
    <fb>25.900500000000001</fb>
    <v>0</v>
  </rv>
  <rv s="0">
    <fb>16643.007600000001</fb>
    <v>0</v>
  </rv>
  <rv s="0">
    <fb>24.95</fb>
    <v>0</v>
  </rv>
  <rv s="0">
    <fb>16102.3778</fb>
    <v>0</v>
  </rv>
  <rv s="0">
    <fb>26.472000000000001</fb>
    <v>0</v>
  </rv>
  <rv s="0">
    <fb>16433.0893</fb>
    <v>0</v>
  </rv>
  <rv s="0">
    <fb>27.013000000000002</fb>
    <v>0</v>
  </rv>
  <rv s="0">
    <fb>16384.584900000002</fb>
    <v>0</v>
  </rv>
  <rv s="0">
    <fb>26.212499999999999</fb>
    <v>0</v>
  </rv>
  <rv s="0">
    <fb>16314.6679</fb>
    <v>0</v>
  </rv>
  <rv s="0">
    <fb>26.626999999999999</fb>
    <v>0</v>
  </rv>
  <rv s="0">
    <fb>16472.373800000001</fb>
    <v>0</v>
  </rv>
  <rv s="0">
    <fb>26.99</fb>
    <v>0</v>
  </rv>
  <rv s="0">
    <fb>17084.4908</fb>
    <v>0</v>
  </rv>
  <rv s="0">
    <fb>28.538</fb>
    <v>0</v>
  </rv>
  <rv s="0">
    <fb>17215.973699999999</fb>
    <v>0</v>
  </rv>
  <rv s="0">
    <fb>29.951499999999999</fb>
    <v>0</v>
  </rv>
  <rv s="0">
    <fb>17646.700400000002</fb>
    <v>0</v>
  </rv>
  <rv s="0">
    <fb>31.295000000000002</fb>
    <v>0</v>
  </rv>
  <rv s="0">
    <fb>17663.536599999999</fb>
    <v>0</v>
  </rv>
  <rv s="0">
    <fb>32.968499999999999</fb>
    <v>0</v>
  </rv>
  <rv s="0">
    <fb>17910.334299999999</fb>
    <v>0</v>
  </rv>
  <rv s="0">
    <fb>32.1175</fb>
    <v>0</v>
  </rv>
  <rv s="0">
    <fb>17245.2366</fb>
    <v>0</v>
  </rv>
  <rv s="0">
    <fb>33.422499999999999</fb>
    <v>0</v>
  </rv>
  <rv s="0">
    <fb>17823.8148</fb>
    <v>0</v>
  </rv>
  <rv s="0">
    <fb>33.662999999999997</fb>
    <v>0</v>
  </rv>
  <rv s="0">
    <fb>17798.493699999999</fb>
    <v>0</v>
  </rv>
  <rv s="0">
    <fb>33.631999999999998</fb>
    <v>0</v>
  </rv>
  <rv s="0">
    <fb>17847.632699999998</fb>
    <v>0</v>
  </rv>
  <rv s="0">
    <fb>32.0075</fb>
    <v>0</v>
  </rv>
  <rv s="0">
    <fb>17265.213</fb>
    <v>0</v>
  </rv>
  <rv s="0">
    <fb>33.207000000000001</fb>
    <v>0</v>
  </rv>
  <rv s="0">
    <fb>17128.552299999999</fb>
    <v>0</v>
  </rv>
  <rv s="0">
    <fb>33.139499999999998</fb>
    <v>0</v>
  </rv>
  <rv s="0">
    <fb>17552.167700000002</fb>
    <v>0</v>
  </rv>
  <rv s="0">
    <fb>33.794499999999999</fb>
    <v>0</v>
  </rv>
  <rv s="0">
    <fb>17425.028699999999</fb>
    <v>0</v>
  </rv>
  <rv s="0">
    <fb>30.352499999999999</fb>
    <v>0</v>
  </rv>
  <rv s="0">
    <fb>16346.453</fb>
    <v>0</v>
  </rv>
  <rv s="0">
    <fb>28.509</fb>
    <v>0</v>
  </rv>
  <rv s="0">
    <fb>15988.080599999999</fb>
    <v>0</v>
  </rv>
  <rv s="0">
    <fb>29.818999999999999</fb>
    <v>0</v>
  </rv>
  <rv s="0">
    <fb>16093.510399999999</fb>
    <v>0</v>
  </rv>
  <rv s="0">
    <fb>29.35</fb>
    <v>0</v>
  </rv>
  <rv s="0">
    <fb>16466.298599999998</fb>
    <v>0</v>
  </rv>
  <rv s="0">
    <fb>25.1065</fb>
    <v>0</v>
  </rv>
  <rv s="0">
    <fb>16204.9668</fb>
    <v>0</v>
  </rv>
  <rv s="0">
    <fb>25.353999999999999</fb>
    <v>0</v>
  </rv>
  <rv s="0">
    <fb>15973.8361</fb>
    <v>0</v>
  </rv>
  <rv s="0">
    <fb>26.745000000000001</fb>
    <v>0</v>
  </rv>
  <rv s="0">
    <fb>16391.994299999998</fb>
    <v>0</v>
  </rv>
  <rv s="0">
    <fb>27.761500000000002</fb>
    <v>0</v>
  </rv>
  <rv s="0">
    <fb>16639.9719</fb>
    <v>0</v>
  </rv>
  <rv s="0">
    <fb>28.757000000000001</fb>
    <v>0</v>
  </rv>
  <rv s="0">
    <fb>17006.7677</fb>
    <v>0</v>
  </rv>
  <rv s="0">
    <fb>28.480499999999999</fb>
    <v>0</v>
  </rv>
  <rv s="0">
    <fb>17213.312999999998</fb>
    <v>0</v>
  </rv>
  <rv s="0">
    <fb>27.603999999999999</fb>
    <v>0</v>
  </rv>
  <rv s="0">
    <fb>17602.297399999999</fb>
    <v>0</v>
  </rv>
  <rv s="0">
    <fb>29.147500000000001</fb>
    <v>0</v>
  </rv>
  <rv s="0">
    <fb>17515.7346</fb>
    <v>0</v>
  </rv>
  <rv s="0">
    <fb>29.925000000000001</fb>
    <v>0</v>
  </rv>
  <rv s="0">
    <fb>17792.749</fb>
    <v>0</v>
  </rv>
  <rv s="0">
    <fb>29.73</fb>
    <v>0</v>
  </rv>
  <rv s="0">
    <fb>17576.958600000002</fb>
    <v>0</v>
  </rv>
  <rv s="0">
    <fb>31.294499999999999</fb>
    <v>0</v>
  </rv>
  <rv s="0">
    <fb>17897.459800000001</fb>
    <v>0</v>
  </rv>
  <rv s="0">
    <fb>31.024999999999999</fb>
    <v>0</v>
  </rv>
  <rv s="0">
    <fb>18003.745699999999</fb>
    <v>0</v>
  </rv>
  <rv s="0">
    <fb>32.979500000000002</fb>
    <v>0</v>
  </rv>
  <rv s="0">
    <fb>17773.642199999998</fb>
    <v>0</v>
  </rv>
  <rv s="0">
    <fb>33.697499999999998</fb>
    <v>0</v>
  </rv>
  <rv s="0">
    <fb>17740.633399999999</fb>
    <v>0</v>
  </rv>
  <rv s="0">
    <fb>35.496000000000002</fb>
    <v>0</v>
  </rv>
  <rv s="0">
    <fb>17535.320800000001</fb>
    <v>0</v>
  </rv>
  <rv s="0">
    <fb>35.14</fb>
    <v>0</v>
  </rv>
  <rv s="0">
    <fb>17500.942299999999</fb>
    <v>0</v>
  </rv>
  <rv s="0">
    <fb>35.612000000000002</fb>
    <v>0</v>
  </rv>
  <rv s="0">
    <fb>17873.216799999998</fb>
    <v>0</v>
  </rv>
  <rv s="0">
    <fb>36.277000000000001</fb>
    <v>0</v>
  </rv>
  <rv s="0">
    <fb>17807.062000000002</fb>
    <v>0</v>
  </rv>
  <rv s="0">
    <fb>35.895499999999998</fb>
    <v>0</v>
  </rv>
  <rv s="0">
    <fb>17865.341199999999</fb>
    <v>0</v>
  </rv>
  <rv s="0">
    <fb>35.319499999999998</fb>
    <v>0</v>
  </rv>
  <rv s="0">
    <fb>17675.163400000001</fb>
    <v>0</v>
  </rv>
  <rv s="0">
    <fb>34.948</fb>
    <v>0</v>
  </rv>
  <rv s="0">
    <fb>17400.751400000001</fb>
    <v>0</v>
  </rv>
  <rv s="0">
    <fb>36.283999999999999</fb>
    <v>0</v>
  </rv>
  <rv s="0">
    <fb>17949.3701</fb>
    <v>0</v>
  </rv>
  <rv s="0">
    <fb>37.290500000000002</fb>
    <v>0</v>
  </rv>
  <rv s="0">
    <fb>18146.738499999999</fb>
    <v>0</v>
  </rv>
  <rv s="0">
    <fb>36.771999999999998</fb>
    <v>0</v>
  </rv>
  <rv s="0">
    <fb>18516.547699999999</fb>
    <v>0</v>
  </rv>
  <rv s="0">
    <fb>37.243000000000002</fb>
    <v>0</v>
  </rv>
  <rv s="0">
    <fb>18570.854800000001</fb>
    <v>0</v>
  </rv>
  <rv s="0">
    <fb>37.9405</fb>
    <v>0</v>
  </rv>
  <rv s="0">
    <fb>18432.244900000002</fb>
    <v>0</v>
  </rv>
  <rv s="0">
    <fb>38.298999999999999</fb>
    <v>0</v>
  </rv>
  <rv s="0">
    <fb>18543.53</fb>
    <v>0</v>
  </rv>
  <rv s="0">
    <fb>38.628</fb>
    <v>0</v>
  </rv>
  <rv s="0">
    <fb>18576.470399999998</fb>
    <v>0</v>
  </rv>
  <rv s="0">
    <fb>37.865499999999997</fb>
    <v>0</v>
  </rv>
  <rv s="0">
    <fb>18552.569800000001</fb>
    <v>0</v>
  </rv>
  <rv s="0">
    <fb>38.450000000000003</fb>
    <v>0</v>
  </rv>
  <rv s="0">
    <fb>18395.400900000001</fb>
    <v>0</v>
  </rv>
  <rv s="0">
    <fb>38.622</fb>
    <v>0</v>
  </rv>
  <rv s="0">
    <fb>18491.962200000002</fb>
    <v>0</v>
  </rv>
  <rv s="0">
    <fb>38.006999999999998</fb>
    <v>0</v>
  </rv>
  <rv s="0">
    <fb>18085.446100000001</fb>
    <v>0</v>
  </rv>
  <rv s="0">
    <fb>38.926000000000002</fb>
    <v>0</v>
  </rv>
  <rv s="0">
    <fb>18123.796699999999</fb>
    <v>0</v>
  </rv>
  <rv s="0">
    <fb>40.287500000000001</fb>
    <v>0</v>
  </rv>
  <rv s="0">
    <fb>18261.447899999999</fb>
    <v>0</v>
  </rv>
  <rv s="0">
    <fb>41.865499999999997</fb>
    <v>0</v>
  </rv>
  <rv s="0">
    <fb>18308.153399999999</fb>
    <v>0</v>
  </rv>
  <rv s="0">
    <fb>41.971499999999999</fb>
    <v>0</v>
  </rv>
  <rv s="0">
    <fb>18240.491999999998</fb>
    <v>0</v>
  </rv>
  <rv s="0">
    <fb>41.148000000000003</fb>
    <v>0</v>
  </rv>
  <rv s="0">
    <fb>18138.383600000001</fb>
    <v>0</v>
  </rv>
  <rv s="0">
    <fb>40.9495</fb>
    <v>0</v>
  </rv>
  <rv s="0">
    <fb>18145.711299999999</fb>
    <v>0</v>
  </rv>
  <rv s="0">
    <fb>38.816000000000003</fb>
    <v>0</v>
  </rv>
  <rv s="0">
    <fb>18161.1885</fb>
    <v>0</v>
  </rv>
  <rv s="0">
    <fb>37.752499999999998</fb>
    <v>0</v>
  </rv>
  <rv s="0">
    <fb>17888.283100000001</fb>
    <v>0</v>
  </rv>
  <rv s="0">
    <fb>36.950499999999998</fb>
    <v>0</v>
  </rv>
  <rv s="0">
    <fb>18847.663799999998</fb>
    <v>0</v>
  </rv>
  <rv s="0">
    <fb>38.008000000000003</fb>
    <v>0</v>
  </rv>
  <rv s="0">
    <fb>18867.934799999999</fb>
    <v>0</v>
  </rv>
  <rv s="0">
    <fb>39.018500000000003</fb>
    <v>0</v>
  </rv>
  <rv s="0">
    <fb>19152.139899999998</fb>
    <v>0</v>
  </rv>
  <rv s="0">
    <fb>37.017000000000003</fb>
    <v>0</v>
  </rv>
  <rv s="0">
    <fb>19170.424999999999</fb>
    <v>0</v>
  </rv>
  <rv s="0">
    <fb>38.433</fb>
    <v>0</v>
  </rv>
  <rv s="0">
    <fb>19756.846300000001</fb>
    <v>0</v>
  </rv>
  <rv s="0">
    <fb>37.888500000000001</fb>
    <v>0</v>
  </rv>
  <rv s="0">
    <fb>19843.409</fb>
    <v>0</v>
  </rv>
  <rv s="0">
    <fb>38.029499999999999</fb>
    <v>0</v>
  </rv>
  <rv s="0">
    <fb>19933.806799999998</fb>
    <v>0</v>
  </rv>
  <rv s="0">
    <fb>37.493499999999997</fb>
    <v>0</v>
  </rv>
  <rv s="0">
    <fb>19762.598900000001</fb>
    <v>0</v>
  </rv>
  <rv s="0">
    <fb>39.799500000000002</fb>
    <v>0</v>
  </rv>
  <rv s="0">
    <fb>19963.802500000002</fb>
    <v>0</v>
  </rv>
  <rv s="0">
    <fb>40.856999999999999</fb>
    <v>0</v>
  </rv>
  <rv s="0">
    <fb>19885.731599999999</fb>
    <v>0</v>
  </rv>
  <rv s="0">
    <fb>40.416499999999999</fb>
    <v>0</v>
  </rv>
  <rv s="0">
    <fb>19827.246999999999</fb>
    <v>0</v>
  </rv>
  <rv s="0">
    <fb>41.788499999999999</fb>
    <v>0</v>
  </rv>
  <rv s="0">
    <fb>20093.783500000001</fb>
    <v>0</v>
  </rv>
  <rv s="0">
    <fb>40.51</fb>
    <v>0</v>
  </rv>
  <rv s="0">
    <fb>20071.457999999999</fb>
    <v>0</v>
  </rv>
  <rv s="0">
    <fb>41.372999999999998</fb>
    <v>0</v>
  </rv>
  <rv s="0">
    <fb>20269.374400000001</fb>
    <v>0</v>
  </rv>
  <rv s="0">
    <fb>42.253500000000003</fb>
    <v>0</v>
  </rv>
  <rv s="0">
    <fb>20624.048699999999</fb>
    <v>0</v>
  </rv>
  <rv s="0">
    <fb>42.262</fb>
    <v>0</v>
  </rv>
  <rv s="0">
    <fb>20821.759600000001</fb>
    <v>0</v>
  </rv>
  <rv s="0">
    <fb>42.494</fb>
    <v>0</v>
  </rv>
  <rv s="0">
    <fb>21005.705399999999</fb>
    <v>0</v>
  </rv>
  <rv s="0">
    <fb>42.622999999999998</fb>
    <v>0</v>
  </rv>
  <rv s="0">
    <fb>20902.980599999999</fb>
    <v>0</v>
  </rv>
  <rv s="0">
    <fb>42.615499999999997</fb>
    <v>0</v>
  </rv>
  <rv s="0">
    <fb>20914.622800000001</fb>
    <v>0</v>
  </rv>
  <rv s="0">
    <fb>42.280500000000004</fb>
    <v>0</v>
  </rv>
  <rv s="0">
    <fb>20596.723900000001</fb>
    <v>0</v>
  </rv>
  <rv s="0">
    <fb>44.326999999999998</fb>
    <v>0</v>
  </rv>
  <rv s="0">
    <fb>20663.221099999999</fb>
    <v>0</v>
  </rv>
  <rv s="0">
    <fb>44.744</fb>
    <v>0</v>
  </rv>
  <rv s="0">
    <fb>20656.0988</fb>
    <v>0</v>
  </rv>
  <rv s="0">
    <fb>44.233499999999999</fb>
    <v>0</v>
  </rv>
  <rv s="0">
    <fb>20453.251700000001</fb>
    <v>0</v>
  </rv>
  <rv s="0">
    <fb>44.926499999999997</fb>
    <v>0</v>
  </rv>
  <rv s="0">
    <fb>20547.758399999999</fb>
    <v>0</v>
  </rv>
  <rv s="0">
    <fb>46.249499999999998</fb>
    <v>0</v>
  </rv>
  <rv s="0">
    <fb>20940.509399999999</fb>
    <v>0</v>
  </rv>
  <rv s="0">
    <fb>46.707500000000003</fb>
    <v>0</v>
  </rv>
  <rv s="0">
    <fb>21006.938099999999</fb>
    <v>0</v>
  </rv>
  <rv s="0">
    <fb>48.067500000000003</fb>
    <v>0</v>
  </rv>
  <rv s="0">
    <fb>20896.611700000001</fb>
    <v>0</v>
  </rv>
  <rv s="0">
    <fb>47.991999999999997</fb>
    <v>0</v>
  </rv>
  <rv s="0">
    <fb>20804.8442</fb>
    <v>0</v>
  </rv>
  <rv s="0">
    <fb>49.789000000000001</fb>
    <v>0</v>
  </rv>
  <rv s="0">
    <fb>21080.283599999999</fb>
    <v>0</v>
  </rv>
  <rv s="0">
    <fb>50.336500000000001</fb>
    <v>0</v>
  </rv>
  <rv s="0">
    <fb>21206.292600000001</fb>
    <v>0</v>
  </rv>
  <rv s="0">
    <fb>48.915500000000002</fb>
    <v>0</v>
  </rv>
  <rv s="0">
    <fb>21271.9679</fb>
    <v>0</v>
  </rv>
  <rv s="0">
    <fb>49.3855</fb>
    <v>0</v>
  </rv>
  <rv s="0">
    <fb>21384.280299999999</fb>
    <v>0</v>
  </rv>
  <rv s="0">
    <fb>50.186999999999998</fb>
    <v>0</v>
  </rv>
  <rv s="0">
    <fb>21394.758300000001</fb>
    <v>0</v>
  </rv>
  <rv s="0">
    <fb>48.4</fb>
    <v>0</v>
  </rv>
  <rv s="0">
    <fb>21349.627899999999</fb>
    <v>0</v>
  </rv>
  <rv s="0">
    <fb>48.938000000000002</fb>
    <v>0</v>
  </rv>
  <rv s="0">
    <fb>21414.344499999999</fb>
    <v>0</v>
  </rv>
  <rv s="0">
    <fb>50.090499999999999</fb>
    <v>0</v>
  </rv>
  <rv s="0">
    <fb>21637.7366</fb>
    <v>0</v>
  </rv>
  <rv s="0">
    <fb>51.283499999999997</fb>
    <v>0</v>
  </rv>
  <rv s="0">
    <fb>21580.073700000001</fb>
    <v>0</v>
  </rv>
  <rv s="0">
    <fb>51.002000000000002</fb>
    <v>0</v>
  </rv>
  <rv s="0">
    <fb>21830.3112</fb>
    <v>0</v>
  </rv>
  <rv s="0">
    <fb>49.378999999999998</fb>
    <v>0</v>
  </rv>
  <rv s="0">
    <fb>22092.807199999999</fb>
    <v>0</v>
  </rv>
  <rv s="0">
    <fb>48.399500000000003</fb>
    <v>0</v>
  </rv>
  <rv s="0">
    <fb>21858.320800000001</fb>
    <v>0</v>
  </rv>
  <rv s="0">
    <fb>47.923499999999997</fb>
    <v>0</v>
  </rv>
  <rv s="0">
    <fb>21674.511999999999</fb>
    <v>0</v>
  </rv>
  <rv s="0">
    <fb>47.262999999999998</fb>
    <v>0</v>
  </rv>
  <rv s="0">
    <fb>21813.6698</fb>
    <v>0</v>
  </rv>
  <rv s="0">
    <fb>48.912500000000001</fb>
    <v>0</v>
  </rv>
  <rv s="0">
    <fb>21987.555899999999</fb>
    <v>0</v>
  </rv>
  <rv s="0">
    <fb>48.295000000000002</fb>
    <v>0</v>
  </rv>
  <rv s="0">
    <fb>21797.793099999999</fb>
    <v>0</v>
  </rv>
  <rv s="0">
    <fb>49.339500000000001</fb>
    <v>0</v>
  </rv>
  <rv s="0">
    <fb>22268.3442</fb>
    <v>0</v>
  </rv>
  <rv s="0">
    <fb>47.755000000000003</fb>
    <v>0</v>
  </rv>
  <rv s="0">
    <fb>22349.592400000001</fb>
    <v>0</v>
  </rv>
  <rv s="0">
    <fb>22405.089</fb>
    <v>0</v>
  </rv>
  <rv s="0">
    <fb>49.478999999999999</fb>
    <v>0</v>
  </rv>
  <rv s="0">
    <fb>22773.666700000002</fb>
    <v>0</v>
  </rv>
  <rv s="0">
    <fb>50.146999999999998</fb>
    <v>0</v>
  </rv>
  <rv s="0">
    <fb>22871.715400000001</fb>
    <v>0</v>
  </rv>
  <rv s="0">
    <fb>49.145499999999998</fb>
    <v>0</v>
  </rv>
  <rv s="0">
    <fb>23328.633300000001</fb>
    <v>0</v>
  </rv>
  <rv s="0">
    <fb>55.047499999999999</fb>
    <v>0</v>
  </rv>
  <rv s="0">
    <fb>23434.187099999999</fb>
    <v>0</v>
  </rv>
  <rv s="0">
    <fb>55.58</fb>
    <v>0</v>
  </rv>
  <rv s="0">
    <fb>23539.1901</fb>
    <v>0</v>
  </rv>
  <rv s="0">
    <fb>56.267499999999998</fb>
    <v>0</v>
  </rv>
  <rv s="0">
    <fb>23422.2065</fb>
    <v>0</v>
  </rv>
  <rv s="0">
    <fb>56.494</fb>
    <v>0</v>
  </rv>
  <rv s="0">
    <fb>23358.240699999998</fb>
    <v>0</v>
  </rv>
  <rv s="0">
    <fb>59.3</fb>
    <v>0</v>
  </rv>
  <rv s="0">
    <fb>23557.987400000002</fb>
    <v>0</v>
  </rv>
  <rv s="0">
    <fb>58.1175</fb>
    <v>0</v>
  </rv>
  <rv s="0">
    <fb>24231.590100000001</fb>
    <v>0</v>
  </rv>
  <rv s="0">
    <fb>58.1</fb>
    <v>0</v>
  </rv>
  <rv s="0">
    <fb>24329.156800000001</fb>
    <v>0</v>
  </rv>
  <rv s="0">
    <fb>58.957000000000001</fb>
    <v>0</v>
  </rv>
  <rv s="0">
    <fb>24651.739699999998</fb>
    <v>0</v>
  </rv>
  <rv s="0">
    <fb>58.417999999999999</fb>
    <v>0</v>
  </rv>
  <rv s="0">
    <fb>24754.057400000002</fb>
    <v>0</v>
  </rv>
  <rv s="0">
    <fb>58.473500000000001</fb>
    <v>0</v>
  </rv>
  <rv s="0">
    <fb>24719.217100000002</fb>
    <v>0</v>
  </rv>
  <rv s="0">
    <fb>61.457000000000001</fb>
    <v>0</v>
  </rv>
  <rv s="0">
    <fb>25295.872800000001</fb>
    <v>0</v>
  </rv>
  <rv s="0">
    <fb>65.260000000000005</fb>
    <v>0</v>
  </rv>
  <rv s="0">
    <fb>25803.1921</fb>
    <v>0</v>
  </rv>
  <rv s="0">
    <fb>64.728999999999999</fb>
    <v>0</v>
  </rv>
  <rv s="0">
    <fb>26071.724399999999</fb>
    <v>0</v>
  </rv>
  <rv s="0">
    <fb>70.102500000000006</fb>
    <v>0</v>
  </rv>
  <rv s="0">
    <fb>26616.7071</fb>
    <v>0</v>
  </rv>
  <rv s="0">
    <fb>71.497500000000002</fb>
    <v>0</v>
  </rv>
  <rv s="0">
    <fb>25520.957900000001</fb>
    <v>0</v>
  </rv>
  <rv s="0">
    <fb>66.98</fb>
    <v>0</v>
  </rv>
  <rv s="0">
    <fb>24190.897099999998</fb>
    <v>0</v>
  </rv>
  <rv s="0">
    <fb>72.4345</fb>
    <v>0</v>
  </rv>
  <rv s="0">
    <fb>25219.375499999998</fb>
    <v>0</v>
  </rv>
  <rv s="0">
    <fb>75</fb>
    <v>0</v>
  </rv>
  <rv s="0">
    <fb>25309.988000000001</fb>
    <v>0</v>
  </rv>
  <rv s="0">
    <fb>75.012500000000003</fb>
    <v>0</v>
  </rv>
  <rv s="0">
    <fb>24538.061099999999</fb>
    <v>0</v>
  </rv>
  <rv s="0">
    <fb>78.944500000000005</fb>
    <v>0</v>
  </rv>
  <rv s="0">
    <fb>25335.7395</fb>
    <v>0</v>
  </rv>
  <rv s="0">
    <fb>78.584000000000003</fb>
    <v>0</v>
  </rv>
  <rv s="0">
    <fb>24946.505499999999</fb>
    <v>0</v>
  </rv>
  <rv s="0">
    <fb>74.778000000000006</fb>
    <v>0</v>
  </rv>
  <rv s="0">
    <fb>23533.199799999999</fb>
    <v>0</v>
  </rv>
  <rv s="0">
    <fb>72.367000000000004</fb>
    <v>0</v>
  </rv>
  <rv s="0">
    <fb>24103.107800000002</fb>
    <v>0</v>
  </rv>
  <rv s="0">
    <fb>70.261499999999998</fb>
    <v>0</v>
  </rv>
  <rv s="0">
    <fb>23932.761900000001</fb>
    <v>0</v>
  </rv>
  <rv s="0">
    <fb>71.539500000000004</fb>
    <v>0</v>
  </rv>
  <rv s="0">
    <fb>24360.141299999999</fb>
    <v>0</v>
  </rv>
  <rv s="0">
    <fb>76.374499999999998</fb>
    <v>0</v>
  </rv>
  <rv s="0">
    <fb>24462.940900000001</fb>
    <v>0</v>
  </rv>
  <rv s="0">
    <fb>78.631</fb>
    <v>0</v>
  </rv>
  <rv s="0">
    <fb>24311.185799999999</fb>
    <v>0</v>
  </rv>
  <rv s="0">
    <fb>79.047499999999999</fb>
    <v>0</v>
  </rv>
  <rv s="0">
    <fb>24262.505700000002</fb>
    <v>0</v>
  </rv>
  <rv s="0">
    <fb>80.145499999999998</fb>
    <v>0</v>
  </rv>
  <rv s="0">
    <fb>24831.1744</fb>
    <v>0</v>
  </rv>
  <rv s="0">
    <fb>78.718500000000006</fb>
    <v>0</v>
  </rv>
  <rv s="0">
    <fb>24715.085800000001</fb>
    <v>0</v>
  </rv>
  <rv s="0">
    <fb>80.507499999999993</fb>
    <v>0</v>
  </rv>
  <rv s="0">
    <fb>24753.093400000002</fb>
    <v>0</v>
  </rv>
  <rv s="0">
    <fb>82.076999999999998</fb>
    <v>0</v>
  </rv>
  <rv s="0">
    <fb>24635.2147</fb>
    <v>0</v>
  </rv>
  <rv s="0">
    <fb>84.1995</fb>
    <v>0</v>
  </rv>
  <rv s="0">
    <fb>25316.5291</fb>
    <v>0</v>
  </rv>
  <rv s="0">
    <fb>85.798500000000004</fb>
    <v>0</v>
  </rv>
  <rv s="0">
    <fb>25090.480100000001</fb>
    <v>0</v>
  </rv>
  <rv s="0">
    <fb>85.783500000000004</fb>
    <v>0</v>
  </rv>
  <rv s="0">
    <fb>24580.888599999998</fb>
    <v>0</v>
  </rv>
  <rv s="0">
    <fb>84.99</fb>
    <v>0</v>
  </rv>
  <rv s="0">
    <fb>24271.409899999999</fb>
    <v>0</v>
  </rv>
  <rv s="0">
    <fb>85.531499999999994</fb>
    <v>0</v>
  </rv>
  <rv s="0">
    <fb>24456.484899999999</fb>
    <v>0</v>
  </rv>
  <rv s="0">
    <fb>90.651499999999999</fb>
    <v>0</v>
  </rv>
  <rv s="0">
    <fb>25019.405900000002</fb>
    <v>0</v>
  </rv>
  <rv s="0">
    <fb>90.685000000000002</fb>
    <v>0</v>
  </rv>
  <rv s="0">
    <fb>25058.122899999998</fb>
    <v>0</v>
  </rv>
  <rv s="0">
    <fb>90.863500000000002</fb>
    <v>0</v>
  </rv>
  <rv s="0">
    <fb>25451.0556</fb>
    <v>0</v>
  </rv>
  <rv s="0">
    <fb>91.164500000000004</fb>
    <v>0</v>
  </rv>
  <rv s="0">
    <fb>25462.5825</fb>
    <v>0</v>
  </rv>
  <rv s="0">
    <fb>94.314999999999998</fb>
    <v>0</v>
  </rv>
  <rv s="0">
    <fb>25313.139299999999</fb>
    <v>0</v>
  </rv>
  <rv s="0">
    <fb>94.111000000000004</fb>
    <v>0</v>
  </rv>
  <rv s="0">
    <fb>25669.321400000001</fb>
    <v>0</v>
  </rv>
  <rv s="0">
    <fb>95.269499999999994</fb>
    <v>0</v>
  </rv>
  <rv s="0">
    <fb>25790.354200000002</fb>
    <v>0</v>
  </rv>
  <rv s="0">
    <fb>100.63549999999999</fb>
    <v>0</v>
  </rv>
  <rv s="0">
    <fb>25964.8177</fb>
    <v>0</v>
  </rv>
  <rv s="0">
    <fb>97.603499999999997</fb>
    <v>0</v>
  </rv>
  <rv s="0">
    <fb>25916.540199999999</fb>
    <v>0</v>
  </rv>
  <rv s="0">
    <fb>98.509500000000003</fb>
    <v>0</v>
  </rv>
  <rv s="0">
    <fb>26154.672999999999</fb>
    <v>0</v>
  </rv>
  <rv s="0">
    <fb>95.750500000000002</fb>
    <v>0</v>
  </rv>
  <rv s="0">
    <fb>26743.495699999999</fb>
    <v>0</v>
  </rv>
  <rv s="0">
    <fb>100.15</fb>
    <v>0</v>
  </rv>
  <rv s="0">
    <fb>26458.305899999999</fb>
    <v>0</v>
  </rv>
  <rv s="0">
    <fb>94.482500000000002</fb>
    <v>0</v>
  </rv>
  <rv s="0">
    <fb>26447.050200000001</fb>
    <v>0</v>
  </rv>
  <rv s="0">
    <fb>89.430499999999995</fb>
    <v>0</v>
  </rv>
  <rv s="0">
    <fb>25339.9902</fb>
    <v>0</v>
  </rv>
  <rv s="0">
    <fb>88.201499999999996</fb>
    <v>0</v>
  </rv>
  <rv s="0">
    <fb>25444.342799999999</fb>
    <v>0</v>
  </rv>
  <rv s="0">
    <fb>82.140500000000003</fb>
    <v>0</v>
  </rv>
  <rv s="0">
    <fb>24688.311799999999</fb>
    <v>0</v>
  </rv>
  <rv s="0">
    <fb>83.276499999999999</fb>
    <v>0</v>
  </rv>
  <rv s="0">
    <fb>25270.828600000001</fb>
    <v>0</v>
  </rv>
  <rv s="0">
    <fb>85.621499999999997</fb>
    <v>0</v>
  </rv>
  <rv s="0">
    <fb>25989.295399999999</fb>
    <v>0</v>
  </rv>
  <rv s="0">
    <fb>79.670500000000004</fb>
    <v>0</v>
  </rv>
  <rv s="0">
    <fb>25413.220099999999</fb>
    <v>0</v>
  </rv>
  <rv s="0">
    <fb>75.102999999999994</fb>
    <v>0</v>
  </rv>
  <rv s="0">
    <fb>24285.954099999999</fb>
    <v>0</v>
  </rv>
  <rv s="0">
    <fb>84.508499999999998</fb>
    <v>0</v>
  </rv>
  <rv s="0">
    <fb>25538.4568</fb>
    <v>0</v>
  </rv>
  <rv s="0">
    <fb>81.456500000000005</fb>
    <v>0</v>
  </rv>
  <rv s="0">
    <fb>24388.950700000001</fb>
    <v>0</v>
  </rv>
  <rv s="0">
    <fb>79.595500000000001</fb>
    <v>0</v>
  </rv>
  <rv s="0">
    <fb>24100.5062</fb>
    <v>0</v>
  </rv>
  <rv s="0">
    <fb>68.872500000000002</fb>
    <v>0</v>
  </rv>
  <rv s="0">
    <fb>22445.374599999999</fb>
    <v>0</v>
  </rv>
  <rv s="0">
    <fb>73.900999999999996</fb>
    <v>0</v>
  </rv>
  <rv s="0">
    <fb>23062.404399999999</fb>
    <v>0</v>
  </rv>
  <rv s="0">
    <fb>78.769499999999994</fb>
    <v>0</v>
  </rv>
  <rv s="0">
    <fb>23433.164700000001</fb>
    <v>0</v>
  </rv>
  <rv s="0">
    <fb>82.028000000000006</fb>
    <v>0</v>
  </rv>
  <rv s="0">
    <fb>23995.950099999998</fb>
    <v>0</v>
  </rv>
  <rv s="0">
    <fb>84.81</fb>
    <v>0</v>
  </rv>
  <rv s="0">
    <fb>24706.348099999999</fb>
    <v>0</v>
  </rv>
  <rv s="0">
    <fb>83.528499999999994</fb>
    <v>0</v>
  </rv>
  <rv s="0">
    <fb>24737.1996</fb>
    <v>0</v>
  </rv>
  <rv s="0">
    <fb>81.311499999999995</fb>
    <v>0</v>
  </rv>
  <rv s="0">
    <fb>25063.886299999998</fb>
    <v>0</v>
  </rv>
  <rv s="0">
    <fb>79.411000000000001</fb>
    <v>0</v>
  </rv>
  <rv s="0">
    <fb>25106.332600000002</fb>
    <v>0</v>
  </rv>
  <rv s="0">
    <fb>80.397499999999994</fb>
    <v>0</v>
  </rv>
  <rv s="0">
    <fb>25883.2477</fb>
    <v>0</v>
  </rv>
  <rv s="0">
    <fb>81.578000000000003</fb>
    <v>0</v>
  </rv>
  <rv s="0">
    <fb>26031.809499999999</fb>
    <v>0</v>
  </rv>
  <rv s="0">
    <fb>83.586500000000001</fb>
    <v>0</v>
  </rv>
  <rv s="0">
    <fb>26026.317200000001</fb>
    <v>0</v>
  </rv>
  <rv s="0">
    <fb>81.040000000000006</fb>
    <v>0</v>
  </rv>
  <rv s="0">
    <fb>25450.241900000001</fb>
    <v>0</v>
  </rv>
  <rv s="0">
    <fb>85.617999999999995</fb>
    <v>0</v>
  </rv>
  <rv s="0">
    <fb>25848.870299999999</fb>
    <v>0</v>
  </rv>
  <rv s="0">
    <fb>88.238500000000002</fb>
    <v>0</v>
  </rv>
  <rv s="0">
    <fb>25502.316500000001</fb>
    <v>0</v>
  </rv>
  <rv s="0">
    <fb>89.037499999999994</fb>
    <v>0</v>
  </rv>
  <rv s="0">
    <fb>25928.677299999999</fb>
    <v>0</v>
  </rv>
  <rv s="0">
    <fb>91.864000000000004</fb>
    <v>0</v>
  </rv>
  <rv s="0">
    <fb>26424.985199999999</fb>
    <v>0</v>
  </rv>
  <rv s="0">
    <fb>92.153000000000006</fb>
    <v>0</v>
  </rv>
  <rv s="0">
    <fb>26412.302500000002</fb>
    <v>0</v>
  </rv>
  <rv s="0">
    <fb>93.084500000000006</fb>
    <v>0</v>
  </rv>
  <rv s="0">
    <fb>26559.5432</fb>
    <v>0</v>
  </rv>
  <rv s="0">
    <fb>97.531499999999994</fb>
    <v>0</v>
  </rv>
  <rv s="0">
    <fb>26543.3338</fb>
    <v>0</v>
  </rv>
  <rv s="0">
    <fb>98.123000000000005</fb>
    <v>0</v>
  </rv>
  <rv s="0">
    <fb>26504.946800000002</fb>
    <v>0</v>
  </rv>
  <rv s="0">
    <fb>94.498999999999995</fb>
    <v>0</v>
  </rv>
  <rv s="0">
    <fb>25942.3668</fb>
    <v>0</v>
  </rv>
  <rv s="0">
    <fb>93.45</fb>
    <v>0</v>
  </rv>
  <rv s="0">
    <fb>25763.995999999999</fb>
    <v>0</v>
  </rv>
  <rv s="0">
    <fb>91.164000000000001</fb>
    <v>0</v>
  </rv>
  <rv s="0">
    <fb>25585.6931</fb>
    <v>0</v>
  </rv>
  <rv s="0">
    <fb>88.753500000000003</fb>
    <v>0</v>
  </rv>
  <rv s="0">
    <fb>24815.036400000001</fb>
    <v>0</v>
  </rv>
  <rv s="0">
    <fb>90.201499999999996</fb>
    <v>0</v>
  </rv>
  <rv s="0">
    <fb>25983.9414</fb>
    <v>0</v>
  </rv>
  <rv s="0">
    <fb>93.483500000000006</fb>
    <v>0</v>
  </rv>
  <rv s="0">
    <fb>26089.607400000001</fb>
    <v>0</v>
  </rv>
  <rv s="0">
    <fb>95.564999999999998</fb>
    <v>0</v>
  </rv>
  <rv s="0">
    <fb>26719.127400000001</fb>
    <v>0</v>
  </rv>
  <rv s="0">
    <fb>94.6815</fb>
    <v>0</v>
  </rv>
  <rv s="0">
    <fb>26599.964899999999</fb>
    <v>0</v>
  </rv>
  <rv s="0">
    <fb>97.145499999999998</fb>
    <v>0</v>
  </rv>
  <rv s="0">
    <fb>26922.117399999999</fb>
    <v>0</v>
  </rv>
  <rv s="0">
    <fb>100.55</fb>
    <v>0</v>
  </rv>
  <rv s="0">
    <fb>27332.0311</fb>
    <v>0</v>
  </rv>
  <rv s="0">
    <fb>98.225999999999999</fb>
    <v>0</v>
  </rv>
  <rv s="0">
    <fb>27154.2029</fb>
    <v>0</v>
  </rv>
  <rv s="0">
    <fb>97.152500000000003</fb>
    <v>0</v>
  </rv>
  <rv s="0">
    <fb>27192.4542</fb>
    <v>0</v>
  </rv>
  <rv s="0">
    <fb>91.162000000000006</fb>
    <v>0</v>
  </rv>
  <rv s="0">
    <fb>26485.007300000001</fb>
    <v>0</v>
  </rv>
  <rv s="0">
    <fb>90.379000000000005</fb>
    <v>0</v>
  </rv>
  <rv s="0">
    <fb>26287.442999999999</fb>
    <v>0</v>
  </rv>
  <rv s="0">
    <fb>89.628500000000003</fb>
    <v>0</v>
  </rv>
  <rv s="0">
    <fb>25886.007000000001</fb>
    <v>0</v>
  </rv>
  <rv s="0">
    <fb>87.480999999999995</fb>
    <v>0</v>
  </rv>
  <rv s="0">
    <fb>25628.895400000001</fb>
    <v>0</v>
  </rv>
  <rv s="0">
    <fb>88.814499999999995</fb>
    <v>0</v>
  </rv>
  <rv s="0">
    <fb>26403.282299999999</fb>
    <v>0</v>
  </rv>
  <rv s="0">
    <fb>91.6755</fb>
    <v>0</v>
  </rv>
  <rv s="0">
    <fb>26797.461299999999</fb>
    <v>0</v>
  </rv>
  <rv s="0">
    <fb>91.966999999999999</fb>
    <v>0</v>
  </rv>
  <rv s="0">
    <fb>27219.514999999999</fb>
    <v>0</v>
  </rv>
  <rv s="0">
    <fb>89.707999999999998</fb>
    <v>0</v>
  </rv>
  <rv s="0">
    <fb>26935.0713</fb>
    <v>0</v>
  </rv>
  <rv s="0">
    <fb>86.272499999999994</fb>
    <v>0</v>
  </rv>
  <rv s="0">
    <fb>26820.249400000001</fb>
    <v>0</v>
  </rv>
  <rv s="0">
    <fb>86.982500000000002</fb>
    <v>0</v>
  </rv>
  <rv s="0">
    <fb>26573.7179</fb>
    <v>0</v>
  </rv>
  <rv s="0">
    <fb>86.596000000000004</fb>
    <v>0</v>
  </rv>
  <rv s="0">
    <fb>26816.587</fb>
    <v>0</v>
  </rv>
  <rv s="0">
    <fb>87.875500000000002</fb>
    <v>0</v>
  </rv>
  <rv s="0">
    <fb>26770.197</fb>
    <v>0</v>
  </rv>
  <rv s="0">
    <fb>88.066500000000005</fb>
    <v>0</v>
  </rv>
  <rv s="0">
    <fb>26958.0628</fb>
    <v>0</v>
  </rv>
  <rv s="0">
    <fb>89.572000000000003</fb>
    <v>0</v>
  </rv>
  <rv s="0">
    <fb>27347.358700000001</fb>
    <v>0</v>
  </rv>
  <rv s="0">
    <fb>89.293999999999997</fb>
    <v>0</v>
  </rv>
  <rv s="0">
    <fb>27681.2444</fb>
    <v>0</v>
  </rv>
  <rv s="0">
    <fb>86.974500000000006</fb>
    <v>0</v>
  </rv>
  <rv s="0">
    <fb>28004.888999999999</fb>
    <v>0</v>
  </rv>
  <rv s="0">
    <fb>87.286000000000001</fb>
    <v>0</v>
  </rv>
  <rv s="0">
    <fb>27875.6211</fb>
    <v>0</v>
  </rv>
  <rv s="0">
    <fb>90.04</fb>
    <v>0</v>
  </rv>
  <rv s="0">
    <fb>28051.4146</fb>
    <v>0</v>
  </rv>
  <rv s="0">
    <fb>87.58</fb>
    <v>0</v>
  </rv>
  <rv s="0">
    <fb>28015.0622</fb>
    <v>0</v>
  </rv>
  <rv s="0">
    <fb>88.046999999999997</fb>
    <v>0</v>
  </rv>
  <rv s="0">
    <fb>28135.377700000001</fb>
    <v>0</v>
  </rv>
  <rv s="0">
    <fb>89.325000000000003</fb>
    <v>0</v>
  </rv>
  <rv s="0">
    <fb>28455.0887</fb>
    <v>0</v>
  </rv>
  <rv s="0">
    <fb>93.49</fb>
    <v>0</v>
  </rv>
  <rv s="0">
    <fb>28645.260399999999</fb>
    <v>0</v>
  </rv>
  <rv s="0">
    <fb>93.748500000000007</fb>
    <v>0</v>
  </rv>
  <rv s="0">
    <fb>28634.883699999998</fb>
    <v>0</v>
  </rv>
  <rv s="0">
    <fb>94.158000000000001</fb>
    <v>0</v>
  </rv>
  <rv s="0">
    <fb>28823.766800000001</fb>
    <v>0</v>
  </rv>
  <rv s="0">
    <fb>93.236000000000004</fb>
    <v>0</v>
  </rv>
  <rv s="0">
    <fb>29348.095499999999</fb>
    <v>0</v>
  </rv>
  <rv s="0">
    <fb>93.081999999999994</fb>
    <v>0</v>
  </rv>
  <rv s="0">
    <fb>28989.726200000001</fb>
    <v>0</v>
  </rv>
  <rv s="0">
    <fb>100.43600000000001</fb>
    <v>0</v>
  </rv>
  <rv s="0">
    <fb>28256.032299999999</fb>
    <v>0</v>
  </rv>
  <rv s="0">
    <fb>103.964</fb>
    <v>0</v>
  </rv>
  <rv s="0">
    <fb>29102.513500000001</fb>
    <v>0</v>
  </rv>
  <rv s="0">
    <fb>106.7435</fb>
    <v>0</v>
  </rv>
  <rv s="0">
    <fb>29398.080000000002</fb>
    <v>0</v>
  </rv>
  <rv s="0">
    <fb>104.7985</fb>
    <v>0</v>
  </rv>
  <rv s="0">
    <fb>28992.405200000001</fb>
    <v>0</v>
  </rv>
  <rv s="0">
    <fb>94.1875</fb>
    <v>0</v>
  </rv>
  <rv s="0">
    <fb>25409.356899999999</fb>
    <v>0</v>
  </rv>
  <rv s="0">
    <fb>95.054500000000004</fb>
    <v>0</v>
  </rv>
  <rv s="0">
    <fb>89.25</fb>
    <v>0</v>
  </rv>
  <rv s="0">
    <fb>23185.622800000001</fb>
    <v>0</v>
  </rv>
  <rv s="0">
    <fb>92.304500000000004</fb>
    <v>0</v>
  </rv>
  <rv s="0">
    <fb>19173.975999999999</fb>
    <v>0</v>
  </rv>
  <rv s="0">
    <fb>95.004999999999995</fb>
    <v>0</v>
  </rv>
  <rv s="0">
    <fb>21636.781200000001</fb>
    <v>0</v>
  </rv>
  <rv s="0">
    <fb>95.329499999999996</fb>
    <v>0</v>
  </rv>
  <rv s="0">
    <fb>21052.534800000001</fb>
    <v>0</v>
  </rv>
  <rv s="0">
    <fb>102.13800000000001</fb>
    <v>0</v>
  </rv>
  <rv s="0">
    <fb>118.75</fb>
    <v>0</v>
  </rv>
  <rv s="0">
    <fb>120.511</fb>
    <v>0</v>
  </rv>
  <rv s="0">
    <fb>114.30200000000001</fb>
    <v>0</v>
  </rv>
  <rv s="0">
    <fb>118.98050000000001</fb>
    <v>0</v>
  </rv>
  <rv s="0">
    <fb>120.489</fb>
    <v>0</v>
  </rv>
  <rv s="0">
    <fb>121.84399999999999</fb>
    <v>0</v>
  </rv>
  <rv s="0">
    <fb>122.1185</fb>
    <v>0</v>
  </rv>
  <rv s="0">
    <fb>124.15</fb>
    <v>0</v>
  </rv>
  <rv s="0">
    <fb>127.251</fb>
    <v>0</v>
  </rv>
  <rv s="0">
    <fb>133.75049999999999</fb>
    <v>0</v>
  </rv>
  <rv s="0">
    <fb>134.64349999999999</fb>
    <v>0</v>
  </rv>
  <rv s="0">
    <fb>144.51499999999999</fb>
    <v>0</v>
  </rv>
  <rv s="0">
    <fb>160</fb>
    <v>0</v>
  </rv>
  <rv s="0">
    <fb>148.0985</fb>
    <v>0</v>
  </rv>
  <rv s="0">
    <fb>150.44550000000001</fb>
    <v>0</v>
  </rv>
  <rv s="0">
    <fb>158.23400000000001</fb>
    <v>0</v>
  </rv>
  <rv s="0">
    <fb>158.37299999999999</fb>
    <v>0</v>
  </rv>
  <rv s="0">
    <fb>157.40100000000001</fb>
    <v>0</v>
  </rv>
  <rv s="0">
    <fb>164.23599999999999</fb>
    <v>0</v>
  </rv>
  <rv s="0">
    <fb>170.09</fb>
    <v>0</v>
  </rv>
  <rv s="0">
    <fb>164.73099999999999</fb>
    <v>0</v>
  </rv>
  <rv s="0">
    <fb>155.81100000000001</fb>
    <v>0</v>
  </rv>
  <rv s="0">
    <fb>147.74549999999999</fb>
    <v>0</v>
  </rv>
  <rv s="0">
    <fb>154.75649999999999</fb>
    <v>0</v>
  </rv>
  <rv s="0">
    <fb>156.25</fb>
    <v>0</v>
  </rv>
  <rv s="0">
    <fb>164.33250000000001</fb>
    <v>0</v>
  </rv>
  <rv s="0">
    <fb>163.63550000000001</fb>
    <v>0</v>
  </rv>
  <rv s="0">
    <fb>160.22</fb>
    <v>0</v>
  </rv>
  <rv s="0">
    <fb>151.8075</fb>
    <v>0</v>
  </rv>
  <rv s="0">
    <fb>165.5685</fb>
    <v>0</v>
  </rv>
  <rv s="0">
    <fb>156.44049999999999</fb>
    <v>0</v>
  </rv>
  <rv s="0">
    <fb>154.97</fb>
    <v>0</v>
  </rv>
  <rv s="0">
    <fb>159.767</fb>
    <v>0</v>
  </rv>
  <rv s="0">
    <fb>158.12899999999999</fb>
    <v>0</v>
  </rv>
  <rv s="0">
    <fb>155.821</fb>
    <v>0</v>
  </rv>
  <rv s="0">
    <fb>160.08250000000001</fb>
    <v>0</v>
  </rv>
  <rv s="0">
    <fb>158.6345</fb>
    <v>0</v>
  </rv>
  <rv s="0">
    <fb>162.84649999999999</fb>
    <v>0</v>
  </rv>
  <rv s="0">
    <fb>159.13499999999999</fb>
    <v>0</v>
  </rv>
  <rv s="0">
    <fb>155.21250000000001</fb>
    <v>0</v>
  </rv>
  <rv s="0">
    <fb>164.61150000000001</fb>
    <v>0</v>
  </rv>
  <rv s="0">
    <fb>160.31</fb>
    <v>0</v>
  </rv>
  <rv s="0">
    <fb>167.60749999999999</fb>
    <v>0</v>
  </rv>
  <rv s="0">
    <fb>163.88550000000001</fb>
    <v>0</v>
  </rv>
  <rv s="0">
    <fb>162.495</fb>
    <v>0</v>
  </rv>
  <rv s="0">
    <fb>154.6465</fb>
    <v>0</v>
  </rv>
  <rv s="0">
    <fb>150.023</fb>
    <v>0</v>
  </rv>
  <rv s="0">
    <fb>154.47450000000001</fb>
    <v>0</v>
  </rv>
  <rv s="0">
    <fb>153.74799999999999</fb>
    <v>0</v>
  </rv>
  <rv s="0">
    <fb>152.60149999999999</fb>
    <v>0</v>
  </rv>
  <rv s="0">
    <fb>158.05000000000001</fb>
    <v>0</v>
  </rv>
  <rv s="0">
    <fb>168.61</fb>
    <v>0</v>
  </rv>
  <rv s="0">
    <fb>169.97200000000001</fb>
    <v>0</v>
  </rv>
  <rv s="0">
    <fb>167.04400000000001</fb>
    <v>0</v>
  </rv>
  <rv s="0">
    <fb>173.37100000000001</fb>
    <v>0</v>
  </rv>
  <rv s="0">
    <fb>164.5805</fb>
    <v>0</v>
  </rv>
  <rv s="0">
    <fb>161.14500000000001</fb>
    <v>0</v>
  </rv>
  <rv s="0">
    <fb>160.154</fb>
    <v>0</v>
  </rv>
  <rv s="0">
    <fb>161.15350000000001</fb>
    <v>0</v>
  </rv>
  <rv s="0">
    <fb>160.31100000000001</fb>
    <v>0</v>
  </rv>
  <rv s="0">
    <fb>167.3415</fb>
    <v>0</v>
  </rv>
  <rv s="0">
    <fb>174.345</fb>
    <v>0</v>
  </rv>
  <rv s="0">
    <fb>170.07300000000001</fb>
    <v>0</v>
  </rv>
  <rv s="0">
    <fb>175.54900000000001</fb>
    <v>0</v>
  </rv>
  <rv s="0">
    <fb>185.96700000000001</fb>
    <v>0</v>
  </rv>
  <rv s="0">
    <fb>178.6815</fb>
    <v>0</v>
  </rv>
  <rv s="0">
    <fb>182.83199999999999</fb>
    <v>0</v>
  </rv>
  <rv s="0">
    <fb>166.37950000000001</fb>
    <v>0</v>
  </rv>
  <rv s="0">
    <fb>167.24700000000001</fb>
    <v>0</v>
  </rv>
  <rv s="0">
    <fb>164.6985</fb>
    <v>0</v>
  </rv>
  <rv s="0">
    <fb>159.9975</fb>
    <v>0</v>
  </rv>
  <rv s="0">
    <fb>167.48150000000001</fb>
    <v>0</v>
  </rv>
  <rv s="0">
    <fb>173.9025</fb>
    <v>0</v>
  </rv>
  <rv s="0">
    <fb>173.45750000000001</fb>
    <v>0</v>
  </rv>
  <rv s="0">
    <fb>173.126</fb>
    <v>0</v>
  </rv>
  <rv s="0">
    <fb>171.27600000000001</fb>
    <v>0</v>
  </rv>
  <rv s="0">
    <fb>164.16300000000001</fb>
    <v>0</v>
  </rv>
  <rv s="0">
    <fb>164.43100000000001</fb>
    <v>0</v>
  </rv>
  <rv s="0">
    <fb>170.45099999999999</fb>
    <v>0</v>
  </rv>
  <rv s="0">
    <fb>166.7775</fb>
    <v>0</v>
  </rv>
  <rv s="0">
    <fb>168.6215</fb>
    <v>0</v>
  </rv>
  <rv s="0">
    <fb>175.9495</fb>
    <v>0</v>
  </rv>
  <rv s="0">
    <fb>176.25749999999999</fb>
    <v>0</v>
  </rv>
  <rv s="0">
    <fb>183.82849999999999</fb>
    <v>0</v>
  </rv>
  <rv s="0">
    <fb>175.22800000000001</fb>
    <v>0</v>
  </rv>
  <rv s="0">
    <fb>169.48949999999999</fb>
    <v>0</v>
  </rv>
  <rv s="0">
    <fb>172.21199999999999</fb>
    <v>0</v>
  </rv>
  <rv s="0">
    <fb>170.01750000000001</fb>
    <v>0</v>
  </rv>
  <rv s="0">
    <fb>171.0685</fb>
    <v>0</v>
  </rv>
  <rv s="0">
    <fb>166.71700000000001</fb>
    <v>0</v>
  </rv>
  <rv s="0">
    <fb>162.554</fb>
    <v>0</v>
  </rv>
  <rv s="0">
    <fb>162.13800000000001</fb>
    <v>0</v>
  </rv>
  <rv s="0">
    <fb>142.643</fb>
    <v>0</v>
  </rv>
  <rv s="0">
    <fb>143.97800000000001</fb>
    <v>0</v>
  </rv>
  <rv s="0">
    <fb>157.6395</fb>
    <v>0</v>
  </rv>
  <rv s="0">
    <fb>153.29349999999999</fb>
    <v>0</v>
  </rv>
  <rv s="0">
    <fb>153.7885</fb>
    <v>0</v>
  </rv>
  <rv s="0">
    <fb>145.64099999999999</fb>
    <v>0</v>
  </rv>
  <rv s="0">
    <fb>145.52449999999999</fb>
    <v>0</v>
  </rv>
  <rv s="0">
    <fb>161.25049999999999</fb>
    <v>0</v>
  </rv>
  <rv s="0">
    <fb>164.77350000000001</fb>
    <v>0</v>
  </rv>
  <rv s="0">
    <fb>163.56</fb>
    <v>0</v>
  </rv>
  <rv s="0">
    <fb>154.4605</fb>
    <v>0</v>
  </rv>
  <rv s="0">
    <fb>151.70650000000001</fb>
    <v>0</v>
  </rv>
  <rv s="0">
    <fb>144.35</fb>
    <v>0</v>
  </rv>
  <rv s="0">
    <fb>124.28149999999999</fb>
    <v>0</v>
  </rv>
  <rv s="0">
    <fb>114.77249999999999</fb>
    <v>0</v>
  </rv>
  <rv s="0">
    <fb>113.05500000000001</fb>
    <v>0</v>
  </rv>
  <rv s="0">
    <fb>107.59099999999999</fb>
    <v>0</v>
  </rv>
  <rv s="0">
    <fb>115.1465</fb>
    <v>0</v>
  </rv>
  <rv s="0">
    <fb>122.35</fb>
    <v>0</v>
  </rv>
  <rv s="0">
    <fb>109.65</fb>
    <v>0</v>
  </rv>
  <rv s="0">
    <fb>106.22</fb>
    <v>0</v>
  </rv>
  <rv s="0">
    <fb>116.46</fb>
    <v>0</v>
  </rv>
  <rv s="0">
    <fb>109.56</fb>
    <v>0</v>
  </rv>
  <rv s="0">
    <fb>115.54</fb>
    <v>0</v>
  </rv>
  <rv s="0">
    <fb>113.55</fb>
    <v>0</v>
  </rv>
  <rv s="0">
    <fb>122.42</fb>
    <v>0</v>
  </rv>
  <rv s="0">
    <fb>134.94999999999999</fb>
    <v>0</v>
  </rv>
  <rv s="0">
    <fb>140.80000000000001</fb>
    <v>0</v>
  </rv>
  <rv s="0">
    <fb>143.55000000000001</fb>
    <v>0</v>
  </rv>
  <rv s="0">
    <fb>138.22999999999999</fb>
    <v>0</v>
  </rv>
  <rv s="0">
    <fb>130.75</fb>
    <v>0</v>
  </rv>
  <rv s="0">
    <fb>127.51</fb>
    <v>0</v>
  </rv>
  <rv s="0">
    <fb>133.27000000000001</fb>
    <v>0</v>
  </rv>
  <rv s="0">
    <fb>123.53</fb>
    <v>0</v>
  </rv>
  <rv s="0">
    <fb>113.78</fb>
    <v>0</v>
  </rv>
  <rv s="0">
    <fb>113</fb>
    <v>0</v>
  </rv>
  <rv s="0">
    <fb>114.56</fb>
    <v>0</v>
  </rv>
  <rv s="0">
    <fb>106.9</fb>
    <v>0</v>
  </rv>
  <rv s="0">
    <fb>119.32</fb>
    <v>0</v>
  </rv>
  <rv s="0">
    <fb>103.41</fb>
    <v>0</v>
  </rv>
  <rv s="0">
    <fb>90.98</fb>
    <v>0</v>
  </rv>
  <rv s="0">
    <fb>100.79</fb>
    <v>0</v>
  </rv>
  <rv s="0">
    <fb>94.14</fb>
    <v>0</v>
  </rv>
  <rv s="0">
    <fb>93.41</fb>
    <v>0</v>
  </rv>
  <rv s="0">
    <fb>94.13</fb>
    <v>0</v>
  </rv>
  <rv s="0">
    <fb>89.09</fb>
    <v>0</v>
  </rv>
  <rv s="0">
    <fb>87.86</fb>
    <v>0</v>
  </rv>
  <rv s="0">
    <fb>85.25</fb>
    <v>0</v>
  </rv>
  <rv s="0">
    <fb>84</fb>
    <v>0</v>
  </rv>
  <rv s="0">
    <fb>86.08</fb>
    <v>0</v>
  </rv>
  <rv s="0">
    <fb>98.12</fb>
    <v>0</v>
  </rv>
  <rv s="0">
    <fb>97.25</fb>
    <v>0</v>
  </rv>
  <rv s="0">
    <fb>102.24</fb>
    <v>0</v>
  </rv>
  <rv s="0">
    <fb>103.39</fb>
    <v>0</v>
  </rv>
  <rv s="0">
    <fb>97.61</fb>
    <v>0</v>
  </rv>
  <rv s="0">
    <fb>97.2</fb>
    <v>0</v>
  </rv>
  <rv s="0">
    <fb>93.5</fb>
    <v>0</v>
  </rv>
  <rv s="0">
    <fb>94.9</fb>
    <v>0</v>
  </rv>
  <rv s="0">
    <fb>90.73</fb>
    <v>0</v>
  </rv>
  <rv s="0">
    <fb>98.95</fb>
    <v>0</v>
  </rv>
  <rv s="0">
    <fb>98.13</fb>
    <v>0</v>
  </rv>
  <rv s="0">
    <fb>103.29</fb>
    <v>0</v>
  </rv>
  <rv s="0">
    <fb>102.06</fb>
    <v>0</v>
  </rv>
  <rv s="0">
    <fb>102.51</fb>
    <v>0</v>
  </rv>
  <rv s="0">
    <fb>106.96</fb>
    <v>0</v>
  </rv>
  <rv s="0">
    <fb>105.45</fb>
    <v>0</v>
  </rv>
  <rv s="0">
    <fb>105.655</fb>
    <v>0</v>
  </rv>
  <rv s="0">
    <fb>110.26</fb>
    <v>0</v>
  </rv>
  <rv s="0">
    <fb>116.25</fb>
    <v>0</v>
  </rv>
  <rv s="0">
    <fb>120.11</fb>
    <v>0</v>
  </rv>
  <rv s="0">
    <fb>124.25</fb>
    <v>0</v>
  </rv>
  <rv s="0">
    <fb>123.43</fb>
    <v>0</v>
  </rv>
  <rv s="0">
    <fb>125.49</fb>
    <v>0</v>
  </rv>
  <rv s="0">
    <fb>129.33000000000001</fb>
    <v>0</v>
  </rv>
  <rv s="0">
    <fb>130.36000000000001</fb>
    <v>0</v>
  </rv>
  <rv s="0">
    <fb>129.78</fb>
    <v>0</v>
  </rv>
  <rv s="0">
    <fb>134.68</fb>
    <v>0</v>
  </rv>
  <rv s="0">
    <fb>130</fb>
    <v>0</v>
  </rv>
  <rv s="0">
    <fb>132.21</fb>
    <v>0</v>
  </rv>
  <rv s="0">
    <fb>139.57</fb>
    <v>0</v>
  </rv>
  <rv s="0">
    <fb>138.41</fb>
    <v>0</v>
  </rv>
  <rv s="0">
    <fb>133.22</fb>
    <v>0</v>
  </rv>
  <rv s="0">
    <fb>133.26</fb>
    <v>0</v>
  </rv>
  <rv s="0">
    <fb>138.12</fb>
    <v>0</v>
  </rv>
  <rv s="0">
    <fb>140.38999999999999</fb>
    <v>0</v>
  </rv>
  <rv s="0">
    <fb>129.12</fb>
    <v>0</v>
  </rv>
  <rv s="0">
    <fb>127.12</fb>
    <v>0</v>
  </rv>
  <rv s="0">
    <fb>127.96</fb>
    <v>0</v>
  </rv>
  <rv s="0">
    <fb>129.79</fb>
    <v>0</v>
  </rv>
  <rv s="0">
    <fb>125.17</fb>
    <v>0</v>
  </rv>
  <rv s="0">
    <fb>127.74</fb>
    <v>0</v>
  </rv>
  <rv s="0">
    <fb>138.6</fb>
    <v>0</v>
  </rv>
  <rv s="0">
    <fb>143.56</fb>
    <v>0</v>
  </rv>
  <rv s="0">
    <fb>145.18</fb>
    <v>0</v>
  </rv>
  <rv s="0">
    <fb>146.74</fb>
    <v>0</v>
  </rv>
  <rv s="0">
    <fb>147.03</fb>
    <v>0</v>
  </rv>
  <rv s="0">
    <fb>147.41999999999999</fb>
    <v>0</v>
  </rv>
  <rv s="0">
    <fb>149.97</fb>
    <v>0</v>
  </rv>
  <rv s="0">
    <fb>153.41999999999999</fb>
    <v>0</v>
  </rv>
  <rv s="0">
    <fb>151.94</fb>
    <v>0</v>
  </rv>
  <rv s="0">
    <fb>145.24</fb>
    <v>0</v>
  </rv>
  <rv s="0">
    <fb>154.62</fb>
    <v>0</v>
  </rv>
  <rv s="0">
    <fb>155.34</fb>
    <v>0</v>
  </rv>
  <rv s="0">
    <fb>159.12</fb>
    <v>0</v>
  </rv>
  <rv s="0">
    <fb>171.81</fb>
    <v>0</v>
  </rv>
  <rv s="0">
    <fb>174.45</fb>
    <v>0</v>
  </rv>
  <rv s="0">
    <fb>169.51</fb>
    <v>0</v>
  </rv>
  <rv s="0">
    <fb>174.99</fb>
    <v>0</v>
  </rv>
  <rv s="0">
    <fb>178.22</fb>
    <v>0</v>
  </rv>
  <rv s="0">
    <fb>175.35</fb>
    <v>0</v>
  </rv>
  <rv s="0">
    <fb>174.42</fb>
    <v>0</v>
  </rv>
  <rv s="0">
    <fb>178.87</fb>
    <v>0</v>
  </rv>
  <rv s="0">
    <fb>180.38</fb>
    <v>0</v>
  </rv>
  <rv s="0">
    <fb>185.07</fb>
    <v>0</v>
  </rv>
  <rv s="0">
    <fb>186.13</fb>
    <v>0</v>
  </rv>
  <rv s="0">
    <fb>174.63</fb>
    <v>0</v>
  </rv>
  <rv s="0">
    <fb>179.62</fb>
    <v>0</v>
  </rv>
  <rv s="0">
    <fb>186.21</fb>
    <v>0</v>
  </rv>
  <rv s="0">
    <fb>187.48</fb>
    <v>0</v>
  </rv>
  <rv s="0">
    <fb>184.7</fb>
    <v>0</v>
  </rv>
  <rv s="0">
    <fb>180.75</fb>
    <v>0</v>
  </rv>
  <rv s="0">
    <fb>176.44</fb>
    <v>0</v>
  </rv>
  <rv s="0">
    <fb>184.3</fb>
    <v>0</v>
  </rv>
  <rv s="0">
    <fb>183.66</fb>
    <v>0</v>
  </rv>
  <rv s="0">
    <fb>189.08</fb>
    <v>0</v>
  </rv>
  <rv s="0">
    <fb>193.25</fb>
    <v>0</v>
  </rv>
  <rv s="0">
    <fb>200</fb>
    <v>0</v>
  </rv>
  <rv s="0">
    <fb>194.49</fb>
    <v>0</v>
  </rv>
  <rv s="0">
    <fb>183.13</fb>
    <v>0</v>
  </rv>
  <rv s="0">
    <fb>182.5</fb>
    <v>0</v>
  </rv>
  <rv s="0">
    <fb>167.9</fb>
    <v>0</v>
  </rv>
  <rv s="0">
    <fb>166.94</fb>
    <v>0</v>
  </rv>
  <rv s="0">
    <fb>177.06</fb>
    <v>0</v>
  </rv>
  <rv s="0">
    <fb>177.04</fb>
    <v>0</v>
  </rv>
  <rv s="0">
    <fb>178.5</fb>
    <v>0</v>
  </rv>
  <rv s="0">
    <fb>171.39</fb>
    <v>0</v>
  </rv>
  <rv s="0">
    <fb>186.49</fb>
    <v>0</v>
  </rv>
  <rv s="0">
    <fb>191.6</fb>
    <v>0</v>
  </rv>
  <rv s="0">
    <fb>187.97</fb>
    <v>0</v>
  </rv>
  <rv s="0">
    <fb>186.51</fb>
    <v>0</v>
  </rv>
  <rv s="0">
    <fb>188.82</fb>
    <v>0</v>
  </rv>
  <rv s="0">
    <fb>188.99</fb>
    <v>0</v>
  </rv>
  <rv s="0">
    <fb>187.83</fb>
    <v>0</v>
  </rv>
  <rv s="0">
    <fb>197.93</fb>
    <v>0</v>
  </rv>
  <rv s="0">
    <fb>208.18</fb>
    <v>0</v>
  </rv>
  <rv s="0">
    <fb>202.61</fb>
    <v>0</v>
  </rv>
  <rv s="0">
    <fb>197.12</fb>
    <v>0</v>
  </rv>
  <rv s="0">
    <fb>207.89</fb>
    <v>0</v>
  </rv>
  <rv s="0">
    <fb>44910.65</fb>
    <v>0</v>
  </rv>
  <rv s="0">
    <fb>227.03</fb>
    <v>0</v>
  </rv>
  <rv s="0">
    <fb>44642.52</fb>
    <v>0</v>
  </rv>
  <rv s="0">
    <fb>227.46</fb>
    <v>0</v>
  </rv>
  <rv s="0">
    <fb>224.92</fb>
    <v>0</v>
  </rv>
  <rv s="0">
    <fb>223.75</fb>
    <v>0</v>
  </rv>
  <rv s="0">
    <fb>224.19</fb>
    <v>0</v>
  </rv>
  <rv s="0">
    <fb>218.94</fb>
    <v>0</v>
  </rv>
  <rv s="0">
    <fb>225.94</fb>
    <v>0</v>
  </rv>
  <rv s="0">
    <fb>234.85</fb>
    <v>0</v>
  </rv>
  <rv s="0">
    <fb>237.68</fb>
    <v>0</v>
  </rv>
  <rv s="0">
    <fb>44544.66</fb>
    <v>0</v>
  </rv>
  <rv s="0">
    <fb>45691</fb>
    <v>1</v>
  </rv>
  <rv s="0">
    <fb>229.15</fb>
    <v>0</v>
  </rv>
  <rv s="0">
    <fb>45698</fb>
    <v>1</v>
  </rv>
  <rv s="0">
    <fb>228.68</fb>
    <v>0</v>
  </rv>
  <rv s="0">
    <fb>44546.080000000002</fb>
    <v>0</v>
  </rv>
  <rv s="0">
    <fb>45706</fb>
    <v>1</v>
  </rv>
  <rv s="0">
    <fb>216.58</fb>
    <v>0</v>
  </rv>
  <rv s="0">
    <fb>45712</fb>
    <v>1</v>
  </rv>
  <rv s="0">
    <fb>45719</fb>
    <v>1</v>
  </rv>
  <rv s="0">
    <fb>203.8</fb>
    <v>0</v>
  </rv>
  <rv s="1">
    <v>2</v>
    <v>DJI</v>
    <v>Daily</v>
    <v>45714</v>
    <v>45721</v>
    <v>0</v>
    <v>1</v>
    <v>638766432000000000,638768054787846539,0</v>
    <v>0</v>
    <v>a6qja2</v>
    <v>DJI</v>
    <v>1</v>
  </rv>
  <rv s="1">
    <v>2</v>
    <v>DJI</v>
    <v>Daily</v>
    <v>40242</v>
    <v>45721</v>
    <v>0</v>
    <v>1</v>
    <v>638766432000000000,638768121248148484,0</v>
    <v>2</v>
    <v>a6qja2</v>
    <v>DJI</v>
    <v>3</v>
  </rv>
  <rv s="1">
    <v>2</v>
    <v>DJI</v>
    <v>Weekly</v>
    <v>43891</v>
    <v>45724</v>
    <v>0</v>
    <v>1</v>
    <v>638766432000000000,638768121141883420,0</v>
    <v>4</v>
    <v>a6qja2</v>
    <v>DJI</v>
    <v>5</v>
  </rv>
  <rv s="1">
    <v>2</v>
    <v>DJI</v>
    <v>Weekly</v>
    <v>40237</v>
    <v>45724</v>
    <v>0</v>
    <v>1</v>
    <v>638766432000000000,638768121257835974,0</v>
    <v>6</v>
    <v>a6qja2</v>
    <v>DJI</v>
    <v>7</v>
  </rv>
  <rv s="1">
    <v>2</v>
    <v>AMZN</v>
    <v>Daily</v>
    <v>45714</v>
    <v>45721</v>
    <v>0</v>
    <v>1</v>
    <v>638766432000000000,638768121213426736,0</v>
    <v>0</v>
    <v>a1nhlh</v>
    <v>XNAS:AMZN</v>
    <v>8</v>
  </rv>
  <rv s="1">
    <v>2</v>
    <v>AMZN</v>
    <v>Daily</v>
    <v>40242</v>
    <v>45721</v>
    <v>0</v>
    <v>1</v>
    <v>638766432000000000,638768121248284547,0</v>
    <v>9</v>
    <v>a1nhlh</v>
    <v>XNAS:AMZN</v>
    <v>10</v>
  </rv>
  <rv s="1">
    <v>2</v>
    <v>AMZN</v>
    <v>Weekly</v>
    <v>40237</v>
    <v>45724</v>
    <v>0</v>
    <v>1</v>
    <v>638766432000000000,638768121257986785,0</v>
    <v>11</v>
    <v>a1nhlh</v>
    <v>XNAS:AMZN</v>
    <v>12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6CD41-22DF-4EAD-AC7E-DADA0AE591CA}">
  <sheetPr codeName="Sheet4">
    <tabColor theme="0" tint="-0.249977111117893"/>
  </sheetPr>
  <dimension ref="A1:DL785"/>
  <sheetViews>
    <sheetView topLeftCell="A525" zoomScale="94" workbookViewId="0">
      <selection activeCell="J522" sqref="J522"/>
    </sheetView>
  </sheetViews>
  <sheetFormatPr defaultRowHeight="14.4" x14ac:dyDescent="0.3"/>
  <cols>
    <col min="1" max="1" width="13.6640625" style="2" customWidth="1"/>
    <col min="2" max="2" width="15.6640625" style="2" bestFit="1" customWidth="1"/>
    <col min="3" max="3" width="12" style="2" bestFit="1" customWidth="1"/>
    <col min="4" max="4" width="10.6640625" style="2" bestFit="1" customWidth="1"/>
    <col min="5" max="5" width="12.77734375" style="2" bestFit="1" customWidth="1"/>
    <col min="6" max="96" width="9" style="2" bestFit="1" customWidth="1"/>
    <col min="97" max="101" width="8.88671875" style="2"/>
    <col min="102" max="102" width="8.88671875" style="35"/>
    <col min="103" max="105" width="8.88671875" style="2"/>
    <col min="106" max="106" width="21.109375" style="2" bestFit="1" customWidth="1"/>
    <col min="107" max="109" width="8.88671875" style="2"/>
    <col min="110" max="110" width="13.33203125" style="2" customWidth="1"/>
    <col min="111" max="113" width="8.88671875" style="2"/>
    <col min="114" max="114" width="10.44140625" style="2" bestFit="1" customWidth="1"/>
    <col min="115" max="16384" width="8.88671875" style="2"/>
  </cols>
  <sheetData>
    <row r="1" spans="1:114" ht="35.4" customHeight="1" x14ac:dyDescent="0.5">
      <c r="A1" s="21" t="s">
        <v>1339</v>
      </c>
      <c r="B1" s="13"/>
      <c r="C1" s="70" t="s">
        <v>1340</v>
      </c>
      <c r="D1" s="70"/>
      <c r="CX1" s="2"/>
      <c r="DB1" s="21" t="s">
        <v>1305</v>
      </c>
      <c r="DC1" s="13"/>
      <c r="DD1" s="13"/>
    </row>
    <row r="2" spans="1:114" x14ac:dyDescent="0.3">
      <c r="CX2" s="2"/>
    </row>
    <row r="3" spans="1:114" x14ac:dyDescent="0.3">
      <c r="C3" s="27" cm="1">
        <f t="array" ref="C3:CY3">TRANSPOSE('Portfolio Builder'!C5:C105)</f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7">
        <v>0</v>
      </c>
      <c r="N3" s="27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7">
        <v>0</v>
      </c>
      <c r="U3" s="27">
        <v>0</v>
      </c>
      <c r="V3" s="27">
        <v>0</v>
      </c>
      <c r="W3" s="27">
        <v>0</v>
      </c>
      <c r="X3" s="27">
        <v>0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  <c r="CY3" s="13">
        <v>0</v>
      </c>
      <c r="DB3" s="3" t="s">
        <v>1306</v>
      </c>
      <c r="DF3" s="3" t="s">
        <v>1307</v>
      </c>
      <c r="DH3" s="3" t="s">
        <v>1308</v>
      </c>
    </row>
    <row r="4" spans="1:114" ht="15" thickBot="1" x14ac:dyDescent="0.35">
      <c r="B4" s="10" t="s">
        <v>1310</v>
      </c>
      <c r="C4" s="59" cm="1">
        <f t="array" ref="C4">IFERROR(_xlfn.IFS(C3="BTC","BTC/USD",C3="BCH","BCH/USD",C3="ETH","ETH/USD",C3="XRP","XRP/USD",C3="LTC","LTC/USD"),C3)</f>
        <v>0</v>
      </c>
      <c r="D4" s="59" cm="1">
        <f t="array" ref="D4">IFERROR(_xlfn.IFS(D3="BTC","BTC/USD",D3="BCH","BCH/USD",D3="ETH","ETH/USD",D3="XRP","XRP/USD",D3="LTC","LTC/USD"),D3)</f>
        <v>0</v>
      </c>
      <c r="E4" s="59" cm="1">
        <f t="array" ref="E4">IFERROR(_xlfn.IFS(E3="BTC","BTC/USD",E3="BCH","BCH/USD",E3="ETH","ETH/USD",E3="XRP","XRP/USD",E3="LTC","LTC/USD"),E3)</f>
        <v>0</v>
      </c>
      <c r="F4" s="59" cm="1">
        <f t="array" ref="F4">IFERROR(_xlfn.IFS(F3="BTC","BTC/USD",F3="BCH","BCH/USD",F3="ETH","ETH/USD",F3="XRP","XRP/USD",F3="LTC","LTC/USD"),F3)</f>
        <v>0</v>
      </c>
      <c r="G4" s="59" cm="1">
        <f t="array" ref="G4">IFERROR(_xlfn.IFS(G3="BTC","BTC/USD",G3="BCH","BCH/USD",G3="ETH","ETH/USD",G3="XRP","XRP/USD",G3="LTC","LTC/USD"),G3)</f>
        <v>0</v>
      </c>
      <c r="H4" s="59" cm="1">
        <f t="array" ref="H4">IFERROR(_xlfn.IFS(H3="BTC","BTC/USD",H3="BCH","BCH/USD",H3="ETH","ETH/USD",H3="XRP","XRP/USD",H3="LTC","LTC/USD"),H3)</f>
        <v>0</v>
      </c>
      <c r="I4" s="59" cm="1">
        <f t="array" ref="I4">IFERROR(_xlfn.IFS(I3="BTC","BTC/USD",I3="BCH","BCH/USD",I3="ETH","ETH/USD",I3="XRP","XRP/USD",I3="LTC","LTC/USD"),I3)</f>
        <v>0</v>
      </c>
      <c r="J4" s="59" cm="1">
        <f t="array" ref="J4">IFERROR(_xlfn.IFS(J3="BTC","BTC/USD",J3="BCH","BCH/USD",J3="ETH","ETH/USD",J3="XRP","XRP/USD",J3="LTC","LTC/USD"),J3)</f>
        <v>0</v>
      </c>
      <c r="K4" s="59" cm="1">
        <f t="array" ref="K4">IFERROR(_xlfn.IFS(K3="BTC","BTC/USD",K3="BCH","BCH/USD",K3="ETH","ETH/USD",K3="XRP","XRP/USD",K3="LTC","LTC/USD"),K3)</f>
        <v>0</v>
      </c>
      <c r="L4" s="59" cm="1">
        <f t="array" ref="L4">IFERROR(_xlfn.IFS(L3="BTC","BTC/USD",L3="BCH","BCH/USD",L3="ETH","ETH/USD",L3="XRP","XRP/USD",L3="LTC","LTC/USD"),L3)</f>
        <v>0</v>
      </c>
      <c r="M4" s="59" cm="1">
        <f t="array" ref="M4">IFERROR(_xlfn.IFS(M3="BTC","BTC/USD",M3="BCH","BCH/USD",M3="ETH","ETH/USD",M3="XRP","XRP/USD",M3="LTC","LTC/USD"),M3)</f>
        <v>0</v>
      </c>
      <c r="N4" s="59" cm="1">
        <f t="array" ref="N4">IFERROR(_xlfn.IFS(N3="BTC","BTC/USD",N3="BCH","BCH/USD",N3="ETH","ETH/USD",N3="XRP","XRP/USD",N3="LTC","LTC/USD"),N3)</f>
        <v>0</v>
      </c>
      <c r="O4" s="59" cm="1">
        <f t="array" ref="O4">IFERROR(_xlfn.IFS(O3="BTC","BTC/USD",O3="BCH","BCH/USD",O3="ETH","ETH/USD",O3="XRP","XRP/USD",O3="LTC","LTC/USD"),O3)</f>
        <v>0</v>
      </c>
      <c r="P4" s="59" cm="1">
        <f t="array" ref="P4">IFERROR(_xlfn.IFS(P3="BTC","BTC/USD",P3="BCH","BCH/USD",P3="ETH","ETH/USD",P3="XRP","XRP/USD",P3="LTC","LTC/USD"),P3)</f>
        <v>0</v>
      </c>
      <c r="Q4" s="59" cm="1">
        <f t="array" ref="Q4">IFERROR(_xlfn.IFS(Q3="BTC","BTC/USD",Q3="BCH","BCH/USD",Q3="ETH","ETH/USD",Q3="XRP","XRP/USD",Q3="LTC","LTC/USD"),Q3)</f>
        <v>0</v>
      </c>
      <c r="R4" s="59" cm="1">
        <f t="array" ref="R4">IFERROR(_xlfn.IFS(R3="BTC","BTC/USD",R3="BCH","BCH/USD",R3="ETH","ETH/USD",R3="XRP","XRP/USD",R3="LTC","LTC/USD"),R3)</f>
        <v>0</v>
      </c>
      <c r="S4" s="59" cm="1">
        <f t="array" ref="S4">IFERROR(_xlfn.IFS(S3="BTC","BTC/USD",S3="BCH","BCH/USD",S3="ETH","ETH/USD",S3="XRP","XRP/USD",S3="LTC","LTC/USD"),S3)</f>
        <v>0</v>
      </c>
      <c r="T4" s="59" cm="1">
        <f t="array" ref="T4">IFERROR(_xlfn.IFS(T3="BTC","BTC/USD",T3="BCH","BCH/USD",T3="ETH","ETH/USD",T3="XRP","XRP/USD",T3="LTC","LTC/USD"),T3)</f>
        <v>0</v>
      </c>
      <c r="U4" s="59" cm="1">
        <f t="array" ref="U4">IFERROR(_xlfn.IFS(U3="BTC","BTC/USD",U3="BCH","BCH/USD",U3="ETH","ETH/USD",U3="XRP","XRP/USD",U3="LTC","LTC/USD"),U3)</f>
        <v>0</v>
      </c>
      <c r="V4" s="59" cm="1">
        <f t="array" ref="V4">IFERROR(_xlfn.IFS(V3="BTC","BTC/USD",V3="BCH","BCH/USD",V3="ETH","ETH/USD",V3="XRP","XRP/USD",V3="LTC","LTC/USD"),V3)</f>
        <v>0</v>
      </c>
      <c r="W4" s="59" cm="1">
        <f t="array" ref="W4">IFERROR(_xlfn.IFS(W3="BTC","BTC/USD",W3="BCH","BCH/USD",W3="ETH","ETH/USD",W3="XRP","XRP/USD",W3="LTC","LTC/USD"),W3)</f>
        <v>0</v>
      </c>
      <c r="X4" s="59" cm="1">
        <f t="array" ref="X4">IFERROR(_xlfn.IFS(X3="BTC","BTC/USD",X3="BCH","BCH/USD",X3="ETH","ETH/USD",X3="XRP","XRP/USD",X3="LTC","LTC/USD"),X3)</f>
        <v>0</v>
      </c>
      <c r="Y4" s="59" cm="1">
        <f t="array" ref="Y4">IFERROR(_xlfn.IFS(Y3="BTC","BTC/USD",Y3="BCH","BCH/USD",Y3="ETH","ETH/USD",Y3="XRP","XRP/USD",Y3="LTC","LTC/USD"),Y3)</f>
        <v>0</v>
      </c>
      <c r="Z4" s="59" cm="1">
        <f t="array" ref="Z4">IFERROR(_xlfn.IFS(Z3="BTC","BTC/USD",Z3="BCH","BCH/USD",Z3="ETH","ETH/USD",Z3="XRP","XRP/USD",Z3="LTC","LTC/USD"),Z3)</f>
        <v>0</v>
      </c>
      <c r="AA4" s="59" cm="1">
        <f t="array" ref="AA4">IFERROR(_xlfn.IFS(AA3="BTC","BTC/USD",AA3="BCH","BCH/USD",AA3="ETH","ETH/USD",AA3="XRP","XRP/USD",AA3="LTC","LTC/USD"),AA3)</f>
        <v>0</v>
      </c>
      <c r="AB4" s="59" cm="1">
        <f t="array" ref="AB4">IFERROR(_xlfn.IFS(AB3="BTC","BTC/USD",AB3="BCH","BCH/USD",AB3="ETH","ETH/USD",AB3="XRP","XRP/USD",AB3="LTC","LTC/USD"),AB3)</f>
        <v>0</v>
      </c>
      <c r="AC4" s="59" cm="1">
        <f t="array" ref="AC4">IFERROR(_xlfn.IFS(AC3="BTC","BTC/USD",AC3="BCH","BCH/USD",AC3="ETH","ETH/USD",AC3="XRP","XRP/USD",AC3="LTC","LTC/USD"),AC3)</f>
        <v>0</v>
      </c>
      <c r="AD4" s="59" cm="1">
        <f t="array" ref="AD4">IFERROR(_xlfn.IFS(AD3="BTC","BTC/USD",AD3="BCH","BCH/USD",AD3="ETH","ETH/USD",AD3="XRP","XRP/USD",AD3="LTC","LTC/USD"),AD3)</f>
        <v>0</v>
      </c>
      <c r="AE4" s="59" cm="1">
        <f t="array" ref="AE4">IFERROR(_xlfn.IFS(AE3="BTC","BTC/USD",AE3="BCH","BCH/USD",AE3="ETH","ETH/USD",AE3="XRP","XRP/USD",AE3="LTC","LTC/USD"),AE3)</f>
        <v>0</v>
      </c>
      <c r="AF4" s="59" cm="1">
        <f t="array" ref="AF4">IFERROR(_xlfn.IFS(AF3="BTC","BTC/USD",AF3="BCH","BCH/USD",AF3="ETH","ETH/USD",AF3="XRP","XRP/USD",AF3="LTC","LTC/USD"),AF3)</f>
        <v>0</v>
      </c>
      <c r="AG4" s="59" cm="1">
        <f t="array" ref="AG4">IFERROR(_xlfn.IFS(AG3="BTC","BTC/USD",AG3="BCH","BCH/USD",AG3="ETH","ETH/USD",AG3="XRP","XRP/USD",AG3="LTC","LTC/USD"),AG3)</f>
        <v>0</v>
      </c>
      <c r="AH4" s="59" cm="1">
        <f t="array" ref="AH4">IFERROR(_xlfn.IFS(AH3="BTC","BTC/USD",AH3="BCH","BCH/USD",AH3="ETH","ETH/USD",AH3="XRP","XRP/USD",AH3="LTC","LTC/USD"),AH3)</f>
        <v>0</v>
      </c>
      <c r="AI4" s="59" cm="1">
        <f t="array" ref="AI4">IFERROR(_xlfn.IFS(AI3="BTC","BTC/USD",AI3="BCH","BCH/USD",AI3="ETH","ETH/USD",AI3="XRP","XRP/USD",AI3="LTC","LTC/USD"),AI3)</f>
        <v>0</v>
      </c>
      <c r="AJ4" s="59" cm="1">
        <f t="array" ref="AJ4">IFERROR(_xlfn.IFS(AJ3="BTC","BTC/USD",AJ3="BCH","BCH/USD",AJ3="ETH","ETH/USD",AJ3="XRP","XRP/USD",AJ3="LTC","LTC/USD"),AJ3)</f>
        <v>0</v>
      </c>
      <c r="AK4" s="59" cm="1">
        <f t="array" ref="AK4">IFERROR(_xlfn.IFS(AK3="BTC","BTC/USD",AK3="BCH","BCH/USD",AK3="ETH","ETH/USD",AK3="XRP","XRP/USD",AK3="LTC","LTC/USD"),AK3)</f>
        <v>0</v>
      </c>
      <c r="AL4" s="59" cm="1">
        <f t="array" ref="AL4">IFERROR(_xlfn.IFS(AL3="BTC","BTC/USD",AL3="BCH","BCH/USD",AL3="ETH","ETH/USD",AL3="XRP","XRP/USD",AL3="LTC","LTC/USD"),AL3)</f>
        <v>0</v>
      </c>
      <c r="AM4" s="59" cm="1">
        <f t="array" ref="AM4">IFERROR(_xlfn.IFS(AM3="BTC","BTC/USD",AM3="BCH","BCH/USD",AM3="ETH","ETH/USD",AM3="XRP","XRP/USD",AM3="LTC","LTC/USD"),AM3)</f>
        <v>0</v>
      </c>
      <c r="AN4" s="59" cm="1">
        <f t="array" ref="AN4">IFERROR(_xlfn.IFS(AN3="BTC","BTC/USD",AN3="BCH","BCH/USD",AN3="ETH","ETH/USD",AN3="XRP","XRP/USD",AN3="LTC","LTC/USD"),AN3)</f>
        <v>0</v>
      </c>
      <c r="AO4" s="59" cm="1">
        <f t="array" ref="AO4">IFERROR(_xlfn.IFS(AO3="BTC","BTC/USD",AO3="BCH","BCH/USD",AO3="ETH","ETH/USD",AO3="XRP","XRP/USD",AO3="LTC","LTC/USD"),AO3)</f>
        <v>0</v>
      </c>
      <c r="AP4" s="59" cm="1">
        <f t="array" ref="AP4">IFERROR(_xlfn.IFS(AP3="BTC","BTC/USD",AP3="BCH","BCH/USD",AP3="ETH","ETH/USD",AP3="XRP","XRP/USD",AP3="LTC","LTC/USD"),AP3)</f>
        <v>0</v>
      </c>
      <c r="AQ4" s="59" cm="1">
        <f t="array" ref="AQ4">IFERROR(_xlfn.IFS(AQ3="BTC","BTC/USD",AQ3="BCH","BCH/USD",AQ3="ETH","ETH/USD",AQ3="XRP","XRP/USD",AQ3="LTC","LTC/USD"),AQ3)</f>
        <v>0</v>
      </c>
      <c r="AR4" s="59" cm="1">
        <f t="array" ref="AR4">IFERROR(_xlfn.IFS(AR3="BTC","BTC/USD",AR3="BCH","BCH/USD",AR3="ETH","ETH/USD",AR3="XRP","XRP/USD",AR3="LTC","LTC/USD"),AR3)</f>
        <v>0</v>
      </c>
      <c r="AS4" s="59" cm="1">
        <f t="array" ref="AS4">IFERROR(_xlfn.IFS(AS3="BTC","BTC/USD",AS3="BCH","BCH/USD",AS3="ETH","ETH/USD",AS3="XRP","XRP/USD",AS3="LTC","LTC/USD"),AS3)</f>
        <v>0</v>
      </c>
      <c r="AT4" s="59" cm="1">
        <f t="array" ref="AT4">IFERROR(_xlfn.IFS(AT3="BTC","BTC/USD",AT3="BCH","BCH/USD",AT3="ETH","ETH/USD",AT3="XRP","XRP/USD",AT3="LTC","LTC/USD"),AT3)</f>
        <v>0</v>
      </c>
      <c r="AU4" s="59" cm="1">
        <f t="array" ref="AU4">IFERROR(_xlfn.IFS(AU3="BTC","BTC/USD",AU3="BCH","BCH/USD",AU3="ETH","ETH/USD",AU3="XRP","XRP/USD",AU3="LTC","LTC/USD"),AU3)</f>
        <v>0</v>
      </c>
      <c r="AV4" s="59" cm="1">
        <f t="array" ref="AV4">IFERROR(_xlfn.IFS(AV3="BTC","BTC/USD",AV3="BCH","BCH/USD",AV3="ETH","ETH/USD",AV3="XRP","XRP/USD",AV3="LTC","LTC/USD"),AV3)</f>
        <v>0</v>
      </c>
      <c r="AW4" s="59" cm="1">
        <f t="array" ref="AW4">IFERROR(_xlfn.IFS(AW3="BTC","BTC/USD",AW3="BCH","BCH/USD",AW3="ETH","ETH/USD",AW3="XRP","XRP/USD",AW3="LTC","LTC/USD"),AW3)</f>
        <v>0</v>
      </c>
      <c r="AX4" s="59" cm="1">
        <f t="array" ref="AX4">IFERROR(_xlfn.IFS(AX3="BTC","BTC/USD",AX3="BCH","BCH/USD",AX3="ETH","ETH/USD",AX3="XRP","XRP/USD",AX3="LTC","LTC/USD"),AX3)</f>
        <v>0</v>
      </c>
      <c r="AY4" s="59" cm="1">
        <f t="array" ref="AY4">IFERROR(_xlfn.IFS(AY3="BTC","BTC/USD",AY3="BCH","BCH/USD",AY3="ETH","ETH/USD",AY3="XRP","XRP/USD",AY3="LTC","LTC/USD"),AY3)</f>
        <v>0</v>
      </c>
      <c r="AZ4" s="59" cm="1">
        <f t="array" ref="AZ4">IFERROR(_xlfn.IFS(AZ3="BTC","BTC/USD",AZ3="BCH","BCH/USD",AZ3="ETH","ETH/USD",AZ3="XRP","XRP/USD",AZ3="LTC","LTC/USD"),AZ3)</f>
        <v>0</v>
      </c>
      <c r="BA4" s="59" cm="1">
        <f t="array" ref="BA4">IFERROR(_xlfn.IFS(BA3="BTC","BTC/USD",BA3="BCH","BCH/USD",BA3="ETH","ETH/USD",BA3="XRP","XRP/USD",BA3="LTC","LTC/USD"),BA3)</f>
        <v>0</v>
      </c>
      <c r="BB4" s="59" cm="1">
        <f t="array" ref="BB4">IFERROR(_xlfn.IFS(BB3="BTC","BTC/USD",BB3="BCH","BCH/USD",BB3="ETH","ETH/USD",BB3="XRP","XRP/USD",BB3="LTC","LTC/USD"),BB3)</f>
        <v>0</v>
      </c>
      <c r="BC4" s="59" cm="1">
        <f t="array" ref="BC4">IFERROR(_xlfn.IFS(BC3="BTC","BTC/USD",BC3="BCH","BCH/USD",BC3="ETH","ETH/USD",BC3="XRP","XRP/USD",BC3="LTC","LTC/USD"),BC3)</f>
        <v>0</v>
      </c>
      <c r="BD4" s="59" cm="1">
        <f t="array" ref="BD4">IFERROR(_xlfn.IFS(BD3="BTC","BTC/USD",BD3="BCH","BCH/USD",BD3="ETH","ETH/USD",BD3="XRP","XRP/USD",BD3="LTC","LTC/USD"),BD3)</f>
        <v>0</v>
      </c>
      <c r="BE4" s="59" cm="1">
        <f t="array" ref="BE4">IFERROR(_xlfn.IFS(BE3="BTC","BTC/USD",BE3="BCH","BCH/USD",BE3="ETH","ETH/USD",BE3="XRP","XRP/USD",BE3="LTC","LTC/USD"),BE3)</f>
        <v>0</v>
      </c>
      <c r="BF4" s="59" cm="1">
        <f t="array" ref="BF4">IFERROR(_xlfn.IFS(BF3="BTC","BTC/USD",BF3="BCH","BCH/USD",BF3="ETH","ETH/USD",BF3="XRP","XRP/USD",BF3="LTC","LTC/USD"),BF3)</f>
        <v>0</v>
      </c>
      <c r="BG4" s="59" cm="1">
        <f t="array" ref="BG4">IFERROR(_xlfn.IFS(BG3="BTC","BTC/USD",BG3="BCH","BCH/USD",BG3="ETH","ETH/USD",BG3="XRP","XRP/USD",BG3="LTC","LTC/USD"),BG3)</f>
        <v>0</v>
      </c>
      <c r="BH4" s="59" cm="1">
        <f t="array" ref="BH4">IFERROR(_xlfn.IFS(BH3="BTC","BTC/USD",BH3="BCH","BCH/USD",BH3="ETH","ETH/USD",BH3="XRP","XRP/USD",BH3="LTC","LTC/USD"),BH3)</f>
        <v>0</v>
      </c>
      <c r="BI4" s="59" cm="1">
        <f t="array" ref="BI4">IFERROR(_xlfn.IFS(BI3="BTC","BTC/USD",BI3="BCH","BCH/USD",BI3="ETH","ETH/USD",BI3="XRP","XRP/USD",BI3="LTC","LTC/USD"),BI3)</f>
        <v>0</v>
      </c>
      <c r="BJ4" s="59" cm="1">
        <f t="array" ref="BJ4">IFERROR(_xlfn.IFS(BJ3="BTC","BTC/USD",BJ3="BCH","BCH/USD",BJ3="ETH","ETH/USD",BJ3="XRP","XRP/USD",BJ3="LTC","LTC/USD"),BJ3)</f>
        <v>0</v>
      </c>
      <c r="BK4" s="59" cm="1">
        <f t="array" ref="BK4">IFERROR(_xlfn.IFS(BK3="BTC","BTC/USD",BK3="BCH","BCH/USD",BK3="ETH","ETH/USD",BK3="XRP","XRP/USD",BK3="LTC","LTC/USD"),BK3)</f>
        <v>0</v>
      </c>
      <c r="BL4" s="59" cm="1">
        <f t="array" ref="BL4">IFERROR(_xlfn.IFS(BL3="BTC","BTC/USD",BL3="BCH","BCH/USD",BL3="ETH","ETH/USD",BL3="XRP","XRP/USD",BL3="LTC","LTC/USD"),BL3)</f>
        <v>0</v>
      </c>
      <c r="BM4" s="59" cm="1">
        <f t="array" ref="BM4">IFERROR(_xlfn.IFS(BM3="BTC","BTC/USD",BM3="BCH","BCH/USD",BM3="ETH","ETH/USD",BM3="XRP","XRP/USD",BM3="LTC","LTC/USD"),BM3)</f>
        <v>0</v>
      </c>
      <c r="BN4" s="59" cm="1">
        <f t="array" ref="BN4">IFERROR(_xlfn.IFS(BN3="BTC","BTC/USD",BN3="BCH","BCH/USD",BN3="ETH","ETH/USD",BN3="XRP","XRP/USD",BN3="LTC","LTC/USD"),BN3)</f>
        <v>0</v>
      </c>
      <c r="BO4" s="59" cm="1">
        <f t="array" ref="BO4">IFERROR(_xlfn.IFS(BO3="BTC","BTC/USD",BO3="BCH","BCH/USD",BO3="ETH","ETH/USD",BO3="XRP","XRP/USD",BO3="LTC","LTC/USD"),BO3)</f>
        <v>0</v>
      </c>
      <c r="BP4" s="59" cm="1">
        <f t="array" ref="BP4">IFERROR(_xlfn.IFS(BP3="BTC","BTC/USD",BP3="BCH","BCH/USD",BP3="ETH","ETH/USD",BP3="XRP","XRP/USD",BP3="LTC","LTC/USD"),BP3)</f>
        <v>0</v>
      </c>
      <c r="BQ4" s="59" cm="1">
        <f t="array" ref="BQ4">IFERROR(_xlfn.IFS(BQ3="BTC","BTC/USD",BQ3="BCH","BCH/USD",BQ3="ETH","ETH/USD",BQ3="XRP","XRP/USD",BQ3="LTC","LTC/USD"),BQ3)</f>
        <v>0</v>
      </c>
      <c r="BR4" s="59" cm="1">
        <f t="array" ref="BR4">IFERROR(_xlfn.IFS(BR3="BTC","BTC/USD",BR3="BCH","BCH/USD",BR3="ETH","ETH/USD",BR3="XRP","XRP/USD",BR3="LTC","LTC/USD"),BR3)</f>
        <v>0</v>
      </c>
      <c r="BS4" s="59" cm="1">
        <f t="array" ref="BS4">IFERROR(_xlfn.IFS(BS3="BTC","BTC/USD",BS3="BCH","BCH/USD",BS3="ETH","ETH/USD",BS3="XRP","XRP/USD",BS3="LTC","LTC/USD"),BS3)</f>
        <v>0</v>
      </c>
      <c r="BT4" s="59" cm="1">
        <f t="array" ref="BT4">IFERROR(_xlfn.IFS(BT3="BTC","BTC/USD",BT3="BCH","BCH/USD",BT3="ETH","ETH/USD",BT3="XRP","XRP/USD",BT3="LTC","LTC/USD"),BT3)</f>
        <v>0</v>
      </c>
      <c r="BU4" s="59" cm="1">
        <f t="array" ref="BU4">IFERROR(_xlfn.IFS(BU3="BTC","BTC/USD",BU3="BCH","BCH/USD",BU3="ETH","ETH/USD",BU3="XRP","XRP/USD",BU3="LTC","LTC/USD"),BU3)</f>
        <v>0</v>
      </c>
      <c r="BV4" s="59" cm="1">
        <f t="array" ref="BV4">IFERROR(_xlfn.IFS(BV3="BTC","BTC/USD",BV3="BCH","BCH/USD",BV3="ETH","ETH/USD",BV3="XRP","XRP/USD",BV3="LTC","LTC/USD"),BV3)</f>
        <v>0</v>
      </c>
      <c r="BW4" s="59" cm="1">
        <f t="array" ref="BW4">IFERROR(_xlfn.IFS(BW3="BTC","BTC/USD",BW3="BCH","BCH/USD",BW3="ETH","ETH/USD",BW3="XRP","XRP/USD",BW3="LTC","LTC/USD"),BW3)</f>
        <v>0</v>
      </c>
      <c r="BX4" s="59" cm="1">
        <f t="array" ref="BX4">IFERROR(_xlfn.IFS(BX3="BTC","BTC/USD",BX3="BCH","BCH/USD",BX3="ETH","ETH/USD",BX3="XRP","XRP/USD",BX3="LTC","LTC/USD"),BX3)</f>
        <v>0</v>
      </c>
      <c r="BY4" s="59" cm="1">
        <f t="array" ref="BY4">IFERROR(_xlfn.IFS(BY3="BTC","BTC/USD",BY3="BCH","BCH/USD",BY3="ETH","ETH/USD",BY3="XRP","XRP/USD",BY3="LTC","LTC/USD"),BY3)</f>
        <v>0</v>
      </c>
      <c r="BZ4" s="59" cm="1">
        <f t="array" ref="BZ4">IFERROR(_xlfn.IFS(BZ3="BTC","BTC/USD",BZ3="BCH","BCH/USD",BZ3="ETH","ETH/USD",BZ3="XRP","XRP/USD",BZ3="LTC","LTC/USD"),BZ3)</f>
        <v>0</v>
      </c>
      <c r="CA4" s="59" cm="1">
        <f t="array" ref="CA4">IFERROR(_xlfn.IFS(CA3="BTC","BTC/USD",CA3="BCH","BCH/USD",CA3="ETH","ETH/USD",CA3="XRP","XRP/USD",CA3="LTC","LTC/USD"),CA3)</f>
        <v>0</v>
      </c>
      <c r="CB4" s="59" cm="1">
        <f t="array" ref="CB4">IFERROR(_xlfn.IFS(CB3="BTC","BTC/USD",CB3="BCH","BCH/USD",CB3="ETH","ETH/USD",CB3="XRP","XRP/USD",CB3="LTC","LTC/USD"),CB3)</f>
        <v>0</v>
      </c>
      <c r="CC4" s="59" cm="1">
        <f t="array" ref="CC4">IFERROR(_xlfn.IFS(CC3="BTC","BTC/USD",CC3="BCH","BCH/USD",CC3="ETH","ETH/USD",CC3="XRP","XRP/USD",CC3="LTC","LTC/USD"),CC3)</f>
        <v>0</v>
      </c>
      <c r="CD4" s="59" cm="1">
        <f t="array" ref="CD4">IFERROR(_xlfn.IFS(CD3="BTC","BTC/USD",CD3="BCH","BCH/USD",CD3="ETH","ETH/USD",CD3="XRP","XRP/USD",CD3="LTC","LTC/USD"),CD3)</f>
        <v>0</v>
      </c>
      <c r="CE4" s="59" cm="1">
        <f t="array" ref="CE4">IFERROR(_xlfn.IFS(CE3="BTC","BTC/USD",CE3="BCH","BCH/USD",CE3="ETH","ETH/USD",CE3="XRP","XRP/USD",CE3="LTC","LTC/USD"),CE3)</f>
        <v>0</v>
      </c>
      <c r="CF4" s="59" cm="1">
        <f t="array" ref="CF4">IFERROR(_xlfn.IFS(CF3="BTC","BTC/USD",CF3="BCH","BCH/USD",CF3="ETH","ETH/USD",CF3="XRP","XRP/USD",CF3="LTC","LTC/USD"),CF3)</f>
        <v>0</v>
      </c>
      <c r="CG4" s="59" cm="1">
        <f t="array" ref="CG4">IFERROR(_xlfn.IFS(CG3="BTC","BTC/USD",CG3="BCH","BCH/USD",CG3="ETH","ETH/USD",CG3="XRP","XRP/USD",CG3="LTC","LTC/USD"),CG3)</f>
        <v>0</v>
      </c>
      <c r="CH4" s="59" cm="1">
        <f t="array" ref="CH4">IFERROR(_xlfn.IFS(CH3="BTC","BTC/USD",CH3="BCH","BCH/USD",CH3="ETH","ETH/USD",CH3="XRP","XRP/USD",CH3="LTC","LTC/USD"),CH3)</f>
        <v>0</v>
      </c>
      <c r="CI4" s="59" cm="1">
        <f t="array" ref="CI4">IFERROR(_xlfn.IFS(CI3="BTC","BTC/USD",CI3="BCH","BCH/USD",CI3="ETH","ETH/USD",CI3="XRP","XRP/USD",CI3="LTC","LTC/USD"),CI3)</f>
        <v>0</v>
      </c>
      <c r="CJ4" s="59" cm="1">
        <f t="array" ref="CJ4">IFERROR(_xlfn.IFS(CJ3="BTC","BTC/USD",CJ3="BCH","BCH/USD",CJ3="ETH","ETH/USD",CJ3="XRP","XRP/USD",CJ3="LTC","LTC/USD"),CJ3)</f>
        <v>0</v>
      </c>
      <c r="CK4" s="59" cm="1">
        <f t="array" ref="CK4">IFERROR(_xlfn.IFS(CK3="BTC","BTC/USD",CK3="BCH","BCH/USD",CK3="ETH","ETH/USD",CK3="XRP","XRP/USD",CK3="LTC","LTC/USD"),CK3)</f>
        <v>0</v>
      </c>
      <c r="CL4" s="59" cm="1">
        <f t="array" ref="CL4">IFERROR(_xlfn.IFS(CL3="BTC","BTC/USD",CL3="BCH","BCH/USD",CL3="ETH","ETH/USD",CL3="XRP","XRP/USD",CL3="LTC","LTC/USD"),CL3)</f>
        <v>0</v>
      </c>
      <c r="CM4" s="59" cm="1">
        <f t="array" ref="CM4">IFERROR(_xlfn.IFS(CM3="BTC","BTC/USD",CM3="BCH","BCH/USD",CM3="ETH","ETH/USD",CM3="XRP","XRP/USD",CM3="LTC","LTC/USD"),CM3)</f>
        <v>0</v>
      </c>
      <c r="CN4" s="59" cm="1">
        <f t="array" ref="CN4">IFERROR(_xlfn.IFS(CN3="BTC","BTC/USD",CN3="BCH","BCH/USD",CN3="ETH","ETH/USD",CN3="XRP","XRP/USD",CN3="LTC","LTC/USD"),CN3)</f>
        <v>0</v>
      </c>
      <c r="CO4" s="59" cm="1">
        <f t="array" ref="CO4">IFERROR(_xlfn.IFS(CO3="BTC","BTC/USD",CO3="BCH","BCH/USD",CO3="ETH","ETH/USD",CO3="XRP","XRP/USD",CO3="LTC","LTC/USD"),CO3)</f>
        <v>0</v>
      </c>
      <c r="CP4" s="59" cm="1">
        <f t="array" ref="CP4">IFERROR(_xlfn.IFS(CP3="BTC","BTC/USD",CP3="BCH","BCH/USD",CP3="ETH","ETH/USD",CP3="XRP","XRP/USD",CP3="LTC","LTC/USD"),CP3)</f>
        <v>0</v>
      </c>
      <c r="CQ4" s="59" cm="1">
        <f t="array" ref="CQ4">IFERROR(_xlfn.IFS(CQ3="BTC","BTC/USD",CQ3="BCH","BCH/USD",CQ3="ETH","ETH/USD",CQ3="XRP","XRP/USD",CQ3="LTC","LTC/USD"),CQ3)</f>
        <v>0</v>
      </c>
      <c r="CR4" s="59" cm="1">
        <f t="array" ref="CR4">IFERROR(_xlfn.IFS(CR3="BTC","BTC/USD",CR3="BCH","BCH/USD",CR3="ETH","ETH/USD",CR3="XRP","XRP/USD",CR3="LTC","LTC/USD"),CR3)</f>
        <v>0</v>
      </c>
      <c r="CS4" s="59" cm="1">
        <f t="array" ref="CS4">IFERROR(_xlfn.IFS(CS3="BTC","BTC/USD",CS3="BCH","BCH/USD",CS3="ETH","ETH/USD",CS3="XRP","XRP/USD",CS3="LTC","LTC/USD"),CS3)</f>
        <v>0</v>
      </c>
      <c r="CT4" s="59" cm="1">
        <f t="array" ref="CT4">IFERROR(_xlfn.IFS(CT3="BTC","BTC/USD",CT3="BCH","BCH/USD",CT3="ETH","ETH/USD",CT3="XRP","XRP/USD",CT3="LTC","LTC/USD"),CT3)</f>
        <v>0</v>
      </c>
      <c r="CU4" s="59" cm="1">
        <f t="array" ref="CU4">IFERROR(_xlfn.IFS(CU3="BTC","BTC/USD",CU3="BCH","BCH/USD",CU3="ETH","ETH/USD",CU3="XRP","XRP/USD",CU3="LTC","LTC/USD"),CU3)</f>
        <v>0</v>
      </c>
      <c r="CV4" s="59" cm="1">
        <f t="array" ref="CV4">IFERROR(_xlfn.IFS(CV3="BTC","BTC/USD",CV3="BCH","BCH/USD",CV3="ETH","ETH/USD",CV3="XRP","XRP/USD",CV3="LTC","LTC/USD"),CV3)</f>
        <v>0</v>
      </c>
      <c r="CW4" s="59" cm="1">
        <f t="array" ref="CW4">IFERROR(_xlfn.IFS(CW3="BTC","BTC/USD",CW3="BCH","BCH/USD",CW3="ETH","ETH/USD",CW3="XRP","XRP/USD",CW3="LTC","LTC/USD"),CW3)</f>
        <v>0</v>
      </c>
      <c r="CX4" s="59" cm="1">
        <f t="array" ref="CX4">IFERROR(_xlfn.IFS(CX3="BTC","BTC/USD",CX3="BCH","BCH/USD",CX3="ETH","ETH/USD",CX3="XRP","XRP/USD",CX3="LTC","LTC/USD"),CX3)</f>
        <v>0</v>
      </c>
      <c r="CY4" s="25" cm="1">
        <f t="array" ref="CY4">IFERROR(_xlfn.IFS(CY3="BTC","BTC/USD",CY3="BCH","BCH/USD",CY3="ETH","ETH/USD",CY3="XRP","XRP/USD",CY3="LTC","LTC/USD"),CY3)</f>
        <v>0</v>
      </c>
    </row>
    <row r="5" spans="1:114" x14ac:dyDescent="0.3">
      <c r="A5" s="8" t="s">
        <v>1323</v>
      </c>
      <c r="B5" s="54" cm="1" vm="1">
        <f t="array" aca="1" ref="B5:B258" ca="1">IF(B4&lt;&gt;0,INDEX(_xlfn._xlws.SORT(_xlfn.STOCKHISTORY(B4, (TODAY()-5*365), TODAY(), 1, 0,1), 1, -1), ROW(B5:B258), 1),0)</f>
        <v>44424.25</v>
      </c>
      <c r="C5" s="17" cm="1">
        <f t="array" aca="1" ref="C5" ca="1">IFERROR(IF(C4&lt;&gt;0,INDEX(_xlfn._xlws.SORT(_xlfn.STOCKHISTORY(C4, (TODAY()-5*365), TODAY(), 1, 0,1), 1, -1), ROW(C5:C258), 1),0),0)</f>
        <v>0</v>
      </c>
      <c r="D5" s="17" cm="1">
        <f t="array" aca="1" ref="D5" ca="1">IFERROR(IF(D4&lt;&gt;0,INDEX(_xlfn._xlws.SORT(_xlfn.STOCKHISTORY(D4, (TODAY()-5*365), TODAY(), 1, 0,1), 1, -1), ROW(D5:D258), 1),0),0)</f>
        <v>0</v>
      </c>
      <c r="E5" s="17" cm="1">
        <f t="array" aca="1" ref="E5" ca="1">IFERROR(IF(E4&lt;&gt;0,INDEX(_xlfn._xlws.SORT(_xlfn.STOCKHISTORY(E4, (TODAY()-5*365), TODAY(), 1, 0,1), 1, -1), ROW(E5:E258), 1),0),0)</f>
        <v>0</v>
      </c>
      <c r="F5" s="17" cm="1">
        <f t="array" aca="1" ref="F5" ca="1">IFERROR(IF(F4&lt;&gt;0,INDEX(_xlfn._xlws.SORT(_xlfn.STOCKHISTORY(F4, (TODAY()-5*365), TODAY(), 1, 0,1), 1, -1), ROW(F5:F258), 1),0),0)</f>
        <v>0</v>
      </c>
      <c r="G5" s="17" cm="1">
        <f t="array" aca="1" ref="G5" ca="1">IFERROR(IF(G4&lt;&gt;0,INDEX(_xlfn._xlws.SORT(_xlfn.STOCKHISTORY(G4, (TODAY()-5*365), TODAY(), 1, 0,1), 1, -1), ROW(G5:G258), 1),0),0)</f>
        <v>0</v>
      </c>
      <c r="H5" s="17" cm="1">
        <f t="array" aca="1" ref="H5" ca="1">IFERROR(IF(H4&lt;&gt;0,INDEX(_xlfn._xlws.SORT(_xlfn.STOCKHISTORY(H4, (TODAY()-5*365), TODAY(), 1, 0,1), 1, -1), ROW(H5:H258), 1),0),0)</f>
        <v>0</v>
      </c>
      <c r="I5" s="17" cm="1">
        <f t="array" aca="1" ref="I5" ca="1">IFERROR(IF(I4&lt;&gt;0,INDEX(_xlfn._xlws.SORT(_xlfn.STOCKHISTORY(I4, (TODAY()-5*365), TODAY(), 1, 0,1), 1, -1), ROW(I5:I258), 1),0),0)</f>
        <v>0</v>
      </c>
      <c r="J5" s="17" cm="1">
        <f t="array" aca="1" ref="J5" ca="1">IFERROR(IF(J4&lt;&gt;0,INDEX(_xlfn._xlws.SORT(_xlfn.STOCKHISTORY(J4, (TODAY()-5*365), TODAY(), 1, 0,1), 1, -1), ROW(J5:J258), 1),0),0)</f>
        <v>0</v>
      </c>
      <c r="K5" s="17" cm="1">
        <f t="array" aca="1" ref="K5" ca="1">IFERROR(IF(K4&lt;&gt;0,INDEX(_xlfn._xlws.SORT(_xlfn.STOCKHISTORY(K4, (TODAY()-5*365), TODAY(), 1, 0,1), 1, -1), ROW(K5:K258), 1),0),0)</f>
        <v>0</v>
      </c>
      <c r="L5" s="17" cm="1">
        <f t="array" aca="1" ref="L5" ca="1">IFERROR(IF(L4&lt;&gt;0,INDEX(_xlfn._xlws.SORT(_xlfn.STOCKHISTORY(L4, (TODAY()-5*365), TODAY(), 1, 0,1), 1, -1), ROW(L5:L258), 1),0),0)</f>
        <v>0</v>
      </c>
      <c r="M5" s="17" cm="1">
        <f t="array" aca="1" ref="M5" ca="1">IFERROR(IF(M4&lt;&gt;0,INDEX(_xlfn._xlws.SORT(_xlfn.STOCKHISTORY(M4, (TODAY()-5*365), TODAY(), 1, 0,1), 1, -1), ROW(M5:M258), 1),0),0)</f>
        <v>0</v>
      </c>
      <c r="N5" s="17" cm="1">
        <f t="array" aca="1" ref="N5" ca="1">IFERROR(IF(N4&lt;&gt;0,INDEX(_xlfn._xlws.SORT(_xlfn.STOCKHISTORY(N4, (TODAY()-5*365), TODAY(), 1, 0,1), 1, -1), ROW(N5:N258), 1),0),0)</f>
        <v>0</v>
      </c>
      <c r="O5" s="17" cm="1">
        <f t="array" aca="1" ref="O5" ca="1">IFERROR(IF(O4&lt;&gt;0,INDEX(_xlfn._xlws.SORT(_xlfn.STOCKHISTORY(O4, (TODAY()-5*365), TODAY(), 1, 0,1), 1, -1), ROW(O5:O258), 1),0),0)</f>
        <v>0</v>
      </c>
      <c r="P5" s="17" cm="1">
        <f t="array" aca="1" ref="P5" ca="1">IFERROR(IF(P4&lt;&gt;0,INDEX(_xlfn._xlws.SORT(_xlfn.STOCKHISTORY(P4, (TODAY()-5*365), TODAY(), 1, 0,1), 1, -1), ROW(P5:P258), 1),0),0)</f>
        <v>0</v>
      </c>
      <c r="Q5" s="17" cm="1">
        <f t="array" aca="1" ref="Q5" ca="1">IFERROR(IF(Q4&lt;&gt;0,INDEX(_xlfn._xlws.SORT(_xlfn.STOCKHISTORY(Q4, (TODAY()-5*365), TODAY(), 1, 0,1), 1, -1), ROW(Q5:Q258), 1),0),0)</f>
        <v>0</v>
      </c>
      <c r="R5" s="17" cm="1">
        <f t="array" aca="1" ref="R5" ca="1">IFERROR(IF(R4&lt;&gt;0,INDEX(_xlfn._xlws.SORT(_xlfn.STOCKHISTORY(R4, (TODAY()-5*365), TODAY(), 1, 0,1), 1, -1), ROW(R5:R258), 1),0),0)</f>
        <v>0</v>
      </c>
      <c r="S5" s="17" cm="1">
        <f t="array" aca="1" ref="S5" ca="1">IFERROR(IF(S4&lt;&gt;0,INDEX(_xlfn._xlws.SORT(_xlfn.STOCKHISTORY(S4, (TODAY()-5*365), TODAY(), 1, 0,1), 1, -1), ROW(S5:S258), 1),0),0)</f>
        <v>0</v>
      </c>
      <c r="T5" s="17" cm="1">
        <f t="array" aca="1" ref="T5" ca="1">IFERROR(IF(T4&lt;&gt;0,INDEX(_xlfn._xlws.SORT(_xlfn.STOCKHISTORY(T4, (TODAY()-5*365), TODAY(), 1, 0,1), 1, -1), ROW(T5:T258), 1),0),0)</f>
        <v>0</v>
      </c>
      <c r="U5" s="17" cm="1">
        <f t="array" aca="1" ref="U5" ca="1">IFERROR(IF(U4&lt;&gt;0,INDEX(_xlfn._xlws.SORT(_xlfn.STOCKHISTORY(U4, (TODAY()-5*365), TODAY(), 1, 0,1), 1, -1), ROW(U5:U258), 1),0),0)</f>
        <v>0</v>
      </c>
      <c r="V5" s="17" cm="1">
        <f t="array" aca="1" ref="V5" ca="1">IFERROR(IF(V4&lt;&gt;0,INDEX(_xlfn._xlws.SORT(_xlfn.STOCKHISTORY(V4, (TODAY()-5*365), TODAY(), 1, 0,1), 1, -1), ROW(V5:V258), 1),0),0)</f>
        <v>0</v>
      </c>
      <c r="W5" s="17" cm="1">
        <f t="array" aca="1" ref="W5" ca="1">IFERROR(IF(W4&lt;&gt;0,INDEX(_xlfn._xlws.SORT(_xlfn.STOCKHISTORY(W4, (TODAY()-5*365), TODAY(), 1, 0,1), 1, -1), ROW(W5:W258), 1),0),0)</f>
        <v>0</v>
      </c>
      <c r="X5" s="17" cm="1">
        <f t="array" aca="1" ref="X5" ca="1">IFERROR(IF(X4&lt;&gt;0,INDEX(_xlfn._xlws.SORT(_xlfn.STOCKHISTORY(X4, (TODAY()-5*365), TODAY(), 1, 0,1), 1, -1), ROW(X5:X258), 1),0),0)</f>
        <v>0</v>
      </c>
      <c r="Y5" s="17" cm="1">
        <f t="array" aca="1" ref="Y5" ca="1">IFERROR(IF(Y4&lt;&gt;0,INDEX(_xlfn._xlws.SORT(_xlfn.STOCKHISTORY(Y4, (TODAY()-5*365), TODAY(), 1, 0,1), 1, -1), ROW(Y5:Y258), 1),0),0)</f>
        <v>0</v>
      </c>
      <c r="Z5" s="17" cm="1">
        <f t="array" aca="1" ref="Z5" ca="1">IFERROR(IF(Z4&lt;&gt;0,INDEX(_xlfn._xlws.SORT(_xlfn.STOCKHISTORY(Z4, (TODAY()-5*365), TODAY(), 1, 0,1), 1, -1), ROW(Z5:Z258), 1),0),0)</f>
        <v>0</v>
      </c>
      <c r="AA5" s="17" cm="1">
        <f t="array" aca="1" ref="AA5" ca="1">IFERROR(IF(AA4&lt;&gt;0,INDEX(_xlfn._xlws.SORT(_xlfn.STOCKHISTORY(AA4, (TODAY()-5*365), TODAY(), 1, 0,1), 1, -1), ROW(AA5:AA258), 1),0),0)</f>
        <v>0</v>
      </c>
      <c r="AB5" s="17" cm="1">
        <f t="array" aca="1" ref="AB5" ca="1">IFERROR(IF(AB4&lt;&gt;0,INDEX(_xlfn._xlws.SORT(_xlfn.STOCKHISTORY(AB4, (TODAY()-5*365), TODAY(), 1, 0,1), 1, -1), ROW(AB5:AB258), 1),0),0)</f>
        <v>0</v>
      </c>
      <c r="AC5" s="17" cm="1">
        <f t="array" aca="1" ref="AC5" ca="1">IFERROR(IF(AC4&lt;&gt;0,INDEX(_xlfn._xlws.SORT(_xlfn.STOCKHISTORY(AC4, (TODAY()-5*365), TODAY(), 1, 0,1), 1, -1), ROW(AC5:AC258), 1),0),0)</f>
        <v>0</v>
      </c>
      <c r="AD5" s="17" cm="1">
        <f t="array" aca="1" ref="AD5" ca="1">IFERROR(IF(AD4&lt;&gt;0,INDEX(_xlfn._xlws.SORT(_xlfn.STOCKHISTORY(AD4, (TODAY()-5*365), TODAY(), 1, 0,1), 1, -1), ROW(AD5:AD258), 1),0),0)</f>
        <v>0</v>
      </c>
      <c r="AE5" s="17" cm="1">
        <f t="array" aca="1" ref="AE5" ca="1">IFERROR(IF(AE4&lt;&gt;0,INDEX(_xlfn._xlws.SORT(_xlfn.STOCKHISTORY(AE4, (TODAY()-5*365), TODAY(), 1, 0,1), 1, -1), ROW(AE5:AE258), 1),0),0)</f>
        <v>0</v>
      </c>
      <c r="AF5" s="17" cm="1">
        <f t="array" aca="1" ref="AF5" ca="1">IFERROR(IF(AF4&lt;&gt;0,INDEX(_xlfn._xlws.SORT(_xlfn.STOCKHISTORY(AF4, (TODAY()-5*365), TODAY(), 1, 0,1), 1, -1), ROW(AF5:AF258), 1),0),0)</f>
        <v>0</v>
      </c>
      <c r="AG5" s="17" cm="1">
        <f t="array" aca="1" ref="AG5" ca="1">IFERROR(IF(AG4&lt;&gt;0,INDEX(_xlfn._xlws.SORT(_xlfn.STOCKHISTORY(AG4, (TODAY()-5*365), TODAY(), 1, 0,1), 1, -1), ROW(AG5:AG258), 1),0),0)</f>
        <v>0</v>
      </c>
      <c r="AH5" s="17" cm="1">
        <f t="array" aca="1" ref="AH5" ca="1">IFERROR(IF(AH4&lt;&gt;0,INDEX(_xlfn._xlws.SORT(_xlfn.STOCKHISTORY(AH4, (TODAY()-5*365), TODAY(), 1, 0,1), 1, -1), ROW(AH5:AH258), 1),0),0)</f>
        <v>0</v>
      </c>
      <c r="AI5" s="17" cm="1">
        <f t="array" aca="1" ref="AI5" ca="1">IFERROR(IF(AI4&lt;&gt;0,INDEX(_xlfn._xlws.SORT(_xlfn.STOCKHISTORY(AI4, (TODAY()-5*365), TODAY(), 1, 0,1), 1, -1), ROW(AI5:AI258), 1),0),0)</f>
        <v>0</v>
      </c>
      <c r="AJ5" s="17" cm="1">
        <f t="array" aca="1" ref="AJ5" ca="1">IFERROR(IF(AJ4&lt;&gt;0,INDEX(_xlfn._xlws.SORT(_xlfn.STOCKHISTORY(AJ4, (TODAY()-5*365), TODAY(), 1, 0,1), 1, -1), ROW(AJ5:AJ258), 1),0),0)</f>
        <v>0</v>
      </c>
      <c r="AK5" s="17" cm="1">
        <f t="array" aca="1" ref="AK5" ca="1">IFERROR(IF(AK4&lt;&gt;0,INDEX(_xlfn._xlws.SORT(_xlfn.STOCKHISTORY(AK4, (TODAY()-5*365), TODAY(), 1, 0,1), 1, -1), ROW(AK5:AK258), 1),0),0)</f>
        <v>0</v>
      </c>
      <c r="AL5" s="17" cm="1">
        <f t="array" aca="1" ref="AL5" ca="1">IFERROR(IF(AL4&lt;&gt;0,INDEX(_xlfn._xlws.SORT(_xlfn.STOCKHISTORY(AL4, (TODAY()-5*365), TODAY(), 1, 0,1), 1, -1), ROW(AL5:AL258), 1),0),0)</f>
        <v>0</v>
      </c>
      <c r="AM5" s="17" cm="1">
        <f t="array" aca="1" ref="AM5" ca="1">IFERROR(IF(AM4&lt;&gt;0,INDEX(_xlfn._xlws.SORT(_xlfn.STOCKHISTORY(AM4, (TODAY()-5*365), TODAY(), 1, 0,1), 1, -1), ROW(AM5:AM258), 1),0),0)</f>
        <v>0</v>
      </c>
      <c r="AN5" s="17" cm="1">
        <f t="array" aca="1" ref="AN5" ca="1">IFERROR(IF(AN4&lt;&gt;0,INDEX(_xlfn._xlws.SORT(_xlfn.STOCKHISTORY(AN4, (TODAY()-5*365), TODAY(), 1, 0,1), 1, -1), ROW(AN5:AN258), 1),0),0)</f>
        <v>0</v>
      </c>
      <c r="AO5" s="17" cm="1">
        <f t="array" aca="1" ref="AO5" ca="1">IFERROR(IF(AO4&lt;&gt;0,INDEX(_xlfn._xlws.SORT(_xlfn.STOCKHISTORY(AO4, (TODAY()-5*365), TODAY(), 1, 0,1), 1, -1), ROW(AO5:AO258), 1),0),0)</f>
        <v>0</v>
      </c>
      <c r="AP5" s="17" cm="1">
        <f t="array" aca="1" ref="AP5" ca="1">IFERROR(IF(AP4&lt;&gt;0,INDEX(_xlfn._xlws.SORT(_xlfn.STOCKHISTORY(AP4, (TODAY()-5*365), TODAY(), 1, 0,1), 1, -1), ROW(AP5:AP258), 1),0),0)</f>
        <v>0</v>
      </c>
      <c r="AQ5" s="17" cm="1">
        <f t="array" aca="1" ref="AQ5" ca="1">IFERROR(IF(AQ4&lt;&gt;0,INDEX(_xlfn._xlws.SORT(_xlfn.STOCKHISTORY(AQ4, (TODAY()-5*365), TODAY(), 1, 0,1), 1, -1), ROW(AQ5:AQ258), 1),0),0)</f>
        <v>0</v>
      </c>
      <c r="AR5" s="17" cm="1">
        <f t="array" aca="1" ref="AR5" ca="1">IFERROR(IF(AR4&lt;&gt;0,INDEX(_xlfn._xlws.SORT(_xlfn.STOCKHISTORY(AR4, (TODAY()-5*365), TODAY(), 1, 0,1), 1, -1), ROW(AR5:AR258), 1),0),0)</f>
        <v>0</v>
      </c>
      <c r="AS5" s="17" cm="1">
        <f t="array" aca="1" ref="AS5" ca="1">IFERROR(IF(AS4&lt;&gt;0,INDEX(_xlfn._xlws.SORT(_xlfn.STOCKHISTORY(AS4, (TODAY()-5*365), TODAY(), 1, 0,1), 1, -1), ROW(AS5:AS258), 1),0),0)</f>
        <v>0</v>
      </c>
      <c r="AT5" s="17" cm="1">
        <f t="array" aca="1" ref="AT5" ca="1">IFERROR(IF(AT4&lt;&gt;0,INDEX(_xlfn._xlws.SORT(_xlfn.STOCKHISTORY(AT4, (TODAY()-5*365), TODAY(), 1, 0,1), 1, -1), ROW(AT5:AT258), 1),0),0)</f>
        <v>0</v>
      </c>
      <c r="AU5" s="17" cm="1">
        <f t="array" aca="1" ref="AU5" ca="1">IFERROR(IF(AU4&lt;&gt;0,INDEX(_xlfn._xlws.SORT(_xlfn.STOCKHISTORY(AU4, (TODAY()-5*365), TODAY(), 1, 0,1), 1, -1), ROW(AU5:AU258), 1),0),0)</f>
        <v>0</v>
      </c>
      <c r="AV5" s="17" cm="1">
        <f t="array" aca="1" ref="AV5" ca="1">IFERROR(IF(AV4&lt;&gt;0,INDEX(_xlfn._xlws.SORT(_xlfn.STOCKHISTORY(AV4, (TODAY()-5*365), TODAY(), 1, 0,1), 1, -1), ROW(AV5:AV258), 1),0),0)</f>
        <v>0</v>
      </c>
      <c r="AW5" s="17" cm="1">
        <f t="array" aca="1" ref="AW5" ca="1">IFERROR(IF(AW4&lt;&gt;0,INDEX(_xlfn._xlws.SORT(_xlfn.STOCKHISTORY(AW4, (TODAY()-5*365), TODAY(), 1, 0,1), 1, -1), ROW(AW5:AW258), 1),0),0)</f>
        <v>0</v>
      </c>
      <c r="AX5" s="17" cm="1">
        <f t="array" aca="1" ref="AX5" ca="1">IFERROR(IF(AX4&lt;&gt;0,INDEX(_xlfn._xlws.SORT(_xlfn.STOCKHISTORY(AX4, (TODAY()-5*365), TODAY(), 1, 0,1), 1, -1), ROW(AX5:AX258), 1),0),0)</f>
        <v>0</v>
      </c>
      <c r="AY5" s="17" cm="1">
        <f t="array" aca="1" ref="AY5" ca="1">IFERROR(IF(AY4&lt;&gt;0,INDEX(_xlfn._xlws.SORT(_xlfn.STOCKHISTORY(AY4, (TODAY()-5*365), TODAY(), 1, 0,1), 1, -1), ROW(AY5:AY258), 1),0),0)</f>
        <v>0</v>
      </c>
      <c r="AZ5" s="17" cm="1">
        <f t="array" aca="1" ref="AZ5" ca="1">IFERROR(IF(AZ4&lt;&gt;0,INDEX(_xlfn._xlws.SORT(_xlfn.STOCKHISTORY(AZ4, (TODAY()-5*365), TODAY(), 1, 0,1), 1, -1), ROW(AZ5:AZ258), 1),0),0)</f>
        <v>0</v>
      </c>
      <c r="BA5" s="17" cm="1">
        <f t="array" aca="1" ref="BA5" ca="1">IFERROR(IF(BA4&lt;&gt;0,INDEX(_xlfn._xlws.SORT(_xlfn.STOCKHISTORY(BA4, (TODAY()-5*365), TODAY(), 1, 0,1), 1, -1), ROW(BA5:BA258), 1),0),0)</f>
        <v>0</v>
      </c>
      <c r="BB5" s="17" cm="1">
        <f t="array" aca="1" ref="BB5" ca="1">IFERROR(IF(BB4&lt;&gt;0,INDEX(_xlfn._xlws.SORT(_xlfn.STOCKHISTORY(BB4, (TODAY()-5*365), TODAY(), 1, 0,1), 1, -1), ROW(BB5:BB258), 1),0),0)</f>
        <v>0</v>
      </c>
      <c r="BC5" s="17" cm="1">
        <f t="array" aca="1" ref="BC5" ca="1">IFERROR(IF(BC4&lt;&gt;0,INDEX(_xlfn._xlws.SORT(_xlfn.STOCKHISTORY(BC4, (TODAY()-5*365), TODAY(), 1, 0,1), 1, -1), ROW(BC5:BC258), 1),0),0)</f>
        <v>0</v>
      </c>
      <c r="BD5" s="17" cm="1">
        <f t="array" aca="1" ref="BD5" ca="1">IFERROR(IF(BD4&lt;&gt;0,INDEX(_xlfn._xlws.SORT(_xlfn.STOCKHISTORY(BD4, (TODAY()-5*365), TODAY(), 1, 0,1), 1, -1), ROW(BD5:BD258), 1),0),0)</f>
        <v>0</v>
      </c>
      <c r="BE5" s="17" cm="1">
        <f t="array" aca="1" ref="BE5" ca="1">IFERROR(IF(BE4&lt;&gt;0,INDEX(_xlfn._xlws.SORT(_xlfn.STOCKHISTORY(BE4, (TODAY()-5*365), TODAY(), 1, 0,1), 1, -1), ROW(BE5:BE258), 1),0),0)</f>
        <v>0</v>
      </c>
      <c r="BF5" s="17" cm="1">
        <f t="array" aca="1" ref="BF5" ca="1">IFERROR(IF(BF4&lt;&gt;0,INDEX(_xlfn._xlws.SORT(_xlfn.STOCKHISTORY(BF4, (TODAY()-5*365), TODAY(), 1, 0,1), 1, -1), ROW(BF5:BF258), 1),0),0)</f>
        <v>0</v>
      </c>
      <c r="BG5" s="17" cm="1">
        <f t="array" aca="1" ref="BG5" ca="1">IFERROR(IF(BG4&lt;&gt;0,INDEX(_xlfn._xlws.SORT(_xlfn.STOCKHISTORY(BG4, (TODAY()-5*365), TODAY(), 1, 0,1), 1, -1), ROW(BG5:BG258), 1),0),0)</f>
        <v>0</v>
      </c>
      <c r="BH5" s="17" cm="1">
        <f t="array" aca="1" ref="BH5" ca="1">IFERROR(IF(BH4&lt;&gt;0,INDEX(_xlfn._xlws.SORT(_xlfn.STOCKHISTORY(BH4, (TODAY()-5*365), TODAY(), 1, 0,1), 1, -1), ROW(BH5:BH258), 1),0),0)</f>
        <v>0</v>
      </c>
      <c r="BI5" s="17" cm="1">
        <f t="array" aca="1" ref="BI5" ca="1">IFERROR(IF(BI4&lt;&gt;0,INDEX(_xlfn._xlws.SORT(_xlfn.STOCKHISTORY(BI4, (TODAY()-5*365), TODAY(), 1, 0,1), 1, -1), ROW(BI5:BI258), 1),0),0)</f>
        <v>0</v>
      </c>
      <c r="BJ5" s="17" cm="1">
        <f t="array" aca="1" ref="BJ5" ca="1">IFERROR(IF(BJ4&lt;&gt;0,INDEX(_xlfn._xlws.SORT(_xlfn.STOCKHISTORY(BJ4, (TODAY()-5*365), TODAY(), 1, 0,1), 1, -1), ROW(BJ5:BJ258), 1),0),0)</f>
        <v>0</v>
      </c>
      <c r="BK5" s="17" cm="1">
        <f t="array" aca="1" ref="BK5" ca="1">IFERROR(IF(BK4&lt;&gt;0,INDEX(_xlfn._xlws.SORT(_xlfn.STOCKHISTORY(BK4, (TODAY()-5*365), TODAY(), 1, 0,1), 1, -1), ROW(BK5:BK258), 1),0),0)</f>
        <v>0</v>
      </c>
      <c r="BL5" s="17" cm="1">
        <f t="array" aca="1" ref="BL5" ca="1">IFERROR(IF(BL4&lt;&gt;0,INDEX(_xlfn._xlws.SORT(_xlfn.STOCKHISTORY(BL4, (TODAY()-5*365), TODAY(), 1, 0,1), 1, -1), ROW(BL5:BL258), 1),0),0)</f>
        <v>0</v>
      </c>
      <c r="BM5" s="17" cm="1">
        <f t="array" aca="1" ref="BM5" ca="1">IFERROR(IF(BM4&lt;&gt;0,INDEX(_xlfn._xlws.SORT(_xlfn.STOCKHISTORY(BM4, (TODAY()-5*365), TODAY(), 1, 0,1), 1, -1), ROW(BM5:BM258), 1),0),0)</f>
        <v>0</v>
      </c>
      <c r="BN5" s="17" cm="1">
        <f t="array" aca="1" ref="BN5" ca="1">IFERROR(IF(BN4&lt;&gt;0,INDEX(_xlfn._xlws.SORT(_xlfn.STOCKHISTORY(BN4, (TODAY()-5*365), TODAY(), 1, 0,1), 1, -1), ROW(BN5:BN258), 1),0),0)</f>
        <v>0</v>
      </c>
      <c r="BO5" s="17" cm="1">
        <f t="array" aca="1" ref="BO5" ca="1">IFERROR(IF(BO4&lt;&gt;0,INDEX(_xlfn._xlws.SORT(_xlfn.STOCKHISTORY(BO4, (TODAY()-5*365), TODAY(), 1, 0,1), 1, -1), ROW(BO5:BO258), 1),0),0)</f>
        <v>0</v>
      </c>
      <c r="BP5" s="17" cm="1">
        <f t="array" aca="1" ref="BP5" ca="1">IFERROR(IF(BP4&lt;&gt;0,INDEX(_xlfn._xlws.SORT(_xlfn.STOCKHISTORY(BP4, (TODAY()-5*365), TODAY(), 1, 0,1), 1, -1), ROW(BP5:BP258), 1),0),0)</f>
        <v>0</v>
      </c>
      <c r="BQ5" s="17" cm="1">
        <f t="array" aca="1" ref="BQ5" ca="1">IFERROR(IF(BQ4&lt;&gt;0,INDEX(_xlfn._xlws.SORT(_xlfn.STOCKHISTORY(BQ4, (TODAY()-5*365), TODAY(), 1, 0,1), 1, -1), ROW(BQ5:BQ258), 1),0),0)</f>
        <v>0</v>
      </c>
      <c r="BR5" s="17" cm="1">
        <f t="array" aca="1" ref="BR5" ca="1">IFERROR(IF(BR4&lt;&gt;0,INDEX(_xlfn._xlws.SORT(_xlfn.STOCKHISTORY(BR4, (TODAY()-5*365), TODAY(), 1, 0,1), 1, -1), ROW(BR5:BR258), 1),0),0)</f>
        <v>0</v>
      </c>
      <c r="BS5" s="17" cm="1">
        <f t="array" aca="1" ref="BS5" ca="1">IFERROR(IF(BS4&lt;&gt;0,INDEX(_xlfn._xlws.SORT(_xlfn.STOCKHISTORY(BS4, (TODAY()-5*365), TODAY(), 1, 0,1), 1, -1), ROW(BS5:BS258), 1),0),0)</f>
        <v>0</v>
      </c>
      <c r="BT5" s="17" cm="1">
        <f t="array" aca="1" ref="BT5" ca="1">IFERROR(IF(BT4&lt;&gt;0,INDEX(_xlfn._xlws.SORT(_xlfn.STOCKHISTORY(BT4, (TODAY()-5*365), TODAY(), 1, 0,1), 1, -1), ROW(BT5:BT258), 1),0),0)</f>
        <v>0</v>
      </c>
      <c r="BU5" s="17" cm="1">
        <f t="array" aca="1" ref="BU5" ca="1">IFERROR(IF(BU4&lt;&gt;0,INDEX(_xlfn._xlws.SORT(_xlfn.STOCKHISTORY(BU4, (TODAY()-5*365), TODAY(), 1, 0,1), 1, -1), ROW(BU5:BU258), 1),0),0)</f>
        <v>0</v>
      </c>
      <c r="BV5" s="17" cm="1">
        <f t="array" aca="1" ref="BV5" ca="1">IFERROR(IF(BV4&lt;&gt;0,INDEX(_xlfn._xlws.SORT(_xlfn.STOCKHISTORY(BV4, (TODAY()-5*365), TODAY(), 1, 0,1), 1, -1), ROW(BV5:BV258), 1),0),0)</f>
        <v>0</v>
      </c>
      <c r="BW5" s="17" cm="1">
        <f t="array" aca="1" ref="BW5" ca="1">IFERROR(IF(BW4&lt;&gt;0,INDEX(_xlfn._xlws.SORT(_xlfn.STOCKHISTORY(BW4, (TODAY()-5*365), TODAY(), 1, 0,1), 1, -1), ROW(BW5:BW258), 1),0),0)</f>
        <v>0</v>
      </c>
      <c r="BX5" s="17" cm="1">
        <f t="array" aca="1" ref="BX5" ca="1">IFERROR(IF(BX4&lt;&gt;0,INDEX(_xlfn._xlws.SORT(_xlfn.STOCKHISTORY(BX4, (TODAY()-5*365), TODAY(), 1, 0,1), 1, -1), ROW(BX5:BX258), 1),0),0)</f>
        <v>0</v>
      </c>
      <c r="BY5" s="17" cm="1">
        <f t="array" aca="1" ref="BY5" ca="1">IFERROR(IF(BY4&lt;&gt;0,INDEX(_xlfn._xlws.SORT(_xlfn.STOCKHISTORY(BY4, (TODAY()-5*365), TODAY(), 1, 0,1), 1, -1), ROW(BY5:BY258), 1),0),0)</f>
        <v>0</v>
      </c>
      <c r="BZ5" s="17" cm="1">
        <f t="array" aca="1" ref="BZ5" ca="1">IFERROR(IF(BZ4&lt;&gt;0,INDEX(_xlfn._xlws.SORT(_xlfn.STOCKHISTORY(BZ4, (TODAY()-5*365), TODAY(), 1, 0,1), 1, -1), ROW(BZ5:BZ258), 1),0),0)</f>
        <v>0</v>
      </c>
      <c r="CA5" s="17" cm="1">
        <f t="array" aca="1" ref="CA5" ca="1">IFERROR(IF(CA4&lt;&gt;0,INDEX(_xlfn._xlws.SORT(_xlfn.STOCKHISTORY(CA4, (TODAY()-5*365), TODAY(), 1, 0,1), 1, -1), ROW(CA5:CA258), 1),0),0)</f>
        <v>0</v>
      </c>
      <c r="CB5" s="17" cm="1">
        <f t="array" aca="1" ref="CB5" ca="1">IFERROR(IF(CB4&lt;&gt;0,INDEX(_xlfn._xlws.SORT(_xlfn.STOCKHISTORY(CB4, (TODAY()-5*365), TODAY(), 1, 0,1), 1, -1), ROW(CB5:CB258), 1),0),0)</f>
        <v>0</v>
      </c>
      <c r="CC5" s="17" cm="1">
        <f t="array" aca="1" ref="CC5" ca="1">IFERROR(IF(CC4&lt;&gt;0,INDEX(_xlfn._xlws.SORT(_xlfn.STOCKHISTORY(CC4, (TODAY()-5*365), TODAY(), 1, 0,1), 1, -1), ROW(CC5:CC258), 1),0),0)</f>
        <v>0</v>
      </c>
      <c r="CD5" s="17" cm="1">
        <f t="array" aca="1" ref="CD5" ca="1">IFERROR(IF(CD4&lt;&gt;0,INDEX(_xlfn._xlws.SORT(_xlfn.STOCKHISTORY(CD4, (TODAY()-5*365), TODAY(), 1, 0,1), 1, -1), ROW(CD5:CD258), 1),0),0)</f>
        <v>0</v>
      </c>
      <c r="CE5" s="17" cm="1">
        <f t="array" aca="1" ref="CE5" ca="1">IFERROR(IF(CE4&lt;&gt;0,INDEX(_xlfn._xlws.SORT(_xlfn.STOCKHISTORY(CE4, (TODAY()-5*365), TODAY(), 1, 0,1), 1, -1), ROW(CE5:CE258), 1),0),0)</f>
        <v>0</v>
      </c>
      <c r="CF5" s="17" cm="1">
        <f t="array" aca="1" ref="CF5" ca="1">IFERROR(IF(CF4&lt;&gt;0,INDEX(_xlfn._xlws.SORT(_xlfn.STOCKHISTORY(CF4, (TODAY()-5*365), TODAY(), 1, 0,1), 1, -1), ROW(CF5:CF258), 1),0),0)</f>
        <v>0</v>
      </c>
      <c r="CG5" s="17" cm="1">
        <f t="array" aca="1" ref="CG5" ca="1">IFERROR(IF(CG4&lt;&gt;0,INDEX(_xlfn._xlws.SORT(_xlfn.STOCKHISTORY(CG4, (TODAY()-5*365), TODAY(), 1, 0,1), 1, -1), ROW(CG5:CG258), 1),0),0)</f>
        <v>0</v>
      </c>
      <c r="CH5" s="17" cm="1">
        <f t="array" aca="1" ref="CH5" ca="1">IFERROR(IF(CH4&lt;&gt;0,INDEX(_xlfn._xlws.SORT(_xlfn.STOCKHISTORY(CH4, (TODAY()-5*365), TODAY(), 1, 0,1), 1, -1), ROW(CH5:CH258), 1),0),0)</f>
        <v>0</v>
      </c>
      <c r="CI5" s="17" cm="1">
        <f t="array" aca="1" ref="CI5" ca="1">IFERROR(IF(CI4&lt;&gt;0,INDEX(_xlfn._xlws.SORT(_xlfn.STOCKHISTORY(CI4, (TODAY()-5*365), TODAY(), 1, 0,1), 1, -1), ROW(CI5:CI258), 1),0),0)</f>
        <v>0</v>
      </c>
      <c r="CJ5" s="17" cm="1">
        <f t="array" aca="1" ref="CJ5" ca="1">IFERROR(IF(CJ4&lt;&gt;0,INDEX(_xlfn._xlws.SORT(_xlfn.STOCKHISTORY(CJ4, (TODAY()-5*365), TODAY(), 1, 0,1), 1, -1), ROW(CJ5:CJ258), 1),0),0)</f>
        <v>0</v>
      </c>
      <c r="CK5" s="17" cm="1">
        <f t="array" aca="1" ref="CK5" ca="1">IFERROR(IF(CK4&lt;&gt;0,INDEX(_xlfn._xlws.SORT(_xlfn.STOCKHISTORY(CK4, (TODAY()-5*365), TODAY(), 1, 0,1), 1, -1), ROW(CK5:CK258), 1),0),0)</f>
        <v>0</v>
      </c>
      <c r="CL5" s="17" cm="1">
        <f t="array" aca="1" ref="CL5" ca="1">IFERROR(IF(CL4&lt;&gt;0,INDEX(_xlfn._xlws.SORT(_xlfn.STOCKHISTORY(CL4, (TODAY()-5*365), TODAY(), 1, 0,1), 1, -1), ROW(CL5:CL258), 1),0),0)</f>
        <v>0</v>
      </c>
      <c r="CM5" s="17" cm="1">
        <f t="array" aca="1" ref="CM5" ca="1">IFERROR(IF(CM4&lt;&gt;0,INDEX(_xlfn._xlws.SORT(_xlfn.STOCKHISTORY(CM4, (TODAY()-5*365), TODAY(), 1, 0,1), 1, -1), ROW(CM5:CM258), 1),0),0)</f>
        <v>0</v>
      </c>
      <c r="CN5" s="17" cm="1">
        <f t="array" aca="1" ref="CN5" ca="1">IFERROR(IF(CN4&lt;&gt;0,INDEX(_xlfn._xlws.SORT(_xlfn.STOCKHISTORY(CN4, (TODAY()-5*365), TODAY(), 1, 0,1), 1, -1), ROW(CN5:CN258), 1),0),0)</f>
        <v>0</v>
      </c>
      <c r="CO5" s="17" cm="1">
        <f t="array" aca="1" ref="CO5" ca="1">IFERROR(IF(CO4&lt;&gt;0,INDEX(_xlfn._xlws.SORT(_xlfn.STOCKHISTORY(CO4, (TODAY()-5*365), TODAY(), 1, 0,1), 1, -1), ROW(CO5:CO258), 1),0),0)</f>
        <v>0</v>
      </c>
      <c r="CP5" s="17" cm="1">
        <f t="array" aca="1" ref="CP5" ca="1">IFERROR(IF(CP4&lt;&gt;0,INDEX(_xlfn._xlws.SORT(_xlfn.STOCKHISTORY(CP4, (TODAY()-5*365), TODAY(), 1, 0,1), 1, -1), ROW(CP5:CP258), 1),0),0)</f>
        <v>0</v>
      </c>
      <c r="CQ5" s="17" cm="1">
        <f t="array" aca="1" ref="CQ5" ca="1">IFERROR(IF(CQ4&lt;&gt;0,INDEX(_xlfn._xlws.SORT(_xlfn.STOCKHISTORY(CQ4, (TODAY()-5*365), TODAY(), 1, 0,1), 1, -1), ROW(CQ5:CQ258), 1),0),0)</f>
        <v>0</v>
      </c>
      <c r="CR5" s="17" cm="1">
        <f t="array" aca="1" ref="CR5" ca="1">IFERROR(IF(CR4&lt;&gt;0,INDEX(_xlfn._xlws.SORT(_xlfn.STOCKHISTORY(CR4, (TODAY()-5*365), TODAY(), 1, 0,1), 1, -1), ROW(CR5:CR258), 1),0),0)</f>
        <v>0</v>
      </c>
      <c r="CS5" s="17" cm="1">
        <f t="array" aca="1" ref="CS5" ca="1">IFERROR(IF(CS4&lt;&gt;0,INDEX(_xlfn._xlws.SORT(_xlfn.STOCKHISTORY(CS4, (TODAY()-5*365), TODAY(), 1, 0,1), 1, -1), ROW(CS5:CS258), 1),0),0)</f>
        <v>0</v>
      </c>
      <c r="CT5" s="17" cm="1">
        <f t="array" aca="1" ref="CT5" ca="1">IFERROR(IF(CT4&lt;&gt;0,INDEX(_xlfn._xlws.SORT(_xlfn.STOCKHISTORY(CT4, (TODAY()-5*365), TODAY(), 1, 0,1), 1, -1), ROW(CT5:CT258), 1),0),0)</f>
        <v>0</v>
      </c>
      <c r="CU5" s="17" cm="1">
        <f t="array" aca="1" ref="CU5" ca="1">IFERROR(IF(CU4&lt;&gt;0,INDEX(_xlfn._xlws.SORT(_xlfn.STOCKHISTORY(CU4, (TODAY()-5*365), TODAY(), 1, 0,1), 1, -1), ROW(CU5:CU258), 1),0),0)</f>
        <v>0</v>
      </c>
      <c r="CV5" s="17" cm="1">
        <f t="array" aca="1" ref="CV5" ca="1">IFERROR(IF(CV4&lt;&gt;0,INDEX(_xlfn._xlws.SORT(_xlfn.STOCKHISTORY(CV4, (TODAY()-5*365), TODAY(), 1, 0,1), 1, -1), ROW(CV5:CV258), 1),0),0)</f>
        <v>0</v>
      </c>
      <c r="CW5" s="17" cm="1">
        <f t="array" aca="1" ref="CW5" ca="1">IFERROR(IF(CW4&lt;&gt;0,INDEX(_xlfn._xlws.SORT(_xlfn.STOCKHISTORY(CW4, (TODAY()-5*365), TODAY(), 1, 0,1), 1, -1), ROW(CW5:CW258), 1),0),0)</f>
        <v>0</v>
      </c>
      <c r="CX5" s="17" cm="1">
        <f t="array" aca="1" ref="CX5" ca="1">IFERROR(IF(CX4&lt;&gt;0,INDEX(_xlfn._xlws.SORT(_xlfn.STOCKHISTORY(CX4, (TODAY()-5*365), TODAY(), 1, 0,1), 1, -1), ROW(CX5:CX258), 1),0),0)</f>
        <v>0</v>
      </c>
      <c r="CY5" s="17" cm="1">
        <f t="array" aca="1" ref="CY5" ca="1">IFERROR(IF(CY4&lt;&gt;0,INDEX(_xlfn._xlws.SORT(_xlfn.STOCKHISTORY(CY4, (TODAY()-5*365), TODAY(), 1, 0,1), 1, -1), ROW(CY5:CY258), 1),0),0)</f>
        <v>0</v>
      </c>
      <c r="DB5" s="50" t="s">
        <v>215</v>
      </c>
      <c r="DC5" s="2" t="str">
        <f>Returns!B6</f>
        <v>AMZN</v>
      </c>
      <c r="DD5" s="2" t="s">
        <v>1310</v>
      </c>
      <c r="DF5" s="8" t="s">
        <v>217</v>
      </c>
      <c r="DH5" s="8" t="s">
        <v>202</v>
      </c>
      <c r="DI5" s="8">
        <v>0</v>
      </c>
      <c r="DJ5" s="20">
        <f ca="1">Returns!B3-7</f>
        <v>45714</v>
      </c>
    </row>
    <row r="6" spans="1:114" x14ac:dyDescent="0.3">
      <c r="B6" s="55" vm="2">
        <f ca="1"/>
        <v>44303.4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DB6" s="2" vm="3">
        <f ca="1">IF(Returns!A10&lt;&gt;0,Returns!A10,"")</f>
        <v>40238</v>
      </c>
      <c r="DC6" s="11">
        <f ca="1">IF(Returns!B11&gt;0,Returns!B11/Returns!B10-1,"")</f>
        <v>2.2573888759599647E-2</v>
      </c>
      <c r="DD6" s="11">
        <f ca="1">IF(Returns!D11&gt;0,Returns!D11/Returns!D10-1,"")</f>
        <v>5.5360502729204786E-3</v>
      </c>
      <c r="DF6" s="8" t="s">
        <v>214</v>
      </c>
      <c r="DH6" s="8" t="s">
        <v>203</v>
      </c>
      <c r="DI6" s="8">
        <v>1</v>
      </c>
      <c r="DJ6" s="20">
        <f ca="1">EDATE(Returns!$B$3,-DI6)</f>
        <v>45693</v>
      </c>
    </row>
    <row r="7" spans="1:114" x14ac:dyDescent="0.3">
      <c r="B7" s="55" vm="4">
        <f ca="1"/>
        <v>44296.51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DB7" s="2" vm="5">
        <f ca="1">IF(Returns!A11&lt;&gt;0,Returns!A11,"")</f>
        <v>40245</v>
      </c>
      <c r="DC7" s="11">
        <f ca="1">IF(Returns!B12&gt;0,Returns!B12/Returns!B11-1,"")</f>
        <v>-1.1151570323167936E-2</v>
      </c>
      <c r="DD7" s="11">
        <f ca="1">IF(Returns!D12&gt;0,Returns!D12/Returns!D11-1,"")</f>
        <v>1.1039585484846626E-2</v>
      </c>
      <c r="DF7" s="8" t="s">
        <v>1283</v>
      </c>
      <c r="DH7" s="8" t="s">
        <v>204</v>
      </c>
      <c r="DI7" s="8">
        <v>6</v>
      </c>
      <c r="DJ7" s="20">
        <f ca="1">EDATE(Returns!$B$3,-DI7)</f>
        <v>45540</v>
      </c>
    </row>
    <row r="8" spans="1:114" x14ac:dyDescent="0.3">
      <c r="B8" s="55" vm="6">
        <f ca="1"/>
        <v>43988.99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DB8" s="2" vm="7">
        <f ca="1">IF(Returns!A12&lt;&gt;0,Returns!A12,"")</f>
        <v>40252</v>
      </c>
      <c r="DC8" s="11">
        <f ca="1">IF(Returns!B13&gt;0,Returns!B13/Returns!B12-1,"")</f>
        <v>3.6133486766398271E-2</v>
      </c>
      <c r="DD8" s="11">
        <f ca="1">IF(Returns!D13&gt;0,Returns!D13/Returns!D12-1,"")</f>
        <v>1.0088852668807435E-2</v>
      </c>
      <c r="DF8" s="8" t="s">
        <v>1321</v>
      </c>
      <c r="DH8" s="8" t="s">
        <v>205</v>
      </c>
      <c r="DI8" s="8">
        <v>12</v>
      </c>
      <c r="DJ8" s="20">
        <f ca="1">EDATE(Returns!$B$3,-DI8)</f>
        <v>45356</v>
      </c>
    </row>
    <row r="9" spans="1:114" x14ac:dyDescent="0.3">
      <c r="B9" s="55" vm="8">
        <f ca="1"/>
        <v>43840.91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DB9" s="2" vm="9">
        <f ca="1">IF(Returns!A13&lt;&gt;0,Returns!A13,"")</f>
        <v>40259</v>
      </c>
      <c r="DC9" s="11">
        <f ca="1">IF(Returns!B14&gt;0,Returns!B14/Returns!B13-1,"")</f>
        <v>-2.406337923885693E-2</v>
      </c>
      <c r="DD9" s="11">
        <f ca="1">IF(Returns!D14&gt;0,Returns!D14/Returns!D13-1,"")</f>
        <v>7.0696739810145459E-3</v>
      </c>
      <c r="DH9" s="8" t="s">
        <v>206</v>
      </c>
      <c r="DI9" s="8">
        <v>18</v>
      </c>
      <c r="DJ9" s="20">
        <f ca="1">EDATE(Returns!$B$3,-DI9)</f>
        <v>45174</v>
      </c>
    </row>
    <row r="10" spans="1:114" x14ac:dyDescent="0.3">
      <c r="B10" s="55" vm="10">
        <f ca="1"/>
        <v>43828.06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DB10" s="2" vm="11">
        <f ca="1">IF(Returns!A14&lt;&gt;0,Returns!A14,"")</f>
        <v>40266</v>
      </c>
      <c r="DC10" s="11">
        <f ca="1">IF(Returns!B15&gt;0,Returns!B15/Returns!B14-1,"")</f>
        <v>6.2590091798801373E-2</v>
      </c>
      <c r="DD10" s="11">
        <f ca="1">IF(Returns!D15&gt;0,Returns!D15/Returns!D14-1,"")</f>
        <v>6.4321649558050087E-3</v>
      </c>
      <c r="DH10" s="8" t="s">
        <v>207</v>
      </c>
      <c r="DI10" s="8">
        <v>24</v>
      </c>
      <c r="DJ10" s="20">
        <f ca="1">EDATE(Returns!$B$3,-DI10)</f>
        <v>44990</v>
      </c>
    </row>
    <row r="11" spans="1:114" x14ac:dyDescent="0.3">
      <c r="B11" s="55" vm="12">
        <f ca="1"/>
        <v>43487.83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DB11" s="2" vm="13">
        <f ca="1">IF(Returns!A15&lt;&gt;0,Returns!A15,"")</f>
        <v>40273</v>
      </c>
      <c r="DC11" s="11">
        <f ca="1">IF(Returns!B16&gt;0,Returns!B16/Returns!B15-1,"")</f>
        <v>1.50792517492504E-2</v>
      </c>
      <c r="DD11" s="11">
        <f ca="1">IF(Returns!D16&gt;0,Returns!D16/Returns!D15-1,"")</f>
        <v>1.9379301313813269E-3</v>
      </c>
      <c r="DH11" s="8" t="s">
        <v>208</v>
      </c>
      <c r="DI11" s="8">
        <v>30</v>
      </c>
      <c r="DJ11" s="20">
        <f ca="1">EDATE(Returns!$B$3,-DI11)</f>
        <v>44809</v>
      </c>
    </row>
    <row r="12" spans="1:114" x14ac:dyDescent="0.3">
      <c r="B12" s="55" vm="14">
        <f ca="1"/>
        <v>43444.99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DB12" s="2" vm="15">
        <f ca="1">IF(Returns!A16&lt;&gt;0,Returns!A16,"")</f>
        <v>40280</v>
      </c>
      <c r="DC12" s="11">
        <f ca="1">IF(Returns!B17&gt;0,Returns!B17/Returns!B16-1,"")</f>
        <v>1.0255183861801243E-2</v>
      </c>
      <c r="DD12" s="11">
        <f ca="1">IF(Returns!D17&gt;0,Returns!D17/Returns!D16-1,"")</f>
        <v>1.6845217953007419E-2</v>
      </c>
      <c r="DH12" s="8" t="s">
        <v>209</v>
      </c>
      <c r="DI12" s="8">
        <v>36</v>
      </c>
      <c r="DJ12" s="20">
        <f ca="1">EDATE(Returns!$B$3,-DI12)</f>
        <v>44625</v>
      </c>
    </row>
    <row r="13" spans="1:114" x14ac:dyDescent="0.3">
      <c r="B13" s="55" vm="16">
        <f ca="1"/>
        <v>43428.02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DB13" s="2" vm="17">
        <f ca="1">IF(Returns!A17&lt;&gt;0,Returns!A17,"")</f>
        <v>40287</v>
      </c>
      <c r="DC13" s="11">
        <f ca="1">IF(Returns!B18&gt;0,Returns!B18/Returns!B17-1,"")</f>
        <v>-4.5464039546055712E-2</v>
      </c>
      <c r="DD13" s="11">
        <f ca="1">IF(Returns!D18&gt;0,Returns!D18/Returns!D17-1,"")</f>
        <v>-1.7463270272885079E-2</v>
      </c>
      <c r="DH13" s="8" t="s">
        <v>210</v>
      </c>
      <c r="DI13" s="8">
        <v>60</v>
      </c>
      <c r="DJ13" s="20">
        <f ca="1">EDATE(Returns!$B$3,-DI13)</f>
        <v>43895</v>
      </c>
    </row>
    <row r="14" spans="1:114" x14ac:dyDescent="0.3">
      <c r="B14" s="55" vm="18">
        <f ca="1"/>
        <v>43275.91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DB14" s="2" vm="19">
        <f ca="1">IF(Returns!A18&lt;&gt;0,Returns!A18,"")</f>
        <v>40294</v>
      </c>
      <c r="DC14" s="11">
        <f ca="1">IF(Returns!B19&gt;0,Returns!B19/Returns!B18-1,"")</f>
        <v>-8.8402625820569014E-2</v>
      </c>
      <c r="DD14" s="11">
        <f ca="1">IF(Returns!D19&gt;0,Returns!D19/Returns!D18-1,"")</f>
        <v>-5.7062439847665791E-2</v>
      </c>
      <c r="DH14" s="8" t="s">
        <v>211</v>
      </c>
      <c r="DI14" s="8">
        <v>120</v>
      </c>
      <c r="DJ14" s="20">
        <f ca="1">EDATE(Returns!$B$3,-DI14)</f>
        <v>42068</v>
      </c>
    </row>
    <row r="15" spans="1:114" x14ac:dyDescent="0.3">
      <c r="B15" s="55" vm="20">
        <f ca="1"/>
        <v>42992.21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DB15" s="2" vm="21">
        <f ca="1">IF(Returns!A19&lt;&gt;0,Returns!A19,"")</f>
        <v>40301</v>
      </c>
      <c r="DC15" s="11">
        <f ca="1">IF(Returns!B20&gt;0,Returns!B20/Returns!B19-1,"")</f>
        <v>2.8420547287566045E-2</v>
      </c>
      <c r="DD15" s="11">
        <f ca="1">IF(Returns!D20&gt;0,Returns!D20/Returns!D19-1,"")</f>
        <v>2.3093783050158301E-2</v>
      </c>
      <c r="DH15" s="8" t="s">
        <v>212</v>
      </c>
      <c r="DI15" s="8">
        <f>DI14+DI11</f>
        <v>150</v>
      </c>
      <c r="DJ15" s="20">
        <f ca="1">EDATE(Returns!$B$3,-DI15)</f>
        <v>41157</v>
      </c>
    </row>
    <row r="16" spans="1:114" x14ac:dyDescent="0.3">
      <c r="B16" s="55" vm="22">
        <f ca="1"/>
        <v>42863.86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DB16" s="2" vm="23">
        <f ca="1">IF(Returns!A20&lt;&gt;0,Returns!A20,"")</f>
        <v>40308</v>
      </c>
      <c r="DC16" s="11">
        <f ca="1">IF(Returns!B21&gt;0,Returns!B21/Returns!B20-1,"")</f>
        <v>-4.5218311393271593E-2</v>
      </c>
      <c r="DD16" s="11">
        <f ca="1">IF(Returns!D21&gt;0,Returns!D21/Returns!D20-1,"")</f>
        <v>-4.0185023991027524E-2</v>
      </c>
      <c r="DH16" s="8" t="s">
        <v>213</v>
      </c>
      <c r="DI16" s="8">
        <f>DI15+DI11</f>
        <v>180</v>
      </c>
      <c r="DJ16" s="20">
        <f ca="1">EDATE(Returns!$B$3,-DI16)</f>
        <v>40242</v>
      </c>
    </row>
    <row r="17" spans="2:116" x14ac:dyDescent="0.3">
      <c r="B17" s="55" vm="24">
        <f ca="1"/>
        <v>42840.26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DB17" s="2" vm="25">
        <f ca="1">IF(Returns!A21&lt;&gt;0,Returns!A21,"")</f>
        <v>40315</v>
      </c>
      <c r="DC17" s="11">
        <f ca="1">IF(Returns!B22&gt;0,Returns!B22/Returns!B21-1,"")</f>
        <v>2.2327249022164208E-2</v>
      </c>
      <c r="DD17" s="11">
        <f ca="1">IF(Returns!D22&gt;0,Returns!D22/Returns!D21-1,"")</f>
        <v>-5.5679924864224795E-3</v>
      </c>
    </row>
    <row r="18" spans="2:116" x14ac:dyDescent="0.3">
      <c r="B18" s="55" vm="26">
        <f ca="1"/>
        <v>42732.13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DB18" s="2" vm="27">
        <f ca="1">IF(Returns!A22&lt;&gt;0,Returns!A22,"")</f>
        <v>40322</v>
      </c>
      <c r="DC18" s="11">
        <f ca="1">IF(Returns!B23&gt;0,Returns!B23/Returns!B22-1,"")</f>
        <v>-2.1441096763908818E-2</v>
      </c>
      <c r="DD18" s="11">
        <f ca="1">IF(Returns!D23&gt;0,Returns!D23/Returns!D22-1,"")</f>
        <v>-2.0189816735836419E-2</v>
      </c>
    </row>
    <row r="19" spans="2:116" x14ac:dyDescent="0.3">
      <c r="B19" s="55" vm="28">
        <f ca="1"/>
        <v>42520.99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DB19" s="2" vm="29">
        <f ca="1">IF(Returns!A23&lt;&gt;0,Returns!A23,"")</f>
        <v>40330</v>
      </c>
      <c r="DC19" s="11">
        <f ca="1">IF(Returns!B24&gt;0,Returns!B24/Returns!B23-1,"")</f>
        <v>2.1177812169097532E-3</v>
      </c>
      <c r="DD19" s="11">
        <f ca="1">IF(Returns!D24&gt;0,Returns!D24/Returns!D23-1,"")</f>
        <v>2.8100961851165618E-2</v>
      </c>
    </row>
    <row r="20" spans="2:116" x14ac:dyDescent="0.3">
      <c r="B20" s="55" vm="30">
        <f ca="1"/>
        <v>42352.75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DB20" s="2" vm="31">
        <f ca="1">IF(Returns!A24&lt;&gt;0,Returns!A24,"")</f>
        <v>40336</v>
      </c>
      <c r="DC20" s="11">
        <f ca="1">IF(Returns!B25&gt;0,Returns!B25/Returns!B24-1,"")</f>
        <v>2.2758676745509243E-2</v>
      </c>
      <c r="DD20" s="11">
        <f ca="1">IF(Returns!D25&gt;0,Returns!D25/Returns!D24-1,"")</f>
        <v>2.3462014445653878E-2</v>
      </c>
    </row>
    <row r="21" spans="2:116" x14ac:dyDescent="0.3">
      <c r="B21" s="55" vm="32">
        <f ca="1"/>
        <v>42313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DB21" s="2" vm="33">
        <f ca="1">IF(Returns!A25&lt;&gt;0,Returns!A25,"")</f>
        <v>40343</v>
      </c>
      <c r="DC21" s="11">
        <f ca="1">IF(Returns!B26&gt;0,Returns!B26/Returns!B25-1,"")</f>
        <v>-3.8385122784709624E-2</v>
      </c>
      <c r="DD21" s="11">
        <f ca="1">IF(Returns!D26&gt;0,Returns!D26/Returns!D25-1,"")</f>
        <v>-2.936029728695666E-2</v>
      </c>
    </row>
    <row r="22" spans="2:116" x14ac:dyDescent="0.3">
      <c r="B22" s="55" vm="34">
        <f ca="1"/>
        <v>42114.400000000001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DB22" s="2" vm="35">
        <f ca="1">IF(Returns!A26&lt;&gt;0,Returns!A26,"")</f>
        <v>40350</v>
      </c>
      <c r="DC22" s="11">
        <f ca="1">IF(Returns!B27&gt;0,Returns!B27/Returns!B26-1,"")</f>
        <v>-9.801652892561985E-2</v>
      </c>
      <c r="DD22" s="11">
        <f ca="1">IF(Returns!D27&gt;0,Returns!D27/Returns!D26-1,"")</f>
        <v>-4.5084364015313905E-2</v>
      </c>
      <c r="DF22" s="71" t="s">
        <v>1355</v>
      </c>
      <c r="DG22" s="71"/>
      <c r="DH22" s="71"/>
      <c r="DI22" s="71"/>
    </row>
    <row r="23" spans="2:116" x14ac:dyDescent="0.3">
      <c r="B23" s="55" vm="36">
        <f ca="1"/>
        <v>42063.360000000001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DB23" s="2" vm="37">
        <f ca="1">IF(Returns!A27&lt;&gt;0,Returns!A27,"")</f>
        <v>40357</v>
      </c>
      <c r="DC23" s="11">
        <f ca="1">IF(Returns!B28&gt;0,Returns!B28/Returns!B27-1,"")</f>
        <v>7.4399853399303773E-2</v>
      </c>
      <c r="DD23" s="11">
        <f ca="1">IF(Returns!D28&gt;0,Returns!D28/Returns!D27-1,"")</f>
        <v>5.2810058817740257E-2</v>
      </c>
    </row>
    <row r="24" spans="2:116" x14ac:dyDescent="0.3">
      <c r="B24" s="55" vm="38">
        <f ca="1"/>
        <v>42052.19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DB24" s="2" vm="39">
        <f ca="1">IF(Returns!A28&lt;&gt;0,Returns!A28,"")</f>
        <v>40365</v>
      </c>
      <c r="DC24" s="11">
        <f ca="1">IF(Returns!B29&gt;0,Returns!B29/Returns!B28-1,"")</f>
        <v>1.0489510489510412E-2</v>
      </c>
      <c r="DD24" s="11">
        <f ca="1">IF(Returns!D29&gt;0,Returns!D29/Returns!D28-1,"")</f>
        <v>-9.8184785957595722E-3</v>
      </c>
    </row>
    <row r="25" spans="2:116" x14ac:dyDescent="0.3">
      <c r="B25" s="55" vm="40">
        <f ca="1"/>
        <v>41938.449999999997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DB25" s="2" vm="41">
        <f ca="1">IF(Returns!A29&lt;&gt;0,Returns!A29,"")</f>
        <v>40371</v>
      </c>
      <c r="DC25" s="11">
        <f ca="1">IF(Returns!B30&gt;0,Returns!B30/Returns!B29-1,"")</f>
        <v>3.2070216895940806E-3</v>
      </c>
      <c r="DD25" s="11">
        <f ca="1">IF(Returns!D30&gt;0,Returns!D30/Returns!D29-1,"")</f>
        <v>3.2355747264561696E-2</v>
      </c>
    </row>
    <row r="26" spans="2:116" x14ac:dyDescent="0.3">
      <c r="B26" s="55" vm="42">
        <f ca="1"/>
        <v>41563.08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DB26" s="2" vm="43">
        <f ca="1">IF(Returns!A30&lt;&gt;0,Returns!A30,"")</f>
        <v>40378</v>
      </c>
      <c r="DC26" s="11">
        <f ca="1">IF(Returns!B31&gt;0,Returns!B31/Returns!B30-1,"")</f>
        <v>-8.2443004963406175E-3</v>
      </c>
      <c r="DD26" s="11">
        <f ca="1">IF(Returns!D31&gt;0,Returns!D31/Returns!D30-1,"")</f>
        <v>3.963980698427072E-3</v>
      </c>
    </row>
    <row r="27" spans="2:116" x14ac:dyDescent="0.3">
      <c r="B27" s="55" vm="44">
        <f ca="1"/>
        <v>41393.78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DB27" s="2" vm="45">
        <f ca="1">IF(Returns!A31&lt;&gt;0,Returns!A31,"")</f>
        <v>40385</v>
      </c>
      <c r="DC27" s="11">
        <f ca="1">IF(Returns!B32&gt;0,Returns!B32/Returns!B31-1,"")</f>
        <v>8.8472304690813575E-2</v>
      </c>
      <c r="DD27" s="11">
        <f ca="1">IF(Returns!D32&gt;0,Returns!D32/Returns!D31-1,"")</f>
        <v>1.7926618360087021E-2</v>
      </c>
    </row>
    <row r="28" spans="2:116" x14ac:dyDescent="0.3">
      <c r="B28" s="55" vm="46">
        <f ca="1"/>
        <v>41175.08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DB28" s="2" vm="47">
        <f ca="1">IF(Returns!A32&lt;&gt;0,Returns!A32,"")</f>
        <v>40392</v>
      </c>
      <c r="DC28" s="11">
        <f ca="1">IF(Returns!B33&gt;0,Returns!B33/Returns!B32-1,"")</f>
        <v>-2.8288653366583594E-2</v>
      </c>
      <c r="DD28" s="11">
        <f ca="1">IF(Returns!D33&gt;0,Returns!D33/Returns!D32-1,"")</f>
        <v>-3.28916973971497E-2</v>
      </c>
    </row>
    <row r="29" spans="2:116" ht="20.399999999999999" thickBot="1" x14ac:dyDescent="0.45">
      <c r="B29" s="56" vm="48">
        <f ca="1"/>
        <v>40659.760000000002</v>
      </c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DB29" s="2" vm="49">
        <f ca="1">IF(Returns!A33&lt;&gt;0,Returns!A33,"")</f>
        <v>40399</v>
      </c>
      <c r="DC29" s="11">
        <f ca="1">IF(Returns!B34&gt;0,Returns!B34/Returns!B33-1,"")</f>
        <v>2.462106022936883E-2</v>
      </c>
      <c r="DD29" s="11">
        <f ca="1">IF(Returns!D34&gt;0,Returns!D34/Returns!D33-1,"")</f>
        <v>-8.6899054299908185E-3</v>
      </c>
      <c r="DL29" s="69" t="s">
        <v>1370</v>
      </c>
    </row>
    <row r="30" spans="2:116" x14ac:dyDescent="0.3">
      <c r="B30" s="55" vm="50">
        <f ca="1"/>
        <v>40589.337200000002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DB30" s="2" vm="51">
        <f ca="1">IF(Returns!A34&lt;&gt;0,Returns!A34,"")</f>
        <v>40406</v>
      </c>
      <c r="DC30" s="11">
        <f ca="1">IF(Returns!B35&gt;0,Returns!B35/Returns!B34-1,"")</f>
        <v>-8.7664370695053062E-3</v>
      </c>
      <c r="DD30" s="11">
        <f ca="1">IF(Returns!D35&gt;0,Returns!D35/Returns!D34-1,"")</f>
        <v>-6.1651520562741036E-3</v>
      </c>
    </row>
    <row r="31" spans="2:116" x14ac:dyDescent="0.3">
      <c r="B31" s="55" vm="52">
        <f ca="1"/>
        <v>40345.410000000003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DB31" s="2" vm="53">
        <f ca="1">IF(Returns!A35&lt;&gt;0,Returns!A35,"")</f>
        <v>40413</v>
      </c>
      <c r="DC31" s="11">
        <f ca="1">IF(Returns!B36&gt;0,Returns!B36/Returns!B35-1,"")</f>
        <v>9.5941250789639998E-2</v>
      </c>
      <c r="DD31" s="11">
        <f ca="1">IF(Returns!D36&gt;0,Returns!D36/Returns!D35-1,"")</f>
        <v>2.9287203550212748E-2</v>
      </c>
    </row>
    <row r="32" spans="2:116" x14ac:dyDescent="0.3">
      <c r="B32" s="55" vm="54">
        <f ca="1"/>
        <v>40287.529900000001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DB32" s="2" vm="55">
        <f ca="1">IF(Returns!A36&lt;&gt;0,Returns!A36,"")</f>
        <v>40420</v>
      </c>
      <c r="DC32" s="11">
        <f ca="1">IF(Returns!B37&gt;0,Returns!B37/Returns!B36-1,"")</f>
        <v>2.6298724691980802E-2</v>
      </c>
      <c r="DD32" s="11">
        <f ca="1">IF(Returns!D37&gt;0,Returns!D37/Returns!D36-1,"")</f>
        <v>1.4198024617750882E-3</v>
      </c>
    </row>
    <row r="33" spans="2:108" x14ac:dyDescent="0.3">
      <c r="B33" s="55" vm="56">
        <f ca="1"/>
        <v>40003.591899999999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DB33" s="2" vm="57">
        <f ca="1">IF(Returns!A37&lt;&gt;0,Returns!A37,"")</f>
        <v>40428</v>
      </c>
      <c r="DC33" s="11">
        <f ca="1">IF(Returns!B38&gt;0,Returns!B38/Returns!B37-1,"")</f>
        <v>4.1322662173546743E-2</v>
      </c>
      <c r="DD33" s="11">
        <f ca="1">IF(Returns!D38&gt;0,Returns!D38/Returns!D37-1,"")</f>
        <v>1.386678205743741E-2</v>
      </c>
    </row>
    <row r="34" spans="2:108" x14ac:dyDescent="0.3">
      <c r="B34" s="55" vm="58">
        <f ca="1"/>
        <v>40000.898399999998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DB34" s="2" vm="59">
        <f ca="1">IF(Returns!A38&lt;&gt;0,Returns!A38,"")</f>
        <v>40434</v>
      </c>
      <c r="DC34" s="11">
        <f ca="1">IF(Returns!B39&gt;0,Returns!B39/Returns!B38-1,"")</f>
        <v>8.3626606259185943E-2</v>
      </c>
      <c r="DD34" s="11">
        <f ca="1">IF(Returns!D39&gt;0,Returns!D39/Returns!D38-1,"")</f>
        <v>2.3794064909206325E-2</v>
      </c>
    </row>
    <row r="35" spans="2:108" x14ac:dyDescent="0.3">
      <c r="B35" s="55" vm="60">
        <f ca="1"/>
        <v>39807.374499999998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DB35" s="2" vm="61">
        <f ca="1">IF(Returns!A39&lt;&gt;0,Returns!A39,"")</f>
        <v>40441</v>
      </c>
      <c r="DC35" s="11">
        <f ca="1">IF(Returns!B40&gt;0,Returns!B40/Returns!B39-1,"")</f>
        <v>-4.3675729484228154E-2</v>
      </c>
      <c r="DD35" s="11">
        <f ca="1">IF(Returns!D40&gt;0,Returns!D40/Returns!D39-1,"")</f>
        <v>-2.8154126876817065E-3</v>
      </c>
    </row>
    <row r="36" spans="2:108" x14ac:dyDescent="0.3">
      <c r="B36" s="55" vm="62">
        <f ca="1"/>
        <v>39737.260399999999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DB36" s="2" vm="63">
        <f ca="1">IF(Returns!A40&lt;&gt;0,Returns!A40,"")</f>
        <v>40448</v>
      </c>
      <c r="DC36" s="11">
        <f ca="1">IF(Returns!B41&gt;0,Returns!B41/Returns!B40-1,"")</f>
        <v>1.1970593975668464E-2</v>
      </c>
      <c r="DD36" s="11">
        <f ca="1">IF(Returns!D41&gt;0,Returns!D41/Returns!D40-1,"")</f>
        <v>1.6325165316534385E-2</v>
      </c>
    </row>
    <row r="37" spans="2:108" x14ac:dyDescent="0.3">
      <c r="B37" s="55" vm="64">
        <f ca="1"/>
        <v>39512.843000000001</v>
      </c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DB37" s="2" vm="65">
        <f ca="1">IF(Returns!A41&lt;&gt;0,Returns!A41,"")</f>
        <v>40455</v>
      </c>
      <c r="DC37" s="11">
        <f ca="1">IF(Returns!B42&gt;0,Returns!B42/Returns!B41-1,"")</f>
        <v>5.8437801350048169E-2</v>
      </c>
      <c r="DD37" s="11">
        <f ca="1">IF(Returns!D42&gt;0,Returns!D42/Returns!D41-1,"")</f>
        <v>5.1159338902981855E-3</v>
      </c>
    </row>
    <row r="38" spans="2:108" x14ac:dyDescent="0.3">
      <c r="B38" s="55" vm="66">
        <f ca="1"/>
        <v>39497.54</v>
      </c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DB38" s="2" vm="67">
        <f ca="1">IF(Returns!A42&lt;&gt;0,Returns!A42,"")</f>
        <v>40462</v>
      </c>
      <c r="DC38" s="11">
        <f ca="1">IF(Returns!B43&gt;0,Returns!B43/Returns!B42-1,"")</f>
        <v>2.7271622934888384E-2</v>
      </c>
      <c r="DD38" s="11">
        <f ca="1">IF(Returns!D43&gt;0,Returns!D43/Returns!D42-1,"")</f>
        <v>6.3076348496264867E-3</v>
      </c>
    </row>
    <row r="39" spans="2:108" x14ac:dyDescent="0.3">
      <c r="B39" s="55" vm="68">
        <f ca="1"/>
        <v>39475.904000000002</v>
      </c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DB39" s="2" vm="69">
        <f ca="1">IF(Returns!A43&lt;&gt;0,Returns!A43,"")</f>
        <v>40469</v>
      </c>
      <c r="DC39" s="11">
        <f ca="1">IF(Returns!B44&gt;0,Returns!B44/Returns!B43-1,"")</f>
        <v>-2.3059185242121472E-2</v>
      </c>
      <c r="DD39" s="11">
        <f ca="1">IF(Returns!D44&gt;0,Returns!D44/Returns!D43-1,"")</f>
        <v>-1.2644975927692537E-3</v>
      </c>
    </row>
    <row r="40" spans="2:108" x14ac:dyDescent="0.3">
      <c r="B40" s="55" vm="70">
        <f ca="1"/>
        <v>39375.866900000001</v>
      </c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DB40" s="2" vm="71">
        <f ca="1">IF(Returns!A44&lt;&gt;0,Returns!A44,"")</f>
        <v>40476</v>
      </c>
      <c r="DC40" s="11">
        <f ca="1">IF(Returns!B45&gt;0,Returns!B45/Returns!B44-1,"")</f>
        <v>3.3529020153725275E-2</v>
      </c>
      <c r="DD40" s="11">
        <f ca="1">IF(Returns!D45&gt;0,Returns!D45/Returns!D44-1,"")</f>
        <v>2.9283634698988648E-2</v>
      </c>
    </row>
    <row r="41" spans="2:108" x14ac:dyDescent="0.3">
      <c r="B41" s="55" vm="72">
        <f ca="1"/>
        <v>39150.332600000002</v>
      </c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DB41" s="2" vm="73">
        <f ca="1">IF(Returns!A45&lt;&gt;0,Returns!A45,"")</f>
        <v>40483</v>
      </c>
      <c r="DC41" s="11">
        <f ca="1">IF(Returns!B46&gt;0,Returns!B46/Returns!B45-1,"")</f>
        <v>-2.9806172044270052E-2</v>
      </c>
      <c r="DD41" s="11">
        <f ca="1">IF(Returns!D46&gt;0,Returns!D46/Returns!D45-1,"")</f>
        <v>-2.1976059352208366E-2</v>
      </c>
    </row>
    <row r="42" spans="2:108" x14ac:dyDescent="0.3">
      <c r="B42" s="55" vm="74">
        <f ca="1"/>
        <v>39131.5285</v>
      </c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DB42" s="2" vm="75">
        <f ca="1">IF(Returns!A46&lt;&gt;0,Returns!A46,"")</f>
        <v>40490</v>
      </c>
      <c r="DC42" s="11">
        <f ca="1">IF(Returns!B47&gt;0,Returns!B47/Returns!B46-1,"")</f>
        <v>-5.190729116368975E-3</v>
      </c>
      <c r="DD42" s="11">
        <f ca="1">IF(Returns!D47&gt;0,Returns!D47/Returns!D46-1,"")</f>
        <v>9.8047987253280233E-4</v>
      </c>
    </row>
    <row r="43" spans="2:108" x14ac:dyDescent="0.3">
      <c r="B43" s="55" vm="76">
        <f ca="1"/>
        <v>39118.864200000004</v>
      </c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DB43" s="2" vm="77">
        <f ca="1">IF(Returns!A47&lt;&gt;0,Returns!A47,"")</f>
        <v>40497</v>
      </c>
      <c r="DC43" s="11">
        <f ca="1">IF(Returns!B48&gt;0,Returns!B48/Returns!B47-1,"")</f>
        <v>7.6932411115155919E-2</v>
      </c>
      <c r="DD43" s="11">
        <f ca="1">IF(Returns!D48&gt;0,Returns!D48/Returns!D47-1,"")</f>
        <v>-9.9573039974536481E-3</v>
      </c>
    </row>
    <row r="44" spans="2:108" x14ac:dyDescent="0.3">
      <c r="B44" s="55" vm="78">
        <f ca="1"/>
        <v>39087.376100000001</v>
      </c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DB44" s="2" vm="79">
        <f ca="1">IF(Returns!A48&lt;&gt;0,Returns!A48,"")</f>
        <v>40504</v>
      </c>
      <c r="DC44" s="11">
        <f ca="1">IF(Returns!B49&gt;0,Returns!B49/Returns!B48-1,"")</f>
        <v>-1.0253521126760479E-2</v>
      </c>
      <c r="DD44" s="11">
        <f ca="1">IF(Returns!D49&gt;0,Returns!D49/Returns!D48-1,"")</f>
        <v>2.6153467849231005E-2</v>
      </c>
    </row>
    <row r="45" spans="2:108" x14ac:dyDescent="0.3">
      <c r="B45" s="55" vm="80">
        <f ca="1"/>
        <v>39069.592299999997</v>
      </c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DB45" s="2" vm="81">
        <f ca="1">IF(Returns!A49&lt;&gt;0,Returns!A49,"")</f>
        <v>40511</v>
      </c>
      <c r="DC45" s="11">
        <f ca="1">IF(Returns!B50&gt;0,Returns!B50/Returns!B49-1,"")</f>
        <v>-3.4153005464476749E-4</v>
      </c>
      <c r="DD45" s="11">
        <f ca="1">IF(Returns!D50&gt;0,Returns!D50/Returns!D49-1,"")</f>
        <v>2.4801943916863411E-3</v>
      </c>
    </row>
    <row r="46" spans="2:108" x14ac:dyDescent="0.3">
      <c r="B46" s="55" vm="82">
        <f ca="1"/>
        <v>38904.038399999998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DB46" s="2" vm="83">
        <f ca="1">IF(Returns!A50&lt;&gt;0,Returns!A50,"")</f>
        <v>40518</v>
      </c>
      <c r="DC46" s="11">
        <f ca="1">IF(Returns!B51&gt;0,Returns!B51/Returns!B50-1,"")</f>
        <v>1.1160460084272739E-2</v>
      </c>
      <c r="DD46" s="11">
        <f ca="1">IF(Returns!D51&gt;0,Returns!D51/Returns!D50-1,"")</f>
        <v>7.1502542675945246E-3</v>
      </c>
    </row>
    <row r="47" spans="2:108" x14ac:dyDescent="0.3">
      <c r="B47" s="55" vm="84">
        <f ca="1"/>
        <v>38798.9905</v>
      </c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DB47" s="2" vm="85">
        <f ca="1">IF(Returns!A51&lt;&gt;0,Returns!A51,"")</f>
        <v>40525</v>
      </c>
      <c r="DC47" s="11">
        <f ca="1">IF(Returns!B52&gt;0,Returns!B52/Returns!B51-1,"")</f>
        <v>2.8212636558170967E-2</v>
      </c>
      <c r="DD47" s="11">
        <f ca="1">IF(Returns!D52&gt;0,Returns!D52/Returns!D51-1,"")</f>
        <v>7.0994823992764911E-3</v>
      </c>
    </row>
    <row r="48" spans="2:108" x14ac:dyDescent="0.3">
      <c r="B48" s="55" vm="86">
        <f ca="1"/>
        <v>38722.693099999997</v>
      </c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DB48" s="2" vm="87">
        <f ca="1">IF(Returns!A52&lt;&gt;0,Returns!A52,"")</f>
        <v>40532</v>
      </c>
      <c r="DC48" s="11">
        <f ca="1">IF(Returns!B53&gt;0,Returns!B53/Returns!B52-1,"")</f>
        <v>-1.4184785585190873E-2</v>
      </c>
      <c r="DD48" s="11">
        <f ca="1">IF(Returns!D53&gt;0,Returns!D53/Returns!D52-1,"")</f>
        <v>3.4658502633089228E-4</v>
      </c>
    </row>
    <row r="49" spans="1:108" x14ac:dyDescent="0.3">
      <c r="B49" s="55" vm="88">
        <f ca="1"/>
        <v>38714.766600000003</v>
      </c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DB49" s="2" vm="89">
        <f ca="1">IF(Returns!A53&lt;&gt;0,Returns!A53,"")</f>
        <v>40539</v>
      </c>
      <c r="DC49" s="11">
        <f ca="1">IF(Returns!B54&gt;0,Returns!B54/Returns!B53-1,"")</f>
        <v>3.0499999999999972E-2</v>
      </c>
      <c r="DD49" s="11">
        <f ca="1">IF(Returns!D54&gt;0,Returns!D54/Returns!D53-1,"")</f>
        <v>8.4001770329464875E-3</v>
      </c>
    </row>
    <row r="50" spans="1:108" x14ac:dyDescent="0.3">
      <c r="B50" s="55" vm="90">
        <f ca="1"/>
        <v>38686.321900000003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DB50" s="2" vm="91">
        <f ca="1">IF(Returns!A54&lt;&gt;0,Returns!A54,"")</f>
        <v>40546</v>
      </c>
      <c r="DC50" s="11">
        <f ca="1">IF(Returns!B55&gt;0,Returns!B55/Returns!B54-1,"")</f>
        <v>1.7575071432422318E-2</v>
      </c>
      <c r="DD50" s="11">
        <f ca="1">IF(Returns!D55&gt;0,Returns!D55/Returns!D54-1,"")</f>
        <v>9.646177624341723E-3</v>
      </c>
    </row>
    <row r="51" spans="1:108" x14ac:dyDescent="0.3">
      <c r="B51" s="55" vm="92">
        <f ca="1"/>
        <v>38675.679199999999</v>
      </c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DB51" s="2" vm="93">
        <f ca="1">IF(Returns!A55&lt;&gt;0,Returns!A55,"")</f>
        <v>40553</v>
      </c>
      <c r="DC51" s="11">
        <f ca="1">IF(Returns!B56&gt;0,Returns!B56/Returns!B55-1,"")</f>
        <v>-6.0026490066225069E-2</v>
      </c>
      <c r="DD51" s="11">
        <f ca="1">IF(Returns!D56&gt;0,Returns!D56/Returns!D55-1,"")</f>
        <v>7.1655134031995971E-3</v>
      </c>
    </row>
    <row r="52" spans="1:108" x14ac:dyDescent="0.3">
      <c r="B52" s="55" vm="94">
        <f ca="1"/>
        <v>38671.690999999999</v>
      </c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DB52" s="2" vm="95">
        <f ca="1">IF(Returns!A56&lt;&gt;0,Returns!A56,"")</f>
        <v>40561</v>
      </c>
      <c r="DC52" s="11">
        <f ca="1">IF(Returns!B57&gt;0,Returns!B57/Returns!B56-1,"")</f>
        <v>-3.5396234922782099E-2</v>
      </c>
      <c r="DD52" s="11">
        <f ca="1">IF(Returns!D57&gt;0,Returns!D57/Returns!D56-1,"")</f>
        <v>-4.0545194411126806E-3</v>
      </c>
    </row>
    <row r="53" spans="1:108" ht="15" thickBot="1" x14ac:dyDescent="0.35">
      <c r="A53" s="2" t="s">
        <v>1292</v>
      </c>
      <c r="B53" s="56" vm="96">
        <f ca="1"/>
        <v>38654.423199999997</v>
      </c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DB53" s="2" vm="97">
        <f ca="1">IF(Returns!A57&lt;&gt;0,Returns!A57,"")</f>
        <v>40567</v>
      </c>
      <c r="DC53" s="11">
        <f ca="1">IF(Returns!B58&gt;0,Returns!B58/Returns!B57-1,"")</f>
        <v>2.7988781114876682E-2</v>
      </c>
      <c r="DD53" s="11">
        <f ca="1">IF(Returns!D58&gt;0,Returns!D58/Returns!D57-1,"")</f>
        <v>2.2704289812264244E-2</v>
      </c>
    </row>
    <row r="54" spans="1:108" x14ac:dyDescent="0.3">
      <c r="B54" s="55" vm="98">
        <f ca="1"/>
        <v>38627.994299999998</v>
      </c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DB54" s="2" vm="99">
        <f ca="1">IF(Returns!A58&lt;&gt;0,Returns!A58,"")</f>
        <v>40574</v>
      </c>
      <c r="DC54" s="11">
        <f ca="1">IF(Returns!B59&gt;0,Returns!B59/Returns!B58-1,"")</f>
        <v>7.5711930881600775E-2</v>
      </c>
      <c r="DD54" s="11">
        <f ca="1">IF(Returns!D59&gt;0,Returns!D59/Returns!D58-1,"")</f>
        <v>1.4977498588816029E-2</v>
      </c>
    </row>
    <row r="55" spans="1:108" x14ac:dyDescent="0.3">
      <c r="B55" s="55" vm="100">
        <f ca="1"/>
        <v>38589.157599999999</v>
      </c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DB55" s="2" vm="101">
        <f ca="1">IF(Returns!A59&lt;&gt;0,Returns!A59,"")</f>
        <v>40581</v>
      </c>
      <c r="DC55" s="11">
        <f ca="1">IF(Returns!B60&gt;0,Returns!B60/Returns!B59-1,"")</f>
        <v>-1.4531043593130843E-2</v>
      </c>
      <c r="DD55" s="11">
        <f ca="1">IF(Returns!D60&gt;0,Returns!D60/Returns!D59-1,"")</f>
        <v>9.6136048711219502E-3</v>
      </c>
    </row>
    <row r="56" spans="1:108" x14ac:dyDescent="0.3">
      <c r="B56" s="55" vm="102">
        <f ca="1"/>
        <v>38239.654999999999</v>
      </c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DB56" s="2" vm="103">
        <f ca="1">IF(Returns!A60&lt;&gt;0,Returns!A60,"")</f>
        <v>40588</v>
      </c>
      <c r="DC56" s="11">
        <f ca="1">IF(Returns!B61&gt;0,Returns!B61/Returns!B60-1,"")</f>
        <v>-4.9651474530830964E-2</v>
      </c>
      <c r="DD56" s="11">
        <f ca="1">IF(Returns!D61&gt;0,Returns!D61/Returns!D60-1,"")</f>
        <v>-2.104749179041876E-2</v>
      </c>
    </row>
    <row r="57" spans="1:108" x14ac:dyDescent="0.3">
      <c r="B57" s="55" vm="104">
        <f ca="1"/>
        <v>38109.433100000002</v>
      </c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DB57" s="2" vm="105">
        <f ca="1">IF(Returns!A61&lt;&gt;0,Returns!A61,"")</f>
        <v>40596</v>
      </c>
      <c r="DC57" s="11">
        <f ca="1">IF(Returns!B62&gt;0,Returns!B62/Returns!B61-1,"")</f>
        <v>-3.1426314601670002E-2</v>
      </c>
      <c r="DD57" s="11">
        <f ca="1">IF(Returns!D62&gt;0,Returns!D62/Returns!D61-1,"")</f>
        <v>3.2505805803517696E-3</v>
      </c>
    </row>
    <row r="58" spans="1:108" x14ac:dyDescent="0.3">
      <c r="B58" s="55" vm="106">
        <f ca="1"/>
        <v>37986.396999999997</v>
      </c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DB58" s="2" vm="107">
        <f ca="1">IF(Returns!A62&lt;&gt;0,Returns!A62,"")</f>
        <v>40602</v>
      </c>
      <c r="DC58" s="11">
        <f ca="1">IF(Returns!B63&gt;0,Returns!B63/Returns!B62-1,"")</f>
        <v>-2.097046659288182E-2</v>
      </c>
      <c r="DD58" s="11">
        <f ca="1">IF(Returns!D63&gt;0,Returns!D63/Returns!D62-1,"")</f>
        <v>-1.0310940303976945E-2</v>
      </c>
    </row>
    <row r="59" spans="1:108" x14ac:dyDescent="0.3">
      <c r="B59" s="55" vm="108">
        <f ca="1"/>
        <v>37983.243600000002</v>
      </c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DB59" s="2" vm="109">
        <f ca="1">IF(Returns!A63&lt;&gt;0,Returns!A63,"")</f>
        <v>40609</v>
      </c>
      <c r="DC59" s="11">
        <f ca="1">IF(Returns!B64&gt;0,Returns!B64/Returns!B63-1,"")</f>
        <v>-3.7186886416374132E-2</v>
      </c>
      <c r="DD59" s="11">
        <f ca="1">IF(Returns!D64&gt;0,Returns!D64/Returns!D63-1,"")</f>
        <v>-1.5432761616574142E-2</v>
      </c>
    </row>
    <row r="60" spans="1:108" x14ac:dyDescent="0.3">
      <c r="B60" s="55" vm="110">
        <f ca="1"/>
        <v>37863.795400000003</v>
      </c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DB60" s="2" vm="111">
        <f ca="1">IF(Returns!A64&lt;&gt;0,Returns!A64,"")</f>
        <v>40616</v>
      </c>
      <c r="DC60" s="11">
        <f ca="1">IF(Returns!B65&gt;0,Returns!B65/Returns!B64-1,"")</f>
        <v>5.660610554937584E-2</v>
      </c>
      <c r="DD60" s="11">
        <f ca="1">IF(Returns!D65&gt;0,Returns!D65/Returns!D64-1,"")</f>
        <v>3.0532406654315336E-2</v>
      </c>
    </row>
    <row r="61" spans="1:108" x14ac:dyDescent="0.3">
      <c r="B61" s="55" vm="112">
        <f ca="1"/>
        <v>37689.5357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DB61" s="2" vm="113">
        <f ca="1">IF(Returns!A65&lt;&gt;0,Returns!A65,"")</f>
        <v>40623</v>
      </c>
      <c r="DC61" s="11">
        <f ca="1">IF(Returns!B66&gt;0,Returns!B66/Returns!B65-1,"")</f>
        <v>5.3515030997777657E-2</v>
      </c>
      <c r="DD61" s="11">
        <f ca="1">IF(Returns!D66&gt;0,Returns!D66/Returns!D65-1,"")</f>
        <v>1.2776366320790489E-2</v>
      </c>
    </row>
    <row r="62" spans="1:108" x14ac:dyDescent="0.3">
      <c r="B62" s="55" vm="114">
        <f ca="1"/>
        <v>37592.981</v>
      </c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DB62" s="2" vm="115">
        <f ca="1">IF(Returns!A66&lt;&gt;0,Returns!A66,"")</f>
        <v>40630</v>
      </c>
      <c r="DC62" s="11">
        <f ca="1">IF(Returns!B67&gt;0,Returns!B67/Returns!B66-1,"")</f>
        <v>2.5426081163604008E-2</v>
      </c>
      <c r="DD62" s="11">
        <f ca="1">IF(Returns!D67&gt;0,Returns!D67/Returns!D66-1,"")</f>
        <v>2.6905346989281043E-4</v>
      </c>
    </row>
    <row r="63" spans="1:108" x14ac:dyDescent="0.3">
      <c r="B63" s="55" vm="116">
        <f ca="1"/>
        <v>37466.108800000002</v>
      </c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DB63" s="2" vm="117">
        <f ca="1">IF(Returns!A67&lt;&gt;0,Returns!A67,"")</f>
        <v>40637</v>
      </c>
      <c r="DC63" s="11">
        <f ca="1">IF(Returns!B68&gt;0,Returns!B68/Returns!B67-1,"")</f>
        <v>-2.5445292620865034E-2</v>
      </c>
      <c r="DD63" s="11">
        <f ca="1">IF(Returns!D68&gt;0,Returns!D68/Returns!D67-1,"")</f>
        <v>-3.0872245124656805E-3</v>
      </c>
    </row>
    <row r="64" spans="1:108" x14ac:dyDescent="0.3">
      <c r="B64" s="55" vm="118">
        <f ca="1"/>
        <v>37385.965199999999</v>
      </c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DB64" s="2" vm="119">
        <f ca="1">IF(Returns!A68&lt;&gt;0,Returns!A68,"")</f>
        <v>40644</v>
      </c>
      <c r="DC64" s="11">
        <f ca="1">IF(Returns!B69&gt;0,Returns!B69/Returns!B68-1,"")</f>
        <v>3.2664851952669105E-2</v>
      </c>
      <c r="DD64" s="11">
        <f ca="1">IF(Returns!D69&gt;0,Returns!D69/Returns!D68-1,"")</f>
        <v>1.3300869757423506E-2</v>
      </c>
    </row>
    <row r="65" spans="2:108" x14ac:dyDescent="0.3">
      <c r="B65" s="55" vm="120">
        <f ca="1"/>
        <v>37305.162400000001</v>
      </c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DB65" s="2" vm="121">
        <f ca="1">IF(Returns!A69&lt;&gt;0,Returns!A69,"")</f>
        <v>40651</v>
      </c>
      <c r="DC65" s="11">
        <f ca="1">IF(Returns!B70&gt;0,Returns!B70/Returns!B69-1,"")</f>
        <v>5.3364893216418352E-2</v>
      </c>
      <c r="DD65" s="11">
        <f ca="1">IF(Returns!D70&gt;0,Returns!D70/Returns!D69-1,"")</f>
        <v>2.4352308127311595E-2</v>
      </c>
    </row>
    <row r="66" spans="2:108" x14ac:dyDescent="0.3">
      <c r="B66" s="55" vm="122">
        <f ca="1"/>
        <v>36338.297700000003</v>
      </c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DB66" s="2" vm="123">
        <f ca="1">IF(Returns!A70&lt;&gt;0,Returns!A70,"")</f>
        <v>40658</v>
      </c>
      <c r="DC66" s="11">
        <f ca="1">IF(Returns!B71&gt;0,Returns!B71/Returns!B70-1,"")</f>
        <v>9.1415147336704194E-3</v>
      </c>
      <c r="DD66" s="11">
        <f ca="1">IF(Returns!D71&gt;0,Returns!D71/Returns!D70-1,"")</f>
        <v>-1.3410919141043531E-2</v>
      </c>
    </row>
    <row r="67" spans="2:108" x14ac:dyDescent="0.3">
      <c r="B67" s="55" vm="124">
        <f ca="1"/>
        <v>36327.950199999999</v>
      </c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DB67" s="2" vm="125">
        <f ca="1">IF(Returns!A71&lt;&gt;0,Returns!A71,"")</f>
        <v>40665</v>
      </c>
      <c r="DC67" s="11">
        <f ca="1">IF(Returns!B72&gt;0,Returns!B72/Returns!B71-1,"")</f>
        <v>2.5101214574898778E-2</v>
      </c>
      <c r="DD67" s="11">
        <f ca="1">IF(Returns!D72&gt;0,Returns!D72/Returns!D71-1,"")</f>
        <v>-3.4013048629056852E-3</v>
      </c>
    </row>
    <row r="68" spans="2:108" x14ac:dyDescent="0.3">
      <c r="B68" s="55" vm="126">
        <f ca="1"/>
        <v>36247.8724</v>
      </c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DB68" s="2" vm="127">
        <f ca="1">IF(Returns!A72&lt;&gt;0,Returns!A72,"")</f>
        <v>40672</v>
      </c>
      <c r="DC68" s="11">
        <f ca="1">IF(Returns!B73&gt;0,Returns!B73/Returns!B72-1,"")</f>
        <v>-1.9302922590837324E-2</v>
      </c>
      <c r="DD68" s="11">
        <f ca="1">IF(Returns!D73&gt;0,Returns!D73/Returns!D72-1,"")</f>
        <v>-6.6455513425381918E-3</v>
      </c>
    </row>
    <row r="69" spans="2:108" x14ac:dyDescent="0.3">
      <c r="B69" s="55" vm="128">
        <f ca="1"/>
        <v>36245.4997</v>
      </c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DB69" s="2" vm="129">
        <f ca="1">IF(Returns!A73&lt;&gt;0,Returns!A73,"")</f>
        <v>40679</v>
      </c>
      <c r="DC69" s="11">
        <f ca="1">IF(Returns!B74&gt;0,Returns!B74/Returns!B73-1,"")</f>
        <v>-2.2753586710294371E-2</v>
      </c>
      <c r="DD69" s="11">
        <f ca="1">IF(Returns!D74&gt;0,Returns!D74/Returns!D73-1,"")</f>
        <v>-5.6314700560751163E-3</v>
      </c>
    </row>
    <row r="70" spans="2:108" x14ac:dyDescent="0.3">
      <c r="B70" s="55" vm="130">
        <f ca="1"/>
        <v>36231.659099999997</v>
      </c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DB70" s="2" vm="131">
        <f ca="1">IF(Returns!A74&lt;&gt;0,Returns!A74,"")</f>
        <v>40686</v>
      </c>
      <c r="DC70" s="11">
        <f ca="1">IF(Returns!B75&gt;0,Returns!B75/Returns!B74-1,"")</f>
        <v>-2.992839849585327E-2</v>
      </c>
      <c r="DD70" s="11">
        <f ca="1">IF(Returns!D75&gt;0,Returns!D75/Returns!D74-1,"")</f>
        <v>-2.3334756464181594E-2</v>
      </c>
    </row>
    <row r="71" spans="2:108" x14ac:dyDescent="0.3">
      <c r="B71" s="55" vm="132">
        <f ca="1"/>
        <v>36100.305200000003</v>
      </c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DB71" s="2" vm="133">
        <f ca="1">IF(Returns!A75&lt;&gt;0,Returns!A75,"")</f>
        <v>40694</v>
      </c>
      <c r="DC71" s="11">
        <f ca="1">IF(Returns!B76&gt;0,Returns!B76/Returns!B75-1,"")</f>
        <v>-9.5050977060323616E-3</v>
      </c>
      <c r="DD71" s="11">
        <f ca="1">IF(Returns!D76&gt;0,Returns!D76/Returns!D75-1,"")</f>
        <v>-1.6405687860568063E-2</v>
      </c>
    </row>
    <row r="72" spans="2:108" x14ac:dyDescent="0.3">
      <c r="B72" s="55" vm="134">
        <f ca="1"/>
        <v>35970.994500000001</v>
      </c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17"/>
      <c r="CF72" s="1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DB72" s="2" vm="135">
        <f ca="1">IF(Returns!A76&lt;&gt;0,Returns!A76,"")</f>
        <v>40700</v>
      </c>
      <c r="DC72" s="11">
        <f ca="1">IF(Returns!B77&gt;0,Returns!B77/Returns!B76-1,"")</f>
        <v>-8.5777086795679747E-4</v>
      </c>
      <c r="DD72" s="11">
        <f ca="1">IF(Returns!D77&gt;0,Returns!D77/Returns!D76-1,"")</f>
        <v>4.3882938724906229E-3</v>
      </c>
    </row>
    <row r="73" spans="2:108" x14ac:dyDescent="0.3">
      <c r="B73" s="55" vm="136">
        <f ca="1"/>
        <v>35950.563099999999</v>
      </c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DB73" s="2" vm="137">
        <f ca="1">IF(Returns!A77&lt;&gt;0,Returns!A77,"")</f>
        <v>40707</v>
      </c>
      <c r="DC73" s="11">
        <f ca="1">IF(Returns!B78&gt;0,Returns!B78/Returns!B77-1,"")</f>
        <v>3.3159843322423166E-2</v>
      </c>
      <c r="DD73" s="11">
        <f ca="1">IF(Returns!D78&gt;0,Returns!D78/Returns!D77-1,"")</f>
        <v>-5.8128879840325665E-3</v>
      </c>
    </row>
    <row r="74" spans="2:108" x14ac:dyDescent="0.3">
      <c r="B74" s="55" vm="138">
        <f ca="1"/>
        <v>35911.809500000003</v>
      </c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DB74" s="2" vm="139">
        <f ca="1">IF(Returns!A78&lt;&gt;0,Returns!A78,"")</f>
        <v>40714</v>
      </c>
      <c r="DC74" s="11">
        <f ca="1">IF(Returns!B79&gt;0,Returns!B79/Returns!B78-1,"")</f>
        <v>8.7977148792521609E-2</v>
      </c>
      <c r="DD74" s="11">
        <f ca="1">IF(Returns!D79&gt;0,Returns!D79/Returns!D78-1,"")</f>
        <v>5.4311907080098365E-2</v>
      </c>
    </row>
    <row r="75" spans="2:108" x14ac:dyDescent="0.3">
      <c r="B75" s="55" vm="140">
        <f ca="1"/>
        <v>35819.560400000002</v>
      </c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DB75" s="2" vm="141">
        <f ca="1">IF(Returns!A79&lt;&gt;0,Returns!A79,"")</f>
        <v>40721</v>
      </c>
      <c r="DC75" s="11">
        <f ca="1">IF(Returns!B80&gt;0,Returns!B80/Returns!B79-1,"")</f>
        <v>4.1959043391092576E-2</v>
      </c>
      <c r="DD75" s="11">
        <f ca="1">IF(Returns!D80&gt;0,Returns!D80/Returns!D79-1,"")</f>
        <v>5.9155973750708579E-3</v>
      </c>
    </row>
    <row r="76" spans="2:108" x14ac:dyDescent="0.3">
      <c r="B76" s="55" vm="142">
        <f ca="1"/>
        <v>35677.018499999998</v>
      </c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DB76" s="2" vm="143">
        <f ca="1">IF(Returns!A80&lt;&gt;0,Returns!A80,"")</f>
        <v>40729</v>
      </c>
      <c r="DC76" s="11">
        <f ca="1">IF(Returns!B81&gt;0,Returns!B81/Returns!B80-1,"")</f>
        <v>-2.4784680227231126E-2</v>
      </c>
      <c r="DD76" s="11">
        <f ca="1">IF(Returns!D81&gt;0,Returns!D81/Returns!D80-1,"")</f>
        <v>-1.4021848300087458E-2</v>
      </c>
    </row>
    <row r="77" spans="2:108" x14ac:dyDescent="0.3">
      <c r="B77" s="55" vm="144">
        <f ca="1"/>
        <v>35601.977700000003</v>
      </c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DB77" s="2" vm="145">
        <f ca="1">IF(Returns!A81&lt;&gt;0,Returns!A81,"")</f>
        <v>40735</v>
      </c>
      <c r="DC77" s="11">
        <f ca="1">IF(Returns!B82&gt;0,Returns!B82/Returns!B81-1,"")</f>
        <v>1.7146615305115853E-2</v>
      </c>
      <c r="DD77" s="11">
        <f ca="1">IF(Returns!D82&gt;0,Returns!D82/Returns!D81-1,"")</f>
        <v>1.614067359005511E-2</v>
      </c>
    </row>
    <row r="78" spans="2:108" x14ac:dyDescent="0.3">
      <c r="B78" s="55" vm="146">
        <f ca="1"/>
        <v>35515.383300000001</v>
      </c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DB78" s="2" vm="147">
        <f ca="1">IF(Returns!A82&lt;&gt;0,Returns!A82,"")</f>
        <v>40742</v>
      </c>
      <c r="DC78" s="11">
        <f ca="1">IF(Returns!B83&gt;0,Returns!B83/Returns!B82-1,"")</f>
        <v>2.7711065952336966E-2</v>
      </c>
      <c r="DD78" s="11">
        <f ca="1">IF(Returns!D83&gt;0,Returns!D83/Returns!D82-1,"")</f>
        <v>-4.2418783167613161E-2</v>
      </c>
    </row>
    <row r="79" spans="2:108" x14ac:dyDescent="0.3">
      <c r="B79" s="55" vm="148">
        <f ca="1"/>
        <v>35459.287700000001</v>
      </c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DB79" s="2" vm="149">
        <f ca="1">IF(Returns!A83&lt;&gt;0,Returns!A83,"")</f>
        <v>40749</v>
      </c>
      <c r="DC79" s="11">
        <f ca="1">IF(Returns!B84&gt;0,Returns!B84/Returns!B83-1,"")</f>
        <v>-8.9070645335250775E-2</v>
      </c>
      <c r="DD79" s="11">
        <f ca="1">IF(Returns!D84&gt;0,Returns!D84/Returns!D83-1,"")</f>
        <v>-5.7532657123298359E-2</v>
      </c>
    </row>
    <row r="80" spans="2:108" x14ac:dyDescent="0.3">
      <c r="B80" s="55" vm="150">
        <f ca="1"/>
        <v>35455.798799999997</v>
      </c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DB80" s="2" vm="151">
        <f ca="1">IF(Returns!A84&lt;&gt;0,Returns!A84,"")</f>
        <v>40756</v>
      </c>
      <c r="DC80" s="11">
        <f ca="1">IF(Returns!B85&gt;0,Returns!B85/Returns!B84-1,"")</f>
        <v>-1.9733596447951696E-3</v>
      </c>
      <c r="DD80" s="11">
        <f ca="1">IF(Returns!D85&gt;0,Returns!D85/Returns!D84-1,"")</f>
        <v>-1.5342188142237645E-2</v>
      </c>
    </row>
    <row r="81" spans="2:108" x14ac:dyDescent="0.3">
      <c r="B81" s="55" vm="152">
        <f ca="1"/>
        <v>35390.150600000001</v>
      </c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DB81" s="2" vm="153">
        <f ca="1">IF(Returns!A85&lt;&gt;0,Returns!A85,"")</f>
        <v>40763</v>
      </c>
      <c r="DC81" s="11">
        <f ca="1">IF(Returns!B86&gt;0,Returns!B86/Returns!B85-1,"")</f>
        <v>-0.11552150271873451</v>
      </c>
      <c r="DD81" s="11">
        <f ca="1">IF(Returns!D86&gt;0,Returns!D86/Returns!D85-1,"")</f>
        <v>-4.0054536060489032E-2</v>
      </c>
    </row>
    <row r="82" spans="2:108" x14ac:dyDescent="0.3">
      <c r="B82" s="55" vm="154">
        <f ca="1"/>
        <v>35369.088600000003</v>
      </c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DB82" s="2" vm="155">
        <f ca="1">IF(Returns!A86&lt;&gt;0,Returns!A86,"")</f>
        <v>40770</v>
      </c>
      <c r="DC82" s="11">
        <f ca="1">IF(Returns!B87&gt;0,Returns!B87/Returns!B86-1,"")</f>
        <v>0.11367573911585538</v>
      </c>
      <c r="DD82" s="11">
        <f ca="1">IF(Returns!D87&gt;0,Returns!D87/Returns!D86-1,"")</f>
        <v>4.3160085465548947E-2</v>
      </c>
    </row>
    <row r="83" spans="2:108" x14ac:dyDescent="0.3">
      <c r="B83" s="55" vm="156">
        <f ca="1"/>
        <v>35365.435299999997</v>
      </c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DB83" s="2" vm="157">
        <f ca="1">IF(Returns!A87&lt;&gt;0,Returns!A87,"")</f>
        <v>40777</v>
      </c>
      <c r="DC83" s="11">
        <f ca="1">IF(Returns!B88&gt;0,Returns!B88/Returns!B87-1,"")</f>
        <v>5.3846539870527454E-2</v>
      </c>
      <c r="DD83" s="11">
        <f ca="1">IF(Returns!D88&gt;0,Returns!D88/Returns!D87-1,"")</f>
        <v>-3.9234932116261056E-3</v>
      </c>
    </row>
    <row r="84" spans="2:108" x14ac:dyDescent="0.3">
      <c r="B84" s="55" vm="158">
        <f ca="1"/>
        <v>35294.756099999999</v>
      </c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DB84" s="2" vm="159">
        <f ca="1">IF(Returns!A88&lt;&gt;0,Returns!A88,"")</f>
        <v>40784</v>
      </c>
      <c r="DC84" s="11">
        <f ca="1">IF(Returns!B89&gt;0,Returns!B89/Returns!B88-1,"")</f>
        <v>6.6190476190475245E-3</v>
      </c>
      <c r="DD84" s="11">
        <f ca="1">IF(Returns!D89&gt;0,Returns!D89/Returns!D88-1,"")</f>
        <v>-2.207491425621777E-2</v>
      </c>
    </row>
    <row r="85" spans="2:108" x14ac:dyDescent="0.3">
      <c r="B85" s="55" vm="160">
        <f ca="1"/>
        <v>35281.403100000003</v>
      </c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DB85" s="2" vm="161">
        <f ca="1">IF(Returns!A89&lt;&gt;0,Returns!A89,"")</f>
        <v>40792</v>
      </c>
      <c r="DC85" s="11">
        <f ca="1">IF(Returns!B90&gt;0,Returns!B90/Returns!B89-1,"")</f>
        <v>0.13203084346468619</v>
      </c>
      <c r="DD85" s="11">
        <f ca="1">IF(Returns!D90&gt;0,Returns!D90/Returns!D89-1,"")</f>
        <v>4.7029542481985764E-2</v>
      </c>
    </row>
    <row r="86" spans="2:108" x14ac:dyDescent="0.3">
      <c r="B86" s="55" vm="162">
        <f ca="1"/>
        <v>35227.688399999999</v>
      </c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DB86" s="2" vm="163">
        <f ca="1">IF(Returns!A90&lt;&gt;0,Returns!A90,"")</f>
        <v>40798</v>
      </c>
      <c r="DC86" s="11">
        <f ca="1">IF(Returns!B91&gt;0,Returns!B91/Returns!B90-1,"")</f>
        <v>-6.5566234851650584E-2</v>
      </c>
      <c r="DD86" s="11">
        <f ca="1">IF(Returns!D91&gt;0,Returns!D91/Returns!D90-1,"")</f>
        <v>-6.408932495547881E-2</v>
      </c>
    </row>
    <row r="87" spans="2:108" x14ac:dyDescent="0.3">
      <c r="B87" s="55" vm="164">
        <f ca="1"/>
        <v>35208.506699999998</v>
      </c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DB87" s="2" vm="165">
        <f ca="1">IF(Returns!A91&lt;&gt;0,Returns!A91,"")</f>
        <v>40805</v>
      </c>
      <c r="DC87" s="11">
        <f ca="1">IF(Returns!B92&gt;0,Returns!B92/Returns!B91-1,"")</f>
        <v>-3.3003890702562488E-2</v>
      </c>
      <c r="DD87" s="11">
        <f ca="1">IF(Returns!D92&gt;0,Returns!D92/Returns!D91-1,"")</f>
        <v>1.3174254461221224E-2</v>
      </c>
    </row>
    <row r="88" spans="2:108" x14ac:dyDescent="0.3">
      <c r="B88" s="55" vm="166">
        <f ca="1"/>
        <v>35120.084600000002</v>
      </c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DB88" s="2" vm="167">
        <f ca="1">IF(Returns!A92&lt;&gt;0,Returns!A92,"")</f>
        <v>40812</v>
      </c>
      <c r="DC88" s="11">
        <f ca="1">IF(Returns!B93&gt;0,Returns!B93/Returns!B92-1,"")</f>
        <v>3.9356241039633755E-2</v>
      </c>
      <c r="DD88" s="11">
        <f ca="1">IF(Returns!D93&gt;0,Returns!D93/Returns!D92-1,"")</f>
        <v>1.738581599358624E-2</v>
      </c>
    </row>
    <row r="89" spans="2:108" x14ac:dyDescent="0.3">
      <c r="B89" s="55" vm="168">
        <f ca="1"/>
        <v>35089.743699999999</v>
      </c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DB89" s="2" vm="169">
        <f ca="1">IF(Returns!A93&lt;&gt;0,Returns!A93,"")</f>
        <v>40819</v>
      </c>
      <c r="DC89" s="11">
        <f ca="1">IF(Returns!B94&gt;0,Returns!B94/Returns!B93-1,"")</f>
        <v>9.7757408561003789E-2</v>
      </c>
      <c r="DD89" s="11">
        <f ca="1">IF(Returns!D94&gt;0,Returns!D94/Returns!D93-1,"")</f>
        <v>4.8757714822736942E-2</v>
      </c>
    </row>
    <row r="90" spans="2:108" x14ac:dyDescent="0.3">
      <c r="B90" s="55" vm="170">
        <f ca="1"/>
        <v>35065.621500000001</v>
      </c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DB90" s="2" vm="171">
        <f ca="1">IF(Returns!A94&lt;&gt;0,Returns!A94,"")</f>
        <v>40826</v>
      </c>
      <c r="DC90" s="11">
        <f ca="1">IF(Returns!B95&gt;0,Returns!B95/Returns!B94-1,"")</f>
        <v>-4.8356369826922263E-2</v>
      </c>
      <c r="DD90" s="11">
        <f ca="1">IF(Returns!D95&gt;0,Returns!D95/Returns!D94-1,"")</f>
        <v>1.4110412672751815E-2</v>
      </c>
    </row>
    <row r="91" spans="2:108" x14ac:dyDescent="0.3">
      <c r="B91" s="55" vm="172">
        <f ca="1"/>
        <v>35061.553599999999</v>
      </c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DB91" s="2" vm="173">
        <f ca="1">IF(Returns!A95&lt;&gt;0,Returns!A95,"")</f>
        <v>40833</v>
      </c>
      <c r="DC91" s="11">
        <f ca="1">IF(Returns!B96&gt;0,Returns!B96/Returns!B95-1,"")</f>
        <v>-7.4367492972144178E-2</v>
      </c>
      <c r="DD91" s="11">
        <f ca="1">IF(Returns!D96&gt;0,Returns!D96/Returns!D95-1,"")</f>
        <v>3.5762575693269572E-2</v>
      </c>
    </row>
    <row r="92" spans="2:108" x14ac:dyDescent="0.3">
      <c r="B92" s="55" vm="174">
        <f ca="1"/>
        <v>34947.284399999997</v>
      </c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DB92" s="2" vm="175">
        <f ca="1">IF(Returns!A96&lt;&gt;0,Returns!A96,"")</f>
        <v>40840</v>
      </c>
      <c r="DC92" s="11">
        <f ca="1">IF(Returns!B97&gt;0,Returns!B97/Returns!B96-1,"")</f>
        <v>-3.8652678078409108E-3</v>
      </c>
      <c r="DD92" s="11">
        <f ca="1">IF(Returns!D97&gt;0,Returns!D97/Returns!D96-1,"")</f>
        <v>-2.0264951974257928E-2</v>
      </c>
    </row>
    <row r="93" spans="2:108" x14ac:dyDescent="0.3">
      <c r="B93" s="55" vm="176">
        <f ca="1"/>
        <v>34935.4715</v>
      </c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DB93" s="2" vm="177">
        <f ca="1">IF(Returns!A97&lt;&gt;0,Returns!A97,"")</f>
        <v>40847</v>
      </c>
      <c r="DC93" s="11">
        <f ca="1">IF(Returns!B98&gt;0,Returns!B98/Returns!B97-1,"")</f>
        <v>4.2036215816703137E-3</v>
      </c>
      <c r="DD93" s="11">
        <f ca="1">IF(Returns!D98&gt;0,Returns!D98/Returns!D97-1,"")</f>
        <v>1.4223093038142398E-2</v>
      </c>
    </row>
    <row r="94" spans="2:108" x14ac:dyDescent="0.3">
      <c r="B94" s="55" vm="178">
        <f ca="1"/>
        <v>34899.336600000002</v>
      </c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DB94" s="2" vm="179">
        <f ca="1">IF(Returns!A98&lt;&gt;0,Returns!A98,"")</f>
        <v>40854</v>
      </c>
      <c r="DC94" s="11">
        <f ca="1">IF(Returns!B99&gt;0,Returns!B99/Returns!B98-1,"")</f>
        <v>-9.3150558903353553E-2</v>
      </c>
      <c r="DD94" s="11">
        <f ca="1">IF(Returns!D99&gt;0,Returns!D99/Returns!D98-1,"")</f>
        <v>-2.9417255174135182E-2</v>
      </c>
    </row>
    <row r="95" spans="2:108" x14ac:dyDescent="0.3">
      <c r="B95" s="55" vm="180">
        <f ca="1"/>
        <v>34870.159</v>
      </c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DB95" s="2" vm="181">
        <f ca="1">IF(Returns!A99&lt;&gt;0,Returns!A99,"")</f>
        <v>40861</v>
      </c>
      <c r="DC95" s="11">
        <f ca="1">IF(Returns!B100&gt;0,Returns!B100/Returns!B99-1,"")</f>
        <v>-7.4769199553616716E-2</v>
      </c>
      <c r="DD95" s="11">
        <f ca="1">IF(Returns!D100&gt;0,Returns!D100/Returns!D99-1,"")</f>
        <v>-4.7843605855575566E-2</v>
      </c>
    </row>
    <row r="96" spans="2:108" x14ac:dyDescent="0.3">
      <c r="B96" s="55" vm="182">
        <f ca="1"/>
        <v>34861.241999999998</v>
      </c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DB96" s="2" vm="183">
        <f ca="1">IF(Returns!A100&lt;&gt;0,Returns!A100,"")</f>
        <v>40868</v>
      </c>
      <c r="DC96" s="11">
        <f ca="1">IF(Returns!B101&gt;0,Returns!B101/Returns!B100-1,"")</f>
        <v>7.4725877192982626E-2</v>
      </c>
      <c r="DD96" s="11">
        <f ca="1">IF(Returns!D101&gt;0,Returns!D101/Returns!D100-1,"")</f>
        <v>7.0125668186336032E-2</v>
      </c>
    </row>
    <row r="97" spans="2:108" x14ac:dyDescent="0.3">
      <c r="B97" s="55" vm="184">
        <f ca="1"/>
        <v>34837.713000000003</v>
      </c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DB97" s="2" vm="185">
        <f ca="1">IF(Returns!A101&lt;&gt;0,Returns!A101,"")</f>
        <v>40875</v>
      </c>
      <c r="DC97" s="11">
        <f ca="1">IF(Returns!B102&gt;0,Returns!B102/Returns!B101-1,"")</f>
        <v>-1.530378003366839E-2</v>
      </c>
      <c r="DD97" s="11">
        <f ca="1">IF(Returns!D102&gt;0,Returns!D102/Returns!D101-1,"")</f>
        <v>1.3714329500564171E-2</v>
      </c>
    </row>
    <row r="98" spans="2:108" x14ac:dyDescent="0.3">
      <c r="B98" s="55" vm="186">
        <f ca="1"/>
        <v>34818.270199999999</v>
      </c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DB98" s="2" vm="187">
        <f ca="1">IF(Returns!A102&lt;&gt;0,Returns!A102,"")</f>
        <v>40882</v>
      </c>
      <c r="DC98" s="11">
        <f ca="1">IF(Returns!B103&gt;0,Returns!B103/Returns!B102-1,"")</f>
        <v>-6.0974977982697021E-2</v>
      </c>
      <c r="DD98" s="11">
        <f ca="1">IF(Returns!D103&gt;0,Returns!D103/Returns!D102-1,"")</f>
        <v>-2.6088578072201662E-2</v>
      </c>
    </row>
    <row r="99" spans="2:108" x14ac:dyDescent="0.3">
      <c r="B99" s="55" vm="188">
        <f ca="1"/>
        <v>34797.999199999998</v>
      </c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DB99" s="2" vm="189">
        <f ca="1">IF(Returns!A103&lt;&gt;0,Returns!A103,"")</f>
        <v>40889</v>
      </c>
      <c r="DC99" s="11">
        <f ca="1">IF(Returns!B104&gt;0,Returns!B104/Returns!B103-1,"")</f>
        <v>-2.1957409246386339E-2</v>
      </c>
      <c r="DD99" s="11">
        <f ca="1">IF(Returns!D104&gt;0,Returns!D104/Returns!D103-1,"")</f>
        <v>3.6035460255799734E-2</v>
      </c>
    </row>
    <row r="100" spans="2:108" x14ac:dyDescent="0.3">
      <c r="B100" s="55" vm="190">
        <f ca="1"/>
        <v>34786.345699999998</v>
      </c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DB100" s="2" vm="191">
        <f ca="1">IF(Returns!A104&lt;&gt;0,Returns!A104,"")</f>
        <v>40896</v>
      </c>
      <c r="DC100" s="11">
        <f ca="1">IF(Returns!B105&gt;0,Returns!B105/Returns!B104-1,"")</f>
        <v>-2.3578519855595781E-2</v>
      </c>
      <c r="DD100" s="11">
        <f ca="1">IF(Returns!D105&gt;0,Returns!D105/Returns!D104-1,"")</f>
        <v>-6.2176833722328295E-3</v>
      </c>
    </row>
    <row r="101" spans="2:108" x14ac:dyDescent="0.3">
      <c r="B101" s="55" vm="192">
        <f ca="1"/>
        <v>34777.759700000002</v>
      </c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DB101" s="2" vm="193">
        <f ca="1">IF(Returns!A105&lt;&gt;0,Returns!A105,"")</f>
        <v>40904</v>
      </c>
      <c r="DC101" s="11">
        <f ca="1">IF(Returns!B106&gt;0,Returns!B106/Returns!B105-1,"")</f>
        <v>5.4939341421143872E-2</v>
      </c>
      <c r="DD101" s="11">
        <f ca="1">IF(Returns!D106&gt;0,Returns!D106/Returns!D105-1,"")</f>
        <v>1.1652113938070308E-2</v>
      </c>
    </row>
    <row r="102" spans="2:108" x14ac:dyDescent="0.3">
      <c r="B102" s="55" vm="194">
        <f ca="1"/>
        <v>34756.388800000001</v>
      </c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DB102" s="2" vm="195">
        <f ca="1">IF(Returns!A106&lt;&gt;0,Returns!A106,"")</f>
        <v>40911</v>
      </c>
      <c r="DC102" s="11">
        <f ca="1">IF(Returns!B107&gt;0,Returns!B107/Returns!B106-1,"")</f>
        <v>-2.294507420185099E-2</v>
      </c>
      <c r="DD102" s="11">
        <f ca="1">IF(Returns!D107&gt;0,Returns!D107/Returns!D106-1,"")</f>
        <v>5.0272168826202002E-3</v>
      </c>
    </row>
    <row r="103" spans="2:108" x14ac:dyDescent="0.3">
      <c r="B103" s="55" vm="196">
        <f ca="1"/>
        <v>34754.932999999997</v>
      </c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DB103" s="2" vm="197">
        <f ca="1">IF(Returns!A107&lt;&gt;0,Returns!A107,"")</f>
        <v>40917</v>
      </c>
      <c r="DC103" s="11">
        <f ca="1">IF(Returns!B108&gt;0,Returns!B108/Returns!B107-1,"")</f>
        <v>7.0115457908306311E-2</v>
      </c>
      <c r="DD103" s="11">
        <f ca="1">IF(Returns!D108&gt;0,Returns!D108/Returns!D107-1,"")</f>
        <v>2.4023349499712188E-2</v>
      </c>
    </row>
    <row r="104" spans="2:108" x14ac:dyDescent="0.3">
      <c r="B104" s="55" vm="198">
        <f ca="1"/>
        <v>34746.249600000003</v>
      </c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DB104" s="2" vm="199">
        <f ca="1">IF(Returns!A108&lt;&gt;0,Returns!A108,"")</f>
        <v>40925</v>
      </c>
      <c r="DC104" s="11">
        <f ca="1">IF(Returns!B109&gt;0,Returns!B109/Returns!B108-1,"")</f>
        <v>2.3254595925208177E-2</v>
      </c>
      <c r="DD104" s="11">
        <f ca="1">IF(Returns!D109&gt;0,Returns!D109/Returns!D108-1,"")</f>
        <v>-4.7181333006280912E-3</v>
      </c>
    </row>
    <row r="105" spans="2:108" x14ac:dyDescent="0.3">
      <c r="B105" s="55" vm="200">
        <f ca="1"/>
        <v>34738.060700000002</v>
      </c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DB105" s="2" vm="201">
        <f ca="1">IF(Returns!A109&lt;&gt;0,Returns!A109,"")</f>
        <v>40931</v>
      </c>
      <c r="DC105" s="11">
        <f ca="1">IF(Returns!B110&gt;0,Returns!B110/Returns!B109-1,"")</f>
        <v>-3.9361212059169648E-2</v>
      </c>
      <c r="DD105" s="11">
        <f ca="1">IF(Returns!D110&gt;0,Returns!D110/Returns!D109-1,"")</f>
        <v>1.5937155452849794E-2</v>
      </c>
    </row>
    <row r="106" spans="2:108" x14ac:dyDescent="0.3">
      <c r="B106" s="55" vm="202">
        <f ca="1"/>
        <v>34725.472300000001</v>
      </c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DB106" s="2" vm="203">
        <f ca="1">IF(Returns!A110&lt;&gt;0,Returns!A110,"")</f>
        <v>40938</v>
      </c>
      <c r="DC106" s="11">
        <f ca="1">IF(Returns!B111&gt;0,Returns!B111/Returns!B110-1,"")</f>
        <v>-1.1402387041773321E-2</v>
      </c>
      <c r="DD106" s="11">
        <f ca="1">IF(Returns!D111&gt;0,Returns!D111/Returns!D110-1,"")</f>
        <v>-4.7426222069337776E-3</v>
      </c>
    </row>
    <row r="107" spans="2:108" x14ac:dyDescent="0.3">
      <c r="B107" s="55" vm="204">
        <f ca="1"/>
        <v>34721.1224</v>
      </c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DB107" s="2" vm="205">
        <f ca="1">IF(Returns!A111&lt;&gt;0,Returns!A111,"")</f>
        <v>40945</v>
      </c>
      <c r="DC107" s="11">
        <f ca="1">IF(Returns!B112&gt;0,Returns!B112/Returns!B111-1,"")</f>
        <v>-1.6384607092810088E-2</v>
      </c>
      <c r="DD107" s="11">
        <f ca="1">IF(Returns!D112&gt;0,Returns!D112/Returns!D111-1,"")</f>
        <v>1.1611540634947515E-2</v>
      </c>
    </row>
    <row r="108" spans="2:108" x14ac:dyDescent="0.3">
      <c r="B108" s="55" vm="206">
        <f ca="1"/>
        <v>34687.850200000001</v>
      </c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DB108" s="2" vm="207">
        <f ca="1">IF(Returns!A112&lt;&gt;0,Returns!A112,"")</f>
        <v>40952</v>
      </c>
      <c r="DC108" s="11">
        <f ca="1">IF(Returns!B113&gt;0,Returns!B113/Returns!B112-1,"")</f>
        <v>-1.8465753424657505E-2</v>
      </c>
      <c r="DD108" s="11">
        <f ca="1">IF(Returns!D113&gt;0,Returns!D113/Returns!D112-1,"")</f>
        <v>2.5539789513591149E-3</v>
      </c>
    </row>
    <row r="109" spans="2:108" x14ac:dyDescent="0.3">
      <c r="B109" s="55" vm="208">
        <f ca="1"/>
        <v>34618.240599999997</v>
      </c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DB109" s="2" vm="209">
        <f ca="1">IF(Returns!A113&lt;&gt;0,Returns!A113,"")</f>
        <v>40960</v>
      </c>
      <c r="DC109" s="11">
        <f ca="1">IF(Returns!B114&gt;0,Returns!B114/Returns!B113-1,"")</f>
        <v>9.4903142968782994E-4</v>
      </c>
      <c r="DD109" s="11">
        <f ca="1">IF(Returns!D114&gt;0,Returns!D114/Returns!D113-1,"")</f>
        <v>-4.1389683103876251E-4</v>
      </c>
    </row>
    <row r="110" spans="2:108" x14ac:dyDescent="0.3">
      <c r="B110" s="55" vm="210">
        <f ca="1"/>
        <v>34607.723899999997</v>
      </c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DB110" s="2" vm="211">
        <f ca="1">IF(Returns!A114&lt;&gt;0,Returns!A114,"")</f>
        <v>40966</v>
      </c>
      <c r="DC110" s="11">
        <f ca="1">IF(Returns!B115&gt;0,Returns!B115/Returns!B114-1,"")</f>
        <v>2.7997769102063419E-2</v>
      </c>
      <c r="DD110" s="11">
        <f ca="1">IF(Returns!D115&gt;0,Returns!D115/Returns!D114-1,"")</f>
        <v>-4.2805773243299594E-3</v>
      </c>
    </row>
    <row r="111" spans="2:108" x14ac:dyDescent="0.3">
      <c r="B111" s="55" vm="212">
        <f ca="1"/>
        <v>34584.877699999997</v>
      </c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DB111" s="2" vm="213">
        <f ca="1">IF(Returns!A115&lt;&gt;0,Returns!A115,"")</f>
        <v>40973</v>
      </c>
      <c r="DC111" s="11">
        <f ca="1">IF(Returns!B116&gt;0,Returns!B116/Returns!B115-1,"")</f>
        <v>3.9605034722223209E-3</v>
      </c>
      <c r="DD111" s="11">
        <f ca="1">IF(Returns!D116&gt;0,Returns!D116/Returns!D115-1,"")</f>
        <v>2.4036829410979843E-2</v>
      </c>
    </row>
    <row r="112" spans="2:108" x14ac:dyDescent="0.3">
      <c r="B112" s="55" vm="214">
        <f ca="1"/>
        <v>34580.080099999999</v>
      </c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DB112" s="2" vm="215">
        <f ca="1">IF(Returns!A116&lt;&gt;0,Returns!A116,"")</f>
        <v>40980</v>
      </c>
      <c r="DC112" s="11">
        <f ca="1">IF(Returns!B117&gt;0,Returns!B117/Returns!B116-1,"")</f>
        <v>5.3985409348824787E-2</v>
      </c>
      <c r="DD112" s="11">
        <f ca="1">IF(Returns!D117&gt;0,Returns!D117/Returns!D116-1,"")</f>
        <v>-1.147893953737722E-2</v>
      </c>
    </row>
    <row r="113" spans="2:108" x14ac:dyDescent="0.3">
      <c r="B113" s="55" vm="216">
        <f ca="1"/>
        <v>34576.587</v>
      </c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DB113" s="2" vm="217">
        <f ca="1">IF(Returns!A117&lt;&gt;0,Returns!A117,"")</f>
        <v>40987</v>
      </c>
      <c r="DC113" s="11">
        <f ca="1">IF(Returns!B118&gt;0,Returns!B118/Returns!B117-1,"")</f>
        <v>3.8299835931091097E-2</v>
      </c>
      <c r="DD113" s="11">
        <f ca="1">IF(Returns!D118&gt;0,Returns!D118/Returns!D117-1,"")</f>
        <v>1.0038477750508701E-2</v>
      </c>
    </row>
    <row r="114" spans="2:108" x14ac:dyDescent="0.3">
      <c r="B114" s="55" vm="218">
        <f ca="1"/>
        <v>34529.449200000003</v>
      </c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DB114" s="2" vm="219">
        <f ca="1">IF(Returns!A118&lt;&gt;0,Returns!A118,"")</f>
        <v>40994</v>
      </c>
      <c r="DC114" s="11">
        <f ca="1">IF(Returns!B119&gt;0,Returns!B119/Returns!B118-1,"")</f>
        <v>-4.0096785343933683E-2</v>
      </c>
      <c r="DD114" s="11">
        <f ca="1">IF(Returns!D119&gt;0,Returns!D119/Returns!D118-1,"")</f>
        <v>-1.1496817497259948E-2</v>
      </c>
    </row>
    <row r="115" spans="2:108" x14ac:dyDescent="0.3">
      <c r="B115" s="55" vm="220">
        <f ca="1"/>
        <v>34509.0317</v>
      </c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DB115" s="2" vm="221">
        <f ca="1">IF(Returns!A119&lt;&gt;0,Returns!A119,"")</f>
        <v>41001</v>
      </c>
      <c r="DC115" s="11">
        <f ca="1">IF(Returns!B120&gt;0,Returns!B120/Returns!B119-1,"")</f>
        <v>-3.0505684448788539E-2</v>
      </c>
      <c r="DD115" s="11">
        <f ca="1">IF(Returns!D120&gt;0,Returns!D120/Returns!D119-1,"")</f>
        <v>-1.6121654109057415E-2</v>
      </c>
    </row>
    <row r="116" spans="2:108" x14ac:dyDescent="0.3">
      <c r="B116" s="55" vm="222">
        <f ca="1"/>
        <v>34500.661399999997</v>
      </c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DB116" s="2" vm="223">
        <f ca="1">IF(Returns!A120&lt;&gt;0,Returns!A120,"")</f>
        <v>41008</v>
      </c>
      <c r="DC116" s="11">
        <f ca="1">IF(Returns!B121&gt;0,Returns!B121/Returns!B120-1,"")</f>
        <v>8.0653719622201248E-3</v>
      </c>
      <c r="DD116" s="11">
        <f ca="1">IF(Returns!D121&gt;0,Returns!D121/Returns!D120-1,"")</f>
        <v>1.3982724773645261E-2</v>
      </c>
    </row>
    <row r="117" spans="2:108" x14ac:dyDescent="0.3">
      <c r="B117" s="55" vm="224">
        <f ca="1"/>
        <v>34479.6008</v>
      </c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DB117" s="2" vm="225">
        <f ca="1">IF(Returns!A121&lt;&gt;0,Returns!A121,"")</f>
        <v>41015</v>
      </c>
      <c r="DC117" s="11">
        <f ca="1">IF(Returns!B122&gt;0,Returns!B122/Returns!B121-1,"")</f>
        <v>0.194073060322139</v>
      </c>
      <c r="DD117" s="11">
        <f ca="1">IF(Returns!D122&gt;0,Returns!D122/Returns!D121-1,"")</f>
        <v>1.5276926201132968E-2</v>
      </c>
    </row>
    <row r="118" spans="2:108" x14ac:dyDescent="0.3">
      <c r="B118" s="55" vm="226">
        <f ca="1"/>
        <v>34451.2307</v>
      </c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DB118" s="2" vm="227">
        <f ca="1">IF(Returns!A122&lt;&gt;0,Returns!A122,"")</f>
        <v>41022</v>
      </c>
      <c r="DC118" s="11">
        <f ca="1">IF(Returns!B123&gt;0,Returns!B123/Returns!B122-1,"")</f>
        <v>-1.2607449856733455E-2</v>
      </c>
      <c r="DD118" s="11">
        <f ca="1">IF(Returns!D123&gt;0,Returns!D123/Returns!D122-1,"")</f>
        <v>-1.4366218247608642E-2</v>
      </c>
    </row>
    <row r="119" spans="2:108" x14ac:dyDescent="0.3">
      <c r="B119" s="55" vm="228">
        <f ca="1"/>
        <v>34433.842499999999</v>
      </c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7"/>
      <c r="BR119" s="17"/>
      <c r="BS119" s="17"/>
      <c r="BT119" s="17"/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DB119" s="2" vm="229">
        <f ca="1">IF(Returns!A123&lt;&gt;0,Returns!A123,"")</f>
        <v>41029</v>
      </c>
      <c r="DC119" s="11">
        <f ca="1">IF(Returns!B124&gt;0,Returns!B124/Returns!B123-1,"")</f>
        <v>1.6473949729898685E-2</v>
      </c>
      <c r="DD119" s="11">
        <f ca="1">IF(Returns!D124&gt;0,Returns!D124/Returns!D123-1,"")</f>
        <v>-1.6694339049582507E-2</v>
      </c>
    </row>
    <row r="120" spans="2:108" x14ac:dyDescent="0.3">
      <c r="B120" s="55" vm="230">
        <f ca="1"/>
        <v>34429.876600000003</v>
      </c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DB120" s="2" vm="231">
        <f ca="1">IF(Returns!A124&lt;&gt;0,Returns!A124,"")</f>
        <v>41036</v>
      </c>
      <c r="DC120" s="11">
        <f ca="1">IF(Returns!B125&gt;0,Returns!B125/Returns!B124-1,"")</f>
        <v>-6.0743148278285308E-2</v>
      </c>
      <c r="DD120" s="11">
        <f ca="1">IF(Returns!D125&gt;0,Returns!D125/Returns!D124-1,"")</f>
        <v>-3.5195219769938002E-2</v>
      </c>
    </row>
    <row r="121" spans="2:108" x14ac:dyDescent="0.3">
      <c r="B121" s="55" vm="232">
        <f ca="1"/>
        <v>34407.599900000001</v>
      </c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7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DB121" s="2" vm="233">
        <f ca="1">IF(Returns!A125&lt;&gt;0,Returns!A125,"")</f>
        <v>41043</v>
      </c>
      <c r="DC121" s="11">
        <f ca="1">IF(Returns!B126&gt;0,Returns!B126/Returns!B125-1,"")</f>
        <v>-4.4891278933831824E-3</v>
      </c>
      <c r="DD121" s="11">
        <f ca="1">IF(Returns!D126&gt;0,Returns!D126/Returns!D125-1,"")</f>
        <v>6.9079044515139021E-3</v>
      </c>
    </row>
    <row r="122" spans="2:108" x14ac:dyDescent="0.3">
      <c r="B122" s="55" vm="234">
        <f ca="1"/>
        <v>34382.133999999998</v>
      </c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7"/>
      <c r="BR122" s="17"/>
      <c r="BS122" s="17"/>
      <c r="BT122" s="17"/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DB122" s="2" vm="235">
        <f ca="1">IF(Returns!A126&lt;&gt;0,Returns!A126,"")</f>
        <v>41050</v>
      </c>
      <c r="DC122" s="11">
        <f ca="1">IF(Returns!B127&gt;0,Returns!B127/Returns!B126-1,"")</f>
        <v>-2.1936211188877008E-2</v>
      </c>
      <c r="DD122" s="11">
        <f ca="1">IF(Returns!D127&gt;0,Returns!D127/Returns!D126-1,"")</f>
        <v>-2.6998455667052501E-2</v>
      </c>
    </row>
    <row r="123" spans="2:108" x14ac:dyDescent="0.3">
      <c r="B123" s="55" vm="236">
        <f ca="1"/>
        <v>34347.0308</v>
      </c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DB123" s="2" vm="237">
        <f ca="1">IF(Returns!A127&lt;&gt;0,Returns!A127,"")</f>
        <v>41058</v>
      </c>
      <c r="DC123" s="11">
        <f ca="1">IF(Returns!B128&gt;0,Returns!B128/Returns!B127-1,"")</f>
        <v>4.9274805494188723E-2</v>
      </c>
      <c r="DD123" s="11">
        <f ca="1">IF(Returns!D128&gt;0,Returns!D128/Returns!D127-1,"")</f>
        <v>3.5947594493048074E-2</v>
      </c>
    </row>
    <row r="124" spans="2:108" x14ac:dyDescent="0.3">
      <c r="B124" s="55" vm="238">
        <f ca="1"/>
        <v>34346.8989</v>
      </c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DB124" s="2" vm="239">
        <f ca="1">IF(Returns!A128&lt;&gt;0,Returns!A128,"")</f>
        <v>41064</v>
      </c>
      <c r="DC124" s="11">
        <f ca="1">IF(Returns!B129&gt;0,Returns!B129/Returns!B128-1,"")</f>
        <v>-5.9502013914303209E-4</v>
      </c>
      <c r="DD124" s="11">
        <f ca="1">IF(Returns!D129&gt;0,Returns!D129/Returns!D128-1,"")</f>
        <v>1.696427571478587E-2</v>
      </c>
    </row>
    <row r="125" spans="2:108" x14ac:dyDescent="0.3">
      <c r="B125" s="55" vm="240">
        <f ca="1"/>
        <v>34326.4588</v>
      </c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DB125" s="2" vm="241">
        <f ca="1">IF(Returns!A129&lt;&gt;0,Returns!A129,"")</f>
        <v>41071</v>
      </c>
      <c r="DC125" s="11">
        <f ca="1">IF(Returns!B130&gt;0,Returns!B130/Returns!B129-1,"")</f>
        <v>1.744904969086325E-2</v>
      </c>
      <c r="DD125" s="11">
        <f ca="1">IF(Returns!D130&gt;0,Returns!D130/Returns!D129-1,"")</f>
        <v>-9.89970190971734E-3</v>
      </c>
    </row>
    <row r="126" spans="2:108" x14ac:dyDescent="0.3">
      <c r="B126" s="55" vm="242">
        <f ca="1"/>
        <v>34302.608999999997</v>
      </c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  <c r="BW126" s="17"/>
      <c r="BX126" s="17"/>
      <c r="BY126" s="17"/>
      <c r="BZ126" s="17"/>
      <c r="CA126" s="17"/>
      <c r="CB126" s="17"/>
      <c r="CC126" s="17"/>
      <c r="CD126" s="17"/>
      <c r="CE126" s="17"/>
      <c r="CF126" s="1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DB126" s="2" vm="243">
        <f ca="1">IF(Returns!A130&lt;&gt;0,Returns!A130,"")</f>
        <v>41078</v>
      </c>
      <c r="DC126" s="11">
        <f ca="1">IF(Returns!B131&gt;0,Returns!B131/Returns!B130-1,"")</f>
        <v>2.7862801584443542E-2</v>
      </c>
      <c r="DD126" s="11">
        <f ca="1">IF(Returns!D131&gt;0,Returns!D131/Returns!D130-1,"")</f>
        <v>1.8931638646918714E-2</v>
      </c>
    </row>
    <row r="127" spans="2:108" x14ac:dyDescent="0.3">
      <c r="B127" s="55" vm="244">
        <f ca="1"/>
        <v>34299.115899999997</v>
      </c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DB127" s="2" vm="245">
        <f ca="1">IF(Returns!A131&lt;&gt;0,Returns!A131,"")</f>
        <v>41085</v>
      </c>
      <c r="DC127" s="11">
        <f ca="1">IF(Returns!B132&gt;0,Returns!B132/Returns!B131-1,"")</f>
        <v>-1.4451499890518971E-2</v>
      </c>
      <c r="DD127" s="11">
        <f ca="1">IF(Returns!D132&gt;0,Returns!D132/Returns!D131-1,"")</f>
        <v>-8.3556624961321768E-3</v>
      </c>
    </row>
    <row r="128" spans="2:108" x14ac:dyDescent="0.3">
      <c r="B128" s="55" vm="246">
        <f ca="1"/>
        <v>34283.100400000003</v>
      </c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DB128" s="2" vm="247">
        <f ca="1">IF(Returns!A132&lt;&gt;0,Returns!A132,"")</f>
        <v>41092</v>
      </c>
      <c r="DC128" s="11">
        <f ca="1">IF(Returns!B133&gt;0,Returns!B133/Returns!B132-1,"")</f>
        <v>-2.959342368362583E-2</v>
      </c>
      <c r="DD128" s="11">
        <f ca="1">IF(Returns!D133&gt;0,Returns!D133/Returns!D132-1,"")</f>
        <v>3.6145709982893237E-4</v>
      </c>
    </row>
    <row r="129" spans="2:108" x14ac:dyDescent="0.3">
      <c r="B129" s="55" vm="248">
        <f ca="1"/>
        <v>34265.371200000001</v>
      </c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DB129" s="2" vm="249">
        <f ca="1">IF(Returns!A133&lt;&gt;0,Returns!A133,"")</f>
        <v>41099</v>
      </c>
      <c r="DC129" s="11">
        <f ca="1">IF(Returns!B134&gt;0,Returns!B134/Returns!B133-1,"")</f>
        <v>4.5331745959064085E-2</v>
      </c>
      <c r="DD129" s="11">
        <f ca="1">IF(Returns!D134&gt;0,Returns!D134/Returns!D133-1,"")</f>
        <v>3.5599429441146579E-3</v>
      </c>
    </row>
    <row r="130" spans="2:108" x14ac:dyDescent="0.3">
      <c r="B130" s="55" vm="250">
        <f ca="1"/>
        <v>34207.842900000003</v>
      </c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DB130" s="2" vm="251">
        <f ca="1">IF(Returns!A134&lt;&gt;0,Returns!A134,"")</f>
        <v>41106</v>
      </c>
      <c r="DC130" s="11">
        <f ca="1">IF(Returns!B135&gt;0,Returns!B135/Returns!B134-1,"")</f>
        <v>3.9554952034692725E-2</v>
      </c>
      <c r="DD130" s="11">
        <f ca="1">IF(Returns!D135&gt;0,Returns!D135/Returns!D134-1,"")</f>
        <v>1.9737459078511765E-2</v>
      </c>
    </row>
    <row r="131" spans="2:108" x14ac:dyDescent="0.3">
      <c r="B131" s="55" vm="252">
        <f ca="1"/>
        <v>34200.671199999997</v>
      </c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DB131" s="2" vm="253">
        <f ca="1">IF(Returns!A135&lt;&gt;0,Returns!A135,"")</f>
        <v>41113</v>
      </c>
      <c r="DC131" s="11">
        <f ca="1">IF(Returns!B136&gt;0,Returns!B136/Returns!B135-1,"")</f>
        <v>-9.9022416989718032E-3</v>
      </c>
      <c r="DD131" s="11">
        <f ca="1">IF(Returns!D136&gt;0,Returns!D136/Returns!D135-1,"")</f>
        <v>1.5685788649635324E-3</v>
      </c>
    </row>
    <row r="132" spans="2:108" x14ac:dyDescent="0.3">
      <c r="B132" s="55" vm="254">
        <f ca="1"/>
        <v>34098.1636</v>
      </c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DB132" s="2" vm="255">
        <f ca="1">IF(Returns!A136&lt;&gt;0,Returns!A136,"")</f>
        <v>41120</v>
      </c>
      <c r="DC132" s="11">
        <f ca="1">IF(Returns!B137&gt;0,Returns!B137/Returns!B136-1,"")</f>
        <v>-9.4480146401668685E-3</v>
      </c>
      <c r="DD132" s="11">
        <f ca="1">IF(Returns!D137&gt;0,Returns!D137/Returns!D136-1,"")</f>
        <v>8.5356497076620741E-3</v>
      </c>
    </row>
    <row r="133" spans="2:108" x14ac:dyDescent="0.3">
      <c r="B133" s="55" vm="256">
        <f ca="1"/>
        <v>34079.182200000003</v>
      </c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DB133" s="2" vm="257">
        <f ca="1">IF(Returns!A137&lt;&gt;0,Returns!A137,"")</f>
        <v>41127</v>
      </c>
      <c r="DC133" s="11">
        <f ca="1">IF(Returns!B138&gt;0,Returns!B138/Returns!B137-1,"")</f>
        <v>3.6176154672395322E-2</v>
      </c>
      <c r="DD133" s="11">
        <f ca="1">IF(Returns!D138&gt;0,Returns!D138/Returns!D137-1,"")</f>
        <v>5.0915615077946619E-3</v>
      </c>
    </row>
    <row r="134" spans="2:108" x14ac:dyDescent="0.3">
      <c r="B134" s="55" vm="258">
        <f ca="1"/>
        <v>34061.321199999998</v>
      </c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DB134" s="2" vm="259">
        <f ca="1">IF(Returns!A138&lt;&gt;0,Returns!A138,"")</f>
        <v>41134</v>
      </c>
      <c r="DC134" s="11">
        <f ca="1">IF(Returns!B139&gt;0,Returns!B139/Returns!B138-1,"")</f>
        <v>1.8949288883360227E-2</v>
      </c>
      <c r="DD134" s="11">
        <f ca="1">IF(Returns!D139&gt;0,Returns!D139/Returns!D138-1,"")</f>
        <v>-8.8308266757630705E-3</v>
      </c>
    </row>
    <row r="135" spans="2:108" x14ac:dyDescent="0.3">
      <c r="B135" s="55" vm="260">
        <f ca="1"/>
        <v>34058.750800000002</v>
      </c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DB135" s="2" vm="261">
        <f ca="1">IF(Returns!A139&lt;&gt;0,Returns!A139,"")</f>
        <v>41141</v>
      </c>
      <c r="DC135" s="11">
        <f ca="1">IF(Returns!B140&gt;0,Returns!B140/Returns!B139-1,"")</f>
        <v>1.0295434198746678E-2</v>
      </c>
      <c r="DD135" s="11">
        <f ca="1">IF(Returns!D140&gt;0,Returns!D140/Returns!D139-1,"")</f>
        <v>-5.1020711773771543E-3</v>
      </c>
    </row>
    <row r="136" spans="2:108" x14ac:dyDescent="0.3">
      <c r="B136" s="55" vm="262">
        <f ca="1"/>
        <v>34043.486799999999</v>
      </c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DB136" s="2" vm="263">
        <f ca="1">IF(Returns!A140&lt;&gt;0,Returns!A140,"")</f>
        <v>41148</v>
      </c>
      <c r="DC136" s="11">
        <f ca="1">IF(Returns!B141&gt;0,Returns!B141/Returns!B140-1,"")</f>
        <v>4.3782978209207624E-2</v>
      </c>
      <c r="DD136" s="11">
        <f ca="1">IF(Returns!D141&gt;0,Returns!D141/Returns!D140-1,"")</f>
        <v>1.6484881501696469E-2</v>
      </c>
    </row>
    <row r="137" spans="2:108" x14ac:dyDescent="0.3">
      <c r="B137" s="55" vm="264">
        <f ca="1"/>
        <v>33978.079899999997</v>
      </c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DB137" s="2" vm="265">
        <f ca="1">IF(Returns!A141&lt;&gt;0,Returns!A141,"")</f>
        <v>41156</v>
      </c>
      <c r="DC137" s="11">
        <f ca="1">IF(Returns!B142&gt;0,Returns!B142/Returns!B141-1,"")</f>
        <v>8.2194952535308285E-3</v>
      </c>
      <c r="DD137" s="11">
        <f ca="1">IF(Returns!D142&gt;0,Returns!D142/Returns!D141-1,"")</f>
        <v>2.1547741649335039E-2</v>
      </c>
    </row>
    <row r="138" spans="2:108" x14ac:dyDescent="0.3">
      <c r="B138" s="55" vm="266">
        <f ca="1"/>
        <v>33963.8439</v>
      </c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DB138" s="2" vm="267">
        <f ca="1">IF(Returns!A142&lt;&gt;0,Returns!A142,"")</f>
        <v>41162</v>
      </c>
      <c r="DC138" s="11">
        <f ca="1">IF(Returns!B143&gt;0,Returns!B143/Returns!B142-1,"")</f>
        <v>-1.4544341103073455E-2</v>
      </c>
      <c r="DD138" s="11">
        <f ca="1">IF(Returns!D143&gt;0,Returns!D143/Returns!D142-1,"")</f>
        <v>-1.0224766917739103E-3</v>
      </c>
    </row>
    <row r="139" spans="2:108" x14ac:dyDescent="0.3">
      <c r="B139" s="55" vm="268">
        <f ca="1"/>
        <v>33926.012900000002</v>
      </c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DB139" s="2" vm="269">
        <f ca="1">IF(Returns!A143&lt;&gt;0,Returns!A143,"")</f>
        <v>41169</v>
      </c>
      <c r="DC139" s="11">
        <f ca="1">IF(Returns!B144&gt;0,Returns!B144/Returns!B143-1,"")</f>
        <v>-1.2234435079815142E-2</v>
      </c>
      <c r="DD139" s="11">
        <f ca="1">IF(Returns!D144&gt;0,Returns!D144/Returns!D143-1,"")</f>
        <v>-1.048202391917108E-2</v>
      </c>
    </row>
    <row r="140" spans="2:108" x14ac:dyDescent="0.3">
      <c r="B140" s="55" vm="270">
        <f ca="1"/>
        <v>33886.4683</v>
      </c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DB140" s="2" vm="271">
        <f ca="1">IF(Returns!A144&lt;&gt;0,Returns!A144,"")</f>
        <v>41176</v>
      </c>
      <c r="DC140" s="11">
        <f ca="1">IF(Returns!B145&gt;0,Returns!B145/Returns!B144-1,"")</f>
        <v>1.6475306700220127E-2</v>
      </c>
      <c r="DD140" s="11">
        <f ca="1">IF(Returns!D145&gt;0,Returns!D145/Returns!D144-1,"")</f>
        <v>1.2876271935781336E-2</v>
      </c>
    </row>
    <row r="141" spans="2:108" x14ac:dyDescent="0.3">
      <c r="B141" s="55" vm="272">
        <f ca="1"/>
        <v>33876.779900000001</v>
      </c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DB141" s="2" vm="273">
        <f ca="1">IF(Returns!A145&lt;&gt;0,Returns!A145,"")</f>
        <v>41183</v>
      </c>
      <c r="DC141" s="11">
        <f ca="1">IF(Returns!B146&gt;0,Returns!B146/Returns!B145-1,"")</f>
        <v>-6.2473405284128258E-2</v>
      </c>
      <c r="DD141" s="11">
        <f ca="1">IF(Returns!D146&gt;0,Returns!D146/Returns!D145-1,"")</f>
        <v>-2.0668527680119841E-2</v>
      </c>
    </row>
    <row r="142" spans="2:108" x14ac:dyDescent="0.3">
      <c r="B142" s="55" vm="274">
        <f ca="1"/>
        <v>33874.853999999999</v>
      </c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DB142" s="2" vm="275">
        <f ca="1">IF(Returns!A146&lt;&gt;0,Returns!A146,"")</f>
        <v>41190</v>
      </c>
      <c r="DC142" s="11">
        <f ca="1">IF(Returns!B147&gt;0,Returns!B147/Returns!B146-1,"")</f>
        <v>-9.7375804588215598E-3</v>
      </c>
      <c r="DD142" s="11">
        <f ca="1">IF(Returns!D147&gt;0,Returns!D147/Returns!D146-1,"")</f>
        <v>1.100462918569356E-3</v>
      </c>
    </row>
    <row r="143" spans="2:108" x14ac:dyDescent="0.3">
      <c r="B143" s="55" vm="276">
        <f ca="1"/>
        <v>33869.2664</v>
      </c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DB143" s="2" vm="277">
        <f ca="1">IF(Returns!A147&lt;&gt;0,Returns!A147,"")</f>
        <v>41197</v>
      </c>
      <c r="DC143" s="11">
        <f ca="1">IF(Returns!B148&gt;0,Returns!B148/Returns!B147-1,"")</f>
        <v>-7.3333333333333028E-3</v>
      </c>
      <c r="DD143" s="11">
        <f ca="1">IF(Returns!D148&gt;0,Returns!D148/Returns!D147-1,"")</f>
        <v>-1.770894189994876E-2</v>
      </c>
    </row>
    <row r="144" spans="2:108" x14ac:dyDescent="0.3">
      <c r="B144" s="55" vm="278">
        <f ca="1"/>
        <v>33826.6901</v>
      </c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DB144" s="2" vm="279">
        <f ca="1">IF(Returns!A148&lt;&gt;0,Returns!A148,"")</f>
        <v>41204</v>
      </c>
      <c r="DC144" s="11">
        <f ca="1">IF(Returns!B149&gt;0,Returns!B149/Returns!B148-1,"")</f>
        <v>-2.4420752182673033E-2</v>
      </c>
      <c r="DD144" s="11">
        <f ca="1">IF(Returns!D149&gt;0,Returns!D149/Returns!D148-1,"")</f>
        <v>-1.0722034691477145E-3</v>
      </c>
    </row>
    <row r="145" spans="2:108" x14ac:dyDescent="0.3">
      <c r="B145" s="55" vm="280">
        <f ca="1"/>
        <v>33811.3995</v>
      </c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DB145" s="2" vm="281">
        <f ca="1">IF(Returns!A149&lt;&gt;0,Returns!A149,"")</f>
        <v>41213</v>
      </c>
      <c r="DC145" s="11">
        <f ca="1">IF(Returns!B150&gt;0,Returns!B150/Returns!B149-1,"")</f>
        <v>-2.6296994260440076E-2</v>
      </c>
      <c r="DD145" s="11">
        <f ca="1">IF(Returns!D150&gt;0,Returns!D150/Returns!D149-1,"")</f>
        <v>-2.1214817345737491E-2</v>
      </c>
    </row>
    <row r="146" spans="2:108" x14ac:dyDescent="0.3">
      <c r="B146" s="55" vm="282">
        <f ca="1"/>
        <v>33808.961000000003</v>
      </c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DB146" s="2" vm="283">
        <f ca="1">IF(Returns!A150&lt;&gt;0,Returns!A150,"")</f>
        <v>41218</v>
      </c>
      <c r="DC146" s="11">
        <f ca="1">IF(Returns!B151&gt;0,Returns!B151/Returns!B150-1,"")</f>
        <v>-4.7722151031770466E-3</v>
      </c>
      <c r="DD146" s="11">
        <f ca="1">IF(Returns!D151&gt;0,Returns!D151/Returns!D150-1,"")</f>
        <v>-1.7719638692883954E-2</v>
      </c>
    </row>
    <row r="147" spans="2:108" x14ac:dyDescent="0.3">
      <c r="B147" s="55" vm="284">
        <f ca="1"/>
        <v>33800.604299999999</v>
      </c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DB147" s="2" vm="285">
        <f ca="1">IF(Returns!A151&lt;&gt;0,Returns!A151,"")</f>
        <v>41225</v>
      </c>
      <c r="DC147" s="11">
        <f ca="1">IF(Returns!B152&gt;0,Returns!B152/Returns!B151-1,"")</f>
        <v>6.5044621054033636E-2</v>
      </c>
      <c r="DD147" s="11">
        <f ca="1">IF(Returns!D152&gt;0,Returns!D152/Returns!D151-1,"")</f>
        <v>3.3473643437516909E-2</v>
      </c>
    </row>
    <row r="148" spans="2:108" x14ac:dyDescent="0.3">
      <c r="B148" s="55" vm="286">
        <f ca="1"/>
        <v>33762.759700000002</v>
      </c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7"/>
      <c r="CF148" s="1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DB148" s="2" vm="287">
        <f ca="1">IF(Returns!A152&lt;&gt;0,Returns!A152,"")</f>
        <v>41232</v>
      </c>
      <c r="DC148" s="11">
        <f ca="1">IF(Returns!B153&gt;0,Returns!B153/Returns!B152-1,"")</f>
        <v>5.0733700183424935E-2</v>
      </c>
      <c r="DD148" s="11">
        <f ca="1">IF(Returns!D153&gt;0,Returns!D153/Returns!D152-1,"")</f>
        <v>1.2219128928079304E-3</v>
      </c>
    </row>
    <row r="149" spans="2:108" x14ac:dyDescent="0.3">
      <c r="B149" s="55" vm="288">
        <f ca="1"/>
        <v>33761.0461</v>
      </c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  <c r="CC149" s="17"/>
      <c r="CD149" s="17"/>
      <c r="CE149" s="17"/>
      <c r="CF149" s="1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  <c r="DB149" s="2" vm="289">
        <f ca="1">IF(Returns!A153&lt;&gt;0,Returns!A153,"")</f>
        <v>41239</v>
      </c>
      <c r="DC149" s="11">
        <f ca="1">IF(Returns!B154&gt;0,Returns!B154/Returns!B153-1,"")</f>
        <v>4.8323745288634257E-3</v>
      </c>
      <c r="DD149" s="11">
        <f ca="1">IF(Returns!D154&gt;0,Returns!D154/Returns!D153-1,"")</f>
        <v>9.9461058940006897E-3</v>
      </c>
    </row>
    <row r="150" spans="2:108" x14ac:dyDescent="0.3">
      <c r="B150" s="55" vm="290">
        <f ca="1"/>
        <v>33747.864600000001</v>
      </c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17"/>
      <c r="CF150" s="1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  <c r="DB150" s="2" vm="291">
        <f ca="1">IF(Returns!A154&lt;&gt;0,Returns!A154,"")</f>
        <v>41246</v>
      </c>
      <c r="DC150" s="11">
        <f ca="1">IF(Returns!B155&gt;0,Returns!B155/Returns!B154-1,"")</f>
        <v>-1.6101520918552659E-2</v>
      </c>
      <c r="DD150" s="11">
        <f ca="1">IF(Returns!D155&gt;0,Returns!D155/Returns!D154-1,"")</f>
        <v>-1.5294713075518773E-3</v>
      </c>
    </row>
    <row r="151" spans="2:108" x14ac:dyDescent="0.3">
      <c r="B151" s="55" vm="292">
        <f ca="1"/>
        <v>33745.689599999998</v>
      </c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17"/>
      <c r="CF151" s="1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  <c r="DB151" s="2" vm="293">
        <f ca="1">IF(Returns!A155&lt;&gt;0,Returns!A155,"")</f>
        <v>41253</v>
      </c>
      <c r="DC151" s="11">
        <f ca="1">IF(Returns!B156&gt;0,Returns!B156/Returns!B155-1,"")</f>
        <v>3.1020506440868401E-2</v>
      </c>
      <c r="DD151" s="11">
        <f ca="1">IF(Returns!D156&gt;0,Returns!D156/Returns!D155-1,"")</f>
        <v>4.2504942667132006E-3</v>
      </c>
    </row>
    <row r="152" spans="2:108" x14ac:dyDescent="0.3">
      <c r="B152" s="55" vm="294">
        <f ca="1"/>
        <v>33734.880799999999</v>
      </c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17"/>
      <c r="CF152" s="1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  <c r="DB152" s="2" vm="295">
        <f ca="1">IF(Returns!A156&lt;&gt;0,Returns!A156,"")</f>
        <v>41260</v>
      </c>
      <c r="DC152" s="11">
        <f ca="1">IF(Returns!B157&gt;0,Returns!B157/Returns!B156-1,"")</f>
        <v>-4.5695158025844562E-2</v>
      </c>
      <c r="DD152" s="11">
        <f ca="1">IF(Returns!D157&gt;0,Returns!D157/Returns!D156-1,"")</f>
        <v>-1.9159782491247612E-2</v>
      </c>
    </row>
    <row r="153" spans="2:108" x14ac:dyDescent="0.3">
      <c r="B153" s="55" vm="296">
        <f ca="1"/>
        <v>33727.433199999999</v>
      </c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17"/>
      <c r="CF153" s="1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  <c r="DB153" s="2" vm="297">
        <f ca="1">IF(Returns!A157&lt;&gt;0,Returns!A157,"")</f>
        <v>41267</v>
      </c>
      <c r="DC153" s="11">
        <f ca="1">IF(Returns!B158&gt;0,Returns!B158/Returns!B157-1,"")</f>
        <v>5.6978546374092387E-2</v>
      </c>
      <c r="DD153" s="11">
        <f ca="1">IF(Returns!D158&gt;0,Returns!D158/Returns!D157-1,"")</f>
        <v>3.842112892190408E-2</v>
      </c>
    </row>
    <row r="154" spans="2:108" x14ac:dyDescent="0.3">
      <c r="B154" s="55" vm="298">
        <f ca="1"/>
        <v>33706.7382</v>
      </c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DB154" s="2" vm="299">
        <f ca="1">IF(Returns!A158&lt;&gt;0,Returns!A158,"")</f>
        <v>41274</v>
      </c>
      <c r="DC154" s="11">
        <f ca="1">IF(Returns!B159&gt;0,Returns!B159/Returns!B158-1,"")</f>
        <v>3.3918579972988638E-2</v>
      </c>
      <c r="DD154" s="11">
        <f ca="1">IF(Returns!D159&gt;0,Returns!D159/Returns!D158-1,"")</f>
        <v>3.9611745468455251E-3</v>
      </c>
    </row>
    <row r="155" spans="2:108" x14ac:dyDescent="0.3">
      <c r="B155" s="55" vm="300">
        <f ca="1"/>
        <v>33674.3776</v>
      </c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DB155" s="2" vm="301">
        <f ca="1">IF(Returns!A159&lt;&gt;0,Returns!A159,"")</f>
        <v>41281</v>
      </c>
      <c r="DC155" s="11">
        <f ca="1">IF(Returns!B160&gt;0,Returns!B160/Returns!B159-1,"")</f>
        <v>1.5600507576323031E-2</v>
      </c>
      <c r="DD155" s="11">
        <f ca="1">IF(Returns!D160&gt;0,Returns!D160/Returns!D159-1,"")</f>
        <v>1.1956205832226674E-2</v>
      </c>
    </row>
    <row r="156" spans="2:108" x14ac:dyDescent="0.3">
      <c r="B156" s="55" vm="302">
        <f ca="1"/>
        <v>33670.291299999997</v>
      </c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1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  <c r="DB156" s="2" vm="303">
        <f ca="1">IF(Returns!A160&lt;&gt;0,Returns!A160,"")</f>
        <v>41288</v>
      </c>
      <c r="DC156" s="11">
        <f ca="1">IF(Returns!B161&gt;0,Returns!B161/Returns!B160-1,"")</f>
        <v>4.3620461561076018E-2</v>
      </c>
      <c r="DD156" s="11">
        <f ca="1">IF(Returns!D161&gt;0,Returns!D161/Returns!D160-1,"")</f>
        <v>1.8043111668870404E-2</v>
      </c>
    </row>
    <row r="157" spans="2:108" x14ac:dyDescent="0.3">
      <c r="B157" s="55" vm="304">
        <f ca="1"/>
        <v>33630.6149</v>
      </c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DB157" s="2" vm="305">
        <f ca="1">IF(Returns!A161&lt;&gt;0,Returns!A161,"")</f>
        <v>41296</v>
      </c>
      <c r="DC157" s="11">
        <f ca="1">IF(Returns!B162&gt;0,Returns!B162/Returns!B161-1,"")</f>
        <v>-6.6868551709567292E-2</v>
      </c>
      <c r="DD157" s="11">
        <f ca="1">IF(Returns!D162&gt;0,Returns!D162/Returns!D161-1,"")</f>
        <v>8.1901962492805236E-3</v>
      </c>
    </row>
    <row r="158" spans="2:108" x14ac:dyDescent="0.3">
      <c r="B158" s="55" vm="306">
        <f ca="1"/>
        <v>33614.797100000003</v>
      </c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1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  <c r="DB158" s="2" vm="307">
        <f ca="1">IF(Returns!A162&lt;&gt;0,Returns!A162,"")</f>
        <v>41302</v>
      </c>
      <c r="DC158" s="11">
        <f ca="1">IF(Returns!B163&gt;0,Returns!B163/Returns!B162-1,"")</f>
        <v>-1.1509433962264115E-2</v>
      </c>
      <c r="DD158" s="11">
        <f ca="1">IF(Returns!D163&gt;0,Returns!D163/Returns!D162-1,"")</f>
        <v>-1.2004605008223423E-3</v>
      </c>
    </row>
    <row r="159" spans="2:108" x14ac:dyDescent="0.3">
      <c r="B159" s="55" vm="308">
        <f ca="1"/>
        <v>33507.499499999998</v>
      </c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  <c r="DB159" s="2" vm="309">
        <f ca="1">IF(Returns!A163&lt;&gt;0,Returns!A163,"")</f>
        <v>41309</v>
      </c>
      <c r="DC159" s="11">
        <f ca="1">IF(Returns!B164&gt;0,Returns!B164/Returns!B163-1,"")</f>
        <v>1.1987020423744887E-2</v>
      </c>
      <c r="DD159" s="11">
        <f ca="1">IF(Returns!D164&gt;0,Returns!D164/Returns!D163-1,"")</f>
        <v>-8.0126651005574256E-4</v>
      </c>
    </row>
    <row r="160" spans="2:108" x14ac:dyDescent="0.3">
      <c r="B160" s="55" vm="310">
        <f ca="1"/>
        <v>33485.2886</v>
      </c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1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  <c r="DB160" s="2" vm="311">
        <f ca="1">IF(Returns!A164&lt;&gt;0,Returns!A164,"")</f>
        <v>41316</v>
      </c>
      <c r="DC160" s="11">
        <f ca="1">IF(Returns!B165&gt;0,Returns!B165/Returns!B164-1,"")</f>
        <v>1.244860236146339E-3</v>
      </c>
      <c r="DD160" s="11">
        <f ca="1">IF(Returns!D165&gt;0,Returns!D165/Returns!D164-1,"")</f>
        <v>1.345667488601876E-3</v>
      </c>
    </row>
    <row r="161" spans="2:108" x14ac:dyDescent="0.3">
      <c r="B161" s="55" vm="312">
        <f ca="1"/>
        <v>33476.457000000002</v>
      </c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DB161" s="2" vm="313">
        <f ca="1">IF(Returns!A165&lt;&gt;0,Returns!A165,"")</f>
        <v>41324</v>
      </c>
      <c r="DC161" s="11">
        <f ca="1">IF(Returns!B166&gt;0,Returns!B166/Returns!B165-1,"")</f>
        <v>1.205636349935979E-3</v>
      </c>
      <c r="DD161" s="11">
        <f ca="1">IF(Returns!D166&gt;0,Returns!D166/Returns!D165-1,"")</f>
        <v>6.3627887166262109E-3</v>
      </c>
    </row>
    <row r="162" spans="2:108" x14ac:dyDescent="0.3">
      <c r="B162" s="55" vm="314">
        <f ca="1"/>
        <v>33426.630899999996</v>
      </c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1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DB162" s="2" vm="315">
        <f ca="1">IF(Returns!A166&lt;&gt;0,Returns!A166,"")</f>
        <v>41330</v>
      </c>
      <c r="DC162" s="11">
        <f ca="1">IF(Returns!B167&gt;0,Returns!B167/Returns!B166-1,"")</f>
        <v>3.179799804320016E-2</v>
      </c>
      <c r="DD162" s="11">
        <f ca="1">IF(Returns!D167&gt;0,Returns!D167/Returns!D166-1,"")</f>
        <v>2.181828038177458E-2</v>
      </c>
    </row>
    <row r="163" spans="2:108" x14ac:dyDescent="0.3">
      <c r="B163" s="55" vm="316">
        <f ca="1"/>
        <v>33407.583599999998</v>
      </c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1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  <c r="DB163" s="2" vm="317">
        <f ca="1">IF(Returns!A167&lt;&gt;0,Returns!A167,"")</f>
        <v>41337</v>
      </c>
      <c r="DC163" s="11">
        <f ca="1">IF(Returns!B168&gt;0,Returns!B168/Returns!B167-1,"")</f>
        <v>-4.5114701484372244E-2</v>
      </c>
      <c r="DD163" s="11">
        <f ca="1">IF(Returns!D168&gt;0,Returns!D168/Returns!D167-1,"")</f>
        <v>8.1291750640062332E-3</v>
      </c>
    </row>
    <row r="164" spans="2:108" x14ac:dyDescent="0.3">
      <c r="B164" s="55" vm="318">
        <f ca="1"/>
        <v>33390.974800000004</v>
      </c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1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  <c r="DB164" s="2" vm="319">
        <f ca="1">IF(Returns!A168&lt;&gt;0,Returns!A168,"")</f>
        <v>41344</v>
      </c>
      <c r="DC164" s="11">
        <f ca="1">IF(Returns!B169&gt;0,Returns!B169/Returns!B168-1,"")</f>
        <v>-1.5545030937285209E-2</v>
      </c>
      <c r="DD164" s="11">
        <f ca="1">IF(Returns!D169&gt;0,Returns!D169/Returns!D168-1,"")</f>
        <v>-1.4286102085792063E-4</v>
      </c>
    </row>
    <row r="165" spans="2:108" x14ac:dyDescent="0.3">
      <c r="B165" s="55" vm="320">
        <f ca="1"/>
        <v>33375.486499999999</v>
      </c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1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  <c r="DB165" s="2" vm="321">
        <f ca="1">IF(Returns!A169&lt;&gt;0,Returns!A169,"")</f>
        <v>41351</v>
      </c>
      <c r="DC165" s="11">
        <f ca="1">IF(Returns!B170&gt;0,Returns!B170/Returns!B169-1,"")</f>
        <v>3.3908826382153423E-2</v>
      </c>
      <c r="DD165" s="11">
        <f ca="1">IF(Returns!D170&gt;0,Returns!D170/Returns!D169-1,"")</f>
        <v>4.5827419419024462E-3</v>
      </c>
    </row>
    <row r="166" spans="2:108" x14ac:dyDescent="0.3">
      <c r="B166" s="55" vm="322">
        <f ca="1"/>
        <v>33300.6155</v>
      </c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1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  <c r="DB166" s="2" vm="323">
        <f ca="1">IF(Returns!A170&lt;&gt;0,Returns!A170,"")</f>
        <v>41358</v>
      </c>
      <c r="DC166" s="11">
        <f ca="1">IF(Returns!B171&gt;0,Returns!B171/Returns!B170-1,"")</f>
        <v>-4.1314871102105188E-2</v>
      </c>
      <c r="DD166" s="11">
        <f ca="1">IF(Returns!D171&gt;0,Returns!D171/Returns!D170-1,"")</f>
        <v>-9.1131912862529862E-4</v>
      </c>
    </row>
    <row r="167" spans="2:108" x14ac:dyDescent="0.3">
      <c r="B167" s="55" vm="324">
        <f ca="1"/>
        <v>33290.083700000003</v>
      </c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1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  <c r="DB167" s="2" vm="325">
        <f ca="1">IF(Returns!A171&lt;&gt;0,Returns!A171,"")</f>
        <v>41365</v>
      </c>
      <c r="DC167" s="11">
        <f ca="1">IF(Returns!B172&gt;0,Returns!B172/Returns!B171-1,"")</f>
        <v>6.8067950524502985E-2</v>
      </c>
      <c r="DD167" s="11">
        <f ca="1">IF(Returns!D172&gt;0,Returns!D172/Returns!D171-1,"")</f>
        <v>2.0583880469432714E-2</v>
      </c>
    </row>
    <row r="168" spans="2:108" x14ac:dyDescent="0.3">
      <c r="B168" s="55" vm="326">
        <f ca="1"/>
        <v>33274.153599999998</v>
      </c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DB168" s="2" vm="327">
        <f ca="1">IF(Returns!A172&lt;&gt;0,Returns!A172,"")</f>
        <v>41372</v>
      </c>
      <c r="DC168" s="11">
        <f ca="1">IF(Returns!B173&gt;0,Returns!B173/Returns!B172-1,"")</f>
        <v>-4.5992597207461405E-2</v>
      </c>
      <c r="DD168" s="11">
        <f ca="1">IF(Returns!D173&gt;0,Returns!D173/Returns!D172-1,"")</f>
        <v>-2.1362111992933586E-2</v>
      </c>
    </row>
    <row r="169" spans="2:108" x14ac:dyDescent="0.3">
      <c r="B169" s="55" vm="328">
        <f ca="1"/>
        <v>33212.958400000003</v>
      </c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1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DB169" s="2" vm="329">
        <f ca="1">IF(Returns!A173&lt;&gt;0,Returns!A173,"")</f>
        <v>41379</v>
      </c>
      <c r="DC169" s="11">
        <f ca="1">IF(Returns!B174&gt;0,Returns!B174/Returns!B173-1,"")</f>
        <v>-2.1166256914566639E-2</v>
      </c>
      <c r="DD169" s="11">
        <f ca="1">IF(Returns!D174&gt;0,Returns!D174/Returns!D173-1,"")</f>
        <v>1.1344441578738707E-2</v>
      </c>
    </row>
    <row r="170" spans="2:108" x14ac:dyDescent="0.3">
      <c r="B170" s="55" vm="330">
        <f ca="1"/>
        <v>33203.928999999996</v>
      </c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1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  <c r="DB170" s="2" vm="331">
        <f ca="1">IF(Returns!A174&lt;&gt;0,Returns!A174,"")</f>
        <v>41386</v>
      </c>
      <c r="DC170" s="11">
        <f ca="1">IF(Returns!B175&gt;0,Returns!B175/Returns!B174-1,"")</f>
        <v>1.27153565401672E-2</v>
      </c>
      <c r="DD170" s="11">
        <f ca="1">IF(Returns!D175&gt;0,Returns!D175/Returns!D174-1,"")</f>
        <v>1.776793837455215E-2</v>
      </c>
    </row>
    <row r="171" spans="2:108" x14ac:dyDescent="0.3">
      <c r="B171" s="55" vm="332">
        <f ca="1"/>
        <v>33153.2137</v>
      </c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1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  <c r="DB171" s="2" vm="333">
        <f ca="1">IF(Returns!A175&lt;&gt;0,Returns!A175,"")</f>
        <v>41393</v>
      </c>
      <c r="DC171" s="11">
        <f ca="1">IF(Returns!B176&gt;0,Returns!B176/Returns!B175-1,"")</f>
        <v>2.1623716334043808E-2</v>
      </c>
      <c r="DD171" s="11">
        <f ca="1">IF(Returns!D176&gt;0,Returns!D176/Returns!D175-1,"")</f>
        <v>9.6520245116238357E-3</v>
      </c>
    </row>
    <row r="172" spans="2:108" x14ac:dyDescent="0.3">
      <c r="B172" s="55" vm="334">
        <f ca="1"/>
        <v>33147.248500000002</v>
      </c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1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  <c r="DB172" s="2" vm="335">
        <f ca="1">IF(Returns!A176&lt;&gt;0,Returns!A176,"")</f>
        <v>41400</v>
      </c>
      <c r="DC172" s="11">
        <f ca="1">IF(Returns!B177&gt;0,Returns!B177/Returns!B176-1,"")</f>
        <v>2.3783332701134086E-2</v>
      </c>
      <c r="DD172" s="11">
        <f ca="1">IF(Returns!D177&gt;0,Returns!D177/Returns!D176-1,"")</f>
        <v>1.5604446106574299E-2</v>
      </c>
    </row>
    <row r="173" spans="2:108" x14ac:dyDescent="0.3">
      <c r="B173" s="55" vm="336">
        <f ca="1"/>
        <v>33127.278400000003</v>
      </c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1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  <c r="DB173" s="2" vm="337">
        <f ca="1">IF(Returns!A177&lt;&gt;0,Returns!A177,"")</f>
        <v>41407</v>
      </c>
      <c r="DC173" s="11">
        <f ca="1">IF(Returns!B178&gt;0,Returns!B178/Returns!B177-1,"")</f>
        <v>-3.023341978510552E-2</v>
      </c>
      <c r="DD173" s="11">
        <f ca="1">IF(Returns!D178&gt;0,Returns!D178/Returns!D177-1,"")</f>
        <v>-3.3410224205676631E-3</v>
      </c>
    </row>
    <row r="174" spans="2:108" x14ac:dyDescent="0.3">
      <c r="B174" s="55" vm="338">
        <f ca="1"/>
        <v>33093.336000000003</v>
      </c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1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  <c r="DB174" s="2" vm="339">
        <f ca="1">IF(Returns!A178&lt;&gt;0,Returns!A178,"")</f>
        <v>41414</v>
      </c>
      <c r="DC174" s="11">
        <f ca="1">IF(Returns!B179&gt;0,Returns!B179/Returns!B178-1,"")</f>
        <v>2.8501566439978587E-2</v>
      </c>
      <c r="DD174" s="11">
        <f ca="1">IF(Returns!D179&gt;0,Returns!D179/Returns!D178-1,"")</f>
        <v>-1.2254665593228409E-2</v>
      </c>
    </row>
    <row r="175" spans="2:108" x14ac:dyDescent="0.3">
      <c r="B175" s="55" vm="340">
        <f ca="1"/>
        <v>33072.877899999999</v>
      </c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DB175" s="2" vm="341">
        <f ca="1">IF(Returns!A179&lt;&gt;0,Returns!A179,"")</f>
        <v>41422</v>
      </c>
      <c r="DC175" s="11">
        <f ca="1">IF(Returns!B180&gt;0,Returns!B180/Returns!B179-1,"")</f>
        <v>2.8491827637444178E-2</v>
      </c>
      <c r="DD175" s="11">
        <f ca="1">IF(Returns!D180&gt;0,Returns!D180/Returns!D179-1,"")</f>
        <v>8.7690321497548851E-3</v>
      </c>
    </row>
    <row r="176" spans="2:108" x14ac:dyDescent="0.3">
      <c r="B176" s="55" vm="342">
        <f ca="1"/>
        <v>32977.2068</v>
      </c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1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DB176" s="2" vm="343">
        <f ca="1">IF(Returns!A180&lt;&gt;0,Returns!A180,"")</f>
        <v>41428</v>
      </c>
      <c r="DC176" s="11">
        <f ca="1">IF(Returns!B181&gt;0,Returns!B181/Returns!B180-1,"")</f>
        <v>-1.0401993715462132E-2</v>
      </c>
      <c r="DD176" s="11">
        <f ca="1">IF(Returns!D181&gt;0,Returns!D181/Returns!D180-1,"")</f>
        <v>-1.1669309954848495E-2</v>
      </c>
    </row>
    <row r="177" spans="2:108" x14ac:dyDescent="0.3">
      <c r="B177" s="55" vm="344">
        <f ca="1"/>
        <v>32944.187100000003</v>
      </c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1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  <c r="DB177" s="2" vm="345">
        <f ca="1">IF(Returns!A181&lt;&gt;0,Returns!A181,"")</f>
        <v>41435</v>
      </c>
      <c r="DC177" s="11">
        <f ca="1">IF(Returns!B182&gt;0,Returns!B182/Returns!B181-1,"")</f>
        <v>-2.2993539910216576E-3</v>
      </c>
      <c r="DD177" s="11">
        <f ca="1">IF(Returns!D182&gt;0,Returns!D182/Returns!D181-1,"")</f>
        <v>-1.7967978448461541E-2</v>
      </c>
    </row>
    <row r="178" spans="2:108" x14ac:dyDescent="0.3">
      <c r="B178" s="55" vm="346">
        <f ca="1"/>
        <v>32920.460299999999</v>
      </c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  <c r="DB178" s="2" vm="347">
        <f ca="1">IF(Returns!A182&lt;&gt;0,Returns!A182,"")</f>
        <v>41442</v>
      </c>
      <c r="DC178" s="11">
        <f ca="1">IF(Returns!B183&gt;0,Returns!B183/Returns!B182-1,"")</f>
        <v>1.5839918056774982E-2</v>
      </c>
      <c r="DD178" s="11">
        <f ca="1">IF(Returns!D183&gt;0,Returns!D183/Returns!D182-1,"")</f>
        <v>7.4463486731659589E-3</v>
      </c>
    </row>
    <row r="179" spans="2:108" x14ac:dyDescent="0.3">
      <c r="B179" s="55" vm="348">
        <f ca="1"/>
        <v>32899.699399999998</v>
      </c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1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  <c r="DB179" s="2" vm="349">
        <f ca="1">IF(Returns!A183&lt;&gt;0,Returns!A183,"")</f>
        <v>41449</v>
      </c>
      <c r="DC179" s="11">
        <f ca="1">IF(Returns!B184&gt;0,Returns!B184/Returns!B183-1,"")</f>
        <v>2.949331988908499E-2</v>
      </c>
      <c r="DD179" s="11">
        <f ca="1">IF(Returns!D184&gt;0,Returns!D184/Returns!D183-1,"")</f>
        <v>1.5174066511833617E-2</v>
      </c>
    </row>
    <row r="180" spans="2:108" x14ac:dyDescent="0.3">
      <c r="B180" s="55" vm="350">
        <f ca="1"/>
        <v>32899.369899999998</v>
      </c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DB180" s="2" vm="351">
        <f ca="1">IF(Returns!A184&lt;&gt;0,Returns!A184,"")</f>
        <v>41456</v>
      </c>
      <c r="DC180" s="11">
        <f ca="1">IF(Returns!B185&gt;0,Returns!B185/Returns!B184-1,"")</f>
        <v>7.5801035399468253E-2</v>
      </c>
      <c r="DD180" s="11">
        <f ca="1">IF(Returns!D185&gt;0,Returns!D185/Returns!D184-1,"")</f>
        <v>2.1700411800022801E-2</v>
      </c>
    </row>
    <row r="181" spans="2:108" x14ac:dyDescent="0.3">
      <c r="B181" s="55" vm="352">
        <f ca="1"/>
        <v>32861.802600000003</v>
      </c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17"/>
      <c r="BM181" s="17"/>
      <c r="BN181" s="17"/>
      <c r="BO181" s="17"/>
      <c r="BP181" s="17"/>
      <c r="BQ181" s="17"/>
      <c r="BR181" s="17"/>
      <c r="BS181" s="17"/>
      <c r="BT181" s="17"/>
      <c r="BU181" s="17"/>
      <c r="BV181" s="17"/>
      <c r="BW181" s="17"/>
      <c r="BX181" s="17"/>
      <c r="BY181" s="17"/>
      <c r="BZ181" s="17"/>
      <c r="CA181" s="17"/>
      <c r="CB181" s="17"/>
      <c r="CC181" s="17"/>
      <c r="CD181" s="17"/>
      <c r="CE181" s="17"/>
      <c r="CF181" s="1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  <c r="DB181" s="2" vm="353">
        <f ca="1">IF(Returns!A185&lt;&gt;0,Returns!A185,"")</f>
        <v>41463</v>
      </c>
      <c r="DC181" s="11">
        <f ca="1">IF(Returns!B186&gt;0,Returns!B186/Returns!B185-1,"")</f>
        <v>-7.5434888635993458E-3</v>
      </c>
      <c r="DD181" s="11">
        <f ca="1">IF(Returns!D186&gt;0,Returns!D186/Returns!D185-1,"")</f>
        <v>5.1373111991301901E-3</v>
      </c>
    </row>
    <row r="182" spans="2:108" x14ac:dyDescent="0.3">
      <c r="B182" s="55" vm="354">
        <f ca="1"/>
        <v>32845.127899999999</v>
      </c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  <c r="BW182" s="17"/>
      <c r="BX182" s="17"/>
      <c r="BY182" s="17"/>
      <c r="BZ182" s="17"/>
      <c r="CA182" s="17"/>
      <c r="CB182" s="17"/>
      <c r="CC182" s="17"/>
      <c r="CD182" s="17"/>
      <c r="CE182" s="17"/>
      <c r="CF182" s="1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  <c r="DB182" s="2" vm="355">
        <f ca="1">IF(Returns!A186&lt;&gt;0,Returns!A186,"")</f>
        <v>41470</v>
      </c>
      <c r="DC182" s="11">
        <f ca="1">IF(Returns!B187&gt;0,Returns!B187/Returns!B186-1,"")</f>
        <v>2.2212757592635191E-2</v>
      </c>
      <c r="DD182" s="11">
        <f ca="1">IF(Returns!D187&gt;0,Returns!D187/Returns!D186-1,"")</f>
        <v>9.7082808387294328E-4</v>
      </c>
    </row>
    <row r="183" spans="2:108" x14ac:dyDescent="0.3">
      <c r="B183" s="55" vm="356">
        <f ca="1"/>
        <v>32816.919500000004</v>
      </c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DB183" s="2" vm="357">
        <f ca="1">IF(Returns!A187&lt;&gt;0,Returns!A187,"")</f>
        <v>41477</v>
      </c>
      <c r="DC183" s="11">
        <f ca="1">IF(Returns!B188&gt;0,Returns!B188/Returns!B187-1,"")</f>
        <v>-2.4999198743630102E-2</v>
      </c>
      <c r="DD183" s="11">
        <f ca="1">IF(Returns!D188&gt;0,Returns!D188/Returns!D187-1,"")</f>
        <v>6.3968109172212184E-3</v>
      </c>
    </row>
    <row r="184" spans="2:108" x14ac:dyDescent="0.3">
      <c r="B184" s="55" vm="358">
        <f ca="1"/>
        <v>32803.474300000002</v>
      </c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7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  <c r="CC184" s="17"/>
      <c r="CD184" s="17"/>
      <c r="CE184" s="17"/>
      <c r="CF184" s="1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  <c r="DB184" s="2" vm="359">
        <f ca="1">IF(Returns!A188&lt;&gt;0,Returns!A188,"")</f>
        <v>41484</v>
      </c>
      <c r="DC184" s="11">
        <f ca="1">IF(Returns!B189&gt;0,Returns!B189/Returns!B188-1,"")</f>
        <v>-2.2846060287301517E-2</v>
      </c>
      <c r="DD184" s="11">
        <f ca="1">IF(Returns!D189&gt;0,Returns!D189/Returns!D188-1,"")</f>
        <v>-1.4870250219533032E-2</v>
      </c>
    </row>
    <row r="185" spans="2:108" x14ac:dyDescent="0.3">
      <c r="B185" s="55" vm="360">
        <f ca="1"/>
        <v>32778.642399999997</v>
      </c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  <c r="BW185" s="17"/>
      <c r="BX185" s="17"/>
      <c r="BY185" s="17"/>
      <c r="BZ185" s="17"/>
      <c r="CA185" s="17"/>
      <c r="CB185" s="17"/>
      <c r="CC185" s="17"/>
      <c r="CD185" s="17"/>
      <c r="CE185" s="17"/>
      <c r="CF185" s="1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  <c r="DB185" s="2" vm="361">
        <f ca="1">IF(Returns!A189&lt;&gt;0,Returns!A189,"")</f>
        <v>41491</v>
      </c>
      <c r="DC185" s="11">
        <f ca="1">IF(Returns!B190&gt;0,Returns!B190/Returns!B189-1,"")</f>
        <v>-4.1848886496669624E-2</v>
      </c>
      <c r="DD185" s="11">
        <f ca="1">IF(Returns!D190&gt;0,Returns!D190/Returns!D189-1,"")</f>
        <v>-2.2303541751625966E-2</v>
      </c>
    </row>
    <row r="186" spans="2:108" x14ac:dyDescent="0.3">
      <c r="B186" s="55" vm="362">
        <f ca="1"/>
        <v>32627.971699999998</v>
      </c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17"/>
      <c r="CC186" s="17"/>
      <c r="CD186" s="17"/>
      <c r="CE186" s="17"/>
      <c r="CF186" s="1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  <c r="DB186" s="2" vm="363">
        <f ca="1">IF(Returns!A190&lt;&gt;0,Returns!A190,"")</f>
        <v>41498</v>
      </c>
      <c r="DC186" s="11">
        <f ca="1">IF(Returns!B191&gt;0,Returns!B191/Returns!B190-1,"")</f>
        <v>1.8222034969454404E-2</v>
      </c>
      <c r="DD186" s="11">
        <f ca="1">IF(Returns!D191&gt;0,Returns!D191/Returns!D190-1,"")</f>
        <v>-4.7050451432767426E-3</v>
      </c>
    </row>
    <row r="187" spans="2:108" x14ac:dyDescent="0.3">
      <c r="B187" s="55" vm="364">
        <f ca="1"/>
        <v>32417.585200000001</v>
      </c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  <c r="BW187" s="17"/>
      <c r="BX187" s="17"/>
      <c r="BY187" s="17"/>
      <c r="BZ187" s="17"/>
      <c r="CA187" s="17"/>
      <c r="CB187" s="17"/>
      <c r="CC187" s="17"/>
      <c r="CD187" s="17"/>
      <c r="CE187" s="17"/>
      <c r="CF187" s="1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  <c r="DB187" s="2" vm="365">
        <f ca="1">IF(Returns!A191&lt;&gt;0,Returns!A191,"")</f>
        <v>41505</v>
      </c>
      <c r="DC187" s="11">
        <f ca="1">IF(Returns!B192&gt;0,Returns!B192/Returns!B191-1,"")</f>
        <v>-3.1136857349746583E-2</v>
      </c>
      <c r="DD187" s="11">
        <f ca="1">IF(Returns!D192&gt;0,Returns!D192/Returns!D191-1,"")</f>
        <v>-1.3337693300206954E-2</v>
      </c>
    </row>
    <row r="188" spans="2:108" x14ac:dyDescent="0.3">
      <c r="B188" s="55" vm="366">
        <f ca="1"/>
        <v>32403.2173</v>
      </c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  <c r="CC188" s="17"/>
      <c r="CD188" s="17"/>
      <c r="CE188" s="17"/>
      <c r="CF188" s="1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  <c r="DB188" s="2" vm="367">
        <f ca="1">IF(Returns!A192&lt;&gt;0,Returns!A192,"")</f>
        <v>41512</v>
      </c>
      <c r="DC188" s="11">
        <f ca="1">IF(Returns!B193&gt;0,Returns!B193/Returns!B192-1,"")</f>
        <v>5.2957505872303967E-2</v>
      </c>
      <c r="DD188" s="11">
        <f ca="1">IF(Returns!D193&gt;0,Returns!D193/Returns!D192-1,"")</f>
        <v>7.5756773695290214E-3</v>
      </c>
    </row>
    <row r="189" spans="2:108" x14ac:dyDescent="0.3">
      <c r="B189" s="55" vm="368">
        <f ca="1"/>
        <v>32283.397300000001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  <c r="BW189" s="17"/>
      <c r="BX189" s="17"/>
      <c r="BY189" s="17"/>
      <c r="BZ189" s="17"/>
      <c r="CA189" s="17"/>
      <c r="CB189" s="17"/>
      <c r="CC189" s="17"/>
      <c r="CD189" s="17"/>
      <c r="CE189" s="17"/>
      <c r="CF189" s="1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  <c r="DB189" s="2" vm="369">
        <f ca="1">IF(Returns!A193&lt;&gt;0,Returns!A193,"")</f>
        <v>41520</v>
      </c>
      <c r="DC189" s="11">
        <f ca="1">IF(Returns!B194&gt;0,Returns!B194/Returns!B193-1,"")</f>
        <v>6.9627526532820561E-3</v>
      </c>
      <c r="DD189" s="11">
        <f ca="1">IF(Returns!D194&gt;0,Returns!D194/Returns!D193-1,"")</f>
        <v>3.0393947085596729E-2</v>
      </c>
    </row>
    <row r="190" spans="2:108" x14ac:dyDescent="0.3">
      <c r="B190" s="55" vm="370">
        <f ca="1"/>
        <v>32237.525600000001</v>
      </c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DB190" s="2" vm="371">
        <f ca="1">IF(Returns!A194&lt;&gt;0,Returns!A194,"")</f>
        <v>41526</v>
      </c>
      <c r="DC190" s="11">
        <f ca="1">IF(Returns!B195&gt;0,Returns!B195/Returns!B194-1,"")</f>
        <v>6.1828678839956908E-2</v>
      </c>
      <c r="DD190" s="11">
        <f ca="1">IF(Returns!D195&gt;0,Returns!D195/Returns!D194-1,"")</f>
        <v>4.8796057148041694E-3</v>
      </c>
    </row>
    <row r="191" spans="2:108" x14ac:dyDescent="0.3">
      <c r="B191" s="55" vm="372">
        <f ca="1"/>
        <v>32196.662899999999</v>
      </c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  <c r="BW191" s="17"/>
      <c r="BX191" s="17"/>
      <c r="BY191" s="17"/>
      <c r="BZ191" s="17"/>
      <c r="CA191" s="17"/>
      <c r="CB191" s="17"/>
      <c r="CC191" s="17"/>
      <c r="CD191" s="17"/>
      <c r="CE191" s="17"/>
      <c r="CF191" s="1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  <c r="DB191" s="2" vm="373">
        <f ca="1">IF(Returns!A195&lt;&gt;0,Returns!A195,"")</f>
        <v>41533</v>
      </c>
      <c r="DC191" s="11">
        <f ca="1">IF(Returns!B196&gt;0,Returns!B196/Returns!B195-1,"")</f>
        <v>-1.0431813871151219E-3</v>
      </c>
      <c r="DD191" s="11">
        <f ca="1">IF(Returns!D196&gt;0,Returns!D196/Returns!D195-1,"")</f>
        <v>-1.2481400175922808E-2</v>
      </c>
    </row>
    <row r="192" spans="2:108" x14ac:dyDescent="0.3">
      <c r="B192" s="55" vm="374">
        <f ca="1"/>
        <v>32151.713899999999</v>
      </c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DB192" s="2" vm="375">
        <f ca="1">IF(Returns!A196&lt;&gt;0,Returns!A196,"")</f>
        <v>41540</v>
      </c>
      <c r="DC192" s="11">
        <f ca="1">IF(Returns!B197&gt;0,Returns!B197/Returns!B196-1,"")</f>
        <v>9.5883041675897118E-3</v>
      </c>
      <c r="DD192" s="11">
        <f ca="1">IF(Returns!D197&gt;0,Returns!D197/Returns!D196-1,"")</f>
        <v>-1.2167763195794934E-2</v>
      </c>
    </row>
    <row r="193" spans="2:108" x14ac:dyDescent="0.3">
      <c r="B193" s="55" vm="376">
        <f ca="1"/>
        <v>31909.635200000001</v>
      </c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  <c r="BW193" s="17"/>
      <c r="BX193" s="17"/>
      <c r="BY193" s="17"/>
      <c r="BZ193" s="17"/>
      <c r="CA193" s="17"/>
      <c r="CB193" s="17"/>
      <c r="CC193" s="17"/>
      <c r="CD193" s="17"/>
      <c r="CE193" s="17"/>
      <c r="CF193" s="1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  <c r="DB193" s="2" vm="377">
        <f ca="1">IF(Returns!A197&lt;&gt;0,Returns!A197,"")</f>
        <v>41547</v>
      </c>
      <c r="DC193" s="11">
        <f ca="1">IF(Returns!B198&gt;0,Returns!B198/Returns!B197-1,"")</f>
        <v>-2.5545386158475458E-2</v>
      </c>
      <c r="DD193" s="11">
        <f ca="1">IF(Returns!D198&gt;0,Returns!D198/Returns!D197-1,"")</f>
        <v>1.0915877080397429E-2</v>
      </c>
    </row>
    <row r="194" spans="2:108" x14ac:dyDescent="0.3">
      <c r="B194" s="55" vm="378">
        <f ca="1"/>
        <v>31899.287700000001</v>
      </c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  <c r="BW194" s="17"/>
      <c r="BX194" s="17"/>
      <c r="BY194" s="17"/>
      <c r="BZ194" s="17"/>
      <c r="CA194" s="17"/>
      <c r="CB194" s="17"/>
      <c r="CC194" s="17"/>
      <c r="CD194" s="17"/>
      <c r="CE194" s="17"/>
      <c r="CF194" s="1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  <c r="DB194" s="2" vm="379">
        <f ca="1">IF(Returns!A198&lt;&gt;0,Returns!A198,"")</f>
        <v>41554</v>
      </c>
      <c r="DC194" s="11">
        <f ca="1">IF(Returns!B199&gt;0,Returns!B199/Returns!B198-1,"")</f>
        <v>5.8026954871498004E-2</v>
      </c>
      <c r="DD194" s="11">
        <f ca="1">IF(Returns!D199&gt;0,Returns!D199/Returns!D198-1,"")</f>
        <v>1.066735264112717E-2</v>
      </c>
    </row>
    <row r="195" spans="2:108" x14ac:dyDescent="0.3">
      <c r="B195" s="55" vm="380">
        <f ca="1"/>
        <v>31861.984</v>
      </c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  <c r="CC195" s="17"/>
      <c r="CD195" s="17"/>
      <c r="CE195" s="17"/>
      <c r="CF195" s="1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  <c r="DB195" s="2" vm="381">
        <f ca="1">IF(Returns!A199&lt;&gt;0,Returns!A199,"")</f>
        <v>41561</v>
      </c>
      <c r="DC195" s="11">
        <f ca="1">IF(Returns!B200&gt;0,Returns!B200/Returns!B199-1,"")</f>
        <v>0.10476393153558505</v>
      </c>
      <c r="DD195" s="11">
        <f ca="1">IF(Returns!D200&gt;0,Returns!D200/Returns!D199-1,"")</f>
        <v>1.1080208382955758E-2</v>
      </c>
    </row>
    <row r="196" spans="2:108" x14ac:dyDescent="0.3">
      <c r="B196" s="55" vm="382">
        <f ca="1"/>
        <v>31500.678400000001</v>
      </c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DB196" s="2" vm="383">
        <f ca="1">IF(Returns!A200&lt;&gt;0,Returns!A200,"")</f>
        <v>41568</v>
      </c>
      <c r="DC196" s="11">
        <f ca="1">IF(Returns!B201&gt;0,Returns!B201/Returns!B200-1,"")</f>
        <v>-1.2075180935083529E-2</v>
      </c>
      <c r="DD196" s="11">
        <f ca="1">IF(Returns!D201&gt;0,Returns!D201/Returns!D200-1,"")</f>
        <v>2.9077643023533994E-3</v>
      </c>
    </row>
    <row r="197" spans="2:108" x14ac:dyDescent="0.3">
      <c r="B197" s="55" vm="384">
        <f ca="1"/>
        <v>31496.2965</v>
      </c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7"/>
      <c r="CF197" s="1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DB197" s="2" vm="385">
        <f ca="1">IF(Returns!A201&lt;&gt;0,Returns!A201,"")</f>
        <v>41575</v>
      </c>
      <c r="DC197" s="11">
        <f ca="1">IF(Returns!B202&gt;0,Returns!B202/Returns!B201-1,"")</f>
        <v>-2.4211564280978926E-2</v>
      </c>
      <c r="DD197" s="11">
        <f ca="1">IF(Returns!D202&gt;0,Returns!D202/Returns!D201-1,"")</f>
        <v>9.3642407750242906E-3</v>
      </c>
    </row>
    <row r="198" spans="2:108" x14ac:dyDescent="0.3">
      <c r="B198" s="55" vm="386">
        <f ca="1"/>
        <v>31494.322700000001</v>
      </c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  <c r="CC198" s="17"/>
      <c r="CD198" s="17"/>
      <c r="CE198" s="17"/>
      <c r="CF198" s="1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  <c r="DB198" s="2" vm="387">
        <f ca="1">IF(Returns!A202&lt;&gt;0,Returns!A202,"")</f>
        <v>41582</v>
      </c>
      <c r="DC198" s="11">
        <f ca="1">IF(Returns!B203&gt;0,Returns!B203/Returns!B202-1,"")</f>
        <v>5.3838029174160029E-2</v>
      </c>
      <c r="DD198" s="11">
        <f ca="1">IF(Returns!D203&gt;0,Returns!D203/Returns!D202-1,"")</f>
        <v>1.2683553971470696E-2</v>
      </c>
    </row>
    <row r="199" spans="2:108" x14ac:dyDescent="0.3">
      <c r="B199" s="55" vm="388">
        <f ca="1"/>
        <v>31458.3986</v>
      </c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  <c r="BW199" s="17"/>
      <c r="BX199" s="17"/>
      <c r="BY199" s="17"/>
      <c r="BZ199" s="17"/>
      <c r="CA199" s="17"/>
      <c r="CB199" s="17"/>
      <c r="CC199" s="17"/>
      <c r="CD199" s="17"/>
      <c r="CE199" s="17"/>
      <c r="CF199" s="1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  <c r="DB199" s="2" vm="389">
        <f ca="1">IF(Returns!A203&lt;&gt;0,Returns!A203,"")</f>
        <v>41589</v>
      </c>
      <c r="DC199" s="11">
        <f ca="1">IF(Returns!B204&gt;0,Returns!B204/Returns!B203-1,"")</f>
        <v>8.5055665411599701E-3</v>
      </c>
      <c r="DD199" s="11">
        <f ca="1">IF(Returns!D204&gt;0,Returns!D204/Returns!D203-1,"")</f>
        <v>6.4574777903931846E-3</v>
      </c>
    </row>
    <row r="200" spans="2:108" x14ac:dyDescent="0.3">
      <c r="B200" s="55" vm="390">
        <f ca="1"/>
        <v>31392.7876</v>
      </c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7"/>
      <c r="BR200" s="17"/>
      <c r="BS200" s="17"/>
      <c r="BT200" s="17"/>
      <c r="BU200" s="17"/>
      <c r="BV200" s="17"/>
      <c r="BW200" s="17"/>
      <c r="BX200" s="17"/>
      <c r="BY200" s="17"/>
      <c r="BZ200" s="17"/>
      <c r="CA200" s="17"/>
      <c r="CB200" s="17"/>
      <c r="CC200" s="17"/>
      <c r="CD200" s="17"/>
      <c r="CE200" s="17"/>
      <c r="CF200" s="1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  <c r="DB200" s="2" vm="391">
        <f ca="1">IF(Returns!A204&lt;&gt;0,Returns!A204,"")</f>
        <v>41596</v>
      </c>
      <c r="DC200" s="11">
        <f ca="1">IF(Returns!B205&gt;0,Returns!B205/Returns!B204-1,"")</f>
        <v>5.7237248529451223E-2</v>
      </c>
      <c r="DD200" s="11">
        <f ca="1">IF(Returns!D205&gt;0,Returns!D205/Returns!D204-1,"")</f>
        <v>1.3471715904629367E-3</v>
      </c>
    </row>
    <row r="201" spans="2:108" x14ac:dyDescent="0.3">
      <c r="B201" s="55" vm="392">
        <f ca="1"/>
        <v>31338.1502</v>
      </c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  <c r="CC201" s="17"/>
      <c r="CD201" s="17"/>
      <c r="CE201" s="17"/>
      <c r="CF201" s="1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  <c r="DB201" s="2" vm="393">
        <f ca="1">IF(Returns!A205&lt;&gt;0,Returns!A205,"")</f>
        <v>41603</v>
      </c>
      <c r="DC201" s="11">
        <f ca="1">IF(Returns!B206&gt;0,Returns!B206/Returns!B205-1,"")</f>
        <v>-1.6945277170875461E-2</v>
      </c>
      <c r="DD201" s="11">
        <f ca="1">IF(Returns!D206&gt;0,Returns!D206/Returns!D205-1,"")</f>
        <v>-4.1159150561784763E-3</v>
      </c>
    </row>
    <row r="202" spans="2:108" x14ac:dyDescent="0.3">
      <c r="B202" s="55" vm="394">
        <f ca="1"/>
        <v>31318.443800000001</v>
      </c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  <c r="BW202" s="17"/>
      <c r="BX202" s="17"/>
      <c r="BY202" s="17"/>
      <c r="BZ202" s="17"/>
      <c r="CA202" s="17"/>
      <c r="CB202" s="17"/>
      <c r="CC202" s="17"/>
      <c r="CD202" s="17"/>
      <c r="CE202" s="17"/>
      <c r="CF202" s="1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  <c r="DB202" s="2" vm="395">
        <f ca="1">IF(Returns!A206&lt;&gt;0,Returns!A206,"")</f>
        <v>41610</v>
      </c>
      <c r="DC202" s="11">
        <f ca="1">IF(Returns!B207&gt;0,Returns!B207/Returns!B206-1,"")</f>
        <v>-7.0034888228452941E-3</v>
      </c>
      <c r="DD202" s="11">
        <f ca="1">IF(Returns!D207&gt;0,Returns!D207/Returns!D206-1,"")</f>
        <v>-1.6531709553396112E-2</v>
      </c>
    </row>
    <row r="203" spans="2:108" x14ac:dyDescent="0.3">
      <c r="B203" s="55" vm="396">
        <f ca="1"/>
        <v>31288.2582</v>
      </c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  <c r="BW203" s="17"/>
      <c r="BX203" s="17"/>
      <c r="BY203" s="17"/>
      <c r="BZ203" s="17"/>
      <c r="CA203" s="17"/>
      <c r="CB203" s="17"/>
      <c r="CC203" s="17"/>
      <c r="CD203" s="17"/>
      <c r="CE203" s="17"/>
      <c r="CF203" s="1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  <c r="DB203" s="2" vm="397">
        <f ca="1">IF(Returns!A207&lt;&gt;0,Returns!A207,"")</f>
        <v>41617</v>
      </c>
      <c r="DC203" s="11">
        <f ca="1">IF(Returns!B208&gt;0,Returns!B208/Returns!B207-1,"")</f>
        <v>4.6741619820945157E-2</v>
      </c>
      <c r="DD203" s="11">
        <f ca="1">IF(Returns!D208&gt;0,Returns!D208/Returns!D207-1,"")</f>
        <v>2.9563534353209464E-2</v>
      </c>
    </row>
    <row r="204" spans="2:108" x14ac:dyDescent="0.3">
      <c r="B204" s="55" vm="398">
        <f ca="1"/>
        <v>31261.895100000002</v>
      </c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DB204" s="2" vm="399">
        <f ca="1">IF(Returns!A208&lt;&gt;0,Returns!A208,"")</f>
        <v>41624</v>
      </c>
      <c r="DC204" s="11">
        <f ca="1">IF(Returns!B209&gt;0,Returns!B209/Returns!B208-1,"")</f>
        <v>-1.0243659870711075E-2</v>
      </c>
      <c r="DD204" s="11">
        <f ca="1">IF(Returns!D209&gt;0,Returns!D209/Returns!D208-1,"")</f>
        <v>1.585975765259251E-2</v>
      </c>
    </row>
    <row r="205" spans="2:108" x14ac:dyDescent="0.3">
      <c r="B205" s="55" vm="400">
        <f ca="1"/>
        <v>31148.240600000001</v>
      </c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  <c r="BW205" s="17"/>
      <c r="BX205" s="17"/>
      <c r="BY205" s="17"/>
      <c r="BZ205" s="17"/>
      <c r="CA205" s="17"/>
      <c r="CB205" s="17"/>
      <c r="CC205" s="17"/>
      <c r="CD205" s="17"/>
      <c r="CE205" s="17"/>
      <c r="CF205" s="1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  <c r="DB205" s="2" vm="401">
        <f ca="1">IF(Returns!A209&lt;&gt;0,Returns!A209,"")</f>
        <v>41631</v>
      </c>
      <c r="DC205" s="11">
        <f ca="1">IF(Returns!B210&gt;0,Returns!B210/Returns!B209-1,"")</f>
        <v>-4.1197749196142386E-3</v>
      </c>
      <c r="DD205" s="11">
        <f ca="1">IF(Returns!D210&gt;0,Returns!D210/Returns!D209-1,"")</f>
        <v>-5.1052873036872004E-4</v>
      </c>
    </row>
    <row r="206" spans="2:108" x14ac:dyDescent="0.3">
      <c r="B206" s="55" vm="402">
        <f ca="1"/>
        <v>31097.9732</v>
      </c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  <c r="BW206" s="17"/>
      <c r="BX206" s="17"/>
      <c r="BY206" s="17"/>
      <c r="BZ206" s="17"/>
      <c r="CA206" s="17"/>
      <c r="CB206" s="17"/>
      <c r="CC206" s="17"/>
      <c r="CD206" s="17"/>
      <c r="CE206" s="17"/>
      <c r="CF206" s="1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  <c r="DB206" s="2" vm="403">
        <f ca="1">IF(Returns!A210&lt;&gt;0,Returns!A210,"")</f>
        <v>41638</v>
      </c>
      <c r="DC206" s="11">
        <f ca="1">IF(Returns!B211&gt;0,Returns!B211/Returns!B210-1,"")</f>
        <v>3.0773887599637728E-3</v>
      </c>
      <c r="DD206" s="11">
        <f ca="1">IF(Returns!D211&gt;0,Returns!D211/Returns!D210-1,"")</f>
        <v>-2.0002800365337414E-3</v>
      </c>
    </row>
    <row r="207" spans="2:108" x14ac:dyDescent="0.3">
      <c r="B207" s="55" vm="404">
        <f ca="1"/>
        <v>31097.257900000001</v>
      </c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  <c r="BW207" s="17"/>
      <c r="BX207" s="17"/>
      <c r="BY207" s="17"/>
      <c r="BZ207" s="17"/>
      <c r="CA207" s="17"/>
      <c r="CB207" s="17"/>
      <c r="CC207" s="17"/>
      <c r="CD207" s="17"/>
      <c r="CE207" s="17"/>
      <c r="CF207" s="1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  <c r="DB207" s="2" vm="405">
        <f ca="1">IF(Returns!A211&lt;&gt;0,Returns!A211,"")</f>
        <v>41645</v>
      </c>
      <c r="DC207" s="11">
        <f ca="1">IF(Returns!B212&gt;0,Returns!B212/Returns!B211-1,"")</f>
        <v>4.9036865664136009E-3</v>
      </c>
      <c r="DD207" s="11">
        <f ca="1">IF(Returns!D212&gt;0,Returns!D212/Returns!D211-1,"")</f>
        <v>1.3088419708031651E-3</v>
      </c>
    </row>
    <row r="208" spans="2:108" x14ac:dyDescent="0.3">
      <c r="B208" s="55" vm="406">
        <f ca="1"/>
        <v>31082.5605</v>
      </c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  <c r="BW208" s="17"/>
      <c r="BX208" s="17"/>
      <c r="BY208" s="17"/>
      <c r="BZ208" s="17"/>
      <c r="CA208" s="17"/>
      <c r="CB208" s="17"/>
      <c r="CC208" s="17"/>
      <c r="CD208" s="17"/>
      <c r="CE208" s="17"/>
      <c r="CF208" s="1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  <c r="DB208" s="2" vm="407">
        <f ca="1">IF(Returns!A212&lt;&gt;0,Returns!A212,"")</f>
        <v>41652</v>
      </c>
      <c r="DC208" s="11">
        <f ca="1">IF(Returns!B213&gt;0,Returns!B213/Returns!B212-1,"")</f>
        <v>-3.0054302945371703E-2</v>
      </c>
      <c r="DD208" s="11">
        <f ca="1">IF(Returns!D213&gt;0,Returns!D213/Returns!D212-1,"")</f>
        <v>-3.5206761795750441E-2</v>
      </c>
    </row>
    <row r="209" spans="1:108" x14ac:dyDescent="0.3">
      <c r="B209" s="55" vm="408">
        <f ca="1"/>
        <v>30996.977699999999</v>
      </c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  <c r="BW209" s="17"/>
      <c r="BX209" s="17"/>
      <c r="BY209" s="17"/>
      <c r="BZ209" s="17"/>
      <c r="CA209" s="17"/>
      <c r="CB209" s="17"/>
      <c r="CC209" s="17"/>
      <c r="CD209" s="17"/>
      <c r="CE209" s="17"/>
      <c r="CF209" s="1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  <c r="DB209" s="2" vm="409">
        <f ca="1">IF(Returns!A213&lt;&gt;0,Returns!A213,"")</f>
        <v>41660</v>
      </c>
      <c r="DC209" s="11">
        <f ca="1">IF(Returns!B214&gt;0,Returns!B214/Returns!B213-1,"")</f>
        <v>-7.4587203302373561E-2</v>
      </c>
      <c r="DD209" s="11">
        <f ca="1">IF(Returns!D214&gt;0,Returns!D214/Returns!D213-1,"")</f>
        <v>-1.1352286045299254E-2</v>
      </c>
    </row>
    <row r="210" spans="1:108" x14ac:dyDescent="0.3">
      <c r="B210" s="55" vm="410">
        <f ca="1"/>
        <v>30932.366999999998</v>
      </c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  <c r="BW210" s="17"/>
      <c r="BX210" s="17"/>
      <c r="BY210" s="17"/>
      <c r="BZ210" s="17"/>
      <c r="CA210" s="17"/>
      <c r="CB210" s="17"/>
      <c r="CC210" s="17"/>
      <c r="CD210" s="17"/>
      <c r="CE210" s="17"/>
      <c r="CF210" s="1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  <c r="DB210" s="2" vm="411">
        <f ca="1">IF(Returns!A214&lt;&gt;0,Returns!A214,"")</f>
        <v>41666</v>
      </c>
      <c r="DC210" s="11">
        <f ca="1">IF(Returns!B215&gt;0,Returns!B215/Returns!B214-1,"")</f>
        <v>6.663135297889422E-3</v>
      </c>
      <c r="DD210" s="11">
        <f ca="1">IF(Returns!D215&gt;0,Returns!D215/Returns!D214-1,"")</f>
        <v>6.0665351202664475E-3</v>
      </c>
    </row>
    <row r="211" spans="1:108" x14ac:dyDescent="0.3">
      <c r="B211" s="55" vm="412">
        <f ca="1"/>
        <v>30822.4231</v>
      </c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7"/>
      <c r="CF211" s="1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DB211" s="2" vm="413">
        <f ca="1">IF(Returns!A215&lt;&gt;0,Returns!A215,"")</f>
        <v>41673</v>
      </c>
      <c r="DC211" s="11">
        <f ca="1">IF(Returns!B216&gt;0,Returns!B216/Returns!B215-1,"")</f>
        <v>-1.0330120748864413E-2</v>
      </c>
      <c r="DD211" s="11">
        <f ca="1">IF(Returns!D216&gt;0,Returns!D216/Returns!D215-1,"")</f>
        <v>2.2812567756780533E-2</v>
      </c>
    </row>
    <row r="212" spans="1:108" x14ac:dyDescent="0.3">
      <c r="B212" s="55" vm="414">
        <f ca="1"/>
        <v>30814.264800000001</v>
      </c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  <c r="DB212" s="2" vm="415">
        <f ca="1">IF(Returns!A216&lt;&gt;0,Returns!A216,"")</f>
        <v>41680</v>
      </c>
      <c r="DC212" s="11">
        <f ca="1">IF(Returns!B217&gt;0,Returns!B217/Returns!B216-1,"")</f>
        <v>-2.9634811809150619E-2</v>
      </c>
      <c r="DD212" s="11">
        <f ca="1">IF(Returns!D217&gt;0,Returns!D217/Returns!D216-1,"")</f>
        <v>-3.1624041001221403E-3</v>
      </c>
    </row>
    <row r="213" spans="1:108" x14ac:dyDescent="0.3">
      <c r="A213" s="8"/>
      <c r="B213" s="55" vm="416">
        <f ca="1"/>
        <v>30606.484</v>
      </c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DB213" s="2" vm="417">
        <f ca="1">IF(Returns!A217&lt;&gt;0,Returns!A217,"")</f>
        <v>41688</v>
      </c>
      <c r="DC213" s="11">
        <f ca="1">IF(Returns!B218&gt;0,Returns!B218/Returns!B217-1,"")</f>
        <v>4.4238089745068709E-2</v>
      </c>
      <c r="DD213" s="11">
        <f ca="1">IF(Returns!D218&gt;0,Returns!D218/Returns!D217-1,"")</f>
        <v>1.356309542607792E-2</v>
      </c>
    </row>
    <row r="214" spans="1:108" x14ac:dyDescent="0.3">
      <c r="B214" s="55" vm="418">
        <f ca="1"/>
        <v>30218.260200000001</v>
      </c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  <c r="BW214" s="17"/>
      <c r="BX214" s="17"/>
      <c r="BY214" s="17"/>
      <c r="BZ214" s="17"/>
      <c r="CA214" s="17"/>
      <c r="CB214" s="17"/>
      <c r="CC214" s="17"/>
      <c r="CD214" s="17"/>
      <c r="CE214" s="17"/>
      <c r="CF214" s="1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  <c r="DB214" s="2" vm="419">
        <f ca="1">IF(Returns!A218&lt;&gt;0,Returns!A218,"")</f>
        <v>41694</v>
      </c>
      <c r="DC214" s="11">
        <f ca="1">IF(Returns!B219&gt;0,Returns!B219/Returns!B218-1,"")</f>
        <v>2.7506213753107023E-2</v>
      </c>
      <c r="DD214" s="11">
        <f ca="1">IF(Returns!D219&gt;0,Returns!D219/Returns!D218-1,"")</f>
        <v>8.0265972115300954E-3</v>
      </c>
    </row>
    <row r="215" spans="1:108" x14ac:dyDescent="0.3">
      <c r="B215" s="55" vm="420">
        <f ca="1"/>
        <v>30199.870500000001</v>
      </c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  <c r="BW215" s="17"/>
      <c r="BX215" s="17"/>
      <c r="BY215" s="17"/>
      <c r="BZ215" s="17"/>
      <c r="CA215" s="17"/>
      <c r="CB215" s="17"/>
      <c r="CC215" s="17"/>
      <c r="CD215" s="17"/>
      <c r="CE215" s="17"/>
      <c r="CF215" s="1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  <c r="DB215" s="2" vm="421">
        <f ca="1">IF(Returns!A219&lt;&gt;0,Returns!A219,"")</f>
        <v>41701</v>
      </c>
      <c r="DC215" s="11">
        <f ca="1">IF(Returns!B220&gt;0,Returns!B220/Returns!B219-1,"")</f>
        <v>4.5154007418157782E-3</v>
      </c>
      <c r="DD215" s="11">
        <f ca="1">IF(Returns!D220&gt;0,Returns!D220/Returns!D219-1,"")</f>
        <v>-2.3525048030359597E-2</v>
      </c>
    </row>
    <row r="216" spans="1:108" x14ac:dyDescent="0.3">
      <c r="B216" s="55" vm="422">
        <f ca="1"/>
        <v>30179.046300000002</v>
      </c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DB216" s="2" vm="423">
        <f ca="1">IF(Returns!A220&lt;&gt;0,Returns!A220,"")</f>
        <v>41708</v>
      </c>
      <c r="DC216" s="11">
        <f ca="1">IF(Returns!B221&gt;0,Returns!B221/Returns!B220-1,"")</f>
        <v>-3.5104618183764202E-2</v>
      </c>
      <c r="DD216" s="11">
        <f ca="1">IF(Returns!D221&gt;0,Returns!D221/Returns!D220-1,"")</f>
        <v>1.4758079337355623E-2</v>
      </c>
    </row>
    <row r="217" spans="1:108" x14ac:dyDescent="0.3">
      <c r="B217" s="55" vm="424">
        <f ca="1"/>
        <v>30046.370599999998</v>
      </c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  <c r="BW217" s="17"/>
      <c r="BX217" s="17"/>
      <c r="BY217" s="17"/>
      <c r="BZ217" s="17"/>
      <c r="CA217" s="17"/>
      <c r="CB217" s="17"/>
      <c r="CC217" s="17"/>
      <c r="CD217" s="17"/>
      <c r="CE217" s="17"/>
      <c r="CF217" s="1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  <c r="DB217" s="2" vm="425">
        <f ca="1">IF(Returns!A221&lt;&gt;0,Returns!A221,"")</f>
        <v>41715</v>
      </c>
      <c r="DC217" s="11">
        <f ca="1">IF(Returns!B222&gt;0,Returns!B222/Returns!B221-1,"")</f>
        <v>-6.1921135821640383E-2</v>
      </c>
      <c r="DD217" s="11">
        <f ca="1">IF(Returns!D222&gt;0,Returns!D222/Returns!D221-1,"")</f>
        <v>1.2447826185473243E-3</v>
      </c>
    </row>
    <row r="218" spans="1:108" x14ac:dyDescent="0.3">
      <c r="B218" s="55" vm="426">
        <f ca="1"/>
        <v>29982.6152</v>
      </c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7"/>
      <c r="CF218" s="1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DB218" s="2" vm="427">
        <f ca="1">IF(Returns!A222&lt;&gt;0,Returns!A222,"")</f>
        <v>41722</v>
      </c>
      <c r="DC218" s="11">
        <f ca="1">IF(Returns!B223&gt;0,Returns!B223/Returns!B222-1,"")</f>
        <v>-4.519790712110916E-2</v>
      </c>
      <c r="DD218" s="11">
        <f ca="1">IF(Returns!D223&gt;0,Returns!D223/Returns!D222-1,"")</f>
        <v>5.4922607768950193E-3</v>
      </c>
    </row>
    <row r="219" spans="1:108" x14ac:dyDescent="0.3">
      <c r="B219" s="55" vm="428">
        <f ca="1"/>
        <v>29910.372200000002</v>
      </c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  <c r="BW219" s="17"/>
      <c r="BX219" s="17"/>
      <c r="BY219" s="17"/>
      <c r="BZ219" s="17"/>
      <c r="CA219" s="17"/>
      <c r="CB219" s="17"/>
      <c r="CC219" s="17"/>
      <c r="CD219" s="17"/>
      <c r="CE219" s="17"/>
      <c r="CF219" s="1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  <c r="DB219" s="2" vm="429">
        <f ca="1">IF(Returns!A223&lt;&gt;0,Returns!A223,"")</f>
        <v>41729</v>
      </c>
      <c r="DC219" s="11">
        <f ca="1">IF(Returns!B224&gt;0,Returns!B224/Returns!B223-1,"")</f>
        <v>-3.4891640866873019E-2</v>
      </c>
      <c r="DD219" s="11">
        <f ca="1">IF(Returns!D224&gt;0,Returns!D224/Returns!D223-1,"")</f>
        <v>-2.3515878709147509E-2</v>
      </c>
    </row>
    <row r="220" spans="1:108" x14ac:dyDescent="0.3">
      <c r="B220" s="55" vm="430">
        <f ca="1"/>
        <v>29888.775799999999</v>
      </c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  <c r="BW220" s="17"/>
      <c r="BX220" s="17"/>
      <c r="BY220" s="17"/>
      <c r="BZ220" s="17"/>
      <c r="CA220" s="17"/>
      <c r="CB220" s="17"/>
      <c r="CC220" s="17"/>
      <c r="CD220" s="17"/>
      <c r="CE220" s="17"/>
      <c r="CF220" s="1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  <c r="DB220" s="2" vm="431">
        <f ca="1">IF(Returns!A224&lt;&gt;0,Returns!A224,"")</f>
        <v>41736</v>
      </c>
      <c r="DC220" s="11">
        <f ca="1">IF(Returns!B225&gt;0,Returns!B225/Returns!B224-1,"")</f>
        <v>4.2280178359477727E-2</v>
      </c>
      <c r="DD220" s="11">
        <f ca="1">IF(Returns!D225&gt;0,Returns!D225/Returns!D224-1,"")</f>
        <v>2.3821734346802348E-2</v>
      </c>
    </row>
    <row r="221" spans="1:108" x14ac:dyDescent="0.3">
      <c r="B221" s="55" vm="432">
        <f ca="1"/>
        <v>29634.833699999999</v>
      </c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  <c r="DB221" s="2" vm="433">
        <f ca="1">IF(Returns!A225&lt;&gt;0,Returns!A225,"")</f>
        <v>41743</v>
      </c>
      <c r="DC221" s="11">
        <f ca="1">IF(Returns!B226&gt;0,Returns!B226/Returns!B225-1,"")</f>
        <v>-6.4879505093718315E-2</v>
      </c>
      <c r="DD221" s="11">
        <f ca="1">IF(Returns!D226&gt;0,Returns!D226/Returns!D225-1,"")</f>
        <v>-2.8688056371246606E-3</v>
      </c>
    </row>
    <row r="222" spans="1:108" x14ac:dyDescent="0.3">
      <c r="B222" s="55" vm="434">
        <f ca="1"/>
        <v>29590.412</v>
      </c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DB222" s="2" vm="435">
        <f ca="1">IF(Returns!A226&lt;&gt;0,Returns!A226,"")</f>
        <v>41750</v>
      </c>
      <c r="DC222" s="11">
        <f ca="1">IF(Returns!B227&gt;0,Returns!B227/Returns!B226-1,"")</f>
        <v>1.3757693446993402E-2</v>
      </c>
      <c r="DD222" s="11">
        <f ca="1">IF(Returns!D227&gt;0,Returns!D227/Returns!D226-1,"")</f>
        <v>9.2552604205093925E-3</v>
      </c>
    </row>
    <row r="223" spans="1:108" x14ac:dyDescent="0.3">
      <c r="B223" s="55" vm="436">
        <f ca="1"/>
        <v>29479.809300000001</v>
      </c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  <c r="DB223" s="2" vm="437">
        <f ca="1">IF(Returns!A227&lt;&gt;0,Returns!A227,"")</f>
        <v>41757</v>
      </c>
      <c r="DC223" s="11">
        <f ca="1">IF(Returns!B228&gt;0,Returns!B228/Returns!B227-1,"")</f>
        <v>-5.1199636375442337E-2</v>
      </c>
      <c r="DD223" s="11">
        <f ca="1">IF(Returns!D228&gt;0,Returns!D228/Returns!D227-1,"")</f>
        <v>4.2662907179948917E-3</v>
      </c>
    </row>
    <row r="224" spans="1:108" x14ac:dyDescent="0.3">
      <c r="B224" s="55" vm="438">
        <f ca="1"/>
        <v>29296.7935</v>
      </c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DB224" s="2" vm="439">
        <f ca="1">IF(Returns!A228&lt;&gt;0,Returns!A228,"")</f>
        <v>41764</v>
      </c>
      <c r="DC224" s="11">
        <f ca="1">IF(Returns!B229&gt;0,Returns!B229/Returns!B228-1,"")</f>
        <v>1.8683274021352281E-2</v>
      </c>
      <c r="DD224" s="11">
        <f ca="1">IF(Returns!D229&gt;0,Returns!D229/Returns!D228-1,"")</f>
        <v>-5.549340047653839E-3</v>
      </c>
    </row>
    <row r="225" spans="1:108" x14ac:dyDescent="0.3">
      <c r="B225" s="55" vm="440">
        <f ca="1"/>
        <v>29263.4751</v>
      </c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DB225" s="2" vm="441">
        <f ca="1">IF(Returns!A229&lt;&gt;0,Returns!A229,"")</f>
        <v>41771</v>
      </c>
      <c r="DC225" s="11">
        <f ca="1">IF(Returns!B230&gt;0,Returns!B230/Returns!B229-1,"")</f>
        <v>4.8841115216661013E-2</v>
      </c>
      <c r="DD225" s="11">
        <f ca="1">IF(Returns!D230&gt;0,Returns!D230/Returns!D229-1,"")</f>
        <v>6.970517638596796E-3</v>
      </c>
    </row>
    <row r="226" spans="1:108" x14ac:dyDescent="0.3">
      <c r="B226" s="55" vm="442">
        <f ca="1"/>
        <v>28725.506300000001</v>
      </c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  <c r="DB226" s="2" vm="443">
        <f ca="1">IF(Returns!A230&lt;&gt;0,Returns!A230,"")</f>
        <v>41778</v>
      </c>
      <c r="DC226" s="11">
        <f ca="1">IF(Returns!B231&gt;0,Returns!B231/Returns!B230-1,"")</f>
        <v>9.9282603125794289E-4</v>
      </c>
      <c r="DD226" s="11">
        <f ca="1">IF(Returns!D231&gt;0,Returns!D231/Returns!D230-1,"")</f>
        <v>6.6786289371933982E-3</v>
      </c>
    </row>
    <row r="227" spans="1:108" x14ac:dyDescent="0.3">
      <c r="B227" s="55" vm="444">
        <f ca="1"/>
        <v>28653.867300000002</v>
      </c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  <c r="DB227" s="2" vm="445">
        <f ca="1">IF(Returns!A231&lt;&gt;0,Returns!A231,"")</f>
        <v>41786</v>
      </c>
      <c r="DC227" s="11">
        <f ca="1">IF(Returns!B232&gt;0,Returns!B232/Returns!B231-1,"")</f>
        <v>5.4775235962245983E-2</v>
      </c>
      <c r="DD227" s="11">
        <f ca="1">IF(Returns!D232&gt;0,Returns!D232/Returns!D231-1,"")</f>
        <v>1.2388929497823886E-2</v>
      </c>
    </row>
    <row r="228" spans="1:108" x14ac:dyDescent="0.3">
      <c r="B228" s="55" vm="446">
        <f ca="1"/>
        <v>28606.313900000001</v>
      </c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  <c r="DB228" s="2" vm="447">
        <f ca="1">IF(Returns!A232&lt;&gt;0,Returns!A232,"")</f>
        <v>41792</v>
      </c>
      <c r="DC228" s="11">
        <f ca="1">IF(Returns!B233&gt;0,Returns!B233/Returns!B232-1,"")</f>
        <v>-1.0313343646676909E-2</v>
      </c>
      <c r="DD228" s="11">
        <f ca="1">IF(Returns!D233&gt;0,Returns!D233/Returns!D232-1,"")</f>
        <v>-8.7767205637614421E-3</v>
      </c>
    </row>
    <row r="229" spans="1:108" x14ac:dyDescent="0.3">
      <c r="B229" s="55" vm="448">
        <f ca="1"/>
        <v>28586.904399999999</v>
      </c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  <c r="DB229" s="2" vm="449">
        <f ca="1">IF(Returns!A233&lt;&gt;0,Returns!A233,"")</f>
        <v>41799</v>
      </c>
      <c r="DC229" s="11">
        <f ca="1">IF(Returns!B234&gt;0,Returns!B234/Returns!B233-1,"")</f>
        <v>-6.3444386551015919E-3</v>
      </c>
      <c r="DD229" s="11">
        <f ca="1">IF(Returns!D234&gt;0,Returns!D234/Returns!D233-1,"")</f>
        <v>1.0213419459275119E-2</v>
      </c>
    </row>
    <row r="230" spans="1:108" x14ac:dyDescent="0.3">
      <c r="B230" s="55" vm="450">
        <f ca="1"/>
        <v>28335.567200000001</v>
      </c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  <c r="DB230" s="2" vm="451">
        <f ca="1">IF(Returns!A234&lt;&gt;0,Returns!A234,"")</f>
        <v>41806</v>
      </c>
      <c r="DC230" s="11">
        <f ca="1">IF(Returns!B235&gt;0,Returns!B235/Returns!B234-1,"")</f>
        <v>1.1412708204812105E-3</v>
      </c>
      <c r="DD230" s="11">
        <f ca="1">IF(Returns!D235&gt;0,Returns!D235/Returns!D234-1,"")</f>
        <v>-5.619705345475845E-3</v>
      </c>
    </row>
    <row r="231" spans="1:108" x14ac:dyDescent="0.3">
      <c r="B231" s="55" vm="452">
        <f ca="1"/>
        <v>28323.395100000002</v>
      </c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  <c r="DB231" s="2" vm="453">
        <f ca="1">IF(Returns!A235&lt;&gt;0,Returns!A235,"")</f>
        <v>41813</v>
      </c>
      <c r="DC231" s="11">
        <f ca="1">IF(Returns!B236&gt;0,Returns!B236/Returns!B235-1,"")</f>
        <v>3.9812675231845285E-2</v>
      </c>
      <c r="DD231" s="11">
        <f ca="1">IF(Returns!D236&gt;0,Returns!D236/Returns!D235-1,"")</f>
        <v>1.2842500296006421E-2</v>
      </c>
    </row>
    <row r="232" spans="1:108" x14ac:dyDescent="0.3">
      <c r="B232" s="55" vm="454">
        <f ca="1"/>
        <v>28133.313200000001</v>
      </c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DB232" s="2" vm="455">
        <f ca="1">IF(Returns!A236&lt;&gt;0,Returns!A236,"")</f>
        <v>41820</v>
      </c>
      <c r="DC232" s="11">
        <f ca="1">IF(Returns!B237&gt;0,Returns!B237/Returns!B236-1,"")</f>
        <v>2.5802093086650713E-2</v>
      </c>
      <c r="DD232" s="11">
        <f ca="1">IF(Returns!D237&gt;0,Returns!D237/Returns!D236-1,"")</f>
        <v>-7.2917437895805293E-3</v>
      </c>
    </row>
    <row r="233" spans="1:108" x14ac:dyDescent="0.3">
      <c r="B233" s="55" vm="456">
        <f ca="1"/>
        <v>27931.018499999998</v>
      </c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  <c r="DB233" s="2" vm="457">
        <f ca="1">IF(Returns!A237&lt;&gt;0,Returns!A237,"")</f>
        <v>41827</v>
      </c>
      <c r="DC233" s="11">
        <f ca="1">IF(Returns!B238&gt;0,Returns!B238/Returns!B237-1,"")</f>
        <v>3.5990756787983802E-2</v>
      </c>
      <c r="DD233" s="11">
        <f ca="1">IF(Returns!D238&gt;0,Returns!D238/Returns!D237-1,"")</f>
        <v>9.2290070256060286E-3</v>
      </c>
    </row>
    <row r="234" spans="1:108" x14ac:dyDescent="0.3">
      <c r="B234" s="55" vm="458">
        <f ca="1"/>
        <v>27930.332600000002</v>
      </c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  <c r="DB234" s="2" vm="459">
        <f ca="1">IF(Returns!A238&lt;&gt;0,Returns!A238,"")</f>
        <v>41834</v>
      </c>
      <c r="DC234" s="11">
        <f ca="1">IF(Returns!B239&gt;0,Returns!B239/Returns!B238-1,"")</f>
        <v>-9.6609602408966655E-2</v>
      </c>
      <c r="DD234" s="11">
        <f ca="1">IF(Returns!D239&gt;0,Returns!D239/Returns!D238-1,"")</f>
        <v>-8.1644345264202389E-3</v>
      </c>
    </row>
    <row r="235" spans="1:108" x14ac:dyDescent="0.3">
      <c r="B235" s="55" vm="460">
        <f ca="1"/>
        <v>27682.814399999999</v>
      </c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  <c r="DB235" s="2" vm="461">
        <f ca="1">IF(Returns!A239&lt;&gt;0,Returns!A239,"")</f>
        <v>41841</v>
      </c>
      <c r="DC235" s="11">
        <f ca="1">IF(Returns!B240&gt;0,Returns!B240/Returns!B239-1,"")</f>
        <v>-5.2313200209870181E-2</v>
      </c>
      <c r="DD235" s="11">
        <f ca="1">IF(Returns!D240&gt;0,Returns!D240/Returns!D239-1,"")</f>
        <v>-2.7546066606371045E-2</v>
      </c>
    </row>
    <row r="236" spans="1:108" x14ac:dyDescent="0.3">
      <c r="B236" s="55" vm="462">
        <f ca="1"/>
        <v>27665.641800000001</v>
      </c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  <c r="CC236" s="17"/>
      <c r="CD236" s="17"/>
      <c r="CE236" s="17"/>
      <c r="CF236" s="1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  <c r="DB236" s="2" vm="463">
        <f ca="1">IF(Returns!A240&lt;&gt;0,Returns!A240,"")</f>
        <v>41848</v>
      </c>
      <c r="DC236" s="11">
        <f ca="1">IF(Returns!B241&gt;0,Returns!B241/Returns!B240-1,"")</f>
        <v>3.1720184980134292E-2</v>
      </c>
      <c r="DD236" s="11">
        <f ca="1">IF(Returns!D241&gt;0,Returns!D241/Returns!D240-1,"")</f>
        <v>3.6717178317313692E-3</v>
      </c>
    </row>
    <row r="237" spans="1:108" x14ac:dyDescent="0.3">
      <c r="A237" s="8"/>
      <c r="B237" s="55" vm="464">
        <f ca="1"/>
        <v>27657.4175</v>
      </c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  <c r="CC237" s="17"/>
      <c r="CD237" s="17"/>
      <c r="CE237" s="17"/>
      <c r="CF237" s="1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  <c r="DB237" s="2" vm="465">
        <f ca="1">IF(Returns!A241&lt;&gt;0,Returns!A241,"")</f>
        <v>41855</v>
      </c>
      <c r="DC237" s="11">
        <f ca="1">IF(Returns!B242&gt;0,Returns!B242/Returns!B241-1,"")</f>
        <v>5.3125000000000089E-2</v>
      </c>
      <c r="DD237" s="11">
        <f ca="1">IF(Returns!D242&gt;0,Returns!D242/Returns!D241-1,"")</f>
        <v>6.583361648867081E-3</v>
      </c>
    </row>
    <row r="238" spans="1:108" x14ac:dyDescent="0.3">
      <c r="B238" s="55" vm="466">
        <f ca="1"/>
        <v>27433.481199999998</v>
      </c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  <c r="BW238" s="17"/>
      <c r="BX238" s="17"/>
      <c r="BY238" s="17"/>
      <c r="BZ238" s="17"/>
      <c r="CA238" s="17"/>
      <c r="CB238" s="17"/>
      <c r="CC238" s="17"/>
      <c r="CD238" s="17"/>
      <c r="CE238" s="17"/>
      <c r="CF238" s="1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  <c r="DB238" s="2" vm="467">
        <f ca="1">IF(Returns!A242&lt;&gt;0,Returns!A242,"")</f>
        <v>41862</v>
      </c>
      <c r="DC238" s="11">
        <f ca="1">IF(Returns!B243&gt;0,Returns!B243/Returns!B242-1,"")</f>
        <v>-6.1145580433414892E-3</v>
      </c>
      <c r="DD238" s="11">
        <f ca="1">IF(Returns!D243&gt;0,Returns!D243/Returns!D242-1,"")</f>
        <v>2.0303081167224679E-2</v>
      </c>
    </row>
    <row r="239" spans="1:108" x14ac:dyDescent="0.3">
      <c r="B239" s="55" vm="468">
        <f ca="1"/>
        <v>27173.955300000001</v>
      </c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7"/>
      <c r="CF239" s="1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DB239" s="2" vm="469">
        <f ca="1">IF(Returns!A243&lt;&gt;0,Returns!A243,"")</f>
        <v>41869</v>
      </c>
      <c r="DC239" s="11">
        <f ca="1">IF(Returns!B244&gt;0,Returns!B244/Returns!B243-1,"")</f>
        <v>2.2467505051419145E-2</v>
      </c>
      <c r="DD239" s="11">
        <f ca="1">IF(Returns!D244&gt;0,Returns!D244/Returns!D243-1,"")</f>
        <v>5.7189021231107695E-3</v>
      </c>
    </row>
    <row r="240" spans="1:108" x14ac:dyDescent="0.3">
      <c r="B240" s="55" vm="470">
        <f ca="1"/>
        <v>27110.980500000001</v>
      </c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  <c r="BW240" s="17"/>
      <c r="BX240" s="17"/>
      <c r="BY240" s="17"/>
      <c r="BZ240" s="17"/>
      <c r="CA240" s="17"/>
      <c r="CB240" s="17"/>
      <c r="CC240" s="17"/>
      <c r="CD240" s="17"/>
      <c r="CE240" s="17"/>
      <c r="CF240" s="1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  <c r="DB240" s="2" vm="471">
        <f ca="1">IF(Returns!A244&lt;&gt;0,Returns!A244,"")</f>
        <v>41876</v>
      </c>
      <c r="DC240" s="11">
        <f ca="1">IF(Returns!B245&gt;0,Returns!B245/Returns!B244-1,"")</f>
        <v>2.1649362907031566E-2</v>
      </c>
      <c r="DD240" s="11">
        <f ca="1">IF(Returns!D245&gt;0,Returns!D245/Returns!D244-1,"")</f>
        <v>2.2760606431717623E-3</v>
      </c>
    </row>
    <row r="241" spans="1:108" x14ac:dyDescent="0.3">
      <c r="B241" s="55" vm="472">
        <f ca="1"/>
        <v>26671.948799999998</v>
      </c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  <c r="BW241" s="17"/>
      <c r="BX241" s="17"/>
      <c r="BY241" s="17"/>
      <c r="BZ241" s="17"/>
      <c r="CA241" s="17"/>
      <c r="CB241" s="17"/>
      <c r="CC241" s="17"/>
      <c r="CD241" s="17"/>
      <c r="CE241" s="17"/>
      <c r="CF241" s="1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  <c r="DB241" s="2" vm="473">
        <f ca="1">IF(Returns!A245&lt;&gt;0,Returns!A245,"")</f>
        <v>41884</v>
      </c>
      <c r="DC241" s="11">
        <f ca="1">IF(Returns!B246&gt;0,Returns!B246/Returns!B245-1,"")</f>
        <v>-4.3853571222356891E-2</v>
      </c>
      <c r="DD241" s="11">
        <f ca="1">IF(Returns!D246&gt;0,Returns!D246/Returns!D245-1,"")</f>
        <v>-8.7444199627186858E-3</v>
      </c>
    </row>
    <row r="242" spans="1:108" x14ac:dyDescent="0.3">
      <c r="B242" s="55" vm="474">
        <f ca="1"/>
        <v>26501.595499999999</v>
      </c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  <c r="BW242" s="17"/>
      <c r="BX242" s="17"/>
      <c r="BY242" s="17"/>
      <c r="BZ242" s="17"/>
      <c r="CA242" s="17"/>
      <c r="CB242" s="17"/>
      <c r="CC242" s="17"/>
      <c r="CD242" s="17"/>
      <c r="CE242" s="17"/>
      <c r="CF242" s="1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  <c r="DB242" s="2" vm="475">
        <f ca="1">IF(Returns!A246&lt;&gt;0,Returns!A246,"")</f>
        <v>41890</v>
      </c>
      <c r="DC242" s="11">
        <f ca="1">IF(Returns!B247&gt;0,Returns!B247/Returns!B246-1,"")</f>
        <v>3.925239288624649E-4</v>
      </c>
      <c r="DD242" s="11">
        <f ca="1">IF(Returns!D247&gt;0,Returns!D247/Returns!D246-1,"")</f>
        <v>1.7202695100613674E-2</v>
      </c>
    </row>
    <row r="243" spans="1:108" x14ac:dyDescent="0.3">
      <c r="B243" s="55" vm="476">
        <f ca="1"/>
        <v>26469.888599999998</v>
      </c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  <c r="BW243" s="17"/>
      <c r="BX243" s="17"/>
      <c r="BY243" s="17"/>
      <c r="BZ243" s="17"/>
      <c r="CA243" s="17"/>
      <c r="CB243" s="17"/>
      <c r="CC243" s="17"/>
      <c r="CD243" s="17"/>
      <c r="CE243" s="17"/>
      <c r="CF243" s="1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  <c r="DB243" s="2" vm="477">
        <f ca="1">IF(Returns!A247&lt;&gt;0,Returns!A247,"")</f>
        <v>41897</v>
      </c>
      <c r="DC243" s="11">
        <f ca="1">IF(Returns!B248&gt;0,Returns!B248/Returns!B247-1,"")</f>
        <v>-2.447784619099358E-2</v>
      </c>
      <c r="DD243" s="11">
        <f ca="1">IF(Returns!D248&gt;0,Returns!D248/Returns!D247-1,"")</f>
        <v>-9.6405051333620095E-3</v>
      </c>
    </row>
    <row r="244" spans="1:108" x14ac:dyDescent="0.3">
      <c r="B244" s="55" vm="478">
        <f ca="1"/>
        <v>26428.324199999999</v>
      </c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  <c r="BW244" s="17"/>
      <c r="BX244" s="17"/>
      <c r="BY244" s="17"/>
      <c r="BZ244" s="17"/>
      <c r="CA244" s="17"/>
      <c r="CB244" s="17"/>
      <c r="CC244" s="17"/>
      <c r="CD244" s="17"/>
      <c r="CE244" s="17"/>
      <c r="CF244" s="1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  <c r="DB244" s="2" vm="479">
        <f ca="1">IF(Returns!A248&lt;&gt;0,Returns!A248,"")</f>
        <v>41904</v>
      </c>
      <c r="DC244" s="11">
        <f ca="1">IF(Returns!B249&gt;0,Returns!B249/Returns!B248-1,"")</f>
        <v>-1.4541629281271673E-3</v>
      </c>
      <c r="DD244" s="11">
        <f ca="1">IF(Returns!D249&gt;0,Returns!D249/Returns!D248-1,"")</f>
        <v>-6.0455022070948772E-3</v>
      </c>
    </row>
    <row r="245" spans="1:108" x14ac:dyDescent="0.3">
      <c r="B245" s="55" vm="480">
        <f ca="1"/>
        <v>26075.301800000001</v>
      </c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  <c r="DB245" s="2" vm="481">
        <f ca="1">IF(Returns!A249&lt;&gt;0,Returns!A249,"")</f>
        <v>41911</v>
      </c>
      <c r="DC245" s="11">
        <f ca="1">IF(Returns!B250&gt;0,Returns!B250/Returns!B249-1,"")</f>
        <v>-3.516762719216715E-2</v>
      </c>
      <c r="DD245" s="11">
        <f ca="1">IF(Returns!D250&gt;0,Returns!D250/Returns!D249-1,"")</f>
        <v>-2.737212561492941E-2</v>
      </c>
    </row>
    <row r="246" spans="1:108" x14ac:dyDescent="0.3">
      <c r="B246" s="55" vm="482">
        <f ca="1"/>
        <v>25871.458299999998</v>
      </c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  <c r="BW246" s="17"/>
      <c r="BX246" s="17"/>
      <c r="BY246" s="17"/>
      <c r="BZ246" s="17"/>
      <c r="CA246" s="17"/>
      <c r="CB246" s="17"/>
      <c r="CC246" s="17"/>
      <c r="CD246" s="17"/>
      <c r="CE246" s="17"/>
      <c r="CF246" s="1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  <c r="DB246" s="2" vm="483">
        <f ca="1">IF(Returns!A250&lt;&gt;0,Returns!A250,"")</f>
        <v>41918</v>
      </c>
      <c r="DC246" s="11">
        <f ca="1">IF(Returns!B251&gt;0,Returns!B251/Returns!B250-1,"")</f>
        <v>-2.4888403609621301E-2</v>
      </c>
      <c r="DD246" s="11">
        <f ca="1">IF(Returns!D251&gt;0,Returns!D251/Returns!D250-1,"")</f>
        <v>-9.8944982403156301E-3</v>
      </c>
    </row>
    <row r="247" spans="1:108" x14ac:dyDescent="0.3">
      <c r="B247" s="55" vm="484">
        <f ca="1"/>
        <v>25864.778900000001</v>
      </c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  <c r="BW247" s="17"/>
      <c r="BX247" s="17"/>
      <c r="BY247" s="17"/>
      <c r="BZ247" s="17"/>
      <c r="CA247" s="17"/>
      <c r="CB247" s="17"/>
      <c r="CC247" s="17"/>
      <c r="CD247" s="17"/>
      <c r="CE247" s="17"/>
      <c r="CF247" s="1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  <c r="DB247" s="2" vm="485">
        <f ca="1">IF(Returns!A251&lt;&gt;0,Returns!A251,"")</f>
        <v>41925</v>
      </c>
      <c r="DC247" s="11">
        <f ca="1">IF(Returns!B252&gt;0,Returns!B252/Returns!B251-1,"")</f>
        <v>-5.4604136477407472E-2</v>
      </c>
      <c r="DD247" s="11">
        <f ca="1">IF(Returns!D252&gt;0,Returns!D252/Returns!D251-1,"")</f>
        <v>2.5945923348085653E-2</v>
      </c>
    </row>
    <row r="248" spans="1:108" x14ac:dyDescent="0.3">
      <c r="B248" s="55" vm="486">
        <f ca="1"/>
        <v>25827.356299999999</v>
      </c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7"/>
      <c r="BR248" s="17"/>
      <c r="BS248" s="17"/>
      <c r="BT248" s="17"/>
      <c r="BU248" s="17"/>
      <c r="BV248" s="17"/>
      <c r="BW248" s="17"/>
      <c r="BX248" s="17"/>
      <c r="BY248" s="17"/>
      <c r="BZ248" s="17"/>
      <c r="CA248" s="17"/>
      <c r="CB248" s="17"/>
      <c r="CC248" s="17"/>
      <c r="CD248" s="17"/>
      <c r="CE248" s="17"/>
      <c r="CF248" s="1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  <c r="DB248" s="2" vm="487">
        <f ca="1">IF(Returns!A252&lt;&gt;0,Returns!A252,"")</f>
        <v>41932</v>
      </c>
      <c r="DC248" s="11">
        <f ca="1">IF(Returns!B253&gt;0,Returns!B253/Returns!B252-1,"")</f>
        <v>6.4098097958614986E-2</v>
      </c>
      <c r="DD248" s="11">
        <f ca="1">IF(Returns!D253&gt;0,Returns!D253/Returns!D252-1,"")</f>
        <v>3.4816402363324395E-2</v>
      </c>
    </row>
    <row r="249" spans="1:108" x14ac:dyDescent="0.3">
      <c r="B249" s="55" vm="488">
        <f ca="1"/>
        <v>25605.542700000002</v>
      </c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  <c r="BW249" s="17"/>
      <c r="BX249" s="17"/>
      <c r="BY249" s="17"/>
      <c r="BZ249" s="17"/>
      <c r="CA249" s="17"/>
      <c r="CB249" s="17"/>
      <c r="CC249" s="17"/>
      <c r="CD249" s="17"/>
      <c r="CE249" s="17"/>
      <c r="CF249" s="1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DB249" s="2" vm="489">
        <f ca="1">IF(Returns!A253&lt;&gt;0,Returns!A253,"")</f>
        <v>41939</v>
      </c>
      <c r="DC249" s="11">
        <f ca="1">IF(Returns!B254&gt;0,Returns!B254/Returns!B253-1,"")</f>
        <v>-1.8333005958226845E-2</v>
      </c>
      <c r="DD249" s="11">
        <f ca="1">IF(Returns!D254&gt;0,Returns!D254/Returns!D253-1,"")</f>
        <v>1.0546604585013775E-2</v>
      </c>
    </row>
    <row r="250" spans="1:108" x14ac:dyDescent="0.3">
      <c r="B250" s="55" vm="490">
        <f ca="1"/>
        <v>25383.1119</v>
      </c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7"/>
      <c r="BR250" s="17"/>
      <c r="BS250" s="17"/>
      <c r="BT250" s="17"/>
      <c r="BU250" s="17"/>
      <c r="BV250" s="17"/>
      <c r="BW250" s="17"/>
      <c r="BX250" s="17"/>
      <c r="BY250" s="17"/>
      <c r="BZ250" s="17"/>
      <c r="CA250" s="17"/>
      <c r="CB250" s="17"/>
      <c r="CC250" s="17"/>
      <c r="CD250" s="17"/>
      <c r="CE250" s="17"/>
      <c r="CF250" s="1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  <c r="DB250" s="2" vm="491">
        <f ca="1">IF(Returns!A254&lt;&gt;0,Returns!A254,"")</f>
        <v>41946</v>
      </c>
      <c r="DC250" s="11">
        <f ca="1">IF(Returns!B255&gt;0,Returns!B255/Returns!B254-1,"")</f>
        <v>9.3243513639698294E-2</v>
      </c>
      <c r="DD250" s="11">
        <f ca="1">IF(Returns!D255&gt;0,Returns!D255/Returns!D254-1,"")</f>
        <v>3.4605753717895649E-3</v>
      </c>
    </row>
    <row r="251" spans="1:108" x14ac:dyDescent="0.3">
      <c r="B251" s="55" vm="492">
        <f ca="1"/>
        <v>25015.5488</v>
      </c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7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  <c r="CC251" s="17"/>
      <c r="CD251" s="17"/>
      <c r="CE251" s="17"/>
      <c r="CF251" s="1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  <c r="DB251" s="2" vm="493">
        <f ca="1">IF(Returns!A255&lt;&gt;0,Returns!A255,"")</f>
        <v>41953</v>
      </c>
      <c r="DC251" s="11">
        <f ca="1">IF(Returns!B256&gt;0,Returns!B256/Returns!B255-1,"")</f>
        <v>1.4672686230248422E-2</v>
      </c>
      <c r="DD251" s="11">
        <f ca="1">IF(Returns!D256&gt;0,Returns!D256/Returns!D255-1,"")</f>
        <v>9.941698498904028E-3</v>
      </c>
    </row>
    <row r="252" spans="1:108" x14ac:dyDescent="0.3">
      <c r="B252" s="55" vm="494">
        <f ca="1"/>
        <v>24465.164499999999</v>
      </c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7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  <c r="CC252" s="17"/>
      <c r="CD252" s="17"/>
      <c r="CE252" s="17"/>
      <c r="CF252" s="1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  <c r="DB252" s="2" vm="495">
        <f ca="1">IF(Returns!A256&lt;&gt;0,Returns!A256,"")</f>
        <v>41960</v>
      </c>
      <c r="DC252" s="11">
        <f ca="1">IF(Returns!B257&gt;0,Returns!B257/Returns!B256-1,"")</f>
        <v>1.8068123741093789E-2</v>
      </c>
      <c r="DD252" s="11">
        <f ca="1">IF(Returns!D257&gt;0,Returns!D257/Returns!D256-1,"")</f>
        <v>1.0204399900337613E-3</v>
      </c>
    </row>
    <row r="253" spans="1:108" x14ac:dyDescent="0.3">
      <c r="A253" s="8"/>
      <c r="B253" s="55" vm="496">
        <f ca="1"/>
        <v>24331.314999999999</v>
      </c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7"/>
      <c r="BR253" s="17"/>
      <c r="BS253" s="17"/>
      <c r="BT253" s="17"/>
      <c r="BU253" s="17"/>
      <c r="BV253" s="17"/>
      <c r="BW253" s="17"/>
      <c r="BX253" s="17"/>
      <c r="BY253" s="17"/>
      <c r="BZ253" s="17"/>
      <c r="CA253" s="17"/>
      <c r="CB253" s="17"/>
      <c r="CC253" s="17"/>
      <c r="CD253" s="17"/>
      <c r="CE253" s="17"/>
      <c r="CF253" s="1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  <c r="DB253" s="2" vm="497">
        <f ca="1">IF(Returns!A257&lt;&gt;0,Returns!A257,"")</f>
        <v>41967</v>
      </c>
      <c r="DC253" s="11">
        <f ca="1">IF(Returns!B258&gt;0,Returns!B258/Returns!B257-1,"")</f>
        <v>-7.6807228915662495E-2</v>
      </c>
      <c r="DD253" s="11">
        <f ca="1">IF(Returns!D258&gt;0,Returns!D258/Returns!D257-1,"")</f>
        <v>7.3231191019755837E-3</v>
      </c>
    </row>
    <row r="254" spans="1:108" x14ac:dyDescent="0.3">
      <c r="B254" s="55" vm="498">
        <f ca="1"/>
        <v>24242.493600000002</v>
      </c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7"/>
      <c r="BR254" s="17"/>
      <c r="BS254" s="17"/>
      <c r="BT254" s="17"/>
      <c r="BU254" s="17"/>
      <c r="BV254" s="17"/>
      <c r="BW254" s="17"/>
      <c r="BX254" s="17"/>
      <c r="BY254" s="17"/>
      <c r="BZ254" s="17"/>
      <c r="CA254" s="17"/>
      <c r="CB254" s="17"/>
      <c r="CC254" s="17"/>
      <c r="CD254" s="17"/>
      <c r="CE254" s="17"/>
      <c r="CF254" s="1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  <c r="DB254" s="2" vm="499">
        <f ca="1">IF(Returns!A258&lt;&gt;0,Returns!A258,"")</f>
        <v>41974</v>
      </c>
      <c r="DC254" s="11">
        <f ca="1">IF(Returns!B259&gt;0,Returns!B259/Returns!B258-1,"")</f>
        <v>-1.698493426734482E-2</v>
      </c>
      <c r="DD254" s="11">
        <f ca="1">IF(Returns!D259&gt;0,Returns!D259/Returns!D258-1,"")</f>
        <v>-3.7751163358962447E-2</v>
      </c>
    </row>
    <row r="255" spans="1:108" x14ac:dyDescent="0.3">
      <c r="B255" s="55" vm="500">
        <f ca="1"/>
        <v>23775.272199999999</v>
      </c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7"/>
      <c r="BR255" s="17"/>
      <c r="BS255" s="17"/>
      <c r="BT255" s="17"/>
      <c r="BU255" s="17"/>
      <c r="BV255" s="17"/>
      <c r="BW255" s="17"/>
      <c r="BX255" s="17"/>
      <c r="BY255" s="17"/>
      <c r="BZ255" s="17"/>
      <c r="CA255" s="17"/>
      <c r="CB255" s="17"/>
      <c r="CC255" s="17"/>
      <c r="CD255" s="17"/>
      <c r="CE255" s="17"/>
      <c r="CF255" s="1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  <c r="DB255" s="2" vm="501">
        <f ca="1">IF(Returns!A259&lt;&gt;0,Returns!A259,"")</f>
        <v>41981</v>
      </c>
      <c r="DC255" s="11">
        <f ca="1">IF(Returns!B260&gt;0,Returns!B260/Returns!B259-1,"")</f>
        <v>-2.4144214499544514E-2</v>
      </c>
      <c r="DD255" s="11">
        <f ca="1">IF(Returns!D260&gt;0,Returns!D260/Returns!D259-1,"")</f>
        <v>3.0320708852546785E-2</v>
      </c>
    </row>
    <row r="256" spans="1:108" x14ac:dyDescent="0.3">
      <c r="B256" s="55" vm="502">
        <f ca="1"/>
        <v>23723.694</v>
      </c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7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  <c r="CC256" s="17"/>
      <c r="CD256" s="17"/>
      <c r="CE256" s="17"/>
      <c r="CF256" s="1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  <c r="DB256" s="2" vm="503">
        <f ca="1">IF(Returns!A260&lt;&gt;0,Returns!A260,"")</f>
        <v>41988</v>
      </c>
      <c r="DC256" s="11">
        <f ca="1">IF(Returns!B261&gt;0,Returns!B261/Returns!B260-1,"")</f>
        <v>3.0643547849283026E-2</v>
      </c>
      <c r="DD256" s="11">
        <f ca="1">IF(Returns!D261&gt;0,Returns!D261/Returns!D260-1,"")</f>
        <v>1.3980210332648291E-2</v>
      </c>
    </row>
    <row r="257" spans="1:108" x14ac:dyDescent="0.3">
      <c r="B257" s="55" vm="504">
        <f ca="1"/>
        <v>23719.373</v>
      </c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DB257" s="2" vm="505">
        <f ca="1">IF(Returns!A261&lt;&gt;0,Returns!A261,"")</f>
        <v>41995</v>
      </c>
      <c r="DC257" s="11">
        <f ca="1">IF(Returns!B262&gt;0,Returns!B262/Returns!B261-1,"")</f>
        <v>-1.8441230709501655E-3</v>
      </c>
      <c r="DD257" s="11">
        <f ca="1">IF(Returns!D262&gt;0,Returns!D262/Returns!D261-1,"")</f>
        <v>-1.2225874022921746E-2</v>
      </c>
    </row>
    <row r="258" spans="1:108" ht="15" thickBot="1" x14ac:dyDescent="0.35">
      <c r="A258" s="8" t="s">
        <v>1309</v>
      </c>
      <c r="B258" s="56" vm="506">
        <f ca="1"/>
        <v>23685.421900000001</v>
      </c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  <c r="BI258" s="59"/>
      <c r="BJ258" s="59"/>
      <c r="BK258" s="59"/>
      <c r="BL258" s="59"/>
      <c r="BM258" s="59"/>
      <c r="BN258" s="59"/>
      <c r="BO258" s="59"/>
      <c r="BP258" s="59"/>
      <c r="BQ258" s="59"/>
      <c r="BR258" s="59"/>
      <c r="BS258" s="59"/>
      <c r="BT258" s="59"/>
      <c r="BU258" s="59"/>
      <c r="BV258" s="59"/>
      <c r="BW258" s="59"/>
      <c r="BX258" s="59"/>
      <c r="BY258" s="59"/>
      <c r="BZ258" s="59"/>
      <c r="CA258" s="59"/>
      <c r="CB258" s="59"/>
      <c r="CC258" s="59"/>
      <c r="CD258" s="59"/>
      <c r="CE258" s="59"/>
      <c r="CF258" s="59"/>
      <c r="CG258" s="59"/>
      <c r="CH258" s="59"/>
      <c r="CI258" s="59"/>
      <c r="CJ258" s="59"/>
      <c r="CK258" s="59"/>
      <c r="CL258" s="59"/>
      <c r="CM258" s="59"/>
      <c r="CN258" s="59"/>
      <c r="CO258" s="59"/>
      <c r="CP258" s="59"/>
      <c r="CQ258" s="59"/>
      <c r="CR258" s="59"/>
      <c r="CS258" s="59"/>
      <c r="CT258" s="59"/>
      <c r="CU258" s="59"/>
      <c r="CV258" s="59"/>
      <c r="CW258" s="59"/>
      <c r="CX258" s="59"/>
      <c r="DB258" s="2" vm="507">
        <f ca="1">IF(Returns!A262&lt;&gt;0,Returns!A262,"")</f>
        <v>42002</v>
      </c>
      <c r="DC258" s="11">
        <f ca="1">IF(Returns!B263&gt;0,Returns!B263/Returns!B262-1,"")</f>
        <v>-3.7566446259561737E-2</v>
      </c>
      <c r="DD258" s="11">
        <f ca="1">IF(Returns!D263&gt;0,Returns!D263/Returns!D262-1,"")</f>
        <v>-5.3621353400830074E-3</v>
      </c>
    </row>
    <row r="259" spans="1:108" x14ac:dyDescent="0.3">
      <c r="A259" s="8" t="s">
        <v>1369</v>
      </c>
      <c r="B259" s="17" vm="506">
        <f ca="1">IF(B258&lt;&gt;0,B258,B251)</f>
        <v>23685.421900000001</v>
      </c>
      <c r="C259" s="17">
        <f t="shared" ref="C259:BN259" si="0">IF(C258&lt;&gt;0,C258,C251)</f>
        <v>0</v>
      </c>
      <c r="D259" s="17">
        <f t="shared" si="0"/>
        <v>0</v>
      </c>
      <c r="E259" s="17">
        <f t="shared" si="0"/>
        <v>0</v>
      </c>
      <c r="F259" s="17">
        <f t="shared" si="0"/>
        <v>0</v>
      </c>
      <c r="G259" s="17">
        <f t="shared" si="0"/>
        <v>0</v>
      </c>
      <c r="H259" s="17">
        <f t="shared" si="0"/>
        <v>0</v>
      </c>
      <c r="I259" s="17">
        <f t="shared" si="0"/>
        <v>0</v>
      </c>
      <c r="J259" s="17">
        <f t="shared" si="0"/>
        <v>0</v>
      </c>
      <c r="K259" s="17">
        <f t="shared" si="0"/>
        <v>0</v>
      </c>
      <c r="L259" s="17">
        <f t="shared" si="0"/>
        <v>0</v>
      </c>
      <c r="M259" s="17">
        <f t="shared" si="0"/>
        <v>0</v>
      </c>
      <c r="N259" s="17">
        <f t="shared" si="0"/>
        <v>0</v>
      </c>
      <c r="O259" s="17">
        <f t="shared" si="0"/>
        <v>0</v>
      </c>
      <c r="P259" s="17">
        <f t="shared" si="0"/>
        <v>0</v>
      </c>
      <c r="Q259" s="17">
        <f t="shared" si="0"/>
        <v>0</v>
      </c>
      <c r="R259" s="17">
        <f t="shared" si="0"/>
        <v>0</v>
      </c>
      <c r="S259" s="17">
        <f t="shared" si="0"/>
        <v>0</v>
      </c>
      <c r="T259" s="17">
        <f t="shared" si="0"/>
        <v>0</v>
      </c>
      <c r="U259" s="17">
        <f t="shared" si="0"/>
        <v>0</v>
      </c>
      <c r="V259" s="17">
        <f t="shared" si="0"/>
        <v>0</v>
      </c>
      <c r="W259" s="17">
        <f t="shared" si="0"/>
        <v>0</v>
      </c>
      <c r="X259" s="17">
        <f t="shared" si="0"/>
        <v>0</v>
      </c>
      <c r="Y259" s="17">
        <f t="shared" si="0"/>
        <v>0</v>
      </c>
      <c r="Z259" s="17">
        <f t="shared" si="0"/>
        <v>0</v>
      </c>
      <c r="AA259" s="17">
        <f t="shared" si="0"/>
        <v>0</v>
      </c>
      <c r="AB259" s="17">
        <f t="shared" si="0"/>
        <v>0</v>
      </c>
      <c r="AC259" s="17">
        <f t="shared" si="0"/>
        <v>0</v>
      </c>
      <c r="AD259" s="17">
        <f t="shared" si="0"/>
        <v>0</v>
      </c>
      <c r="AE259" s="17">
        <f t="shared" si="0"/>
        <v>0</v>
      </c>
      <c r="AF259" s="17">
        <f t="shared" si="0"/>
        <v>0</v>
      </c>
      <c r="AG259" s="17">
        <f t="shared" si="0"/>
        <v>0</v>
      </c>
      <c r="AH259" s="17">
        <f t="shared" si="0"/>
        <v>0</v>
      </c>
      <c r="AI259" s="17">
        <f t="shared" si="0"/>
        <v>0</v>
      </c>
      <c r="AJ259" s="17">
        <f t="shared" si="0"/>
        <v>0</v>
      </c>
      <c r="AK259" s="17">
        <f t="shared" si="0"/>
        <v>0</v>
      </c>
      <c r="AL259" s="17">
        <f t="shared" si="0"/>
        <v>0</v>
      </c>
      <c r="AM259" s="17">
        <f t="shared" si="0"/>
        <v>0</v>
      </c>
      <c r="AN259" s="17">
        <f t="shared" si="0"/>
        <v>0</v>
      </c>
      <c r="AO259" s="17">
        <f t="shared" si="0"/>
        <v>0</v>
      </c>
      <c r="AP259" s="17">
        <f t="shared" si="0"/>
        <v>0</v>
      </c>
      <c r="AQ259" s="17">
        <f t="shared" si="0"/>
        <v>0</v>
      </c>
      <c r="AR259" s="17">
        <f t="shared" si="0"/>
        <v>0</v>
      </c>
      <c r="AS259" s="17">
        <f t="shared" si="0"/>
        <v>0</v>
      </c>
      <c r="AT259" s="17">
        <f t="shared" si="0"/>
        <v>0</v>
      </c>
      <c r="AU259" s="17">
        <f t="shared" si="0"/>
        <v>0</v>
      </c>
      <c r="AV259" s="17">
        <f t="shared" si="0"/>
        <v>0</v>
      </c>
      <c r="AW259" s="17">
        <f t="shared" si="0"/>
        <v>0</v>
      </c>
      <c r="AX259" s="17">
        <f t="shared" si="0"/>
        <v>0</v>
      </c>
      <c r="AY259" s="17">
        <f t="shared" si="0"/>
        <v>0</v>
      </c>
      <c r="AZ259" s="17">
        <f t="shared" si="0"/>
        <v>0</v>
      </c>
      <c r="BA259" s="17">
        <f t="shared" si="0"/>
        <v>0</v>
      </c>
      <c r="BB259" s="17">
        <f t="shared" si="0"/>
        <v>0</v>
      </c>
      <c r="BC259" s="17">
        <f t="shared" si="0"/>
        <v>0</v>
      </c>
      <c r="BD259" s="17">
        <f t="shared" si="0"/>
        <v>0</v>
      </c>
      <c r="BE259" s="17">
        <f t="shared" si="0"/>
        <v>0</v>
      </c>
      <c r="BF259" s="17">
        <f t="shared" si="0"/>
        <v>0</v>
      </c>
      <c r="BG259" s="17">
        <f t="shared" si="0"/>
        <v>0</v>
      </c>
      <c r="BH259" s="17">
        <f t="shared" si="0"/>
        <v>0</v>
      </c>
      <c r="BI259" s="17">
        <f t="shared" si="0"/>
        <v>0</v>
      </c>
      <c r="BJ259" s="17">
        <f t="shared" si="0"/>
        <v>0</v>
      </c>
      <c r="BK259" s="17">
        <f t="shared" si="0"/>
        <v>0</v>
      </c>
      <c r="BL259" s="17">
        <f t="shared" si="0"/>
        <v>0</v>
      </c>
      <c r="BM259" s="17">
        <f t="shared" si="0"/>
        <v>0</v>
      </c>
      <c r="BN259" s="17">
        <f t="shared" si="0"/>
        <v>0</v>
      </c>
      <c r="BO259" s="17">
        <f t="shared" ref="BO259:CX259" si="1">IF(BO258&lt;&gt;0,BO258,BO251)</f>
        <v>0</v>
      </c>
      <c r="BP259" s="17">
        <f t="shared" si="1"/>
        <v>0</v>
      </c>
      <c r="BQ259" s="17">
        <f t="shared" si="1"/>
        <v>0</v>
      </c>
      <c r="BR259" s="17">
        <f t="shared" si="1"/>
        <v>0</v>
      </c>
      <c r="BS259" s="17">
        <f t="shared" si="1"/>
        <v>0</v>
      </c>
      <c r="BT259" s="17">
        <f t="shared" si="1"/>
        <v>0</v>
      </c>
      <c r="BU259" s="17">
        <f t="shared" si="1"/>
        <v>0</v>
      </c>
      <c r="BV259" s="17">
        <f t="shared" si="1"/>
        <v>0</v>
      </c>
      <c r="BW259" s="17">
        <f t="shared" si="1"/>
        <v>0</v>
      </c>
      <c r="BX259" s="17">
        <f t="shared" si="1"/>
        <v>0</v>
      </c>
      <c r="BY259" s="17">
        <f t="shared" si="1"/>
        <v>0</v>
      </c>
      <c r="BZ259" s="17">
        <f t="shared" si="1"/>
        <v>0</v>
      </c>
      <c r="CA259" s="17">
        <f t="shared" si="1"/>
        <v>0</v>
      </c>
      <c r="CB259" s="17">
        <f t="shared" si="1"/>
        <v>0</v>
      </c>
      <c r="CC259" s="17">
        <f t="shared" si="1"/>
        <v>0</v>
      </c>
      <c r="CD259" s="17">
        <f t="shared" si="1"/>
        <v>0</v>
      </c>
      <c r="CE259" s="17">
        <f t="shared" si="1"/>
        <v>0</v>
      </c>
      <c r="CF259" s="17">
        <f t="shared" si="1"/>
        <v>0</v>
      </c>
      <c r="CG259" s="17">
        <f t="shared" si="1"/>
        <v>0</v>
      </c>
      <c r="CH259" s="17">
        <f t="shared" si="1"/>
        <v>0</v>
      </c>
      <c r="CI259" s="17">
        <f t="shared" si="1"/>
        <v>0</v>
      </c>
      <c r="CJ259" s="17">
        <f t="shared" si="1"/>
        <v>0</v>
      </c>
      <c r="CK259" s="17">
        <f t="shared" si="1"/>
        <v>0</v>
      </c>
      <c r="CL259" s="17">
        <f t="shared" si="1"/>
        <v>0</v>
      </c>
      <c r="CM259" s="17">
        <f t="shared" si="1"/>
        <v>0</v>
      </c>
      <c r="CN259" s="17">
        <f t="shared" si="1"/>
        <v>0</v>
      </c>
      <c r="CO259" s="17">
        <f t="shared" si="1"/>
        <v>0</v>
      </c>
      <c r="CP259" s="17">
        <f t="shared" si="1"/>
        <v>0</v>
      </c>
      <c r="CQ259" s="17">
        <f t="shared" si="1"/>
        <v>0</v>
      </c>
      <c r="CR259" s="17">
        <f t="shared" si="1"/>
        <v>0</v>
      </c>
      <c r="CS259" s="17">
        <f t="shared" si="1"/>
        <v>0</v>
      </c>
      <c r="CT259" s="17">
        <f t="shared" si="1"/>
        <v>0</v>
      </c>
      <c r="CU259" s="17">
        <f t="shared" si="1"/>
        <v>0</v>
      </c>
      <c r="CV259" s="17">
        <f t="shared" si="1"/>
        <v>0</v>
      </c>
      <c r="CW259" s="17">
        <f t="shared" si="1"/>
        <v>0</v>
      </c>
      <c r="CX259" s="17">
        <f t="shared" si="1"/>
        <v>0</v>
      </c>
      <c r="DB259" s="2" vm="508">
        <f ca="1">IF(Returns!A263&lt;&gt;0,Returns!A263,"")</f>
        <v>42009</v>
      </c>
      <c r="DC259" s="11">
        <f ca="1">IF(Returns!B266&gt;0,Returns!B266/Returns!B265-1,"")</f>
        <v>0.13489548321008993</v>
      </c>
      <c r="DD259" s="11">
        <f ca="1">IF(Returns!D266&gt;0,Returns!D266/Returns!D265-1,"")</f>
        <v>-2.8725551575018438E-2</v>
      </c>
    </row>
    <row r="260" spans="1:108" x14ac:dyDescent="0.3">
      <c r="B260" s="3" t="s">
        <v>1356</v>
      </c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  <c r="BW260" s="17"/>
      <c r="BX260" s="17"/>
      <c r="BY260" s="17"/>
      <c r="BZ260" s="17"/>
      <c r="CA260" s="17"/>
      <c r="CB260" s="17"/>
      <c r="CC260" s="17"/>
      <c r="CD260" s="17"/>
      <c r="CE260" s="17"/>
      <c r="CF260" s="1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DB260" s="2" vm="509">
        <f ca="1">IF(Returns!A264&lt;&gt;0,Returns!A264,"")</f>
        <v>42016</v>
      </c>
      <c r="DC260" s="11">
        <f ca="1">IF(Returns!B275&gt;0,Returns!B275/Returns!B274-1,"")</f>
        <v>4.5606649395510956E-3</v>
      </c>
      <c r="DD260" s="11">
        <f ca="1">IF(Returns!D267&gt;0,Returns!D267/Returns!D266-1,"")</f>
        <v>3.8412105872472013E-2</v>
      </c>
    </row>
    <row r="261" spans="1:108" x14ac:dyDescent="0.3">
      <c r="B261" s="13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DB261" s="2" vm="510">
        <f ca="1">IF(Returns!A265&lt;&gt;0,Returns!A265,"")</f>
        <v>42024</v>
      </c>
      <c r="DC261" s="11">
        <f ca="1">IF(Returns!B276&gt;0,Returns!B276/Returns!B275-1,"")</f>
        <v>2.7938213566151671E-2</v>
      </c>
      <c r="DD261" s="11">
        <f ca="1">IF(Returns!D268&gt;0,Returns!D268/Returns!D267-1,"")</f>
        <v>1.0943876683853215E-2</v>
      </c>
    </row>
    <row r="262" spans="1:108" ht="15" thickBot="1" x14ac:dyDescent="0.35">
      <c r="B262" s="10" t="s">
        <v>1310</v>
      </c>
      <c r="C262" s="59">
        <f>C4</f>
        <v>0</v>
      </c>
      <c r="D262" s="59">
        <f t="shared" ref="D262:BO262" si="2">D4</f>
        <v>0</v>
      </c>
      <c r="E262" s="59">
        <f t="shared" si="2"/>
        <v>0</v>
      </c>
      <c r="F262" s="59">
        <f t="shared" si="2"/>
        <v>0</v>
      </c>
      <c r="G262" s="59">
        <f t="shared" si="2"/>
        <v>0</v>
      </c>
      <c r="H262" s="59">
        <f t="shared" si="2"/>
        <v>0</v>
      </c>
      <c r="I262" s="59">
        <f t="shared" si="2"/>
        <v>0</v>
      </c>
      <c r="J262" s="59">
        <f t="shared" si="2"/>
        <v>0</v>
      </c>
      <c r="K262" s="59">
        <f t="shared" si="2"/>
        <v>0</v>
      </c>
      <c r="L262" s="59">
        <f t="shared" si="2"/>
        <v>0</v>
      </c>
      <c r="M262" s="59">
        <f t="shared" si="2"/>
        <v>0</v>
      </c>
      <c r="N262" s="59">
        <f t="shared" si="2"/>
        <v>0</v>
      </c>
      <c r="O262" s="59">
        <f t="shared" si="2"/>
        <v>0</v>
      </c>
      <c r="P262" s="59">
        <f t="shared" si="2"/>
        <v>0</v>
      </c>
      <c r="Q262" s="59">
        <f t="shared" si="2"/>
        <v>0</v>
      </c>
      <c r="R262" s="59">
        <f t="shared" si="2"/>
        <v>0</v>
      </c>
      <c r="S262" s="59">
        <f t="shared" si="2"/>
        <v>0</v>
      </c>
      <c r="T262" s="59">
        <f t="shared" si="2"/>
        <v>0</v>
      </c>
      <c r="U262" s="59">
        <f t="shared" si="2"/>
        <v>0</v>
      </c>
      <c r="V262" s="59">
        <f t="shared" si="2"/>
        <v>0</v>
      </c>
      <c r="W262" s="59">
        <f t="shared" si="2"/>
        <v>0</v>
      </c>
      <c r="X262" s="59">
        <f t="shared" si="2"/>
        <v>0</v>
      </c>
      <c r="Y262" s="59">
        <f t="shared" si="2"/>
        <v>0</v>
      </c>
      <c r="Z262" s="59">
        <f t="shared" si="2"/>
        <v>0</v>
      </c>
      <c r="AA262" s="59">
        <f t="shared" si="2"/>
        <v>0</v>
      </c>
      <c r="AB262" s="59">
        <f t="shared" si="2"/>
        <v>0</v>
      </c>
      <c r="AC262" s="59">
        <f t="shared" si="2"/>
        <v>0</v>
      </c>
      <c r="AD262" s="59">
        <f t="shared" si="2"/>
        <v>0</v>
      </c>
      <c r="AE262" s="59">
        <f t="shared" si="2"/>
        <v>0</v>
      </c>
      <c r="AF262" s="59">
        <f t="shared" si="2"/>
        <v>0</v>
      </c>
      <c r="AG262" s="59">
        <f t="shared" si="2"/>
        <v>0</v>
      </c>
      <c r="AH262" s="59">
        <f t="shared" si="2"/>
        <v>0</v>
      </c>
      <c r="AI262" s="59">
        <f t="shared" si="2"/>
        <v>0</v>
      </c>
      <c r="AJ262" s="59">
        <f t="shared" si="2"/>
        <v>0</v>
      </c>
      <c r="AK262" s="59">
        <f t="shared" si="2"/>
        <v>0</v>
      </c>
      <c r="AL262" s="59">
        <f t="shared" si="2"/>
        <v>0</v>
      </c>
      <c r="AM262" s="59">
        <f t="shared" si="2"/>
        <v>0</v>
      </c>
      <c r="AN262" s="59">
        <f t="shared" si="2"/>
        <v>0</v>
      </c>
      <c r="AO262" s="59">
        <f t="shared" si="2"/>
        <v>0</v>
      </c>
      <c r="AP262" s="59">
        <f t="shared" si="2"/>
        <v>0</v>
      </c>
      <c r="AQ262" s="59">
        <f t="shared" si="2"/>
        <v>0</v>
      </c>
      <c r="AR262" s="59">
        <f t="shared" si="2"/>
        <v>0</v>
      </c>
      <c r="AS262" s="59">
        <f t="shared" si="2"/>
        <v>0</v>
      </c>
      <c r="AT262" s="59">
        <f t="shared" si="2"/>
        <v>0</v>
      </c>
      <c r="AU262" s="59">
        <f t="shared" si="2"/>
        <v>0</v>
      </c>
      <c r="AV262" s="59">
        <f t="shared" si="2"/>
        <v>0</v>
      </c>
      <c r="AW262" s="59">
        <f t="shared" si="2"/>
        <v>0</v>
      </c>
      <c r="AX262" s="59">
        <f t="shared" si="2"/>
        <v>0</v>
      </c>
      <c r="AY262" s="59">
        <f t="shared" si="2"/>
        <v>0</v>
      </c>
      <c r="AZ262" s="59">
        <f t="shared" si="2"/>
        <v>0</v>
      </c>
      <c r="BA262" s="59">
        <f t="shared" si="2"/>
        <v>0</v>
      </c>
      <c r="BB262" s="59">
        <f t="shared" si="2"/>
        <v>0</v>
      </c>
      <c r="BC262" s="59">
        <f t="shared" si="2"/>
        <v>0</v>
      </c>
      <c r="BD262" s="59">
        <f t="shared" si="2"/>
        <v>0</v>
      </c>
      <c r="BE262" s="59">
        <f t="shared" si="2"/>
        <v>0</v>
      </c>
      <c r="BF262" s="59">
        <f t="shared" si="2"/>
        <v>0</v>
      </c>
      <c r="BG262" s="59">
        <f t="shared" si="2"/>
        <v>0</v>
      </c>
      <c r="BH262" s="59">
        <f t="shared" si="2"/>
        <v>0</v>
      </c>
      <c r="BI262" s="59">
        <f t="shared" si="2"/>
        <v>0</v>
      </c>
      <c r="BJ262" s="59">
        <f t="shared" si="2"/>
        <v>0</v>
      </c>
      <c r="BK262" s="59">
        <f t="shared" si="2"/>
        <v>0</v>
      </c>
      <c r="BL262" s="59">
        <f t="shared" si="2"/>
        <v>0</v>
      </c>
      <c r="BM262" s="59">
        <f t="shared" si="2"/>
        <v>0</v>
      </c>
      <c r="BN262" s="59">
        <f t="shared" si="2"/>
        <v>0</v>
      </c>
      <c r="BO262" s="59">
        <f t="shared" si="2"/>
        <v>0</v>
      </c>
      <c r="BP262" s="59">
        <f t="shared" ref="BP262:CX262" si="3">BP4</f>
        <v>0</v>
      </c>
      <c r="BQ262" s="59">
        <f t="shared" si="3"/>
        <v>0</v>
      </c>
      <c r="BR262" s="59">
        <f t="shared" si="3"/>
        <v>0</v>
      </c>
      <c r="BS262" s="59">
        <f t="shared" si="3"/>
        <v>0</v>
      </c>
      <c r="BT262" s="59">
        <f t="shared" si="3"/>
        <v>0</v>
      </c>
      <c r="BU262" s="59">
        <f t="shared" si="3"/>
        <v>0</v>
      </c>
      <c r="BV262" s="59">
        <f t="shared" si="3"/>
        <v>0</v>
      </c>
      <c r="BW262" s="59">
        <f t="shared" si="3"/>
        <v>0</v>
      </c>
      <c r="BX262" s="59">
        <f t="shared" si="3"/>
        <v>0</v>
      </c>
      <c r="BY262" s="59">
        <f t="shared" si="3"/>
        <v>0</v>
      </c>
      <c r="BZ262" s="59">
        <f t="shared" si="3"/>
        <v>0</v>
      </c>
      <c r="CA262" s="59">
        <f t="shared" si="3"/>
        <v>0</v>
      </c>
      <c r="CB262" s="59">
        <f t="shared" si="3"/>
        <v>0</v>
      </c>
      <c r="CC262" s="59">
        <f t="shared" si="3"/>
        <v>0</v>
      </c>
      <c r="CD262" s="59">
        <f t="shared" si="3"/>
        <v>0</v>
      </c>
      <c r="CE262" s="59">
        <f t="shared" si="3"/>
        <v>0</v>
      </c>
      <c r="CF262" s="59">
        <f t="shared" si="3"/>
        <v>0</v>
      </c>
      <c r="CG262" s="59">
        <f t="shared" si="3"/>
        <v>0</v>
      </c>
      <c r="CH262" s="59">
        <f t="shared" si="3"/>
        <v>0</v>
      </c>
      <c r="CI262" s="59">
        <f t="shared" si="3"/>
        <v>0</v>
      </c>
      <c r="CJ262" s="59">
        <f t="shared" si="3"/>
        <v>0</v>
      </c>
      <c r="CK262" s="59">
        <f t="shared" si="3"/>
        <v>0</v>
      </c>
      <c r="CL262" s="59">
        <f t="shared" si="3"/>
        <v>0</v>
      </c>
      <c r="CM262" s="59">
        <f t="shared" si="3"/>
        <v>0</v>
      </c>
      <c r="CN262" s="59">
        <f t="shared" si="3"/>
        <v>0</v>
      </c>
      <c r="CO262" s="59">
        <f t="shared" si="3"/>
        <v>0</v>
      </c>
      <c r="CP262" s="59">
        <f t="shared" si="3"/>
        <v>0</v>
      </c>
      <c r="CQ262" s="59">
        <f t="shared" si="3"/>
        <v>0</v>
      </c>
      <c r="CR262" s="59">
        <f t="shared" si="3"/>
        <v>0</v>
      </c>
      <c r="CS262" s="59">
        <f t="shared" si="3"/>
        <v>0</v>
      </c>
      <c r="CT262" s="59">
        <f t="shared" si="3"/>
        <v>0</v>
      </c>
      <c r="CU262" s="59">
        <f t="shared" si="3"/>
        <v>0</v>
      </c>
      <c r="CV262" s="59">
        <f t="shared" si="3"/>
        <v>0</v>
      </c>
      <c r="CW262" s="59">
        <f t="shared" si="3"/>
        <v>0</v>
      </c>
      <c r="CX262" s="59">
        <f t="shared" si="3"/>
        <v>0</v>
      </c>
      <c r="DB262" s="2" vm="511">
        <f ca="1">IF(Returns!A266&lt;&gt;0,Returns!A266,"")</f>
        <v>42030</v>
      </c>
      <c r="DC262" s="11">
        <f ca="1">IF(Returns!B277&gt;0,Returns!B277/Returns!B276-1,"")</f>
        <v>-1.8528681562785865E-2</v>
      </c>
      <c r="DD262" s="11">
        <f ca="1">IF(Returns!D269&gt;0,Returns!D269/Returns!D268-1,"")</f>
        <v>6.7197692365652539E-3</v>
      </c>
    </row>
    <row r="263" spans="1:108" x14ac:dyDescent="0.3">
      <c r="B263" s="44" t="s">
        <v>1357</v>
      </c>
      <c r="C263" s="17">
        <v>0</v>
      </c>
      <c r="D263" s="17">
        <v>0</v>
      </c>
      <c r="E263" s="17">
        <v>0</v>
      </c>
      <c r="F263" s="17">
        <v>0</v>
      </c>
      <c r="G263" s="17">
        <v>0</v>
      </c>
      <c r="H263" s="17">
        <v>0</v>
      </c>
      <c r="I263" s="17">
        <v>0</v>
      </c>
      <c r="J263" s="17">
        <v>0</v>
      </c>
      <c r="K263" s="17">
        <v>0</v>
      </c>
      <c r="L263" s="17">
        <v>0</v>
      </c>
      <c r="M263" s="17">
        <v>0</v>
      </c>
      <c r="N263" s="17">
        <v>0</v>
      </c>
      <c r="O263" s="17">
        <v>0</v>
      </c>
      <c r="P263" s="17">
        <v>0</v>
      </c>
      <c r="Q263" s="17">
        <v>0</v>
      </c>
      <c r="R263" s="17">
        <v>0</v>
      </c>
      <c r="S263" s="17">
        <v>0</v>
      </c>
      <c r="T263" s="17">
        <v>0</v>
      </c>
      <c r="U263" s="17">
        <v>0</v>
      </c>
      <c r="V263" s="17">
        <v>0</v>
      </c>
      <c r="W263" s="17">
        <v>0</v>
      </c>
      <c r="X263" s="17">
        <v>0</v>
      </c>
      <c r="Y263" s="17">
        <v>0</v>
      </c>
      <c r="Z263" s="17">
        <v>0</v>
      </c>
      <c r="AA263" s="17">
        <v>0</v>
      </c>
      <c r="AB263" s="17">
        <v>0</v>
      </c>
      <c r="AC263" s="17">
        <v>0</v>
      </c>
      <c r="AD263" s="17">
        <v>0</v>
      </c>
      <c r="AE263" s="17">
        <v>0</v>
      </c>
      <c r="AF263" s="17">
        <v>0</v>
      </c>
      <c r="AG263" s="17">
        <v>0</v>
      </c>
      <c r="AH263" s="17">
        <v>0</v>
      </c>
      <c r="AI263" s="17">
        <v>0</v>
      </c>
      <c r="AJ263" s="17">
        <v>0</v>
      </c>
      <c r="AK263" s="17">
        <v>0</v>
      </c>
      <c r="AL263" s="17">
        <v>0</v>
      </c>
      <c r="AM263" s="17">
        <v>0</v>
      </c>
      <c r="AN263" s="17">
        <v>0</v>
      </c>
      <c r="AO263" s="17">
        <v>0</v>
      </c>
      <c r="AP263" s="17">
        <v>0</v>
      </c>
      <c r="AQ263" s="17">
        <v>0</v>
      </c>
      <c r="AR263" s="17">
        <v>0</v>
      </c>
      <c r="AS263" s="17">
        <v>0</v>
      </c>
      <c r="AT263" s="17">
        <v>0</v>
      </c>
      <c r="AU263" s="17">
        <v>0</v>
      </c>
      <c r="AV263" s="17">
        <v>0</v>
      </c>
      <c r="AW263" s="17">
        <v>0</v>
      </c>
      <c r="AX263" s="17">
        <v>0</v>
      </c>
      <c r="AY263" s="17">
        <v>0</v>
      </c>
      <c r="AZ263" s="17">
        <v>0</v>
      </c>
      <c r="BA263" s="17">
        <v>0</v>
      </c>
      <c r="BB263" s="17">
        <v>0</v>
      </c>
      <c r="BC263" s="17">
        <v>0</v>
      </c>
      <c r="BD263" s="17">
        <v>0</v>
      </c>
      <c r="BE263" s="17">
        <v>0</v>
      </c>
      <c r="BF263" s="17">
        <v>0</v>
      </c>
      <c r="BG263" s="17">
        <v>0</v>
      </c>
      <c r="BH263" s="17">
        <v>0</v>
      </c>
      <c r="BI263" s="17">
        <v>0</v>
      </c>
      <c r="BJ263" s="17">
        <v>0</v>
      </c>
      <c r="BK263" s="17">
        <v>0</v>
      </c>
      <c r="BL263" s="17">
        <v>0</v>
      </c>
      <c r="BM263" s="17">
        <v>0</v>
      </c>
      <c r="BN263" s="17">
        <v>0</v>
      </c>
      <c r="BO263" s="17">
        <v>0</v>
      </c>
      <c r="BP263" s="17">
        <v>0</v>
      </c>
      <c r="BQ263" s="17">
        <v>0</v>
      </c>
      <c r="BR263" s="17">
        <v>0</v>
      </c>
      <c r="BS263" s="17">
        <v>0</v>
      </c>
      <c r="BT263" s="17">
        <v>0</v>
      </c>
      <c r="BU263" s="17">
        <v>0</v>
      </c>
      <c r="BV263" s="17">
        <v>0</v>
      </c>
      <c r="BW263" s="17">
        <v>0</v>
      </c>
      <c r="BX263" s="17">
        <v>0</v>
      </c>
      <c r="BY263" s="17">
        <v>0</v>
      </c>
      <c r="BZ263" s="17">
        <v>0</v>
      </c>
      <c r="CA263" s="17">
        <v>0</v>
      </c>
      <c r="CB263" s="17">
        <v>0</v>
      </c>
      <c r="CC263" s="17">
        <v>0</v>
      </c>
      <c r="CD263" s="17">
        <v>0</v>
      </c>
      <c r="CE263" s="17">
        <v>0</v>
      </c>
      <c r="CF263" s="17">
        <v>0</v>
      </c>
      <c r="CG263" s="17">
        <v>0</v>
      </c>
      <c r="CH263" s="17">
        <v>0</v>
      </c>
      <c r="CI263" s="17">
        <v>0</v>
      </c>
      <c r="CJ263" s="17">
        <v>0</v>
      </c>
      <c r="CK263" s="17">
        <v>0</v>
      </c>
      <c r="CL263" s="17">
        <v>0</v>
      </c>
      <c r="CM263" s="17">
        <v>0</v>
      </c>
      <c r="CN263" s="17">
        <v>0</v>
      </c>
      <c r="CO263" s="17">
        <v>0</v>
      </c>
      <c r="CP263" s="17">
        <v>0</v>
      </c>
      <c r="CQ263" s="17">
        <v>0</v>
      </c>
      <c r="CR263" s="17">
        <v>0</v>
      </c>
      <c r="CS263" s="17">
        <v>0</v>
      </c>
      <c r="CT263" s="17">
        <v>0</v>
      </c>
      <c r="CU263" s="17">
        <v>0</v>
      </c>
      <c r="CV263" s="17">
        <v>0</v>
      </c>
      <c r="CW263" s="17">
        <v>0</v>
      </c>
      <c r="CX263" s="17">
        <v>0</v>
      </c>
      <c r="DB263" s="2" vm="512">
        <f ca="1">IF(Returns!A267&lt;&gt;0,Returns!A267,"")</f>
        <v>42037</v>
      </c>
      <c r="DC263" s="11">
        <f ca="1">IF(Returns!B278&gt;0,Returns!B278/Returns!B277-1,"")</f>
        <v>0.18516348918947712</v>
      </c>
      <c r="DD263" s="11">
        <f ca="1">IF(Returns!D270&gt;0,Returns!D270/Returns!D269-1,"")</f>
        <v>-4.26588334423883E-4</v>
      </c>
    </row>
    <row r="264" spans="1:108" x14ac:dyDescent="0.3">
      <c r="B264" s="57">
        <f ca="1">IF(B262=0,0,(B5-B6)/B6)</f>
        <v>2.7277816149550269E-3</v>
      </c>
      <c r="C264" s="53">
        <f>IFERROR(IF(C$262=0,0,(C5-C6)/C6),0)</f>
        <v>0</v>
      </c>
      <c r="D264" s="53">
        <f t="shared" ref="D264:BO264" si="4">IFERROR(IF(D$262=0,0,(D5-D6)/D6),0)</f>
        <v>0</v>
      </c>
      <c r="E264" s="53">
        <f t="shared" si="4"/>
        <v>0</v>
      </c>
      <c r="F264" s="53">
        <f t="shared" si="4"/>
        <v>0</v>
      </c>
      <c r="G264" s="53">
        <f t="shared" si="4"/>
        <v>0</v>
      </c>
      <c r="H264" s="53">
        <f t="shared" si="4"/>
        <v>0</v>
      </c>
      <c r="I264" s="53">
        <f t="shared" si="4"/>
        <v>0</v>
      </c>
      <c r="J264" s="53">
        <f t="shared" si="4"/>
        <v>0</v>
      </c>
      <c r="K264" s="53">
        <f t="shared" si="4"/>
        <v>0</v>
      </c>
      <c r="L264" s="53">
        <f t="shared" si="4"/>
        <v>0</v>
      </c>
      <c r="M264" s="53">
        <f t="shared" si="4"/>
        <v>0</v>
      </c>
      <c r="N264" s="53">
        <f t="shared" si="4"/>
        <v>0</v>
      </c>
      <c r="O264" s="53">
        <f t="shared" si="4"/>
        <v>0</v>
      </c>
      <c r="P264" s="53">
        <f t="shared" si="4"/>
        <v>0</v>
      </c>
      <c r="Q264" s="53">
        <f t="shared" si="4"/>
        <v>0</v>
      </c>
      <c r="R264" s="53">
        <f t="shared" si="4"/>
        <v>0</v>
      </c>
      <c r="S264" s="53">
        <f t="shared" si="4"/>
        <v>0</v>
      </c>
      <c r="T264" s="53">
        <f t="shared" si="4"/>
        <v>0</v>
      </c>
      <c r="U264" s="53">
        <f t="shared" si="4"/>
        <v>0</v>
      </c>
      <c r="V264" s="53">
        <f t="shared" si="4"/>
        <v>0</v>
      </c>
      <c r="W264" s="53">
        <f t="shared" si="4"/>
        <v>0</v>
      </c>
      <c r="X264" s="53">
        <f t="shared" si="4"/>
        <v>0</v>
      </c>
      <c r="Y264" s="53">
        <f t="shared" si="4"/>
        <v>0</v>
      </c>
      <c r="Z264" s="53">
        <f t="shared" si="4"/>
        <v>0</v>
      </c>
      <c r="AA264" s="53">
        <f t="shared" si="4"/>
        <v>0</v>
      </c>
      <c r="AB264" s="53">
        <f t="shared" si="4"/>
        <v>0</v>
      </c>
      <c r="AC264" s="53">
        <f t="shared" si="4"/>
        <v>0</v>
      </c>
      <c r="AD264" s="53">
        <f t="shared" si="4"/>
        <v>0</v>
      </c>
      <c r="AE264" s="53">
        <f t="shared" si="4"/>
        <v>0</v>
      </c>
      <c r="AF264" s="53">
        <f t="shared" si="4"/>
        <v>0</v>
      </c>
      <c r="AG264" s="53">
        <f t="shared" si="4"/>
        <v>0</v>
      </c>
      <c r="AH264" s="53">
        <f t="shared" si="4"/>
        <v>0</v>
      </c>
      <c r="AI264" s="53">
        <f t="shared" si="4"/>
        <v>0</v>
      </c>
      <c r="AJ264" s="53">
        <f t="shared" si="4"/>
        <v>0</v>
      </c>
      <c r="AK264" s="53">
        <f t="shared" si="4"/>
        <v>0</v>
      </c>
      <c r="AL264" s="53">
        <f t="shared" si="4"/>
        <v>0</v>
      </c>
      <c r="AM264" s="53">
        <f t="shared" si="4"/>
        <v>0</v>
      </c>
      <c r="AN264" s="53">
        <f t="shared" si="4"/>
        <v>0</v>
      </c>
      <c r="AO264" s="53">
        <f t="shared" si="4"/>
        <v>0</v>
      </c>
      <c r="AP264" s="53">
        <f t="shared" si="4"/>
        <v>0</v>
      </c>
      <c r="AQ264" s="53">
        <f t="shared" si="4"/>
        <v>0</v>
      </c>
      <c r="AR264" s="53">
        <f t="shared" si="4"/>
        <v>0</v>
      </c>
      <c r="AS264" s="53">
        <f t="shared" si="4"/>
        <v>0</v>
      </c>
      <c r="AT264" s="53">
        <f t="shared" si="4"/>
        <v>0</v>
      </c>
      <c r="AU264" s="53">
        <f t="shared" si="4"/>
        <v>0</v>
      </c>
      <c r="AV264" s="53">
        <f t="shared" si="4"/>
        <v>0</v>
      </c>
      <c r="AW264" s="53">
        <f t="shared" si="4"/>
        <v>0</v>
      </c>
      <c r="AX264" s="53">
        <f t="shared" si="4"/>
        <v>0</v>
      </c>
      <c r="AY264" s="53">
        <f t="shared" si="4"/>
        <v>0</v>
      </c>
      <c r="AZ264" s="53">
        <f t="shared" si="4"/>
        <v>0</v>
      </c>
      <c r="BA264" s="53">
        <f t="shared" si="4"/>
        <v>0</v>
      </c>
      <c r="BB264" s="53">
        <f t="shared" si="4"/>
        <v>0</v>
      </c>
      <c r="BC264" s="53">
        <f t="shared" si="4"/>
        <v>0</v>
      </c>
      <c r="BD264" s="53">
        <f t="shared" si="4"/>
        <v>0</v>
      </c>
      <c r="BE264" s="53">
        <f t="shared" si="4"/>
        <v>0</v>
      </c>
      <c r="BF264" s="53">
        <f t="shared" si="4"/>
        <v>0</v>
      </c>
      <c r="BG264" s="53">
        <f t="shared" si="4"/>
        <v>0</v>
      </c>
      <c r="BH264" s="53">
        <f t="shared" si="4"/>
        <v>0</v>
      </c>
      <c r="BI264" s="53">
        <f t="shared" si="4"/>
        <v>0</v>
      </c>
      <c r="BJ264" s="53">
        <f t="shared" si="4"/>
        <v>0</v>
      </c>
      <c r="BK264" s="53">
        <f t="shared" si="4"/>
        <v>0</v>
      </c>
      <c r="BL264" s="53">
        <f t="shared" si="4"/>
        <v>0</v>
      </c>
      <c r="BM264" s="53">
        <f t="shared" si="4"/>
        <v>0</v>
      </c>
      <c r="BN264" s="53">
        <f t="shared" si="4"/>
        <v>0</v>
      </c>
      <c r="BO264" s="53">
        <f t="shared" si="4"/>
        <v>0</v>
      </c>
      <c r="BP264" s="53">
        <f t="shared" ref="BP264:CX264" si="5">IFERROR(IF(BP$262=0,0,(BP5-BP6)/BP6),0)</f>
        <v>0</v>
      </c>
      <c r="BQ264" s="53">
        <f t="shared" si="5"/>
        <v>0</v>
      </c>
      <c r="BR264" s="53">
        <f t="shared" si="5"/>
        <v>0</v>
      </c>
      <c r="BS264" s="53">
        <f t="shared" si="5"/>
        <v>0</v>
      </c>
      <c r="BT264" s="53">
        <f t="shared" si="5"/>
        <v>0</v>
      </c>
      <c r="BU264" s="53">
        <f t="shared" si="5"/>
        <v>0</v>
      </c>
      <c r="BV264" s="53">
        <f t="shared" si="5"/>
        <v>0</v>
      </c>
      <c r="BW264" s="53">
        <f t="shared" si="5"/>
        <v>0</v>
      </c>
      <c r="BX264" s="53">
        <f t="shared" si="5"/>
        <v>0</v>
      </c>
      <c r="BY264" s="53">
        <f t="shared" si="5"/>
        <v>0</v>
      </c>
      <c r="BZ264" s="53">
        <f t="shared" si="5"/>
        <v>0</v>
      </c>
      <c r="CA264" s="53">
        <f t="shared" si="5"/>
        <v>0</v>
      </c>
      <c r="CB264" s="53">
        <f t="shared" si="5"/>
        <v>0</v>
      </c>
      <c r="CC264" s="53">
        <f t="shared" si="5"/>
        <v>0</v>
      </c>
      <c r="CD264" s="53">
        <f t="shared" si="5"/>
        <v>0</v>
      </c>
      <c r="CE264" s="53">
        <f t="shared" si="5"/>
        <v>0</v>
      </c>
      <c r="CF264" s="53">
        <f t="shared" si="5"/>
        <v>0</v>
      </c>
      <c r="CG264" s="53">
        <f t="shared" si="5"/>
        <v>0</v>
      </c>
      <c r="CH264" s="53">
        <f t="shared" si="5"/>
        <v>0</v>
      </c>
      <c r="CI264" s="53">
        <f t="shared" si="5"/>
        <v>0</v>
      </c>
      <c r="CJ264" s="53">
        <f t="shared" si="5"/>
        <v>0</v>
      </c>
      <c r="CK264" s="53">
        <f t="shared" si="5"/>
        <v>0</v>
      </c>
      <c r="CL264" s="53">
        <f t="shared" si="5"/>
        <v>0</v>
      </c>
      <c r="CM264" s="53">
        <f t="shared" si="5"/>
        <v>0</v>
      </c>
      <c r="CN264" s="53">
        <f t="shared" si="5"/>
        <v>0</v>
      </c>
      <c r="CO264" s="53">
        <f t="shared" si="5"/>
        <v>0</v>
      </c>
      <c r="CP264" s="53">
        <f t="shared" si="5"/>
        <v>0</v>
      </c>
      <c r="CQ264" s="53">
        <f t="shared" si="5"/>
        <v>0</v>
      </c>
      <c r="CR264" s="53">
        <f t="shared" si="5"/>
        <v>0</v>
      </c>
      <c r="CS264" s="53">
        <f t="shared" si="5"/>
        <v>0</v>
      </c>
      <c r="CT264" s="53">
        <f t="shared" si="5"/>
        <v>0</v>
      </c>
      <c r="CU264" s="53">
        <f t="shared" si="5"/>
        <v>0</v>
      </c>
      <c r="CV264" s="53">
        <f t="shared" si="5"/>
        <v>0</v>
      </c>
      <c r="CW264" s="53">
        <f t="shared" si="5"/>
        <v>0</v>
      </c>
      <c r="CX264" s="53">
        <f t="shared" si="5"/>
        <v>0</v>
      </c>
      <c r="DB264" s="2" vm="513">
        <f ca="1">IF(Returns!A268&lt;&gt;0,Returns!A268,"")</f>
        <v>42044</v>
      </c>
      <c r="DC264" s="11">
        <f ca="1">IF(Returns!B279&gt;0,Returns!B279/Returns!B278-1,"")</f>
        <v>-4.994383284655135E-2</v>
      </c>
      <c r="DD264" s="11">
        <f ca="1">IF(Returns!D271&gt;0,Returns!D271/Returns!D270-1,"")</f>
        <v>-1.5216657211465701E-2</v>
      </c>
    </row>
    <row r="265" spans="1:108" x14ac:dyDescent="0.3">
      <c r="B265" s="57">
        <f t="shared" ref="B265:B328" ca="1" si="6">IF(B263=0,0,(B6-B7)/B7)</f>
        <v>1.555427278582312E-4</v>
      </c>
      <c r="C265" s="53">
        <f t="shared" ref="C265:BN265" si="7">IFERROR(IF(C$262=0,0,(C6-C7)/C7),0)</f>
        <v>0</v>
      </c>
      <c r="D265" s="53">
        <f t="shared" si="7"/>
        <v>0</v>
      </c>
      <c r="E265" s="53">
        <f t="shared" si="7"/>
        <v>0</v>
      </c>
      <c r="F265" s="53">
        <f t="shared" si="7"/>
        <v>0</v>
      </c>
      <c r="G265" s="53">
        <f t="shared" si="7"/>
        <v>0</v>
      </c>
      <c r="H265" s="53">
        <f t="shared" si="7"/>
        <v>0</v>
      </c>
      <c r="I265" s="53">
        <f t="shared" si="7"/>
        <v>0</v>
      </c>
      <c r="J265" s="53">
        <f t="shared" si="7"/>
        <v>0</v>
      </c>
      <c r="K265" s="53">
        <f t="shared" si="7"/>
        <v>0</v>
      </c>
      <c r="L265" s="53">
        <f t="shared" si="7"/>
        <v>0</v>
      </c>
      <c r="M265" s="53">
        <f t="shared" si="7"/>
        <v>0</v>
      </c>
      <c r="N265" s="53">
        <f t="shared" si="7"/>
        <v>0</v>
      </c>
      <c r="O265" s="53">
        <f t="shared" si="7"/>
        <v>0</v>
      </c>
      <c r="P265" s="53">
        <f t="shared" si="7"/>
        <v>0</v>
      </c>
      <c r="Q265" s="53">
        <f t="shared" si="7"/>
        <v>0</v>
      </c>
      <c r="R265" s="53">
        <f t="shared" si="7"/>
        <v>0</v>
      </c>
      <c r="S265" s="53">
        <f t="shared" si="7"/>
        <v>0</v>
      </c>
      <c r="T265" s="53">
        <f t="shared" si="7"/>
        <v>0</v>
      </c>
      <c r="U265" s="53">
        <f t="shared" si="7"/>
        <v>0</v>
      </c>
      <c r="V265" s="53">
        <f t="shared" si="7"/>
        <v>0</v>
      </c>
      <c r="W265" s="53">
        <f t="shared" si="7"/>
        <v>0</v>
      </c>
      <c r="X265" s="53">
        <f t="shared" si="7"/>
        <v>0</v>
      </c>
      <c r="Y265" s="53">
        <f t="shared" si="7"/>
        <v>0</v>
      </c>
      <c r="Z265" s="53">
        <f t="shared" si="7"/>
        <v>0</v>
      </c>
      <c r="AA265" s="53">
        <f t="shared" si="7"/>
        <v>0</v>
      </c>
      <c r="AB265" s="53">
        <f t="shared" si="7"/>
        <v>0</v>
      </c>
      <c r="AC265" s="53">
        <f t="shared" si="7"/>
        <v>0</v>
      </c>
      <c r="AD265" s="53">
        <f t="shared" si="7"/>
        <v>0</v>
      </c>
      <c r="AE265" s="53">
        <f t="shared" si="7"/>
        <v>0</v>
      </c>
      <c r="AF265" s="53">
        <f t="shared" si="7"/>
        <v>0</v>
      </c>
      <c r="AG265" s="53">
        <f t="shared" si="7"/>
        <v>0</v>
      </c>
      <c r="AH265" s="53">
        <f t="shared" si="7"/>
        <v>0</v>
      </c>
      <c r="AI265" s="53">
        <f t="shared" si="7"/>
        <v>0</v>
      </c>
      <c r="AJ265" s="53">
        <f t="shared" si="7"/>
        <v>0</v>
      </c>
      <c r="AK265" s="53">
        <f t="shared" si="7"/>
        <v>0</v>
      </c>
      <c r="AL265" s="53">
        <f t="shared" si="7"/>
        <v>0</v>
      </c>
      <c r="AM265" s="53">
        <f t="shared" si="7"/>
        <v>0</v>
      </c>
      <c r="AN265" s="53">
        <f t="shared" si="7"/>
        <v>0</v>
      </c>
      <c r="AO265" s="53">
        <f t="shared" si="7"/>
        <v>0</v>
      </c>
      <c r="AP265" s="53">
        <f t="shared" si="7"/>
        <v>0</v>
      </c>
      <c r="AQ265" s="53">
        <f t="shared" si="7"/>
        <v>0</v>
      </c>
      <c r="AR265" s="53">
        <f t="shared" si="7"/>
        <v>0</v>
      </c>
      <c r="AS265" s="53">
        <f t="shared" si="7"/>
        <v>0</v>
      </c>
      <c r="AT265" s="53">
        <f t="shared" si="7"/>
        <v>0</v>
      </c>
      <c r="AU265" s="53">
        <f t="shared" si="7"/>
        <v>0</v>
      </c>
      <c r="AV265" s="53">
        <f t="shared" si="7"/>
        <v>0</v>
      </c>
      <c r="AW265" s="53">
        <f t="shared" si="7"/>
        <v>0</v>
      </c>
      <c r="AX265" s="53">
        <f t="shared" si="7"/>
        <v>0</v>
      </c>
      <c r="AY265" s="53">
        <f t="shared" si="7"/>
        <v>0</v>
      </c>
      <c r="AZ265" s="53">
        <f t="shared" si="7"/>
        <v>0</v>
      </c>
      <c r="BA265" s="53">
        <f t="shared" si="7"/>
        <v>0</v>
      </c>
      <c r="BB265" s="53">
        <f t="shared" si="7"/>
        <v>0</v>
      </c>
      <c r="BC265" s="53">
        <f t="shared" si="7"/>
        <v>0</v>
      </c>
      <c r="BD265" s="53">
        <f t="shared" si="7"/>
        <v>0</v>
      </c>
      <c r="BE265" s="53">
        <f t="shared" si="7"/>
        <v>0</v>
      </c>
      <c r="BF265" s="53">
        <f t="shared" si="7"/>
        <v>0</v>
      </c>
      <c r="BG265" s="53">
        <f t="shared" si="7"/>
        <v>0</v>
      </c>
      <c r="BH265" s="53">
        <f t="shared" si="7"/>
        <v>0</v>
      </c>
      <c r="BI265" s="53">
        <f t="shared" si="7"/>
        <v>0</v>
      </c>
      <c r="BJ265" s="53">
        <f t="shared" si="7"/>
        <v>0</v>
      </c>
      <c r="BK265" s="53">
        <f t="shared" si="7"/>
        <v>0</v>
      </c>
      <c r="BL265" s="53">
        <f t="shared" si="7"/>
        <v>0</v>
      </c>
      <c r="BM265" s="53">
        <f t="shared" si="7"/>
        <v>0</v>
      </c>
      <c r="BN265" s="53">
        <f t="shared" si="7"/>
        <v>0</v>
      </c>
      <c r="BO265" s="53">
        <f t="shared" ref="BO265:CX265" si="8">IFERROR(IF(BO$262=0,0,(BO6-BO7)/BO7),0)</f>
        <v>0</v>
      </c>
      <c r="BP265" s="53">
        <f t="shared" si="8"/>
        <v>0</v>
      </c>
      <c r="BQ265" s="53">
        <f t="shared" si="8"/>
        <v>0</v>
      </c>
      <c r="BR265" s="53">
        <f t="shared" si="8"/>
        <v>0</v>
      </c>
      <c r="BS265" s="53">
        <f t="shared" si="8"/>
        <v>0</v>
      </c>
      <c r="BT265" s="53">
        <f t="shared" si="8"/>
        <v>0</v>
      </c>
      <c r="BU265" s="53">
        <f t="shared" si="8"/>
        <v>0</v>
      </c>
      <c r="BV265" s="53">
        <f t="shared" si="8"/>
        <v>0</v>
      </c>
      <c r="BW265" s="53">
        <f t="shared" si="8"/>
        <v>0</v>
      </c>
      <c r="BX265" s="53">
        <f t="shared" si="8"/>
        <v>0</v>
      </c>
      <c r="BY265" s="53">
        <f t="shared" si="8"/>
        <v>0</v>
      </c>
      <c r="BZ265" s="53">
        <f t="shared" si="8"/>
        <v>0</v>
      </c>
      <c r="CA265" s="53">
        <f t="shared" si="8"/>
        <v>0</v>
      </c>
      <c r="CB265" s="53">
        <f t="shared" si="8"/>
        <v>0</v>
      </c>
      <c r="CC265" s="53">
        <f t="shared" si="8"/>
        <v>0</v>
      </c>
      <c r="CD265" s="53">
        <f t="shared" si="8"/>
        <v>0</v>
      </c>
      <c r="CE265" s="53">
        <f t="shared" si="8"/>
        <v>0</v>
      </c>
      <c r="CF265" s="53">
        <f t="shared" si="8"/>
        <v>0</v>
      </c>
      <c r="CG265" s="53">
        <f t="shared" si="8"/>
        <v>0</v>
      </c>
      <c r="CH265" s="53">
        <f t="shared" si="8"/>
        <v>0</v>
      </c>
      <c r="CI265" s="53">
        <f t="shared" si="8"/>
        <v>0</v>
      </c>
      <c r="CJ265" s="53">
        <f t="shared" si="8"/>
        <v>0</v>
      </c>
      <c r="CK265" s="53">
        <f t="shared" si="8"/>
        <v>0</v>
      </c>
      <c r="CL265" s="53">
        <f t="shared" si="8"/>
        <v>0</v>
      </c>
      <c r="CM265" s="53">
        <f t="shared" si="8"/>
        <v>0</v>
      </c>
      <c r="CN265" s="53">
        <f t="shared" si="8"/>
        <v>0</v>
      </c>
      <c r="CO265" s="53">
        <f t="shared" si="8"/>
        <v>0</v>
      </c>
      <c r="CP265" s="53">
        <f t="shared" si="8"/>
        <v>0</v>
      </c>
      <c r="CQ265" s="53">
        <f t="shared" si="8"/>
        <v>0</v>
      </c>
      <c r="CR265" s="53">
        <f t="shared" si="8"/>
        <v>0</v>
      </c>
      <c r="CS265" s="53">
        <f t="shared" si="8"/>
        <v>0</v>
      </c>
      <c r="CT265" s="53">
        <f t="shared" si="8"/>
        <v>0</v>
      </c>
      <c r="CU265" s="53">
        <f t="shared" si="8"/>
        <v>0</v>
      </c>
      <c r="CV265" s="53">
        <f t="shared" si="8"/>
        <v>0</v>
      </c>
      <c r="CW265" s="53">
        <f t="shared" si="8"/>
        <v>0</v>
      </c>
      <c r="CX265" s="53">
        <f t="shared" si="8"/>
        <v>0</v>
      </c>
      <c r="DB265" s="2" vm="514">
        <f ca="1">IF(Returns!A269&lt;&gt;0,Returns!A269,"")</f>
        <v>42052</v>
      </c>
      <c r="DC265" s="11">
        <f ca="1">IF(Returns!B280&gt;0,Returns!B280/Returns!B279-1,"")</f>
        <v>2.5587059852909988E-2</v>
      </c>
      <c r="DD265" s="11">
        <f ca="1">IF(Returns!D272&gt;0,Returns!D272/Returns!D271-1,"")</f>
        <v>-6.0185199548439261E-3</v>
      </c>
    </row>
    <row r="266" spans="1:108" x14ac:dyDescent="0.3">
      <c r="B266" s="57">
        <f t="shared" ca="1" si="6"/>
        <v>6.9908402079703145E-3</v>
      </c>
      <c r="C266" s="53">
        <f t="shared" ref="C266:BN266" si="9">IFERROR(IF(C$262=0,0,(C7-C8)/C8),0)</f>
        <v>0</v>
      </c>
      <c r="D266" s="53">
        <f t="shared" si="9"/>
        <v>0</v>
      </c>
      <c r="E266" s="53">
        <f t="shared" si="9"/>
        <v>0</v>
      </c>
      <c r="F266" s="53">
        <f t="shared" si="9"/>
        <v>0</v>
      </c>
      <c r="G266" s="53">
        <f t="shared" si="9"/>
        <v>0</v>
      </c>
      <c r="H266" s="53">
        <f t="shared" si="9"/>
        <v>0</v>
      </c>
      <c r="I266" s="53">
        <f t="shared" si="9"/>
        <v>0</v>
      </c>
      <c r="J266" s="53">
        <f t="shared" si="9"/>
        <v>0</v>
      </c>
      <c r="K266" s="53">
        <f t="shared" si="9"/>
        <v>0</v>
      </c>
      <c r="L266" s="53">
        <f t="shared" si="9"/>
        <v>0</v>
      </c>
      <c r="M266" s="53">
        <f t="shared" si="9"/>
        <v>0</v>
      </c>
      <c r="N266" s="53">
        <f t="shared" si="9"/>
        <v>0</v>
      </c>
      <c r="O266" s="53">
        <f t="shared" si="9"/>
        <v>0</v>
      </c>
      <c r="P266" s="53">
        <f t="shared" si="9"/>
        <v>0</v>
      </c>
      <c r="Q266" s="53">
        <f t="shared" si="9"/>
        <v>0</v>
      </c>
      <c r="R266" s="53">
        <f t="shared" si="9"/>
        <v>0</v>
      </c>
      <c r="S266" s="53">
        <f t="shared" si="9"/>
        <v>0</v>
      </c>
      <c r="T266" s="53">
        <f t="shared" si="9"/>
        <v>0</v>
      </c>
      <c r="U266" s="53">
        <f t="shared" si="9"/>
        <v>0</v>
      </c>
      <c r="V266" s="53">
        <f t="shared" si="9"/>
        <v>0</v>
      </c>
      <c r="W266" s="53">
        <f t="shared" si="9"/>
        <v>0</v>
      </c>
      <c r="X266" s="53">
        <f t="shared" si="9"/>
        <v>0</v>
      </c>
      <c r="Y266" s="53">
        <f t="shared" si="9"/>
        <v>0</v>
      </c>
      <c r="Z266" s="53">
        <f t="shared" si="9"/>
        <v>0</v>
      </c>
      <c r="AA266" s="53">
        <f t="shared" si="9"/>
        <v>0</v>
      </c>
      <c r="AB266" s="53">
        <f t="shared" si="9"/>
        <v>0</v>
      </c>
      <c r="AC266" s="53">
        <f t="shared" si="9"/>
        <v>0</v>
      </c>
      <c r="AD266" s="53">
        <f t="shared" si="9"/>
        <v>0</v>
      </c>
      <c r="AE266" s="53">
        <f t="shared" si="9"/>
        <v>0</v>
      </c>
      <c r="AF266" s="53">
        <f t="shared" si="9"/>
        <v>0</v>
      </c>
      <c r="AG266" s="53">
        <f t="shared" si="9"/>
        <v>0</v>
      </c>
      <c r="AH266" s="53">
        <f t="shared" si="9"/>
        <v>0</v>
      </c>
      <c r="AI266" s="53">
        <f t="shared" si="9"/>
        <v>0</v>
      </c>
      <c r="AJ266" s="53">
        <f t="shared" si="9"/>
        <v>0</v>
      </c>
      <c r="AK266" s="53">
        <f t="shared" si="9"/>
        <v>0</v>
      </c>
      <c r="AL266" s="53">
        <f t="shared" si="9"/>
        <v>0</v>
      </c>
      <c r="AM266" s="53">
        <f t="shared" si="9"/>
        <v>0</v>
      </c>
      <c r="AN266" s="53">
        <f t="shared" si="9"/>
        <v>0</v>
      </c>
      <c r="AO266" s="53">
        <f t="shared" si="9"/>
        <v>0</v>
      </c>
      <c r="AP266" s="53">
        <f t="shared" si="9"/>
        <v>0</v>
      </c>
      <c r="AQ266" s="53">
        <f t="shared" si="9"/>
        <v>0</v>
      </c>
      <c r="AR266" s="53">
        <f t="shared" si="9"/>
        <v>0</v>
      </c>
      <c r="AS266" s="53">
        <f t="shared" si="9"/>
        <v>0</v>
      </c>
      <c r="AT266" s="53">
        <f t="shared" si="9"/>
        <v>0</v>
      </c>
      <c r="AU266" s="53">
        <f t="shared" si="9"/>
        <v>0</v>
      </c>
      <c r="AV266" s="53">
        <f t="shared" si="9"/>
        <v>0</v>
      </c>
      <c r="AW266" s="53">
        <f t="shared" si="9"/>
        <v>0</v>
      </c>
      <c r="AX266" s="53">
        <f t="shared" si="9"/>
        <v>0</v>
      </c>
      <c r="AY266" s="53">
        <f t="shared" si="9"/>
        <v>0</v>
      </c>
      <c r="AZ266" s="53">
        <f t="shared" si="9"/>
        <v>0</v>
      </c>
      <c r="BA266" s="53">
        <f t="shared" si="9"/>
        <v>0</v>
      </c>
      <c r="BB266" s="53">
        <f t="shared" si="9"/>
        <v>0</v>
      </c>
      <c r="BC266" s="53">
        <f t="shared" si="9"/>
        <v>0</v>
      </c>
      <c r="BD266" s="53">
        <f t="shared" si="9"/>
        <v>0</v>
      </c>
      <c r="BE266" s="53">
        <f t="shared" si="9"/>
        <v>0</v>
      </c>
      <c r="BF266" s="53">
        <f t="shared" si="9"/>
        <v>0</v>
      </c>
      <c r="BG266" s="53">
        <f t="shared" si="9"/>
        <v>0</v>
      </c>
      <c r="BH266" s="53">
        <f t="shared" si="9"/>
        <v>0</v>
      </c>
      <c r="BI266" s="53">
        <f t="shared" si="9"/>
        <v>0</v>
      </c>
      <c r="BJ266" s="53">
        <f t="shared" si="9"/>
        <v>0</v>
      </c>
      <c r="BK266" s="53">
        <f t="shared" si="9"/>
        <v>0</v>
      </c>
      <c r="BL266" s="53">
        <f t="shared" si="9"/>
        <v>0</v>
      </c>
      <c r="BM266" s="53">
        <f t="shared" si="9"/>
        <v>0</v>
      </c>
      <c r="BN266" s="53">
        <f t="shared" si="9"/>
        <v>0</v>
      </c>
      <c r="BO266" s="53">
        <f t="shared" ref="BO266:CX266" si="10">IFERROR(IF(BO$262=0,0,(BO7-BO8)/BO8),0)</f>
        <v>0</v>
      </c>
      <c r="BP266" s="53">
        <f t="shared" si="10"/>
        <v>0</v>
      </c>
      <c r="BQ266" s="53">
        <f t="shared" si="10"/>
        <v>0</v>
      </c>
      <c r="BR266" s="53">
        <f t="shared" si="10"/>
        <v>0</v>
      </c>
      <c r="BS266" s="53">
        <f t="shared" si="10"/>
        <v>0</v>
      </c>
      <c r="BT266" s="53">
        <f t="shared" si="10"/>
        <v>0</v>
      </c>
      <c r="BU266" s="53">
        <f t="shared" si="10"/>
        <v>0</v>
      </c>
      <c r="BV266" s="53">
        <f t="shared" si="10"/>
        <v>0</v>
      </c>
      <c r="BW266" s="53">
        <f t="shared" si="10"/>
        <v>0</v>
      </c>
      <c r="BX266" s="53">
        <f t="shared" si="10"/>
        <v>0</v>
      </c>
      <c r="BY266" s="53">
        <f t="shared" si="10"/>
        <v>0</v>
      </c>
      <c r="BZ266" s="53">
        <f t="shared" si="10"/>
        <v>0</v>
      </c>
      <c r="CA266" s="53">
        <f t="shared" si="10"/>
        <v>0</v>
      </c>
      <c r="CB266" s="53">
        <f t="shared" si="10"/>
        <v>0</v>
      </c>
      <c r="CC266" s="53">
        <f t="shared" si="10"/>
        <v>0</v>
      </c>
      <c r="CD266" s="53">
        <f t="shared" si="10"/>
        <v>0</v>
      </c>
      <c r="CE266" s="53">
        <f t="shared" si="10"/>
        <v>0</v>
      </c>
      <c r="CF266" s="53">
        <f t="shared" si="10"/>
        <v>0</v>
      </c>
      <c r="CG266" s="53">
        <f t="shared" si="10"/>
        <v>0</v>
      </c>
      <c r="CH266" s="53">
        <f t="shared" si="10"/>
        <v>0</v>
      </c>
      <c r="CI266" s="53">
        <f t="shared" si="10"/>
        <v>0</v>
      </c>
      <c r="CJ266" s="53">
        <f t="shared" si="10"/>
        <v>0</v>
      </c>
      <c r="CK266" s="53">
        <f t="shared" si="10"/>
        <v>0</v>
      </c>
      <c r="CL266" s="53">
        <f t="shared" si="10"/>
        <v>0</v>
      </c>
      <c r="CM266" s="53">
        <f t="shared" si="10"/>
        <v>0</v>
      </c>
      <c r="CN266" s="53">
        <f t="shared" si="10"/>
        <v>0</v>
      </c>
      <c r="CO266" s="53">
        <f t="shared" si="10"/>
        <v>0</v>
      </c>
      <c r="CP266" s="53">
        <f t="shared" si="10"/>
        <v>0</v>
      </c>
      <c r="CQ266" s="53">
        <f t="shared" si="10"/>
        <v>0</v>
      </c>
      <c r="CR266" s="53">
        <f t="shared" si="10"/>
        <v>0</v>
      </c>
      <c r="CS266" s="53">
        <f t="shared" si="10"/>
        <v>0</v>
      </c>
      <c r="CT266" s="53">
        <f t="shared" si="10"/>
        <v>0</v>
      </c>
      <c r="CU266" s="53">
        <f t="shared" si="10"/>
        <v>0</v>
      </c>
      <c r="CV266" s="53">
        <f t="shared" si="10"/>
        <v>0</v>
      </c>
      <c r="CW266" s="53">
        <f t="shared" si="10"/>
        <v>0</v>
      </c>
      <c r="CX266" s="53">
        <f t="shared" si="10"/>
        <v>0</v>
      </c>
      <c r="DB266" s="2" vm="515">
        <f ca="1">IF(Returns!A270&lt;&gt;0,Returns!A270,"")</f>
        <v>42058</v>
      </c>
      <c r="DC266" s="11">
        <f ca="1">IF(Returns!B281&gt;0,Returns!B281/Returns!B280-1,"")</f>
        <v>-1.7731559408794229E-2</v>
      </c>
      <c r="DD266" s="11">
        <f ca="1">IF(Returns!D273&gt;0,Returns!D273/Returns!D272-1,"")</f>
        <v>2.1315898079828699E-2</v>
      </c>
    </row>
    <row r="267" spans="1:108" x14ac:dyDescent="0.3">
      <c r="B267" s="57">
        <f t="shared" ca="1" si="6"/>
        <v>3.3776671150301044E-3</v>
      </c>
      <c r="C267" s="53">
        <f t="shared" ref="C267:BN267" si="11">IFERROR(IF(C$262=0,0,(C8-C9)/C9),0)</f>
        <v>0</v>
      </c>
      <c r="D267" s="53">
        <f t="shared" si="11"/>
        <v>0</v>
      </c>
      <c r="E267" s="53">
        <f t="shared" si="11"/>
        <v>0</v>
      </c>
      <c r="F267" s="53">
        <f t="shared" si="11"/>
        <v>0</v>
      </c>
      <c r="G267" s="53">
        <f t="shared" si="11"/>
        <v>0</v>
      </c>
      <c r="H267" s="53">
        <f t="shared" si="11"/>
        <v>0</v>
      </c>
      <c r="I267" s="53">
        <f t="shared" si="11"/>
        <v>0</v>
      </c>
      <c r="J267" s="53">
        <f t="shared" si="11"/>
        <v>0</v>
      </c>
      <c r="K267" s="53">
        <f t="shared" si="11"/>
        <v>0</v>
      </c>
      <c r="L267" s="53">
        <f t="shared" si="11"/>
        <v>0</v>
      </c>
      <c r="M267" s="53">
        <f t="shared" si="11"/>
        <v>0</v>
      </c>
      <c r="N267" s="53">
        <f t="shared" si="11"/>
        <v>0</v>
      </c>
      <c r="O267" s="53">
        <f t="shared" si="11"/>
        <v>0</v>
      </c>
      <c r="P267" s="53">
        <f t="shared" si="11"/>
        <v>0</v>
      </c>
      <c r="Q267" s="53">
        <f t="shared" si="11"/>
        <v>0</v>
      </c>
      <c r="R267" s="53">
        <f t="shared" si="11"/>
        <v>0</v>
      </c>
      <c r="S267" s="53">
        <f t="shared" si="11"/>
        <v>0</v>
      </c>
      <c r="T267" s="53">
        <f t="shared" si="11"/>
        <v>0</v>
      </c>
      <c r="U267" s="53">
        <f t="shared" si="11"/>
        <v>0</v>
      </c>
      <c r="V267" s="53">
        <f t="shared" si="11"/>
        <v>0</v>
      </c>
      <c r="W267" s="53">
        <f t="shared" si="11"/>
        <v>0</v>
      </c>
      <c r="X267" s="53">
        <f t="shared" si="11"/>
        <v>0</v>
      </c>
      <c r="Y267" s="53">
        <f t="shared" si="11"/>
        <v>0</v>
      </c>
      <c r="Z267" s="53">
        <f t="shared" si="11"/>
        <v>0</v>
      </c>
      <c r="AA267" s="53">
        <f t="shared" si="11"/>
        <v>0</v>
      </c>
      <c r="AB267" s="53">
        <f t="shared" si="11"/>
        <v>0</v>
      </c>
      <c r="AC267" s="53">
        <f t="shared" si="11"/>
        <v>0</v>
      </c>
      <c r="AD267" s="53">
        <f t="shared" si="11"/>
        <v>0</v>
      </c>
      <c r="AE267" s="53">
        <f t="shared" si="11"/>
        <v>0</v>
      </c>
      <c r="AF267" s="53">
        <f t="shared" si="11"/>
        <v>0</v>
      </c>
      <c r="AG267" s="53">
        <f t="shared" si="11"/>
        <v>0</v>
      </c>
      <c r="AH267" s="53">
        <f t="shared" si="11"/>
        <v>0</v>
      </c>
      <c r="AI267" s="53">
        <f t="shared" si="11"/>
        <v>0</v>
      </c>
      <c r="AJ267" s="53">
        <f t="shared" si="11"/>
        <v>0</v>
      </c>
      <c r="AK267" s="53">
        <f t="shared" si="11"/>
        <v>0</v>
      </c>
      <c r="AL267" s="53">
        <f t="shared" si="11"/>
        <v>0</v>
      </c>
      <c r="AM267" s="53">
        <f t="shared" si="11"/>
        <v>0</v>
      </c>
      <c r="AN267" s="53">
        <f t="shared" si="11"/>
        <v>0</v>
      </c>
      <c r="AO267" s="53">
        <f t="shared" si="11"/>
        <v>0</v>
      </c>
      <c r="AP267" s="53">
        <f t="shared" si="11"/>
        <v>0</v>
      </c>
      <c r="AQ267" s="53">
        <f t="shared" si="11"/>
        <v>0</v>
      </c>
      <c r="AR267" s="53">
        <f t="shared" si="11"/>
        <v>0</v>
      </c>
      <c r="AS267" s="53">
        <f t="shared" si="11"/>
        <v>0</v>
      </c>
      <c r="AT267" s="53">
        <f t="shared" si="11"/>
        <v>0</v>
      </c>
      <c r="AU267" s="53">
        <f t="shared" si="11"/>
        <v>0</v>
      </c>
      <c r="AV267" s="53">
        <f t="shared" si="11"/>
        <v>0</v>
      </c>
      <c r="AW267" s="53">
        <f t="shared" si="11"/>
        <v>0</v>
      </c>
      <c r="AX267" s="53">
        <f t="shared" si="11"/>
        <v>0</v>
      </c>
      <c r="AY267" s="53">
        <f t="shared" si="11"/>
        <v>0</v>
      </c>
      <c r="AZ267" s="53">
        <f t="shared" si="11"/>
        <v>0</v>
      </c>
      <c r="BA267" s="53">
        <f t="shared" si="11"/>
        <v>0</v>
      </c>
      <c r="BB267" s="53">
        <f t="shared" si="11"/>
        <v>0</v>
      </c>
      <c r="BC267" s="53">
        <f t="shared" si="11"/>
        <v>0</v>
      </c>
      <c r="BD267" s="53">
        <f t="shared" si="11"/>
        <v>0</v>
      </c>
      <c r="BE267" s="53">
        <f t="shared" si="11"/>
        <v>0</v>
      </c>
      <c r="BF267" s="53">
        <f t="shared" si="11"/>
        <v>0</v>
      </c>
      <c r="BG267" s="53">
        <f t="shared" si="11"/>
        <v>0</v>
      </c>
      <c r="BH267" s="53">
        <f t="shared" si="11"/>
        <v>0</v>
      </c>
      <c r="BI267" s="53">
        <f t="shared" si="11"/>
        <v>0</v>
      </c>
      <c r="BJ267" s="53">
        <f t="shared" si="11"/>
        <v>0</v>
      </c>
      <c r="BK267" s="53">
        <f t="shared" si="11"/>
        <v>0</v>
      </c>
      <c r="BL267" s="53">
        <f t="shared" si="11"/>
        <v>0</v>
      </c>
      <c r="BM267" s="53">
        <f t="shared" si="11"/>
        <v>0</v>
      </c>
      <c r="BN267" s="53">
        <f t="shared" si="11"/>
        <v>0</v>
      </c>
      <c r="BO267" s="53">
        <f t="shared" ref="BO267:CX267" si="12">IFERROR(IF(BO$262=0,0,(BO8-BO9)/BO9),0)</f>
        <v>0</v>
      </c>
      <c r="BP267" s="53">
        <f t="shared" si="12"/>
        <v>0</v>
      </c>
      <c r="BQ267" s="53">
        <f t="shared" si="12"/>
        <v>0</v>
      </c>
      <c r="BR267" s="53">
        <f t="shared" si="12"/>
        <v>0</v>
      </c>
      <c r="BS267" s="53">
        <f t="shared" si="12"/>
        <v>0</v>
      </c>
      <c r="BT267" s="53">
        <f t="shared" si="12"/>
        <v>0</v>
      </c>
      <c r="BU267" s="53">
        <f t="shared" si="12"/>
        <v>0</v>
      </c>
      <c r="BV267" s="53">
        <f t="shared" si="12"/>
        <v>0</v>
      </c>
      <c r="BW267" s="53">
        <f t="shared" si="12"/>
        <v>0</v>
      </c>
      <c r="BX267" s="53">
        <f t="shared" si="12"/>
        <v>0</v>
      </c>
      <c r="BY267" s="53">
        <f t="shared" si="12"/>
        <v>0</v>
      </c>
      <c r="BZ267" s="53">
        <f t="shared" si="12"/>
        <v>0</v>
      </c>
      <c r="CA267" s="53">
        <f t="shared" si="12"/>
        <v>0</v>
      </c>
      <c r="CB267" s="53">
        <f t="shared" si="12"/>
        <v>0</v>
      </c>
      <c r="CC267" s="53">
        <f t="shared" si="12"/>
        <v>0</v>
      </c>
      <c r="CD267" s="53">
        <f t="shared" si="12"/>
        <v>0</v>
      </c>
      <c r="CE267" s="53">
        <f t="shared" si="12"/>
        <v>0</v>
      </c>
      <c r="CF267" s="53">
        <f t="shared" si="12"/>
        <v>0</v>
      </c>
      <c r="CG267" s="53">
        <f t="shared" si="12"/>
        <v>0</v>
      </c>
      <c r="CH267" s="53">
        <f t="shared" si="12"/>
        <v>0</v>
      </c>
      <c r="CI267" s="53">
        <f t="shared" si="12"/>
        <v>0</v>
      </c>
      <c r="CJ267" s="53">
        <f t="shared" si="12"/>
        <v>0</v>
      </c>
      <c r="CK267" s="53">
        <f t="shared" si="12"/>
        <v>0</v>
      </c>
      <c r="CL267" s="53">
        <f t="shared" si="12"/>
        <v>0</v>
      </c>
      <c r="CM267" s="53">
        <f t="shared" si="12"/>
        <v>0</v>
      </c>
      <c r="CN267" s="53">
        <f t="shared" si="12"/>
        <v>0</v>
      </c>
      <c r="CO267" s="53">
        <f t="shared" si="12"/>
        <v>0</v>
      </c>
      <c r="CP267" s="53">
        <f t="shared" si="12"/>
        <v>0</v>
      </c>
      <c r="CQ267" s="53">
        <f t="shared" si="12"/>
        <v>0</v>
      </c>
      <c r="CR267" s="53">
        <f t="shared" si="12"/>
        <v>0</v>
      </c>
      <c r="CS267" s="53">
        <f t="shared" si="12"/>
        <v>0</v>
      </c>
      <c r="CT267" s="53">
        <f t="shared" si="12"/>
        <v>0</v>
      </c>
      <c r="CU267" s="53">
        <f t="shared" si="12"/>
        <v>0</v>
      </c>
      <c r="CV267" s="53">
        <f t="shared" si="12"/>
        <v>0</v>
      </c>
      <c r="CW267" s="53">
        <f t="shared" si="12"/>
        <v>0</v>
      </c>
      <c r="CX267" s="53">
        <f t="shared" si="12"/>
        <v>0</v>
      </c>
      <c r="DB267" s="2" vm="516">
        <f ca="1">IF(Returns!A271&lt;&gt;0,Returns!A271,"")</f>
        <v>42065</v>
      </c>
      <c r="DC267" s="11">
        <f ca="1">IF(Returns!B282&gt;0,Returns!B282/Returns!B281-1,"")</f>
        <v>3.8262910798121386E-3</v>
      </c>
      <c r="DD267" s="11">
        <f ca="1">IF(Returns!D274&gt;0,Returns!D274/Returns!D273-1,"")</f>
        <v>-2.2892670834564255E-2</v>
      </c>
    </row>
    <row r="268" spans="1:108" x14ac:dyDescent="0.3">
      <c r="B268" s="57">
        <f t="shared" ca="1" si="6"/>
        <v>2.931911656597582E-4</v>
      </c>
      <c r="C268" s="53">
        <f t="shared" ref="C268:BN268" si="13">IFERROR(IF(C$262=0,0,(C9-C10)/C10),0)</f>
        <v>0</v>
      </c>
      <c r="D268" s="53">
        <f t="shared" si="13"/>
        <v>0</v>
      </c>
      <c r="E268" s="53">
        <f t="shared" si="13"/>
        <v>0</v>
      </c>
      <c r="F268" s="53">
        <f t="shared" si="13"/>
        <v>0</v>
      </c>
      <c r="G268" s="53">
        <f t="shared" si="13"/>
        <v>0</v>
      </c>
      <c r="H268" s="53">
        <f t="shared" si="13"/>
        <v>0</v>
      </c>
      <c r="I268" s="53">
        <f t="shared" si="13"/>
        <v>0</v>
      </c>
      <c r="J268" s="53">
        <f t="shared" si="13"/>
        <v>0</v>
      </c>
      <c r="K268" s="53">
        <f t="shared" si="13"/>
        <v>0</v>
      </c>
      <c r="L268" s="53">
        <f t="shared" si="13"/>
        <v>0</v>
      </c>
      <c r="M268" s="53">
        <f t="shared" si="13"/>
        <v>0</v>
      </c>
      <c r="N268" s="53">
        <f t="shared" si="13"/>
        <v>0</v>
      </c>
      <c r="O268" s="53">
        <f t="shared" si="13"/>
        <v>0</v>
      </c>
      <c r="P268" s="53">
        <f t="shared" si="13"/>
        <v>0</v>
      </c>
      <c r="Q268" s="53">
        <f t="shared" si="13"/>
        <v>0</v>
      </c>
      <c r="R268" s="53">
        <f t="shared" si="13"/>
        <v>0</v>
      </c>
      <c r="S268" s="53">
        <f t="shared" si="13"/>
        <v>0</v>
      </c>
      <c r="T268" s="53">
        <f t="shared" si="13"/>
        <v>0</v>
      </c>
      <c r="U268" s="53">
        <f t="shared" si="13"/>
        <v>0</v>
      </c>
      <c r="V268" s="53">
        <f t="shared" si="13"/>
        <v>0</v>
      </c>
      <c r="W268" s="53">
        <f t="shared" si="13"/>
        <v>0</v>
      </c>
      <c r="X268" s="53">
        <f t="shared" si="13"/>
        <v>0</v>
      </c>
      <c r="Y268" s="53">
        <f t="shared" si="13"/>
        <v>0</v>
      </c>
      <c r="Z268" s="53">
        <f t="shared" si="13"/>
        <v>0</v>
      </c>
      <c r="AA268" s="53">
        <f t="shared" si="13"/>
        <v>0</v>
      </c>
      <c r="AB268" s="53">
        <f t="shared" si="13"/>
        <v>0</v>
      </c>
      <c r="AC268" s="53">
        <f t="shared" si="13"/>
        <v>0</v>
      </c>
      <c r="AD268" s="53">
        <f t="shared" si="13"/>
        <v>0</v>
      </c>
      <c r="AE268" s="53">
        <f t="shared" si="13"/>
        <v>0</v>
      </c>
      <c r="AF268" s="53">
        <f t="shared" si="13"/>
        <v>0</v>
      </c>
      <c r="AG268" s="53">
        <f t="shared" si="13"/>
        <v>0</v>
      </c>
      <c r="AH268" s="53">
        <f t="shared" si="13"/>
        <v>0</v>
      </c>
      <c r="AI268" s="53">
        <f t="shared" si="13"/>
        <v>0</v>
      </c>
      <c r="AJ268" s="53">
        <f t="shared" si="13"/>
        <v>0</v>
      </c>
      <c r="AK268" s="53">
        <f t="shared" si="13"/>
        <v>0</v>
      </c>
      <c r="AL268" s="53">
        <f t="shared" si="13"/>
        <v>0</v>
      </c>
      <c r="AM268" s="53">
        <f t="shared" si="13"/>
        <v>0</v>
      </c>
      <c r="AN268" s="53">
        <f t="shared" si="13"/>
        <v>0</v>
      </c>
      <c r="AO268" s="53">
        <f t="shared" si="13"/>
        <v>0</v>
      </c>
      <c r="AP268" s="53">
        <f t="shared" si="13"/>
        <v>0</v>
      </c>
      <c r="AQ268" s="53">
        <f t="shared" si="13"/>
        <v>0</v>
      </c>
      <c r="AR268" s="53">
        <f t="shared" si="13"/>
        <v>0</v>
      </c>
      <c r="AS268" s="53">
        <f t="shared" si="13"/>
        <v>0</v>
      </c>
      <c r="AT268" s="53">
        <f t="shared" si="13"/>
        <v>0</v>
      </c>
      <c r="AU268" s="53">
        <f t="shared" si="13"/>
        <v>0</v>
      </c>
      <c r="AV268" s="53">
        <f t="shared" si="13"/>
        <v>0</v>
      </c>
      <c r="AW268" s="53">
        <f t="shared" si="13"/>
        <v>0</v>
      </c>
      <c r="AX268" s="53">
        <f t="shared" si="13"/>
        <v>0</v>
      </c>
      <c r="AY268" s="53">
        <f t="shared" si="13"/>
        <v>0</v>
      </c>
      <c r="AZ268" s="53">
        <f t="shared" si="13"/>
        <v>0</v>
      </c>
      <c r="BA268" s="53">
        <f t="shared" si="13"/>
        <v>0</v>
      </c>
      <c r="BB268" s="53">
        <f t="shared" si="13"/>
        <v>0</v>
      </c>
      <c r="BC268" s="53">
        <f t="shared" si="13"/>
        <v>0</v>
      </c>
      <c r="BD268" s="53">
        <f t="shared" si="13"/>
        <v>0</v>
      </c>
      <c r="BE268" s="53">
        <f t="shared" si="13"/>
        <v>0</v>
      </c>
      <c r="BF268" s="53">
        <f t="shared" si="13"/>
        <v>0</v>
      </c>
      <c r="BG268" s="53">
        <f t="shared" si="13"/>
        <v>0</v>
      </c>
      <c r="BH268" s="53">
        <f t="shared" si="13"/>
        <v>0</v>
      </c>
      <c r="BI268" s="53">
        <f t="shared" si="13"/>
        <v>0</v>
      </c>
      <c r="BJ268" s="53">
        <f t="shared" si="13"/>
        <v>0</v>
      </c>
      <c r="BK268" s="53">
        <f t="shared" si="13"/>
        <v>0</v>
      </c>
      <c r="BL268" s="53">
        <f t="shared" si="13"/>
        <v>0</v>
      </c>
      <c r="BM268" s="53">
        <f t="shared" si="13"/>
        <v>0</v>
      </c>
      <c r="BN268" s="53">
        <f t="shared" si="13"/>
        <v>0</v>
      </c>
      <c r="BO268" s="53">
        <f t="shared" ref="BO268:CX268" si="14">IFERROR(IF(BO$262=0,0,(BO9-BO10)/BO10),0)</f>
        <v>0</v>
      </c>
      <c r="BP268" s="53">
        <f t="shared" si="14"/>
        <v>0</v>
      </c>
      <c r="BQ268" s="53">
        <f t="shared" si="14"/>
        <v>0</v>
      </c>
      <c r="BR268" s="53">
        <f t="shared" si="14"/>
        <v>0</v>
      </c>
      <c r="BS268" s="53">
        <f t="shared" si="14"/>
        <v>0</v>
      </c>
      <c r="BT268" s="53">
        <f t="shared" si="14"/>
        <v>0</v>
      </c>
      <c r="BU268" s="53">
        <f t="shared" si="14"/>
        <v>0</v>
      </c>
      <c r="BV268" s="53">
        <f t="shared" si="14"/>
        <v>0</v>
      </c>
      <c r="BW268" s="53">
        <f t="shared" si="14"/>
        <v>0</v>
      </c>
      <c r="BX268" s="53">
        <f t="shared" si="14"/>
        <v>0</v>
      </c>
      <c r="BY268" s="53">
        <f t="shared" si="14"/>
        <v>0</v>
      </c>
      <c r="BZ268" s="53">
        <f t="shared" si="14"/>
        <v>0</v>
      </c>
      <c r="CA268" s="53">
        <f t="shared" si="14"/>
        <v>0</v>
      </c>
      <c r="CB268" s="53">
        <f t="shared" si="14"/>
        <v>0</v>
      </c>
      <c r="CC268" s="53">
        <f t="shared" si="14"/>
        <v>0</v>
      </c>
      <c r="CD268" s="53">
        <f t="shared" si="14"/>
        <v>0</v>
      </c>
      <c r="CE268" s="53">
        <f t="shared" si="14"/>
        <v>0</v>
      </c>
      <c r="CF268" s="53">
        <f t="shared" si="14"/>
        <v>0</v>
      </c>
      <c r="CG268" s="53">
        <f t="shared" si="14"/>
        <v>0</v>
      </c>
      <c r="CH268" s="53">
        <f t="shared" si="14"/>
        <v>0</v>
      </c>
      <c r="CI268" s="53">
        <f t="shared" si="14"/>
        <v>0</v>
      </c>
      <c r="CJ268" s="53">
        <f t="shared" si="14"/>
        <v>0</v>
      </c>
      <c r="CK268" s="53">
        <f t="shared" si="14"/>
        <v>0</v>
      </c>
      <c r="CL268" s="53">
        <f t="shared" si="14"/>
        <v>0</v>
      </c>
      <c r="CM268" s="53">
        <f t="shared" si="14"/>
        <v>0</v>
      </c>
      <c r="CN268" s="53">
        <f t="shared" si="14"/>
        <v>0</v>
      </c>
      <c r="CO268" s="53">
        <f t="shared" si="14"/>
        <v>0</v>
      </c>
      <c r="CP268" s="53">
        <f t="shared" si="14"/>
        <v>0</v>
      </c>
      <c r="CQ268" s="53">
        <f t="shared" si="14"/>
        <v>0</v>
      </c>
      <c r="CR268" s="53">
        <f t="shared" si="14"/>
        <v>0</v>
      </c>
      <c r="CS268" s="53">
        <f t="shared" si="14"/>
        <v>0</v>
      </c>
      <c r="CT268" s="53">
        <f t="shared" si="14"/>
        <v>0</v>
      </c>
      <c r="CU268" s="53">
        <f t="shared" si="14"/>
        <v>0</v>
      </c>
      <c r="CV268" s="53">
        <f t="shared" si="14"/>
        <v>0</v>
      </c>
      <c r="CW268" s="53">
        <f t="shared" si="14"/>
        <v>0</v>
      </c>
      <c r="CX268" s="53">
        <f t="shared" si="14"/>
        <v>0</v>
      </c>
      <c r="DB268" s="2" vm="517">
        <f ca="1">IF(Returns!A272&lt;&gt;0,Returns!A272,"")</f>
        <v>42072</v>
      </c>
      <c r="DC268" s="11">
        <f ca="1">IF(Returns!B283&gt;0,Returns!B283/Returns!B282-1,"")</f>
        <v>3.7415522765007481E-3</v>
      </c>
      <c r="DD268" s="11">
        <f ca="1">IF(Returns!D275&gt;0,Returns!D275/Returns!D274-1,"")</f>
        <v>2.8556349932002956E-3</v>
      </c>
    </row>
    <row r="269" spans="1:108" x14ac:dyDescent="0.3">
      <c r="B269" s="57">
        <f t="shared" ca="1" si="6"/>
        <v>7.82356811089438E-3</v>
      </c>
      <c r="C269" s="53">
        <f t="shared" ref="C269:BN269" si="15">IFERROR(IF(C$262=0,0,(C10-C11)/C11),0)</f>
        <v>0</v>
      </c>
      <c r="D269" s="53">
        <f t="shared" si="15"/>
        <v>0</v>
      </c>
      <c r="E269" s="53">
        <f t="shared" si="15"/>
        <v>0</v>
      </c>
      <c r="F269" s="53">
        <f t="shared" si="15"/>
        <v>0</v>
      </c>
      <c r="G269" s="53">
        <f t="shared" si="15"/>
        <v>0</v>
      </c>
      <c r="H269" s="53">
        <f t="shared" si="15"/>
        <v>0</v>
      </c>
      <c r="I269" s="53">
        <f t="shared" si="15"/>
        <v>0</v>
      </c>
      <c r="J269" s="53">
        <f t="shared" si="15"/>
        <v>0</v>
      </c>
      <c r="K269" s="53">
        <f t="shared" si="15"/>
        <v>0</v>
      </c>
      <c r="L269" s="53">
        <f t="shared" si="15"/>
        <v>0</v>
      </c>
      <c r="M269" s="53">
        <f t="shared" si="15"/>
        <v>0</v>
      </c>
      <c r="N269" s="53">
        <f t="shared" si="15"/>
        <v>0</v>
      </c>
      <c r="O269" s="53">
        <f t="shared" si="15"/>
        <v>0</v>
      </c>
      <c r="P269" s="53">
        <f t="shared" si="15"/>
        <v>0</v>
      </c>
      <c r="Q269" s="53">
        <f t="shared" si="15"/>
        <v>0</v>
      </c>
      <c r="R269" s="53">
        <f t="shared" si="15"/>
        <v>0</v>
      </c>
      <c r="S269" s="53">
        <f t="shared" si="15"/>
        <v>0</v>
      </c>
      <c r="T269" s="53">
        <f t="shared" si="15"/>
        <v>0</v>
      </c>
      <c r="U269" s="53">
        <f t="shared" si="15"/>
        <v>0</v>
      </c>
      <c r="V269" s="53">
        <f t="shared" si="15"/>
        <v>0</v>
      </c>
      <c r="W269" s="53">
        <f t="shared" si="15"/>
        <v>0</v>
      </c>
      <c r="X269" s="53">
        <f t="shared" si="15"/>
        <v>0</v>
      </c>
      <c r="Y269" s="53">
        <f t="shared" si="15"/>
        <v>0</v>
      </c>
      <c r="Z269" s="53">
        <f t="shared" si="15"/>
        <v>0</v>
      </c>
      <c r="AA269" s="53">
        <f t="shared" si="15"/>
        <v>0</v>
      </c>
      <c r="AB269" s="53">
        <f t="shared" si="15"/>
        <v>0</v>
      </c>
      <c r="AC269" s="53">
        <f t="shared" si="15"/>
        <v>0</v>
      </c>
      <c r="AD269" s="53">
        <f t="shared" si="15"/>
        <v>0</v>
      </c>
      <c r="AE269" s="53">
        <f t="shared" si="15"/>
        <v>0</v>
      </c>
      <c r="AF269" s="53">
        <f t="shared" si="15"/>
        <v>0</v>
      </c>
      <c r="AG269" s="53">
        <f t="shared" si="15"/>
        <v>0</v>
      </c>
      <c r="AH269" s="53">
        <f t="shared" si="15"/>
        <v>0</v>
      </c>
      <c r="AI269" s="53">
        <f t="shared" si="15"/>
        <v>0</v>
      </c>
      <c r="AJ269" s="53">
        <f t="shared" si="15"/>
        <v>0</v>
      </c>
      <c r="AK269" s="53">
        <f t="shared" si="15"/>
        <v>0</v>
      </c>
      <c r="AL269" s="53">
        <f t="shared" si="15"/>
        <v>0</v>
      </c>
      <c r="AM269" s="53">
        <f t="shared" si="15"/>
        <v>0</v>
      </c>
      <c r="AN269" s="53">
        <f t="shared" si="15"/>
        <v>0</v>
      </c>
      <c r="AO269" s="53">
        <f t="shared" si="15"/>
        <v>0</v>
      </c>
      <c r="AP269" s="53">
        <f t="shared" si="15"/>
        <v>0</v>
      </c>
      <c r="AQ269" s="53">
        <f t="shared" si="15"/>
        <v>0</v>
      </c>
      <c r="AR269" s="53">
        <f t="shared" si="15"/>
        <v>0</v>
      </c>
      <c r="AS269" s="53">
        <f t="shared" si="15"/>
        <v>0</v>
      </c>
      <c r="AT269" s="53">
        <f t="shared" si="15"/>
        <v>0</v>
      </c>
      <c r="AU269" s="53">
        <f t="shared" si="15"/>
        <v>0</v>
      </c>
      <c r="AV269" s="53">
        <f t="shared" si="15"/>
        <v>0</v>
      </c>
      <c r="AW269" s="53">
        <f t="shared" si="15"/>
        <v>0</v>
      </c>
      <c r="AX269" s="53">
        <f t="shared" si="15"/>
        <v>0</v>
      </c>
      <c r="AY269" s="53">
        <f t="shared" si="15"/>
        <v>0</v>
      </c>
      <c r="AZ269" s="53">
        <f t="shared" si="15"/>
        <v>0</v>
      </c>
      <c r="BA269" s="53">
        <f t="shared" si="15"/>
        <v>0</v>
      </c>
      <c r="BB269" s="53">
        <f t="shared" si="15"/>
        <v>0</v>
      </c>
      <c r="BC269" s="53">
        <f t="shared" si="15"/>
        <v>0</v>
      </c>
      <c r="BD269" s="53">
        <f t="shared" si="15"/>
        <v>0</v>
      </c>
      <c r="BE269" s="53">
        <f t="shared" si="15"/>
        <v>0</v>
      </c>
      <c r="BF269" s="53">
        <f t="shared" si="15"/>
        <v>0</v>
      </c>
      <c r="BG269" s="53">
        <f t="shared" si="15"/>
        <v>0</v>
      </c>
      <c r="BH269" s="53">
        <f t="shared" si="15"/>
        <v>0</v>
      </c>
      <c r="BI269" s="53">
        <f t="shared" si="15"/>
        <v>0</v>
      </c>
      <c r="BJ269" s="53">
        <f t="shared" si="15"/>
        <v>0</v>
      </c>
      <c r="BK269" s="53">
        <f t="shared" si="15"/>
        <v>0</v>
      </c>
      <c r="BL269" s="53">
        <f t="shared" si="15"/>
        <v>0</v>
      </c>
      <c r="BM269" s="53">
        <f t="shared" si="15"/>
        <v>0</v>
      </c>
      <c r="BN269" s="53">
        <f t="shared" si="15"/>
        <v>0</v>
      </c>
      <c r="BO269" s="53">
        <f t="shared" ref="BO269:CX269" si="16">IFERROR(IF(BO$262=0,0,(BO10-BO11)/BO11),0)</f>
        <v>0</v>
      </c>
      <c r="BP269" s="53">
        <f t="shared" si="16"/>
        <v>0</v>
      </c>
      <c r="BQ269" s="53">
        <f t="shared" si="16"/>
        <v>0</v>
      </c>
      <c r="BR269" s="53">
        <f t="shared" si="16"/>
        <v>0</v>
      </c>
      <c r="BS269" s="53">
        <f t="shared" si="16"/>
        <v>0</v>
      </c>
      <c r="BT269" s="53">
        <f t="shared" si="16"/>
        <v>0</v>
      </c>
      <c r="BU269" s="53">
        <f t="shared" si="16"/>
        <v>0</v>
      </c>
      <c r="BV269" s="53">
        <f t="shared" si="16"/>
        <v>0</v>
      </c>
      <c r="BW269" s="53">
        <f t="shared" si="16"/>
        <v>0</v>
      </c>
      <c r="BX269" s="53">
        <f t="shared" si="16"/>
        <v>0</v>
      </c>
      <c r="BY269" s="53">
        <f t="shared" si="16"/>
        <v>0</v>
      </c>
      <c r="BZ269" s="53">
        <f t="shared" si="16"/>
        <v>0</v>
      </c>
      <c r="CA269" s="53">
        <f t="shared" si="16"/>
        <v>0</v>
      </c>
      <c r="CB269" s="53">
        <f t="shared" si="16"/>
        <v>0</v>
      </c>
      <c r="CC269" s="53">
        <f t="shared" si="16"/>
        <v>0</v>
      </c>
      <c r="CD269" s="53">
        <f t="shared" si="16"/>
        <v>0</v>
      </c>
      <c r="CE269" s="53">
        <f t="shared" si="16"/>
        <v>0</v>
      </c>
      <c r="CF269" s="53">
        <f t="shared" si="16"/>
        <v>0</v>
      </c>
      <c r="CG269" s="53">
        <f t="shared" si="16"/>
        <v>0</v>
      </c>
      <c r="CH269" s="53">
        <f t="shared" si="16"/>
        <v>0</v>
      </c>
      <c r="CI269" s="53">
        <f t="shared" si="16"/>
        <v>0</v>
      </c>
      <c r="CJ269" s="53">
        <f t="shared" si="16"/>
        <v>0</v>
      </c>
      <c r="CK269" s="53">
        <f t="shared" si="16"/>
        <v>0</v>
      </c>
      <c r="CL269" s="53">
        <f t="shared" si="16"/>
        <v>0</v>
      </c>
      <c r="CM269" s="53">
        <f t="shared" si="16"/>
        <v>0</v>
      </c>
      <c r="CN269" s="53">
        <f t="shared" si="16"/>
        <v>0</v>
      </c>
      <c r="CO269" s="53">
        <f t="shared" si="16"/>
        <v>0</v>
      </c>
      <c r="CP269" s="53">
        <f t="shared" si="16"/>
        <v>0</v>
      </c>
      <c r="CQ269" s="53">
        <f t="shared" si="16"/>
        <v>0</v>
      </c>
      <c r="CR269" s="53">
        <f t="shared" si="16"/>
        <v>0</v>
      </c>
      <c r="CS269" s="53">
        <f t="shared" si="16"/>
        <v>0</v>
      </c>
      <c r="CT269" s="53">
        <f t="shared" si="16"/>
        <v>0</v>
      </c>
      <c r="CU269" s="53">
        <f t="shared" si="16"/>
        <v>0</v>
      </c>
      <c r="CV269" s="53">
        <f t="shared" si="16"/>
        <v>0</v>
      </c>
      <c r="CW269" s="53">
        <f t="shared" si="16"/>
        <v>0</v>
      </c>
      <c r="CX269" s="53">
        <f t="shared" si="16"/>
        <v>0</v>
      </c>
      <c r="DB269" s="2" vm="518">
        <f ca="1">IF(Returns!A273&lt;&gt;0,Returns!A273,"")</f>
        <v>42079</v>
      </c>
      <c r="DC269" s="11">
        <f ca="1">IF(Returns!B284&gt;0,Returns!B284/Returns!B283-1,"")</f>
        <v>-5.3118374764112852E-3</v>
      </c>
      <c r="DD269" s="11">
        <f ca="1">IF(Returns!D276&gt;0,Returns!D276/Returns!D275-1,"")</f>
        <v>1.657412932653668E-2</v>
      </c>
    </row>
    <row r="270" spans="1:108" x14ac:dyDescent="0.3">
      <c r="B270" s="57">
        <f t="shared" ca="1" si="6"/>
        <v>9.8607457384623136E-4</v>
      </c>
      <c r="C270" s="53">
        <f t="shared" ref="C270:BN270" si="17">IFERROR(IF(C$262=0,0,(C11-C12)/C12),0)</f>
        <v>0</v>
      </c>
      <c r="D270" s="53">
        <f t="shared" si="17"/>
        <v>0</v>
      </c>
      <c r="E270" s="53">
        <f t="shared" si="17"/>
        <v>0</v>
      </c>
      <c r="F270" s="53">
        <f t="shared" si="17"/>
        <v>0</v>
      </c>
      <c r="G270" s="53">
        <f t="shared" si="17"/>
        <v>0</v>
      </c>
      <c r="H270" s="53">
        <f t="shared" si="17"/>
        <v>0</v>
      </c>
      <c r="I270" s="53">
        <f t="shared" si="17"/>
        <v>0</v>
      </c>
      <c r="J270" s="53">
        <f t="shared" si="17"/>
        <v>0</v>
      </c>
      <c r="K270" s="53">
        <f t="shared" si="17"/>
        <v>0</v>
      </c>
      <c r="L270" s="53">
        <f t="shared" si="17"/>
        <v>0</v>
      </c>
      <c r="M270" s="53">
        <f t="shared" si="17"/>
        <v>0</v>
      </c>
      <c r="N270" s="53">
        <f t="shared" si="17"/>
        <v>0</v>
      </c>
      <c r="O270" s="53">
        <f t="shared" si="17"/>
        <v>0</v>
      </c>
      <c r="P270" s="53">
        <f t="shared" si="17"/>
        <v>0</v>
      </c>
      <c r="Q270" s="53">
        <f t="shared" si="17"/>
        <v>0</v>
      </c>
      <c r="R270" s="53">
        <f t="shared" si="17"/>
        <v>0</v>
      </c>
      <c r="S270" s="53">
        <f t="shared" si="17"/>
        <v>0</v>
      </c>
      <c r="T270" s="53">
        <f t="shared" si="17"/>
        <v>0</v>
      </c>
      <c r="U270" s="53">
        <f t="shared" si="17"/>
        <v>0</v>
      </c>
      <c r="V270" s="53">
        <f t="shared" si="17"/>
        <v>0</v>
      </c>
      <c r="W270" s="53">
        <f t="shared" si="17"/>
        <v>0</v>
      </c>
      <c r="X270" s="53">
        <f t="shared" si="17"/>
        <v>0</v>
      </c>
      <c r="Y270" s="53">
        <f t="shared" si="17"/>
        <v>0</v>
      </c>
      <c r="Z270" s="53">
        <f t="shared" si="17"/>
        <v>0</v>
      </c>
      <c r="AA270" s="53">
        <f t="shared" si="17"/>
        <v>0</v>
      </c>
      <c r="AB270" s="53">
        <f t="shared" si="17"/>
        <v>0</v>
      </c>
      <c r="AC270" s="53">
        <f t="shared" si="17"/>
        <v>0</v>
      </c>
      <c r="AD270" s="53">
        <f t="shared" si="17"/>
        <v>0</v>
      </c>
      <c r="AE270" s="53">
        <f t="shared" si="17"/>
        <v>0</v>
      </c>
      <c r="AF270" s="53">
        <f t="shared" si="17"/>
        <v>0</v>
      </c>
      <c r="AG270" s="53">
        <f t="shared" si="17"/>
        <v>0</v>
      </c>
      <c r="AH270" s="53">
        <f t="shared" si="17"/>
        <v>0</v>
      </c>
      <c r="AI270" s="53">
        <f t="shared" si="17"/>
        <v>0</v>
      </c>
      <c r="AJ270" s="53">
        <f t="shared" si="17"/>
        <v>0</v>
      </c>
      <c r="AK270" s="53">
        <f t="shared" si="17"/>
        <v>0</v>
      </c>
      <c r="AL270" s="53">
        <f t="shared" si="17"/>
        <v>0</v>
      </c>
      <c r="AM270" s="53">
        <f t="shared" si="17"/>
        <v>0</v>
      </c>
      <c r="AN270" s="53">
        <f t="shared" si="17"/>
        <v>0</v>
      </c>
      <c r="AO270" s="53">
        <f t="shared" si="17"/>
        <v>0</v>
      </c>
      <c r="AP270" s="53">
        <f t="shared" si="17"/>
        <v>0</v>
      </c>
      <c r="AQ270" s="53">
        <f t="shared" si="17"/>
        <v>0</v>
      </c>
      <c r="AR270" s="53">
        <f t="shared" si="17"/>
        <v>0</v>
      </c>
      <c r="AS270" s="53">
        <f t="shared" si="17"/>
        <v>0</v>
      </c>
      <c r="AT270" s="53">
        <f t="shared" si="17"/>
        <v>0</v>
      </c>
      <c r="AU270" s="53">
        <f t="shared" si="17"/>
        <v>0</v>
      </c>
      <c r="AV270" s="53">
        <f t="shared" si="17"/>
        <v>0</v>
      </c>
      <c r="AW270" s="53">
        <f t="shared" si="17"/>
        <v>0</v>
      </c>
      <c r="AX270" s="53">
        <f t="shared" si="17"/>
        <v>0</v>
      </c>
      <c r="AY270" s="53">
        <f t="shared" si="17"/>
        <v>0</v>
      </c>
      <c r="AZ270" s="53">
        <f t="shared" si="17"/>
        <v>0</v>
      </c>
      <c r="BA270" s="53">
        <f t="shared" si="17"/>
        <v>0</v>
      </c>
      <c r="BB270" s="53">
        <f t="shared" si="17"/>
        <v>0</v>
      </c>
      <c r="BC270" s="53">
        <f t="shared" si="17"/>
        <v>0</v>
      </c>
      <c r="BD270" s="53">
        <f t="shared" si="17"/>
        <v>0</v>
      </c>
      <c r="BE270" s="53">
        <f t="shared" si="17"/>
        <v>0</v>
      </c>
      <c r="BF270" s="53">
        <f t="shared" si="17"/>
        <v>0</v>
      </c>
      <c r="BG270" s="53">
        <f t="shared" si="17"/>
        <v>0</v>
      </c>
      <c r="BH270" s="53">
        <f t="shared" si="17"/>
        <v>0</v>
      </c>
      <c r="BI270" s="53">
        <f t="shared" si="17"/>
        <v>0</v>
      </c>
      <c r="BJ270" s="53">
        <f t="shared" si="17"/>
        <v>0</v>
      </c>
      <c r="BK270" s="53">
        <f t="shared" si="17"/>
        <v>0</v>
      </c>
      <c r="BL270" s="53">
        <f t="shared" si="17"/>
        <v>0</v>
      </c>
      <c r="BM270" s="53">
        <f t="shared" si="17"/>
        <v>0</v>
      </c>
      <c r="BN270" s="53">
        <f t="shared" si="17"/>
        <v>0</v>
      </c>
      <c r="BO270" s="53">
        <f t="shared" ref="BO270:CX270" si="18">IFERROR(IF(BO$262=0,0,(BO11-BO12)/BO12),0)</f>
        <v>0</v>
      </c>
      <c r="BP270" s="53">
        <f t="shared" si="18"/>
        <v>0</v>
      </c>
      <c r="BQ270" s="53">
        <f t="shared" si="18"/>
        <v>0</v>
      </c>
      <c r="BR270" s="53">
        <f t="shared" si="18"/>
        <v>0</v>
      </c>
      <c r="BS270" s="53">
        <f t="shared" si="18"/>
        <v>0</v>
      </c>
      <c r="BT270" s="53">
        <f t="shared" si="18"/>
        <v>0</v>
      </c>
      <c r="BU270" s="53">
        <f t="shared" si="18"/>
        <v>0</v>
      </c>
      <c r="BV270" s="53">
        <f t="shared" si="18"/>
        <v>0</v>
      </c>
      <c r="BW270" s="53">
        <f t="shared" si="18"/>
        <v>0</v>
      </c>
      <c r="BX270" s="53">
        <f t="shared" si="18"/>
        <v>0</v>
      </c>
      <c r="BY270" s="53">
        <f t="shared" si="18"/>
        <v>0</v>
      </c>
      <c r="BZ270" s="53">
        <f t="shared" si="18"/>
        <v>0</v>
      </c>
      <c r="CA270" s="53">
        <f t="shared" si="18"/>
        <v>0</v>
      </c>
      <c r="CB270" s="53">
        <f t="shared" si="18"/>
        <v>0</v>
      </c>
      <c r="CC270" s="53">
        <f t="shared" si="18"/>
        <v>0</v>
      </c>
      <c r="CD270" s="53">
        <f t="shared" si="18"/>
        <v>0</v>
      </c>
      <c r="CE270" s="53">
        <f t="shared" si="18"/>
        <v>0</v>
      </c>
      <c r="CF270" s="53">
        <f t="shared" si="18"/>
        <v>0</v>
      </c>
      <c r="CG270" s="53">
        <f t="shared" si="18"/>
        <v>0</v>
      </c>
      <c r="CH270" s="53">
        <f t="shared" si="18"/>
        <v>0</v>
      </c>
      <c r="CI270" s="53">
        <f t="shared" si="18"/>
        <v>0</v>
      </c>
      <c r="CJ270" s="53">
        <f t="shared" si="18"/>
        <v>0</v>
      </c>
      <c r="CK270" s="53">
        <f t="shared" si="18"/>
        <v>0</v>
      </c>
      <c r="CL270" s="53">
        <f t="shared" si="18"/>
        <v>0</v>
      </c>
      <c r="CM270" s="53">
        <f t="shared" si="18"/>
        <v>0</v>
      </c>
      <c r="CN270" s="53">
        <f t="shared" si="18"/>
        <v>0</v>
      </c>
      <c r="CO270" s="53">
        <f t="shared" si="18"/>
        <v>0</v>
      </c>
      <c r="CP270" s="53">
        <f t="shared" si="18"/>
        <v>0</v>
      </c>
      <c r="CQ270" s="53">
        <f t="shared" si="18"/>
        <v>0</v>
      </c>
      <c r="CR270" s="53">
        <f t="shared" si="18"/>
        <v>0</v>
      </c>
      <c r="CS270" s="53">
        <f t="shared" si="18"/>
        <v>0</v>
      </c>
      <c r="CT270" s="53">
        <f t="shared" si="18"/>
        <v>0</v>
      </c>
      <c r="CU270" s="53">
        <f t="shared" si="18"/>
        <v>0</v>
      </c>
      <c r="CV270" s="53">
        <f t="shared" si="18"/>
        <v>0</v>
      </c>
      <c r="CW270" s="53">
        <f t="shared" si="18"/>
        <v>0</v>
      </c>
      <c r="CX270" s="53">
        <f t="shared" si="18"/>
        <v>0</v>
      </c>
      <c r="DB270" s="2" vm="519">
        <f ca="1">IF(Returns!A274&lt;&gt;0,Returns!A274,"")</f>
        <v>42086</v>
      </c>
      <c r="DC270" s="11">
        <f ca="1">IF(Returns!B285&gt;0,Returns!B285/Returns!B284-1,"")</f>
        <v>6.9563180700316085E-3</v>
      </c>
      <c r="DD270" s="11">
        <f ca="1">IF(Returns!D277&gt;0,Returns!D277/Returns!D276-1,"")</f>
        <v>-1.2811797076121789E-2</v>
      </c>
    </row>
    <row r="271" spans="1:108" x14ac:dyDescent="0.3">
      <c r="B271" s="57">
        <f t="shared" ca="1" si="6"/>
        <v>3.9076154059064093E-4</v>
      </c>
      <c r="C271" s="53">
        <f t="shared" ref="C271:BN271" si="19">IFERROR(IF(C$262=0,0,(C12-C13)/C13),0)</f>
        <v>0</v>
      </c>
      <c r="D271" s="53">
        <f t="shared" si="19"/>
        <v>0</v>
      </c>
      <c r="E271" s="53">
        <f t="shared" si="19"/>
        <v>0</v>
      </c>
      <c r="F271" s="53">
        <f t="shared" si="19"/>
        <v>0</v>
      </c>
      <c r="G271" s="53">
        <f t="shared" si="19"/>
        <v>0</v>
      </c>
      <c r="H271" s="53">
        <f t="shared" si="19"/>
        <v>0</v>
      </c>
      <c r="I271" s="53">
        <f t="shared" si="19"/>
        <v>0</v>
      </c>
      <c r="J271" s="53">
        <f t="shared" si="19"/>
        <v>0</v>
      </c>
      <c r="K271" s="53">
        <f t="shared" si="19"/>
        <v>0</v>
      </c>
      <c r="L271" s="53">
        <f t="shared" si="19"/>
        <v>0</v>
      </c>
      <c r="M271" s="53">
        <f t="shared" si="19"/>
        <v>0</v>
      </c>
      <c r="N271" s="53">
        <f t="shared" si="19"/>
        <v>0</v>
      </c>
      <c r="O271" s="53">
        <f t="shared" si="19"/>
        <v>0</v>
      </c>
      <c r="P271" s="53">
        <f t="shared" si="19"/>
        <v>0</v>
      </c>
      <c r="Q271" s="53">
        <f t="shared" si="19"/>
        <v>0</v>
      </c>
      <c r="R271" s="53">
        <f t="shared" si="19"/>
        <v>0</v>
      </c>
      <c r="S271" s="53">
        <f t="shared" si="19"/>
        <v>0</v>
      </c>
      <c r="T271" s="53">
        <f t="shared" si="19"/>
        <v>0</v>
      </c>
      <c r="U271" s="53">
        <f t="shared" si="19"/>
        <v>0</v>
      </c>
      <c r="V271" s="53">
        <f t="shared" si="19"/>
        <v>0</v>
      </c>
      <c r="W271" s="53">
        <f t="shared" si="19"/>
        <v>0</v>
      </c>
      <c r="X271" s="53">
        <f t="shared" si="19"/>
        <v>0</v>
      </c>
      <c r="Y271" s="53">
        <f t="shared" si="19"/>
        <v>0</v>
      </c>
      <c r="Z271" s="53">
        <f t="shared" si="19"/>
        <v>0</v>
      </c>
      <c r="AA271" s="53">
        <f t="shared" si="19"/>
        <v>0</v>
      </c>
      <c r="AB271" s="53">
        <f t="shared" si="19"/>
        <v>0</v>
      </c>
      <c r="AC271" s="53">
        <f t="shared" si="19"/>
        <v>0</v>
      </c>
      <c r="AD271" s="53">
        <f t="shared" si="19"/>
        <v>0</v>
      </c>
      <c r="AE271" s="53">
        <f t="shared" si="19"/>
        <v>0</v>
      </c>
      <c r="AF271" s="53">
        <f t="shared" si="19"/>
        <v>0</v>
      </c>
      <c r="AG271" s="53">
        <f t="shared" si="19"/>
        <v>0</v>
      </c>
      <c r="AH271" s="53">
        <f t="shared" si="19"/>
        <v>0</v>
      </c>
      <c r="AI271" s="53">
        <f t="shared" si="19"/>
        <v>0</v>
      </c>
      <c r="AJ271" s="53">
        <f t="shared" si="19"/>
        <v>0</v>
      </c>
      <c r="AK271" s="53">
        <f t="shared" si="19"/>
        <v>0</v>
      </c>
      <c r="AL271" s="53">
        <f t="shared" si="19"/>
        <v>0</v>
      </c>
      <c r="AM271" s="53">
        <f t="shared" si="19"/>
        <v>0</v>
      </c>
      <c r="AN271" s="53">
        <f t="shared" si="19"/>
        <v>0</v>
      </c>
      <c r="AO271" s="53">
        <f t="shared" si="19"/>
        <v>0</v>
      </c>
      <c r="AP271" s="53">
        <f t="shared" si="19"/>
        <v>0</v>
      </c>
      <c r="AQ271" s="53">
        <f t="shared" si="19"/>
        <v>0</v>
      </c>
      <c r="AR271" s="53">
        <f t="shared" si="19"/>
        <v>0</v>
      </c>
      <c r="AS271" s="53">
        <f t="shared" si="19"/>
        <v>0</v>
      </c>
      <c r="AT271" s="53">
        <f t="shared" si="19"/>
        <v>0</v>
      </c>
      <c r="AU271" s="53">
        <f t="shared" si="19"/>
        <v>0</v>
      </c>
      <c r="AV271" s="53">
        <f t="shared" si="19"/>
        <v>0</v>
      </c>
      <c r="AW271" s="53">
        <f t="shared" si="19"/>
        <v>0</v>
      </c>
      <c r="AX271" s="53">
        <f t="shared" si="19"/>
        <v>0</v>
      </c>
      <c r="AY271" s="53">
        <f t="shared" si="19"/>
        <v>0</v>
      </c>
      <c r="AZ271" s="53">
        <f t="shared" si="19"/>
        <v>0</v>
      </c>
      <c r="BA271" s="53">
        <f t="shared" si="19"/>
        <v>0</v>
      </c>
      <c r="BB271" s="53">
        <f t="shared" si="19"/>
        <v>0</v>
      </c>
      <c r="BC271" s="53">
        <f t="shared" si="19"/>
        <v>0</v>
      </c>
      <c r="BD271" s="53">
        <f t="shared" si="19"/>
        <v>0</v>
      </c>
      <c r="BE271" s="53">
        <f t="shared" si="19"/>
        <v>0</v>
      </c>
      <c r="BF271" s="53">
        <f t="shared" si="19"/>
        <v>0</v>
      </c>
      <c r="BG271" s="53">
        <f t="shared" si="19"/>
        <v>0</v>
      </c>
      <c r="BH271" s="53">
        <f t="shared" si="19"/>
        <v>0</v>
      </c>
      <c r="BI271" s="53">
        <f t="shared" si="19"/>
        <v>0</v>
      </c>
      <c r="BJ271" s="53">
        <f t="shared" si="19"/>
        <v>0</v>
      </c>
      <c r="BK271" s="53">
        <f t="shared" si="19"/>
        <v>0</v>
      </c>
      <c r="BL271" s="53">
        <f t="shared" si="19"/>
        <v>0</v>
      </c>
      <c r="BM271" s="53">
        <f t="shared" si="19"/>
        <v>0</v>
      </c>
      <c r="BN271" s="53">
        <f t="shared" si="19"/>
        <v>0</v>
      </c>
      <c r="BO271" s="53">
        <f t="shared" ref="BO271:CX271" si="20">IFERROR(IF(BO$262=0,0,(BO12-BO13)/BO13),0)</f>
        <v>0</v>
      </c>
      <c r="BP271" s="53">
        <f t="shared" si="20"/>
        <v>0</v>
      </c>
      <c r="BQ271" s="53">
        <f t="shared" si="20"/>
        <v>0</v>
      </c>
      <c r="BR271" s="53">
        <f t="shared" si="20"/>
        <v>0</v>
      </c>
      <c r="BS271" s="53">
        <f t="shared" si="20"/>
        <v>0</v>
      </c>
      <c r="BT271" s="53">
        <f t="shared" si="20"/>
        <v>0</v>
      </c>
      <c r="BU271" s="53">
        <f t="shared" si="20"/>
        <v>0</v>
      </c>
      <c r="BV271" s="53">
        <f t="shared" si="20"/>
        <v>0</v>
      </c>
      <c r="BW271" s="53">
        <f t="shared" si="20"/>
        <v>0</v>
      </c>
      <c r="BX271" s="53">
        <f t="shared" si="20"/>
        <v>0</v>
      </c>
      <c r="BY271" s="53">
        <f t="shared" si="20"/>
        <v>0</v>
      </c>
      <c r="BZ271" s="53">
        <f t="shared" si="20"/>
        <v>0</v>
      </c>
      <c r="CA271" s="53">
        <f t="shared" si="20"/>
        <v>0</v>
      </c>
      <c r="CB271" s="53">
        <f t="shared" si="20"/>
        <v>0</v>
      </c>
      <c r="CC271" s="53">
        <f t="shared" si="20"/>
        <v>0</v>
      </c>
      <c r="CD271" s="53">
        <f t="shared" si="20"/>
        <v>0</v>
      </c>
      <c r="CE271" s="53">
        <f t="shared" si="20"/>
        <v>0</v>
      </c>
      <c r="CF271" s="53">
        <f t="shared" si="20"/>
        <v>0</v>
      </c>
      <c r="CG271" s="53">
        <f t="shared" si="20"/>
        <v>0</v>
      </c>
      <c r="CH271" s="53">
        <f t="shared" si="20"/>
        <v>0</v>
      </c>
      <c r="CI271" s="53">
        <f t="shared" si="20"/>
        <v>0</v>
      </c>
      <c r="CJ271" s="53">
        <f t="shared" si="20"/>
        <v>0</v>
      </c>
      <c r="CK271" s="53">
        <f t="shared" si="20"/>
        <v>0</v>
      </c>
      <c r="CL271" s="53">
        <f t="shared" si="20"/>
        <v>0</v>
      </c>
      <c r="CM271" s="53">
        <f t="shared" si="20"/>
        <v>0</v>
      </c>
      <c r="CN271" s="53">
        <f t="shared" si="20"/>
        <v>0</v>
      </c>
      <c r="CO271" s="53">
        <f t="shared" si="20"/>
        <v>0</v>
      </c>
      <c r="CP271" s="53">
        <f t="shared" si="20"/>
        <v>0</v>
      </c>
      <c r="CQ271" s="53">
        <f t="shared" si="20"/>
        <v>0</v>
      </c>
      <c r="CR271" s="53">
        <f t="shared" si="20"/>
        <v>0</v>
      </c>
      <c r="CS271" s="53">
        <f t="shared" si="20"/>
        <v>0</v>
      </c>
      <c r="CT271" s="53">
        <f t="shared" si="20"/>
        <v>0</v>
      </c>
      <c r="CU271" s="53">
        <f t="shared" si="20"/>
        <v>0</v>
      </c>
      <c r="CV271" s="53">
        <f t="shared" si="20"/>
        <v>0</v>
      </c>
      <c r="CW271" s="53">
        <f t="shared" si="20"/>
        <v>0</v>
      </c>
      <c r="CX271" s="53">
        <f t="shared" si="20"/>
        <v>0</v>
      </c>
      <c r="DB271" s="2" vm="520">
        <f ca="1">IF(Returns!A275&lt;&gt;0,Returns!A275,"")</f>
        <v>42093</v>
      </c>
      <c r="DC271" s="11">
        <f ca="1">IF(Returns!B286&gt;0,Returns!B286/Returns!B285-1,"")</f>
        <v>1.1630070710829887E-2</v>
      </c>
      <c r="DD271" s="11">
        <f ca="1">IF(Returns!D278&gt;0,Returns!D278/Returns!D277-1,"")</f>
        <v>1.423956490451439E-2</v>
      </c>
    </row>
    <row r="272" spans="1:108" x14ac:dyDescent="0.3">
      <c r="B272" s="57">
        <f t="shared" ca="1" si="6"/>
        <v>3.5148885372946123E-3</v>
      </c>
      <c r="C272" s="53">
        <f t="shared" ref="C272:BN272" si="21">IFERROR(IF(C$262=0,0,(C13-C14)/C14),0)</f>
        <v>0</v>
      </c>
      <c r="D272" s="53">
        <f t="shared" si="21"/>
        <v>0</v>
      </c>
      <c r="E272" s="53">
        <f t="shared" si="21"/>
        <v>0</v>
      </c>
      <c r="F272" s="53">
        <f t="shared" si="21"/>
        <v>0</v>
      </c>
      <c r="G272" s="53">
        <f t="shared" si="21"/>
        <v>0</v>
      </c>
      <c r="H272" s="53">
        <f t="shared" si="21"/>
        <v>0</v>
      </c>
      <c r="I272" s="53">
        <f t="shared" si="21"/>
        <v>0</v>
      </c>
      <c r="J272" s="53">
        <f t="shared" si="21"/>
        <v>0</v>
      </c>
      <c r="K272" s="53">
        <f t="shared" si="21"/>
        <v>0</v>
      </c>
      <c r="L272" s="53">
        <f t="shared" si="21"/>
        <v>0</v>
      </c>
      <c r="M272" s="53">
        <f t="shared" si="21"/>
        <v>0</v>
      </c>
      <c r="N272" s="53">
        <f t="shared" si="21"/>
        <v>0</v>
      </c>
      <c r="O272" s="53">
        <f t="shared" si="21"/>
        <v>0</v>
      </c>
      <c r="P272" s="53">
        <f t="shared" si="21"/>
        <v>0</v>
      </c>
      <c r="Q272" s="53">
        <f t="shared" si="21"/>
        <v>0</v>
      </c>
      <c r="R272" s="53">
        <f t="shared" si="21"/>
        <v>0</v>
      </c>
      <c r="S272" s="53">
        <f t="shared" si="21"/>
        <v>0</v>
      </c>
      <c r="T272" s="53">
        <f t="shared" si="21"/>
        <v>0</v>
      </c>
      <c r="U272" s="53">
        <f t="shared" si="21"/>
        <v>0</v>
      </c>
      <c r="V272" s="53">
        <f t="shared" si="21"/>
        <v>0</v>
      </c>
      <c r="W272" s="53">
        <f t="shared" si="21"/>
        <v>0</v>
      </c>
      <c r="X272" s="53">
        <f t="shared" si="21"/>
        <v>0</v>
      </c>
      <c r="Y272" s="53">
        <f t="shared" si="21"/>
        <v>0</v>
      </c>
      <c r="Z272" s="53">
        <f t="shared" si="21"/>
        <v>0</v>
      </c>
      <c r="AA272" s="53">
        <f t="shared" si="21"/>
        <v>0</v>
      </c>
      <c r="AB272" s="53">
        <f t="shared" si="21"/>
        <v>0</v>
      </c>
      <c r="AC272" s="53">
        <f t="shared" si="21"/>
        <v>0</v>
      </c>
      <c r="AD272" s="53">
        <f t="shared" si="21"/>
        <v>0</v>
      </c>
      <c r="AE272" s="53">
        <f t="shared" si="21"/>
        <v>0</v>
      </c>
      <c r="AF272" s="53">
        <f t="shared" si="21"/>
        <v>0</v>
      </c>
      <c r="AG272" s="53">
        <f t="shared" si="21"/>
        <v>0</v>
      </c>
      <c r="AH272" s="53">
        <f t="shared" si="21"/>
        <v>0</v>
      </c>
      <c r="AI272" s="53">
        <f t="shared" si="21"/>
        <v>0</v>
      </c>
      <c r="AJ272" s="53">
        <f t="shared" si="21"/>
        <v>0</v>
      </c>
      <c r="AK272" s="53">
        <f t="shared" si="21"/>
        <v>0</v>
      </c>
      <c r="AL272" s="53">
        <f t="shared" si="21"/>
        <v>0</v>
      </c>
      <c r="AM272" s="53">
        <f t="shared" si="21"/>
        <v>0</v>
      </c>
      <c r="AN272" s="53">
        <f t="shared" si="21"/>
        <v>0</v>
      </c>
      <c r="AO272" s="53">
        <f t="shared" si="21"/>
        <v>0</v>
      </c>
      <c r="AP272" s="53">
        <f t="shared" si="21"/>
        <v>0</v>
      </c>
      <c r="AQ272" s="53">
        <f t="shared" si="21"/>
        <v>0</v>
      </c>
      <c r="AR272" s="53">
        <f t="shared" si="21"/>
        <v>0</v>
      </c>
      <c r="AS272" s="53">
        <f t="shared" si="21"/>
        <v>0</v>
      </c>
      <c r="AT272" s="53">
        <f t="shared" si="21"/>
        <v>0</v>
      </c>
      <c r="AU272" s="53">
        <f t="shared" si="21"/>
        <v>0</v>
      </c>
      <c r="AV272" s="53">
        <f t="shared" si="21"/>
        <v>0</v>
      </c>
      <c r="AW272" s="53">
        <f t="shared" si="21"/>
        <v>0</v>
      </c>
      <c r="AX272" s="53">
        <f t="shared" si="21"/>
        <v>0</v>
      </c>
      <c r="AY272" s="53">
        <f t="shared" si="21"/>
        <v>0</v>
      </c>
      <c r="AZ272" s="53">
        <f t="shared" si="21"/>
        <v>0</v>
      </c>
      <c r="BA272" s="53">
        <f t="shared" si="21"/>
        <v>0</v>
      </c>
      <c r="BB272" s="53">
        <f t="shared" si="21"/>
        <v>0</v>
      </c>
      <c r="BC272" s="53">
        <f t="shared" si="21"/>
        <v>0</v>
      </c>
      <c r="BD272" s="53">
        <f t="shared" si="21"/>
        <v>0</v>
      </c>
      <c r="BE272" s="53">
        <f t="shared" si="21"/>
        <v>0</v>
      </c>
      <c r="BF272" s="53">
        <f t="shared" si="21"/>
        <v>0</v>
      </c>
      <c r="BG272" s="53">
        <f t="shared" si="21"/>
        <v>0</v>
      </c>
      <c r="BH272" s="53">
        <f t="shared" si="21"/>
        <v>0</v>
      </c>
      <c r="BI272" s="53">
        <f t="shared" si="21"/>
        <v>0</v>
      </c>
      <c r="BJ272" s="53">
        <f t="shared" si="21"/>
        <v>0</v>
      </c>
      <c r="BK272" s="53">
        <f t="shared" si="21"/>
        <v>0</v>
      </c>
      <c r="BL272" s="53">
        <f t="shared" si="21"/>
        <v>0</v>
      </c>
      <c r="BM272" s="53">
        <f t="shared" si="21"/>
        <v>0</v>
      </c>
      <c r="BN272" s="53">
        <f t="shared" si="21"/>
        <v>0</v>
      </c>
      <c r="BO272" s="53">
        <f t="shared" ref="BO272:CX272" si="22">IFERROR(IF(BO$262=0,0,(BO13-BO14)/BO14),0)</f>
        <v>0</v>
      </c>
      <c r="BP272" s="53">
        <f t="shared" si="22"/>
        <v>0</v>
      </c>
      <c r="BQ272" s="53">
        <f t="shared" si="22"/>
        <v>0</v>
      </c>
      <c r="BR272" s="53">
        <f t="shared" si="22"/>
        <v>0</v>
      </c>
      <c r="BS272" s="53">
        <f t="shared" si="22"/>
        <v>0</v>
      </c>
      <c r="BT272" s="53">
        <f t="shared" si="22"/>
        <v>0</v>
      </c>
      <c r="BU272" s="53">
        <f t="shared" si="22"/>
        <v>0</v>
      </c>
      <c r="BV272" s="53">
        <f t="shared" si="22"/>
        <v>0</v>
      </c>
      <c r="BW272" s="53">
        <f t="shared" si="22"/>
        <v>0</v>
      </c>
      <c r="BX272" s="53">
        <f t="shared" si="22"/>
        <v>0</v>
      </c>
      <c r="BY272" s="53">
        <f t="shared" si="22"/>
        <v>0</v>
      </c>
      <c r="BZ272" s="53">
        <f t="shared" si="22"/>
        <v>0</v>
      </c>
      <c r="CA272" s="53">
        <f t="shared" si="22"/>
        <v>0</v>
      </c>
      <c r="CB272" s="53">
        <f t="shared" si="22"/>
        <v>0</v>
      </c>
      <c r="CC272" s="53">
        <f t="shared" si="22"/>
        <v>0</v>
      </c>
      <c r="CD272" s="53">
        <f t="shared" si="22"/>
        <v>0</v>
      </c>
      <c r="CE272" s="53">
        <f t="shared" si="22"/>
        <v>0</v>
      </c>
      <c r="CF272" s="53">
        <f t="shared" si="22"/>
        <v>0</v>
      </c>
      <c r="CG272" s="53">
        <f t="shared" si="22"/>
        <v>0</v>
      </c>
      <c r="CH272" s="53">
        <f t="shared" si="22"/>
        <v>0</v>
      </c>
      <c r="CI272" s="53">
        <f t="shared" si="22"/>
        <v>0</v>
      </c>
      <c r="CJ272" s="53">
        <f t="shared" si="22"/>
        <v>0</v>
      </c>
      <c r="CK272" s="53">
        <f t="shared" si="22"/>
        <v>0</v>
      </c>
      <c r="CL272" s="53">
        <f t="shared" si="22"/>
        <v>0</v>
      </c>
      <c r="CM272" s="53">
        <f t="shared" si="22"/>
        <v>0</v>
      </c>
      <c r="CN272" s="53">
        <f t="shared" si="22"/>
        <v>0</v>
      </c>
      <c r="CO272" s="53">
        <f t="shared" si="22"/>
        <v>0</v>
      </c>
      <c r="CP272" s="53">
        <f t="shared" si="22"/>
        <v>0</v>
      </c>
      <c r="CQ272" s="53">
        <f t="shared" si="22"/>
        <v>0</v>
      </c>
      <c r="CR272" s="53">
        <f t="shared" si="22"/>
        <v>0</v>
      </c>
      <c r="CS272" s="53">
        <f t="shared" si="22"/>
        <v>0</v>
      </c>
      <c r="CT272" s="53">
        <f t="shared" si="22"/>
        <v>0</v>
      </c>
      <c r="CU272" s="53">
        <f t="shared" si="22"/>
        <v>0</v>
      </c>
      <c r="CV272" s="53">
        <f t="shared" si="22"/>
        <v>0</v>
      </c>
      <c r="CW272" s="53">
        <f t="shared" si="22"/>
        <v>0</v>
      </c>
      <c r="CX272" s="53">
        <f t="shared" si="22"/>
        <v>0</v>
      </c>
      <c r="DB272" s="2" vm="521">
        <f ca="1">IF(Returns!A276&lt;&gt;0,Returns!A276,"")</f>
        <v>42100</v>
      </c>
      <c r="DC272" s="11">
        <f ca="1">IF(Returns!B287&gt;0,Returns!B287/Returns!B286-1,"")</f>
        <v>7.3116895061162701E-3</v>
      </c>
      <c r="DD272" s="11">
        <f ca="1">IF(Returns!D279&gt;0,Returns!D279/Returns!D278-1,"")</f>
        <v>-3.1020829543378925E-3</v>
      </c>
    </row>
    <row r="273" spans="2:108" x14ac:dyDescent="0.3">
      <c r="B273" s="57">
        <f t="shared" ca="1" si="6"/>
        <v>6.5988698882891664E-3</v>
      </c>
      <c r="C273" s="53">
        <f t="shared" ref="C273:BN273" si="23">IFERROR(IF(C$262=0,0,(C14-C15)/C15),0)</f>
        <v>0</v>
      </c>
      <c r="D273" s="53">
        <f t="shared" si="23"/>
        <v>0</v>
      </c>
      <c r="E273" s="53">
        <f t="shared" si="23"/>
        <v>0</v>
      </c>
      <c r="F273" s="53">
        <f t="shared" si="23"/>
        <v>0</v>
      </c>
      <c r="G273" s="53">
        <f t="shared" si="23"/>
        <v>0</v>
      </c>
      <c r="H273" s="53">
        <f t="shared" si="23"/>
        <v>0</v>
      </c>
      <c r="I273" s="53">
        <f t="shared" si="23"/>
        <v>0</v>
      </c>
      <c r="J273" s="53">
        <f t="shared" si="23"/>
        <v>0</v>
      </c>
      <c r="K273" s="53">
        <f t="shared" si="23"/>
        <v>0</v>
      </c>
      <c r="L273" s="53">
        <f t="shared" si="23"/>
        <v>0</v>
      </c>
      <c r="M273" s="53">
        <f t="shared" si="23"/>
        <v>0</v>
      </c>
      <c r="N273" s="53">
        <f t="shared" si="23"/>
        <v>0</v>
      </c>
      <c r="O273" s="53">
        <f t="shared" si="23"/>
        <v>0</v>
      </c>
      <c r="P273" s="53">
        <f t="shared" si="23"/>
        <v>0</v>
      </c>
      <c r="Q273" s="53">
        <f t="shared" si="23"/>
        <v>0</v>
      </c>
      <c r="R273" s="53">
        <f t="shared" si="23"/>
        <v>0</v>
      </c>
      <c r="S273" s="53">
        <f t="shared" si="23"/>
        <v>0</v>
      </c>
      <c r="T273" s="53">
        <f t="shared" si="23"/>
        <v>0</v>
      </c>
      <c r="U273" s="53">
        <f t="shared" si="23"/>
        <v>0</v>
      </c>
      <c r="V273" s="53">
        <f t="shared" si="23"/>
        <v>0</v>
      </c>
      <c r="W273" s="53">
        <f t="shared" si="23"/>
        <v>0</v>
      </c>
      <c r="X273" s="53">
        <f t="shared" si="23"/>
        <v>0</v>
      </c>
      <c r="Y273" s="53">
        <f t="shared" si="23"/>
        <v>0</v>
      </c>
      <c r="Z273" s="53">
        <f t="shared" si="23"/>
        <v>0</v>
      </c>
      <c r="AA273" s="53">
        <f t="shared" si="23"/>
        <v>0</v>
      </c>
      <c r="AB273" s="53">
        <f t="shared" si="23"/>
        <v>0</v>
      </c>
      <c r="AC273" s="53">
        <f t="shared" si="23"/>
        <v>0</v>
      </c>
      <c r="AD273" s="53">
        <f t="shared" si="23"/>
        <v>0</v>
      </c>
      <c r="AE273" s="53">
        <f t="shared" si="23"/>
        <v>0</v>
      </c>
      <c r="AF273" s="53">
        <f t="shared" si="23"/>
        <v>0</v>
      </c>
      <c r="AG273" s="53">
        <f t="shared" si="23"/>
        <v>0</v>
      </c>
      <c r="AH273" s="53">
        <f t="shared" si="23"/>
        <v>0</v>
      </c>
      <c r="AI273" s="53">
        <f t="shared" si="23"/>
        <v>0</v>
      </c>
      <c r="AJ273" s="53">
        <f t="shared" si="23"/>
        <v>0</v>
      </c>
      <c r="AK273" s="53">
        <f t="shared" si="23"/>
        <v>0</v>
      </c>
      <c r="AL273" s="53">
        <f t="shared" si="23"/>
        <v>0</v>
      </c>
      <c r="AM273" s="53">
        <f t="shared" si="23"/>
        <v>0</v>
      </c>
      <c r="AN273" s="53">
        <f t="shared" si="23"/>
        <v>0</v>
      </c>
      <c r="AO273" s="53">
        <f t="shared" si="23"/>
        <v>0</v>
      </c>
      <c r="AP273" s="53">
        <f t="shared" si="23"/>
        <v>0</v>
      </c>
      <c r="AQ273" s="53">
        <f t="shared" si="23"/>
        <v>0</v>
      </c>
      <c r="AR273" s="53">
        <f t="shared" si="23"/>
        <v>0</v>
      </c>
      <c r="AS273" s="53">
        <f t="shared" si="23"/>
        <v>0</v>
      </c>
      <c r="AT273" s="53">
        <f t="shared" si="23"/>
        <v>0</v>
      </c>
      <c r="AU273" s="53">
        <f t="shared" si="23"/>
        <v>0</v>
      </c>
      <c r="AV273" s="53">
        <f t="shared" si="23"/>
        <v>0</v>
      </c>
      <c r="AW273" s="53">
        <f t="shared" si="23"/>
        <v>0</v>
      </c>
      <c r="AX273" s="53">
        <f t="shared" si="23"/>
        <v>0</v>
      </c>
      <c r="AY273" s="53">
        <f t="shared" si="23"/>
        <v>0</v>
      </c>
      <c r="AZ273" s="53">
        <f t="shared" si="23"/>
        <v>0</v>
      </c>
      <c r="BA273" s="53">
        <f t="shared" si="23"/>
        <v>0</v>
      </c>
      <c r="BB273" s="53">
        <f t="shared" si="23"/>
        <v>0</v>
      </c>
      <c r="BC273" s="53">
        <f t="shared" si="23"/>
        <v>0</v>
      </c>
      <c r="BD273" s="53">
        <f t="shared" si="23"/>
        <v>0</v>
      </c>
      <c r="BE273" s="53">
        <f t="shared" si="23"/>
        <v>0</v>
      </c>
      <c r="BF273" s="53">
        <f t="shared" si="23"/>
        <v>0</v>
      </c>
      <c r="BG273" s="53">
        <f t="shared" si="23"/>
        <v>0</v>
      </c>
      <c r="BH273" s="53">
        <f t="shared" si="23"/>
        <v>0</v>
      </c>
      <c r="BI273" s="53">
        <f t="shared" si="23"/>
        <v>0</v>
      </c>
      <c r="BJ273" s="53">
        <f t="shared" si="23"/>
        <v>0</v>
      </c>
      <c r="BK273" s="53">
        <f t="shared" si="23"/>
        <v>0</v>
      </c>
      <c r="BL273" s="53">
        <f t="shared" si="23"/>
        <v>0</v>
      </c>
      <c r="BM273" s="53">
        <f t="shared" si="23"/>
        <v>0</v>
      </c>
      <c r="BN273" s="53">
        <f t="shared" si="23"/>
        <v>0</v>
      </c>
      <c r="BO273" s="53">
        <f t="shared" ref="BO273:CX273" si="24">IFERROR(IF(BO$262=0,0,(BO14-BO15)/BO15),0)</f>
        <v>0</v>
      </c>
      <c r="BP273" s="53">
        <f t="shared" si="24"/>
        <v>0</v>
      </c>
      <c r="BQ273" s="53">
        <f t="shared" si="24"/>
        <v>0</v>
      </c>
      <c r="BR273" s="53">
        <f t="shared" si="24"/>
        <v>0</v>
      </c>
      <c r="BS273" s="53">
        <f t="shared" si="24"/>
        <v>0</v>
      </c>
      <c r="BT273" s="53">
        <f t="shared" si="24"/>
        <v>0</v>
      </c>
      <c r="BU273" s="53">
        <f t="shared" si="24"/>
        <v>0</v>
      </c>
      <c r="BV273" s="53">
        <f t="shared" si="24"/>
        <v>0</v>
      </c>
      <c r="BW273" s="53">
        <f t="shared" si="24"/>
        <v>0</v>
      </c>
      <c r="BX273" s="53">
        <f t="shared" si="24"/>
        <v>0</v>
      </c>
      <c r="BY273" s="53">
        <f t="shared" si="24"/>
        <v>0</v>
      </c>
      <c r="BZ273" s="53">
        <f t="shared" si="24"/>
        <v>0</v>
      </c>
      <c r="CA273" s="53">
        <f t="shared" si="24"/>
        <v>0</v>
      </c>
      <c r="CB273" s="53">
        <f t="shared" si="24"/>
        <v>0</v>
      </c>
      <c r="CC273" s="53">
        <f t="shared" si="24"/>
        <v>0</v>
      </c>
      <c r="CD273" s="53">
        <f t="shared" si="24"/>
        <v>0</v>
      </c>
      <c r="CE273" s="53">
        <f t="shared" si="24"/>
        <v>0</v>
      </c>
      <c r="CF273" s="53">
        <f t="shared" si="24"/>
        <v>0</v>
      </c>
      <c r="CG273" s="53">
        <f t="shared" si="24"/>
        <v>0</v>
      </c>
      <c r="CH273" s="53">
        <f t="shared" si="24"/>
        <v>0</v>
      </c>
      <c r="CI273" s="53">
        <f t="shared" si="24"/>
        <v>0</v>
      </c>
      <c r="CJ273" s="53">
        <f t="shared" si="24"/>
        <v>0</v>
      </c>
      <c r="CK273" s="53">
        <f t="shared" si="24"/>
        <v>0</v>
      </c>
      <c r="CL273" s="53">
        <f t="shared" si="24"/>
        <v>0</v>
      </c>
      <c r="CM273" s="53">
        <f t="shared" si="24"/>
        <v>0</v>
      </c>
      <c r="CN273" s="53">
        <f t="shared" si="24"/>
        <v>0</v>
      </c>
      <c r="CO273" s="53">
        <f t="shared" si="24"/>
        <v>0</v>
      </c>
      <c r="CP273" s="53">
        <f t="shared" si="24"/>
        <v>0</v>
      </c>
      <c r="CQ273" s="53">
        <f t="shared" si="24"/>
        <v>0</v>
      </c>
      <c r="CR273" s="53">
        <f t="shared" si="24"/>
        <v>0</v>
      </c>
      <c r="CS273" s="53">
        <f t="shared" si="24"/>
        <v>0</v>
      </c>
      <c r="CT273" s="53">
        <f t="shared" si="24"/>
        <v>0</v>
      </c>
      <c r="CU273" s="53">
        <f t="shared" si="24"/>
        <v>0</v>
      </c>
      <c r="CV273" s="53">
        <f t="shared" si="24"/>
        <v>0</v>
      </c>
      <c r="CW273" s="53">
        <f t="shared" si="24"/>
        <v>0</v>
      </c>
      <c r="CX273" s="53">
        <f t="shared" si="24"/>
        <v>0</v>
      </c>
      <c r="DB273" s="2" vm="522">
        <f ca="1">IF(Returns!A277&lt;&gt;0,Returns!A277,"")</f>
        <v>42107</v>
      </c>
      <c r="DC273" s="11">
        <f ca="1">IF(Returns!B288&gt;0,Returns!B288/Returns!B287-1,"")</f>
        <v>-8.902077151335952E-4</v>
      </c>
      <c r="DD273" s="11">
        <f ca="1">IF(Returns!D280&gt;0,Returns!D280/Returns!D279-1,"")</f>
        <v>9.2685687313509568E-3</v>
      </c>
    </row>
    <row r="274" spans="2:108" x14ac:dyDescent="0.3">
      <c r="B274" s="57">
        <f t="shared" ca="1" si="6"/>
        <v>2.9943640166797516E-3</v>
      </c>
      <c r="C274" s="53">
        <f t="shared" ref="C274:BN274" si="25">IFERROR(IF(C$262=0,0,(C15-C16)/C16),0)</f>
        <v>0</v>
      </c>
      <c r="D274" s="53">
        <f t="shared" si="25"/>
        <v>0</v>
      </c>
      <c r="E274" s="53">
        <f t="shared" si="25"/>
        <v>0</v>
      </c>
      <c r="F274" s="53">
        <f t="shared" si="25"/>
        <v>0</v>
      </c>
      <c r="G274" s="53">
        <f t="shared" si="25"/>
        <v>0</v>
      </c>
      <c r="H274" s="53">
        <f t="shared" si="25"/>
        <v>0</v>
      </c>
      <c r="I274" s="53">
        <f t="shared" si="25"/>
        <v>0</v>
      </c>
      <c r="J274" s="53">
        <f t="shared" si="25"/>
        <v>0</v>
      </c>
      <c r="K274" s="53">
        <f t="shared" si="25"/>
        <v>0</v>
      </c>
      <c r="L274" s="53">
        <f t="shared" si="25"/>
        <v>0</v>
      </c>
      <c r="M274" s="53">
        <f t="shared" si="25"/>
        <v>0</v>
      </c>
      <c r="N274" s="53">
        <f t="shared" si="25"/>
        <v>0</v>
      </c>
      <c r="O274" s="53">
        <f t="shared" si="25"/>
        <v>0</v>
      </c>
      <c r="P274" s="53">
        <f t="shared" si="25"/>
        <v>0</v>
      </c>
      <c r="Q274" s="53">
        <f t="shared" si="25"/>
        <v>0</v>
      </c>
      <c r="R274" s="53">
        <f t="shared" si="25"/>
        <v>0</v>
      </c>
      <c r="S274" s="53">
        <f t="shared" si="25"/>
        <v>0</v>
      </c>
      <c r="T274" s="53">
        <f t="shared" si="25"/>
        <v>0</v>
      </c>
      <c r="U274" s="53">
        <f t="shared" si="25"/>
        <v>0</v>
      </c>
      <c r="V274" s="53">
        <f t="shared" si="25"/>
        <v>0</v>
      </c>
      <c r="W274" s="53">
        <f t="shared" si="25"/>
        <v>0</v>
      </c>
      <c r="X274" s="53">
        <f t="shared" si="25"/>
        <v>0</v>
      </c>
      <c r="Y274" s="53">
        <f t="shared" si="25"/>
        <v>0</v>
      </c>
      <c r="Z274" s="53">
        <f t="shared" si="25"/>
        <v>0</v>
      </c>
      <c r="AA274" s="53">
        <f t="shared" si="25"/>
        <v>0</v>
      </c>
      <c r="AB274" s="53">
        <f t="shared" si="25"/>
        <v>0</v>
      </c>
      <c r="AC274" s="53">
        <f t="shared" si="25"/>
        <v>0</v>
      </c>
      <c r="AD274" s="53">
        <f t="shared" si="25"/>
        <v>0</v>
      </c>
      <c r="AE274" s="53">
        <f t="shared" si="25"/>
        <v>0</v>
      </c>
      <c r="AF274" s="53">
        <f t="shared" si="25"/>
        <v>0</v>
      </c>
      <c r="AG274" s="53">
        <f t="shared" si="25"/>
        <v>0</v>
      </c>
      <c r="AH274" s="53">
        <f t="shared" si="25"/>
        <v>0</v>
      </c>
      <c r="AI274" s="53">
        <f t="shared" si="25"/>
        <v>0</v>
      </c>
      <c r="AJ274" s="53">
        <f t="shared" si="25"/>
        <v>0</v>
      </c>
      <c r="AK274" s="53">
        <f t="shared" si="25"/>
        <v>0</v>
      </c>
      <c r="AL274" s="53">
        <f t="shared" si="25"/>
        <v>0</v>
      </c>
      <c r="AM274" s="53">
        <f t="shared" si="25"/>
        <v>0</v>
      </c>
      <c r="AN274" s="53">
        <f t="shared" si="25"/>
        <v>0</v>
      </c>
      <c r="AO274" s="53">
        <f t="shared" si="25"/>
        <v>0</v>
      </c>
      <c r="AP274" s="53">
        <f t="shared" si="25"/>
        <v>0</v>
      </c>
      <c r="AQ274" s="53">
        <f t="shared" si="25"/>
        <v>0</v>
      </c>
      <c r="AR274" s="53">
        <f t="shared" si="25"/>
        <v>0</v>
      </c>
      <c r="AS274" s="53">
        <f t="shared" si="25"/>
        <v>0</v>
      </c>
      <c r="AT274" s="53">
        <f t="shared" si="25"/>
        <v>0</v>
      </c>
      <c r="AU274" s="53">
        <f t="shared" si="25"/>
        <v>0</v>
      </c>
      <c r="AV274" s="53">
        <f t="shared" si="25"/>
        <v>0</v>
      </c>
      <c r="AW274" s="53">
        <f t="shared" si="25"/>
        <v>0</v>
      </c>
      <c r="AX274" s="53">
        <f t="shared" si="25"/>
        <v>0</v>
      </c>
      <c r="AY274" s="53">
        <f t="shared" si="25"/>
        <v>0</v>
      </c>
      <c r="AZ274" s="53">
        <f t="shared" si="25"/>
        <v>0</v>
      </c>
      <c r="BA274" s="53">
        <f t="shared" si="25"/>
        <v>0</v>
      </c>
      <c r="BB274" s="53">
        <f t="shared" si="25"/>
        <v>0</v>
      </c>
      <c r="BC274" s="53">
        <f t="shared" si="25"/>
        <v>0</v>
      </c>
      <c r="BD274" s="53">
        <f t="shared" si="25"/>
        <v>0</v>
      </c>
      <c r="BE274" s="53">
        <f t="shared" si="25"/>
        <v>0</v>
      </c>
      <c r="BF274" s="53">
        <f t="shared" si="25"/>
        <v>0</v>
      </c>
      <c r="BG274" s="53">
        <f t="shared" si="25"/>
        <v>0</v>
      </c>
      <c r="BH274" s="53">
        <f t="shared" si="25"/>
        <v>0</v>
      </c>
      <c r="BI274" s="53">
        <f t="shared" si="25"/>
        <v>0</v>
      </c>
      <c r="BJ274" s="53">
        <f t="shared" si="25"/>
        <v>0</v>
      </c>
      <c r="BK274" s="53">
        <f t="shared" si="25"/>
        <v>0</v>
      </c>
      <c r="BL274" s="53">
        <f t="shared" si="25"/>
        <v>0</v>
      </c>
      <c r="BM274" s="53">
        <f t="shared" si="25"/>
        <v>0</v>
      </c>
      <c r="BN274" s="53">
        <f t="shared" si="25"/>
        <v>0</v>
      </c>
      <c r="BO274" s="53">
        <f t="shared" ref="BO274:CX274" si="26">IFERROR(IF(BO$262=0,0,(BO15-BO16)/BO16),0)</f>
        <v>0</v>
      </c>
      <c r="BP274" s="53">
        <f t="shared" si="26"/>
        <v>0</v>
      </c>
      <c r="BQ274" s="53">
        <f t="shared" si="26"/>
        <v>0</v>
      </c>
      <c r="BR274" s="53">
        <f t="shared" si="26"/>
        <v>0</v>
      </c>
      <c r="BS274" s="53">
        <f t="shared" si="26"/>
        <v>0</v>
      </c>
      <c r="BT274" s="53">
        <f t="shared" si="26"/>
        <v>0</v>
      </c>
      <c r="BU274" s="53">
        <f t="shared" si="26"/>
        <v>0</v>
      </c>
      <c r="BV274" s="53">
        <f t="shared" si="26"/>
        <v>0</v>
      </c>
      <c r="BW274" s="53">
        <f t="shared" si="26"/>
        <v>0</v>
      </c>
      <c r="BX274" s="53">
        <f t="shared" si="26"/>
        <v>0</v>
      </c>
      <c r="BY274" s="53">
        <f t="shared" si="26"/>
        <v>0</v>
      </c>
      <c r="BZ274" s="53">
        <f t="shared" si="26"/>
        <v>0</v>
      </c>
      <c r="CA274" s="53">
        <f t="shared" si="26"/>
        <v>0</v>
      </c>
      <c r="CB274" s="53">
        <f t="shared" si="26"/>
        <v>0</v>
      </c>
      <c r="CC274" s="53">
        <f t="shared" si="26"/>
        <v>0</v>
      </c>
      <c r="CD274" s="53">
        <f t="shared" si="26"/>
        <v>0</v>
      </c>
      <c r="CE274" s="53">
        <f t="shared" si="26"/>
        <v>0</v>
      </c>
      <c r="CF274" s="53">
        <f t="shared" si="26"/>
        <v>0</v>
      </c>
      <c r="CG274" s="53">
        <f t="shared" si="26"/>
        <v>0</v>
      </c>
      <c r="CH274" s="53">
        <f t="shared" si="26"/>
        <v>0</v>
      </c>
      <c r="CI274" s="53">
        <f t="shared" si="26"/>
        <v>0</v>
      </c>
      <c r="CJ274" s="53">
        <f t="shared" si="26"/>
        <v>0</v>
      </c>
      <c r="CK274" s="53">
        <f t="shared" si="26"/>
        <v>0</v>
      </c>
      <c r="CL274" s="53">
        <f t="shared" si="26"/>
        <v>0</v>
      </c>
      <c r="CM274" s="53">
        <f t="shared" si="26"/>
        <v>0</v>
      </c>
      <c r="CN274" s="53">
        <f t="shared" si="26"/>
        <v>0</v>
      </c>
      <c r="CO274" s="53">
        <f t="shared" si="26"/>
        <v>0</v>
      </c>
      <c r="CP274" s="53">
        <f t="shared" si="26"/>
        <v>0</v>
      </c>
      <c r="CQ274" s="53">
        <f t="shared" si="26"/>
        <v>0</v>
      </c>
      <c r="CR274" s="53">
        <f t="shared" si="26"/>
        <v>0</v>
      </c>
      <c r="CS274" s="53">
        <f t="shared" si="26"/>
        <v>0</v>
      </c>
      <c r="CT274" s="53">
        <f t="shared" si="26"/>
        <v>0</v>
      </c>
      <c r="CU274" s="53">
        <f t="shared" si="26"/>
        <v>0</v>
      </c>
      <c r="CV274" s="53">
        <f t="shared" si="26"/>
        <v>0</v>
      </c>
      <c r="CW274" s="53">
        <f t="shared" si="26"/>
        <v>0</v>
      </c>
      <c r="CX274" s="53">
        <f t="shared" si="26"/>
        <v>0</v>
      </c>
      <c r="DB274" s="2" vm="523">
        <f ca="1">IF(Returns!A278&lt;&gt;0,Returns!A278,"")</f>
        <v>42114</v>
      </c>
      <c r="DC274" s="11">
        <f ca="1">IF(Returns!B289&gt;0,Returns!B289/Returns!B288-1,"")</f>
        <v>1.3250782481551759E-2</v>
      </c>
      <c r="DD274" s="11">
        <f ca="1">IF(Returns!D281&gt;0,Returns!D281/Returns!D280-1,"")</f>
        <v>4.4770872458435029E-3</v>
      </c>
    </row>
    <row r="275" spans="2:108" x14ac:dyDescent="0.3">
      <c r="B275" s="57">
        <f t="shared" ca="1" si="6"/>
        <v>5.5088367811022959E-4</v>
      </c>
      <c r="C275" s="53">
        <f t="shared" ref="C275:BN275" si="27">IFERROR(IF(C$262=0,0,(C16-C17)/C17),0)</f>
        <v>0</v>
      </c>
      <c r="D275" s="53">
        <f t="shared" si="27"/>
        <v>0</v>
      </c>
      <c r="E275" s="53">
        <f t="shared" si="27"/>
        <v>0</v>
      </c>
      <c r="F275" s="53">
        <f t="shared" si="27"/>
        <v>0</v>
      </c>
      <c r="G275" s="53">
        <f t="shared" si="27"/>
        <v>0</v>
      </c>
      <c r="H275" s="53">
        <f t="shared" si="27"/>
        <v>0</v>
      </c>
      <c r="I275" s="53">
        <f t="shared" si="27"/>
        <v>0</v>
      </c>
      <c r="J275" s="53">
        <f t="shared" si="27"/>
        <v>0</v>
      </c>
      <c r="K275" s="53">
        <f t="shared" si="27"/>
        <v>0</v>
      </c>
      <c r="L275" s="53">
        <f t="shared" si="27"/>
        <v>0</v>
      </c>
      <c r="M275" s="53">
        <f t="shared" si="27"/>
        <v>0</v>
      </c>
      <c r="N275" s="53">
        <f t="shared" si="27"/>
        <v>0</v>
      </c>
      <c r="O275" s="53">
        <f t="shared" si="27"/>
        <v>0</v>
      </c>
      <c r="P275" s="53">
        <f t="shared" si="27"/>
        <v>0</v>
      </c>
      <c r="Q275" s="53">
        <f t="shared" si="27"/>
        <v>0</v>
      </c>
      <c r="R275" s="53">
        <f t="shared" si="27"/>
        <v>0</v>
      </c>
      <c r="S275" s="53">
        <f t="shared" si="27"/>
        <v>0</v>
      </c>
      <c r="T275" s="53">
        <f t="shared" si="27"/>
        <v>0</v>
      </c>
      <c r="U275" s="53">
        <f t="shared" si="27"/>
        <v>0</v>
      </c>
      <c r="V275" s="53">
        <f t="shared" si="27"/>
        <v>0</v>
      </c>
      <c r="W275" s="53">
        <f t="shared" si="27"/>
        <v>0</v>
      </c>
      <c r="X275" s="53">
        <f t="shared" si="27"/>
        <v>0</v>
      </c>
      <c r="Y275" s="53">
        <f t="shared" si="27"/>
        <v>0</v>
      </c>
      <c r="Z275" s="53">
        <f t="shared" si="27"/>
        <v>0</v>
      </c>
      <c r="AA275" s="53">
        <f t="shared" si="27"/>
        <v>0</v>
      </c>
      <c r="AB275" s="53">
        <f t="shared" si="27"/>
        <v>0</v>
      </c>
      <c r="AC275" s="53">
        <f t="shared" si="27"/>
        <v>0</v>
      </c>
      <c r="AD275" s="53">
        <f t="shared" si="27"/>
        <v>0</v>
      </c>
      <c r="AE275" s="53">
        <f t="shared" si="27"/>
        <v>0</v>
      </c>
      <c r="AF275" s="53">
        <f t="shared" si="27"/>
        <v>0</v>
      </c>
      <c r="AG275" s="53">
        <f t="shared" si="27"/>
        <v>0</v>
      </c>
      <c r="AH275" s="53">
        <f t="shared" si="27"/>
        <v>0</v>
      </c>
      <c r="AI275" s="53">
        <f t="shared" si="27"/>
        <v>0</v>
      </c>
      <c r="AJ275" s="53">
        <f t="shared" si="27"/>
        <v>0</v>
      </c>
      <c r="AK275" s="53">
        <f t="shared" si="27"/>
        <v>0</v>
      </c>
      <c r="AL275" s="53">
        <f t="shared" si="27"/>
        <v>0</v>
      </c>
      <c r="AM275" s="53">
        <f t="shared" si="27"/>
        <v>0</v>
      </c>
      <c r="AN275" s="53">
        <f t="shared" si="27"/>
        <v>0</v>
      </c>
      <c r="AO275" s="53">
        <f t="shared" si="27"/>
        <v>0</v>
      </c>
      <c r="AP275" s="53">
        <f t="shared" si="27"/>
        <v>0</v>
      </c>
      <c r="AQ275" s="53">
        <f t="shared" si="27"/>
        <v>0</v>
      </c>
      <c r="AR275" s="53">
        <f t="shared" si="27"/>
        <v>0</v>
      </c>
      <c r="AS275" s="53">
        <f t="shared" si="27"/>
        <v>0</v>
      </c>
      <c r="AT275" s="53">
        <f t="shared" si="27"/>
        <v>0</v>
      </c>
      <c r="AU275" s="53">
        <f t="shared" si="27"/>
        <v>0</v>
      </c>
      <c r="AV275" s="53">
        <f t="shared" si="27"/>
        <v>0</v>
      </c>
      <c r="AW275" s="53">
        <f t="shared" si="27"/>
        <v>0</v>
      </c>
      <c r="AX275" s="53">
        <f t="shared" si="27"/>
        <v>0</v>
      </c>
      <c r="AY275" s="53">
        <f t="shared" si="27"/>
        <v>0</v>
      </c>
      <c r="AZ275" s="53">
        <f t="shared" si="27"/>
        <v>0</v>
      </c>
      <c r="BA275" s="53">
        <f t="shared" si="27"/>
        <v>0</v>
      </c>
      <c r="BB275" s="53">
        <f t="shared" si="27"/>
        <v>0</v>
      </c>
      <c r="BC275" s="53">
        <f t="shared" si="27"/>
        <v>0</v>
      </c>
      <c r="BD275" s="53">
        <f t="shared" si="27"/>
        <v>0</v>
      </c>
      <c r="BE275" s="53">
        <f t="shared" si="27"/>
        <v>0</v>
      </c>
      <c r="BF275" s="53">
        <f t="shared" si="27"/>
        <v>0</v>
      </c>
      <c r="BG275" s="53">
        <f t="shared" si="27"/>
        <v>0</v>
      </c>
      <c r="BH275" s="53">
        <f t="shared" si="27"/>
        <v>0</v>
      </c>
      <c r="BI275" s="53">
        <f t="shared" si="27"/>
        <v>0</v>
      </c>
      <c r="BJ275" s="53">
        <f t="shared" si="27"/>
        <v>0</v>
      </c>
      <c r="BK275" s="53">
        <f t="shared" si="27"/>
        <v>0</v>
      </c>
      <c r="BL275" s="53">
        <f t="shared" si="27"/>
        <v>0</v>
      </c>
      <c r="BM275" s="53">
        <f t="shared" si="27"/>
        <v>0</v>
      </c>
      <c r="BN275" s="53">
        <f t="shared" si="27"/>
        <v>0</v>
      </c>
      <c r="BO275" s="53">
        <f t="shared" ref="BO275:CX275" si="28">IFERROR(IF(BO$262=0,0,(BO16-BO17)/BO17),0)</f>
        <v>0</v>
      </c>
      <c r="BP275" s="53">
        <f t="shared" si="28"/>
        <v>0</v>
      </c>
      <c r="BQ275" s="53">
        <f t="shared" si="28"/>
        <v>0</v>
      </c>
      <c r="BR275" s="53">
        <f t="shared" si="28"/>
        <v>0</v>
      </c>
      <c r="BS275" s="53">
        <f t="shared" si="28"/>
        <v>0</v>
      </c>
      <c r="BT275" s="53">
        <f t="shared" si="28"/>
        <v>0</v>
      </c>
      <c r="BU275" s="53">
        <f t="shared" si="28"/>
        <v>0</v>
      </c>
      <c r="BV275" s="53">
        <f t="shared" si="28"/>
        <v>0</v>
      </c>
      <c r="BW275" s="53">
        <f t="shared" si="28"/>
        <v>0</v>
      </c>
      <c r="BX275" s="53">
        <f t="shared" si="28"/>
        <v>0</v>
      </c>
      <c r="BY275" s="53">
        <f t="shared" si="28"/>
        <v>0</v>
      </c>
      <c r="BZ275" s="53">
        <f t="shared" si="28"/>
        <v>0</v>
      </c>
      <c r="CA275" s="53">
        <f t="shared" si="28"/>
        <v>0</v>
      </c>
      <c r="CB275" s="53">
        <f t="shared" si="28"/>
        <v>0</v>
      </c>
      <c r="CC275" s="53">
        <f t="shared" si="28"/>
        <v>0</v>
      </c>
      <c r="CD275" s="53">
        <f t="shared" si="28"/>
        <v>0</v>
      </c>
      <c r="CE275" s="53">
        <f t="shared" si="28"/>
        <v>0</v>
      </c>
      <c r="CF275" s="53">
        <f t="shared" si="28"/>
        <v>0</v>
      </c>
      <c r="CG275" s="53">
        <f t="shared" si="28"/>
        <v>0</v>
      </c>
      <c r="CH275" s="53">
        <f t="shared" si="28"/>
        <v>0</v>
      </c>
      <c r="CI275" s="53">
        <f t="shared" si="28"/>
        <v>0</v>
      </c>
      <c r="CJ275" s="53">
        <f t="shared" si="28"/>
        <v>0</v>
      </c>
      <c r="CK275" s="53">
        <f t="shared" si="28"/>
        <v>0</v>
      </c>
      <c r="CL275" s="53">
        <f t="shared" si="28"/>
        <v>0</v>
      </c>
      <c r="CM275" s="53">
        <f t="shared" si="28"/>
        <v>0</v>
      </c>
      <c r="CN275" s="53">
        <f t="shared" si="28"/>
        <v>0</v>
      </c>
      <c r="CO275" s="53">
        <f t="shared" si="28"/>
        <v>0</v>
      </c>
      <c r="CP275" s="53">
        <f t="shared" si="28"/>
        <v>0</v>
      </c>
      <c r="CQ275" s="53">
        <f t="shared" si="28"/>
        <v>0</v>
      </c>
      <c r="CR275" s="53">
        <f t="shared" si="28"/>
        <v>0</v>
      </c>
      <c r="CS275" s="53">
        <f t="shared" si="28"/>
        <v>0</v>
      </c>
      <c r="CT275" s="53">
        <f t="shared" si="28"/>
        <v>0</v>
      </c>
      <c r="CU275" s="53">
        <f t="shared" si="28"/>
        <v>0</v>
      </c>
      <c r="CV275" s="53">
        <f t="shared" si="28"/>
        <v>0</v>
      </c>
      <c r="CW275" s="53">
        <f t="shared" si="28"/>
        <v>0</v>
      </c>
      <c r="CX275" s="53">
        <f t="shared" si="28"/>
        <v>0</v>
      </c>
      <c r="DB275" s="2" vm="524">
        <f ca="1">IF(Returns!A279&lt;&gt;0,Returns!A279,"")</f>
        <v>42121</v>
      </c>
      <c r="DC275" s="11">
        <f ca="1">IF(Returns!B290&gt;0,Returns!B290/Returns!B289-1,"")</f>
        <v>8.9062253387747869E-2</v>
      </c>
      <c r="DD275" s="11">
        <f ca="1">IF(Returns!D282&gt;0,Returns!D282/Returns!D281-1,"")</f>
        <v>-2.2185237553132842E-3</v>
      </c>
    </row>
    <row r="276" spans="2:108" x14ac:dyDescent="0.3">
      <c r="B276" s="57">
        <f t="shared" ca="1" si="6"/>
        <v>2.5304144679894184E-3</v>
      </c>
      <c r="C276" s="53">
        <f t="shared" ref="C276:BN276" si="29">IFERROR(IF(C$262=0,0,(C17-C18)/C18),0)</f>
        <v>0</v>
      </c>
      <c r="D276" s="53">
        <f t="shared" si="29"/>
        <v>0</v>
      </c>
      <c r="E276" s="53">
        <f t="shared" si="29"/>
        <v>0</v>
      </c>
      <c r="F276" s="53">
        <f t="shared" si="29"/>
        <v>0</v>
      </c>
      <c r="G276" s="53">
        <f t="shared" si="29"/>
        <v>0</v>
      </c>
      <c r="H276" s="53">
        <f t="shared" si="29"/>
        <v>0</v>
      </c>
      <c r="I276" s="53">
        <f t="shared" si="29"/>
        <v>0</v>
      </c>
      <c r="J276" s="53">
        <f t="shared" si="29"/>
        <v>0</v>
      </c>
      <c r="K276" s="53">
        <f t="shared" si="29"/>
        <v>0</v>
      </c>
      <c r="L276" s="53">
        <f t="shared" si="29"/>
        <v>0</v>
      </c>
      <c r="M276" s="53">
        <f t="shared" si="29"/>
        <v>0</v>
      </c>
      <c r="N276" s="53">
        <f t="shared" si="29"/>
        <v>0</v>
      </c>
      <c r="O276" s="53">
        <f t="shared" si="29"/>
        <v>0</v>
      </c>
      <c r="P276" s="53">
        <f t="shared" si="29"/>
        <v>0</v>
      </c>
      <c r="Q276" s="53">
        <f t="shared" si="29"/>
        <v>0</v>
      </c>
      <c r="R276" s="53">
        <f t="shared" si="29"/>
        <v>0</v>
      </c>
      <c r="S276" s="53">
        <f t="shared" si="29"/>
        <v>0</v>
      </c>
      <c r="T276" s="53">
        <f t="shared" si="29"/>
        <v>0</v>
      </c>
      <c r="U276" s="53">
        <f t="shared" si="29"/>
        <v>0</v>
      </c>
      <c r="V276" s="53">
        <f t="shared" si="29"/>
        <v>0</v>
      </c>
      <c r="W276" s="53">
        <f t="shared" si="29"/>
        <v>0</v>
      </c>
      <c r="X276" s="53">
        <f t="shared" si="29"/>
        <v>0</v>
      </c>
      <c r="Y276" s="53">
        <f t="shared" si="29"/>
        <v>0</v>
      </c>
      <c r="Z276" s="53">
        <f t="shared" si="29"/>
        <v>0</v>
      </c>
      <c r="AA276" s="53">
        <f t="shared" si="29"/>
        <v>0</v>
      </c>
      <c r="AB276" s="53">
        <f t="shared" si="29"/>
        <v>0</v>
      </c>
      <c r="AC276" s="53">
        <f t="shared" si="29"/>
        <v>0</v>
      </c>
      <c r="AD276" s="53">
        <f t="shared" si="29"/>
        <v>0</v>
      </c>
      <c r="AE276" s="53">
        <f t="shared" si="29"/>
        <v>0</v>
      </c>
      <c r="AF276" s="53">
        <f t="shared" si="29"/>
        <v>0</v>
      </c>
      <c r="AG276" s="53">
        <f t="shared" si="29"/>
        <v>0</v>
      </c>
      <c r="AH276" s="53">
        <f t="shared" si="29"/>
        <v>0</v>
      </c>
      <c r="AI276" s="53">
        <f t="shared" si="29"/>
        <v>0</v>
      </c>
      <c r="AJ276" s="53">
        <f t="shared" si="29"/>
        <v>0</v>
      </c>
      <c r="AK276" s="53">
        <f t="shared" si="29"/>
        <v>0</v>
      </c>
      <c r="AL276" s="53">
        <f t="shared" si="29"/>
        <v>0</v>
      </c>
      <c r="AM276" s="53">
        <f t="shared" si="29"/>
        <v>0</v>
      </c>
      <c r="AN276" s="53">
        <f t="shared" si="29"/>
        <v>0</v>
      </c>
      <c r="AO276" s="53">
        <f t="shared" si="29"/>
        <v>0</v>
      </c>
      <c r="AP276" s="53">
        <f t="shared" si="29"/>
        <v>0</v>
      </c>
      <c r="AQ276" s="53">
        <f t="shared" si="29"/>
        <v>0</v>
      </c>
      <c r="AR276" s="53">
        <f t="shared" si="29"/>
        <v>0</v>
      </c>
      <c r="AS276" s="53">
        <f t="shared" si="29"/>
        <v>0</v>
      </c>
      <c r="AT276" s="53">
        <f t="shared" si="29"/>
        <v>0</v>
      </c>
      <c r="AU276" s="53">
        <f t="shared" si="29"/>
        <v>0</v>
      </c>
      <c r="AV276" s="53">
        <f t="shared" si="29"/>
        <v>0</v>
      </c>
      <c r="AW276" s="53">
        <f t="shared" si="29"/>
        <v>0</v>
      </c>
      <c r="AX276" s="53">
        <f t="shared" si="29"/>
        <v>0</v>
      </c>
      <c r="AY276" s="53">
        <f t="shared" si="29"/>
        <v>0</v>
      </c>
      <c r="AZ276" s="53">
        <f t="shared" si="29"/>
        <v>0</v>
      </c>
      <c r="BA276" s="53">
        <f t="shared" si="29"/>
        <v>0</v>
      </c>
      <c r="BB276" s="53">
        <f t="shared" si="29"/>
        <v>0</v>
      </c>
      <c r="BC276" s="53">
        <f t="shared" si="29"/>
        <v>0</v>
      </c>
      <c r="BD276" s="53">
        <f t="shared" si="29"/>
        <v>0</v>
      </c>
      <c r="BE276" s="53">
        <f t="shared" si="29"/>
        <v>0</v>
      </c>
      <c r="BF276" s="53">
        <f t="shared" si="29"/>
        <v>0</v>
      </c>
      <c r="BG276" s="53">
        <f t="shared" si="29"/>
        <v>0</v>
      </c>
      <c r="BH276" s="53">
        <f t="shared" si="29"/>
        <v>0</v>
      </c>
      <c r="BI276" s="53">
        <f t="shared" si="29"/>
        <v>0</v>
      </c>
      <c r="BJ276" s="53">
        <f t="shared" si="29"/>
        <v>0</v>
      </c>
      <c r="BK276" s="53">
        <f t="shared" si="29"/>
        <v>0</v>
      </c>
      <c r="BL276" s="53">
        <f t="shared" si="29"/>
        <v>0</v>
      </c>
      <c r="BM276" s="53">
        <f t="shared" si="29"/>
        <v>0</v>
      </c>
      <c r="BN276" s="53">
        <f t="shared" si="29"/>
        <v>0</v>
      </c>
      <c r="BO276" s="53">
        <f t="shared" ref="BO276:CX276" si="30">IFERROR(IF(BO$262=0,0,(BO17-BO18)/BO18),0)</f>
        <v>0</v>
      </c>
      <c r="BP276" s="53">
        <f t="shared" si="30"/>
        <v>0</v>
      </c>
      <c r="BQ276" s="53">
        <f t="shared" si="30"/>
        <v>0</v>
      </c>
      <c r="BR276" s="53">
        <f t="shared" si="30"/>
        <v>0</v>
      </c>
      <c r="BS276" s="53">
        <f t="shared" si="30"/>
        <v>0</v>
      </c>
      <c r="BT276" s="53">
        <f t="shared" si="30"/>
        <v>0</v>
      </c>
      <c r="BU276" s="53">
        <f t="shared" si="30"/>
        <v>0</v>
      </c>
      <c r="BV276" s="53">
        <f t="shared" si="30"/>
        <v>0</v>
      </c>
      <c r="BW276" s="53">
        <f t="shared" si="30"/>
        <v>0</v>
      </c>
      <c r="BX276" s="53">
        <f t="shared" si="30"/>
        <v>0</v>
      </c>
      <c r="BY276" s="53">
        <f t="shared" si="30"/>
        <v>0</v>
      </c>
      <c r="BZ276" s="53">
        <f t="shared" si="30"/>
        <v>0</v>
      </c>
      <c r="CA276" s="53">
        <f t="shared" si="30"/>
        <v>0</v>
      </c>
      <c r="CB276" s="53">
        <f t="shared" si="30"/>
        <v>0</v>
      </c>
      <c r="CC276" s="53">
        <f t="shared" si="30"/>
        <v>0</v>
      </c>
      <c r="CD276" s="53">
        <f t="shared" si="30"/>
        <v>0</v>
      </c>
      <c r="CE276" s="53">
        <f t="shared" si="30"/>
        <v>0</v>
      </c>
      <c r="CF276" s="53">
        <f t="shared" si="30"/>
        <v>0</v>
      </c>
      <c r="CG276" s="53">
        <f t="shared" si="30"/>
        <v>0</v>
      </c>
      <c r="CH276" s="53">
        <f t="shared" si="30"/>
        <v>0</v>
      </c>
      <c r="CI276" s="53">
        <f t="shared" si="30"/>
        <v>0</v>
      </c>
      <c r="CJ276" s="53">
        <f t="shared" si="30"/>
        <v>0</v>
      </c>
      <c r="CK276" s="53">
        <f t="shared" si="30"/>
        <v>0</v>
      </c>
      <c r="CL276" s="53">
        <f t="shared" si="30"/>
        <v>0</v>
      </c>
      <c r="CM276" s="53">
        <f t="shared" si="30"/>
        <v>0</v>
      </c>
      <c r="CN276" s="53">
        <f t="shared" si="30"/>
        <v>0</v>
      </c>
      <c r="CO276" s="53">
        <f t="shared" si="30"/>
        <v>0</v>
      </c>
      <c r="CP276" s="53">
        <f t="shared" si="30"/>
        <v>0</v>
      </c>
      <c r="CQ276" s="53">
        <f t="shared" si="30"/>
        <v>0</v>
      </c>
      <c r="CR276" s="53">
        <f t="shared" si="30"/>
        <v>0</v>
      </c>
      <c r="CS276" s="53">
        <f t="shared" si="30"/>
        <v>0</v>
      </c>
      <c r="CT276" s="53">
        <f t="shared" si="30"/>
        <v>0</v>
      </c>
      <c r="CU276" s="53">
        <f t="shared" si="30"/>
        <v>0</v>
      </c>
      <c r="CV276" s="53">
        <f t="shared" si="30"/>
        <v>0</v>
      </c>
      <c r="CW276" s="53">
        <f t="shared" si="30"/>
        <v>0</v>
      </c>
      <c r="CX276" s="53">
        <f t="shared" si="30"/>
        <v>0</v>
      </c>
      <c r="DB276" s="2" vm="525">
        <f ca="1">IF(Returns!A280&lt;&gt;0,Returns!A280,"")</f>
        <v>42128</v>
      </c>
      <c r="DC276" s="11">
        <f ca="1">IF(Returns!B291&gt;0,Returns!B291/Returns!B290-1,"")</f>
        <v>9.6084967184944414E-2</v>
      </c>
      <c r="DD276" s="11">
        <f ca="1">IF(Returns!D283&gt;0,Returns!D283/Returns!D282-1,"")</f>
        <v>-1.2140268772550145E-2</v>
      </c>
    </row>
    <row r="277" spans="2:108" x14ac:dyDescent="0.3">
      <c r="B277" s="57">
        <f t="shared" ca="1" si="6"/>
        <v>4.9655476036658463E-3</v>
      </c>
      <c r="C277" s="53">
        <f t="shared" ref="C277:BN277" si="31">IFERROR(IF(C$262=0,0,(C18-C19)/C19),0)</f>
        <v>0</v>
      </c>
      <c r="D277" s="53">
        <f t="shared" si="31"/>
        <v>0</v>
      </c>
      <c r="E277" s="53">
        <f t="shared" si="31"/>
        <v>0</v>
      </c>
      <c r="F277" s="53">
        <f t="shared" si="31"/>
        <v>0</v>
      </c>
      <c r="G277" s="53">
        <f t="shared" si="31"/>
        <v>0</v>
      </c>
      <c r="H277" s="53">
        <f t="shared" si="31"/>
        <v>0</v>
      </c>
      <c r="I277" s="53">
        <f t="shared" si="31"/>
        <v>0</v>
      </c>
      <c r="J277" s="53">
        <f t="shared" si="31"/>
        <v>0</v>
      </c>
      <c r="K277" s="53">
        <f t="shared" si="31"/>
        <v>0</v>
      </c>
      <c r="L277" s="53">
        <f t="shared" si="31"/>
        <v>0</v>
      </c>
      <c r="M277" s="53">
        <f t="shared" si="31"/>
        <v>0</v>
      </c>
      <c r="N277" s="53">
        <f t="shared" si="31"/>
        <v>0</v>
      </c>
      <c r="O277" s="53">
        <f t="shared" si="31"/>
        <v>0</v>
      </c>
      <c r="P277" s="53">
        <f t="shared" si="31"/>
        <v>0</v>
      </c>
      <c r="Q277" s="53">
        <f t="shared" si="31"/>
        <v>0</v>
      </c>
      <c r="R277" s="53">
        <f t="shared" si="31"/>
        <v>0</v>
      </c>
      <c r="S277" s="53">
        <f t="shared" si="31"/>
        <v>0</v>
      </c>
      <c r="T277" s="53">
        <f t="shared" si="31"/>
        <v>0</v>
      </c>
      <c r="U277" s="53">
        <f t="shared" si="31"/>
        <v>0</v>
      </c>
      <c r="V277" s="53">
        <f t="shared" si="31"/>
        <v>0</v>
      </c>
      <c r="W277" s="53">
        <f t="shared" si="31"/>
        <v>0</v>
      </c>
      <c r="X277" s="53">
        <f t="shared" si="31"/>
        <v>0</v>
      </c>
      <c r="Y277" s="53">
        <f t="shared" si="31"/>
        <v>0</v>
      </c>
      <c r="Z277" s="53">
        <f t="shared" si="31"/>
        <v>0</v>
      </c>
      <c r="AA277" s="53">
        <f t="shared" si="31"/>
        <v>0</v>
      </c>
      <c r="AB277" s="53">
        <f t="shared" si="31"/>
        <v>0</v>
      </c>
      <c r="AC277" s="53">
        <f t="shared" si="31"/>
        <v>0</v>
      </c>
      <c r="AD277" s="53">
        <f t="shared" si="31"/>
        <v>0</v>
      </c>
      <c r="AE277" s="53">
        <f t="shared" si="31"/>
        <v>0</v>
      </c>
      <c r="AF277" s="53">
        <f t="shared" si="31"/>
        <v>0</v>
      </c>
      <c r="AG277" s="53">
        <f t="shared" si="31"/>
        <v>0</v>
      </c>
      <c r="AH277" s="53">
        <f t="shared" si="31"/>
        <v>0</v>
      </c>
      <c r="AI277" s="53">
        <f t="shared" si="31"/>
        <v>0</v>
      </c>
      <c r="AJ277" s="53">
        <f t="shared" si="31"/>
        <v>0</v>
      </c>
      <c r="AK277" s="53">
        <f t="shared" si="31"/>
        <v>0</v>
      </c>
      <c r="AL277" s="53">
        <f t="shared" si="31"/>
        <v>0</v>
      </c>
      <c r="AM277" s="53">
        <f t="shared" si="31"/>
        <v>0</v>
      </c>
      <c r="AN277" s="53">
        <f t="shared" si="31"/>
        <v>0</v>
      </c>
      <c r="AO277" s="53">
        <f t="shared" si="31"/>
        <v>0</v>
      </c>
      <c r="AP277" s="53">
        <f t="shared" si="31"/>
        <v>0</v>
      </c>
      <c r="AQ277" s="53">
        <f t="shared" si="31"/>
        <v>0</v>
      </c>
      <c r="AR277" s="53">
        <f t="shared" si="31"/>
        <v>0</v>
      </c>
      <c r="AS277" s="53">
        <f t="shared" si="31"/>
        <v>0</v>
      </c>
      <c r="AT277" s="53">
        <f t="shared" si="31"/>
        <v>0</v>
      </c>
      <c r="AU277" s="53">
        <f t="shared" si="31"/>
        <v>0</v>
      </c>
      <c r="AV277" s="53">
        <f t="shared" si="31"/>
        <v>0</v>
      </c>
      <c r="AW277" s="53">
        <f t="shared" si="31"/>
        <v>0</v>
      </c>
      <c r="AX277" s="53">
        <f t="shared" si="31"/>
        <v>0</v>
      </c>
      <c r="AY277" s="53">
        <f t="shared" si="31"/>
        <v>0</v>
      </c>
      <c r="AZ277" s="53">
        <f t="shared" si="31"/>
        <v>0</v>
      </c>
      <c r="BA277" s="53">
        <f t="shared" si="31"/>
        <v>0</v>
      </c>
      <c r="BB277" s="53">
        <f t="shared" si="31"/>
        <v>0</v>
      </c>
      <c r="BC277" s="53">
        <f t="shared" si="31"/>
        <v>0</v>
      </c>
      <c r="BD277" s="53">
        <f t="shared" si="31"/>
        <v>0</v>
      </c>
      <c r="BE277" s="53">
        <f t="shared" si="31"/>
        <v>0</v>
      </c>
      <c r="BF277" s="53">
        <f t="shared" si="31"/>
        <v>0</v>
      </c>
      <c r="BG277" s="53">
        <f t="shared" si="31"/>
        <v>0</v>
      </c>
      <c r="BH277" s="53">
        <f t="shared" si="31"/>
        <v>0</v>
      </c>
      <c r="BI277" s="53">
        <f t="shared" si="31"/>
        <v>0</v>
      </c>
      <c r="BJ277" s="53">
        <f t="shared" si="31"/>
        <v>0</v>
      </c>
      <c r="BK277" s="53">
        <f t="shared" si="31"/>
        <v>0</v>
      </c>
      <c r="BL277" s="53">
        <f t="shared" si="31"/>
        <v>0</v>
      </c>
      <c r="BM277" s="53">
        <f t="shared" si="31"/>
        <v>0</v>
      </c>
      <c r="BN277" s="53">
        <f t="shared" si="31"/>
        <v>0</v>
      </c>
      <c r="BO277" s="53">
        <f t="shared" ref="BO277:CX277" si="32">IFERROR(IF(BO$262=0,0,(BO18-BO19)/BO19),0)</f>
        <v>0</v>
      </c>
      <c r="BP277" s="53">
        <f t="shared" si="32"/>
        <v>0</v>
      </c>
      <c r="BQ277" s="53">
        <f t="shared" si="32"/>
        <v>0</v>
      </c>
      <c r="BR277" s="53">
        <f t="shared" si="32"/>
        <v>0</v>
      </c>
      <c r="BS277" s="53">
        <f t="shared" si="32"/>
        <v>0</v>
      </c>
      <c r="BT277" s="53">
        <f t="shared" si="32"/>
        <v>0</v>
      </c>
      <c r="BU277" s="53">
        <f t="shared" si="32"/>
        <v>0</v>
      </c>
      <c r="BV277" s="53">
        <f t="shared" si="32"/>
        <v>0</v>
      </c>
      <c r="BW277" s="53">
        <f t="shared" si="32"/>
        <v>0</v>
      </c>
      <c r="BX277" s="53">
        <f t="shared" si="32"/>
        <v>0</v>
      </c>
      <c r="BY277" s="53">
        <f t="shared" si="32"/>
        <v>0</v>
      </c>
      <c r="BZ277" s="53">
        <f t="shared" si="32"/>
        <v>0</v>
      </c>
      <c r="CA277" s="53">
        <f t="shared" si="32"/>
        <v>0</v>
      </c>
      <c r="CB277" s="53">
        <f t="shared" si="32"/>
        <v>0</v>
      </c>
      <c r="CC277" s="53">
        <f t="shared" si="32"/>
        <v>0</v>
      </c>
      <c r="CD277" s="53">
        <f t="shared" si="32"/>
        <v>0</v>
      </c>
      <c r="CE277" s="53">
        <f t="shared" si="32"/>
        <v>0</v>
      </c>
      <c r="CF277" s="53">
        <f t="shared" si="32"/>
        <v>0</v>
      </c>
      <c r="CG277" s="53">
        <f t="shared" si="32"/>
        <v>0</v>
      </c>
      <c r="CH277" s="53">
        <f t="shared" si="32"/>
        <v>0</v>
      </c>
      <c r="CI277" s="53">
        <f t="shared" si="32"/>
        <v>0</v>
      </c>
      <c r="CJ277" s="53">
        <f t="shared" si="32"/>
        <v>0</v>
      </c>
      <c r="CK277" s="53">
        <f t="shared" si="32"/>
        <v>0</v>
      </c>
      <c r="CL277" s="53">
        <f t="shared" si="32"/>
        <v>0</v>
      </c>
      <c r="CM277" s="53">
        <f t="shared" si="32"/>
        <v>0</v>
      </c>
      <c r="CN277" s="53">
        <f t="shared" si="32"/>
        <v>0</v>
      </c>
      <c r="CO277" s="53">
        <f t="shared" si="32"/>
        <v>0</v>
      </c>
      <c r="CP277" s="53">
        <f t="shared" si="32"/>
        <v>0</v>
      </c>
      <c r="CQ277" s="53">
        <f t="shared" si="32"/>
        <v>0</v>
      </c>
      <c r="CR277" s="53">
        <f t="shared" si="32"/>
        <v>0</v>
      </c>
      <c r="CS277" s="53">
        <f t="shared" si="32"/>
        <v>0</v>
      </c>
      <c r="CT277" s="53">
        <f t="shared" si="32"/>
        <v>0</v>
      </c>
      <c r="CU277" s="53">
        <f t="shared" si="32"/>
        <v>0</v>
      </c>
      <c r="CV277" s="53">
        <f t="shared" si="32"/>
        <v>0</v>
      </c>
      <c r="CW277" s="53">
        <f t="shared" si="32"/>
        <v>0</v>
      </c>
      <c r="CX277" s="53">
        <f t="shared" si="32"/>
        <v>0</v>
      </c>
      <c r="DB277" s="2" vm="526">
        <f ca="1">IF(Returns!A281&lt;&gt;0,Returns!A281,"")</f>
        <v>42135</v>
      </c>
      <c r="DC277" s="11">
        <f ca="1">IF(Returns!B292&gt;0,Returns!B292/Returns!B291-1,"")</f>
        <v>1.2712024479619277E-2</v>
      </c>
      <c r="DD277" s="11">
        <f ca="1">IF(Returns!D284&gt;0,Returns!D284/Returns!D283-1,"")</f>
        <v>-8.9512628801033944E-3</v>
      </c>
    </row>
    <row r="278" spans="2:108" x14ac:dyDescent="0.3">
      <c r="B278" s="57">
        <f t="shared" ca="1" si="6"/>
        <v>3.9723512640855189E-3</v>
      </c>
      <c r="C278" s="53">
        <f t="shared" ref="C278:BN278" si="33">IFERROR(IF(C$262=0,0,(C19-C20)/C20),0)</f>
        <v>0</v>
      </c>
      <c r="D278" s="53">
        <f t="shared" si="33"/>
        <v>0</v>
      </c>
      <c r="E278" s="53">
        <f t="shared" si="33"/>
        <v>0</v>
      </c>
      <c r="F278" s="53">
        <f t="shared" si="33"/>
        <v>0</v>
      </c>
      <c r="G278" s="53">
        <f t="shared" si="33"/>
        <v>0</v>
      </c>
      <c r="H278" s="53">
        <f t="shared" si="33"/>
        <v>0</v>
      </c>
      <c r="I278" s="53">
        <f t="shared" si="33"/>
        <v>0</v>
      </c>
      <c r="J278" s="53">
        <f t="shared" si="33"/>
        <v>0</v>
      </c>
      <c r="K278" s="53">
        <f t="shared" si="33"/>
        <v>0</v>
      </c>
      <c r="L278" s="53">
        <f t="shared" si="33"/>
        <v>0</v>
      </c>
      <c r="M278" s="53">
        <f t="shared" si="33"/>
        <v>0</v>
      </c>
      <c r="N278" s="53">
        <f t="shared" si="33"/>
        <v>0</v>
      </c>
      <c r="O278" s="53">
        <f t="shared" si="33"/>
        <v>0</v>
      </c>
      <c r="P278" s="53">
        <f t="shared" si="33"/>
        <v>0</v>
      </c>
      <c r="Q278" s="53">
        <f t="shared" si="33"/>
        <v>0</v>
      </c>
      <c r="R278" s="53">
        <f t="shared" si="33"/>
        <v>0</v>
      </c>
      <c r="S278" s="53">
        <f t="shared" si="33"/>
        <v>0</v>
      </c>
      <c r="T278" s="53">
        <f t="shared" si="33"/>
        <v>0</v>
      </c>
      <c r="U278" s="53">
        <f t="shared" si="33"/>
        <v>0</v>
      </c>
      <c r="V278" s="53">
        <f t="shared" si="33"/>
        <v>0</v>
      </c>
      <c r="W278" s="53">
        <f t="shared" si="33"/>
        <v>0</v>
      </c>
      <c r="X278" s="53">
        <f t="shared" si="33"/>
        <v>0</v>
      </c>
      <c r="Y278" s="53">
        <f t="shared" si="33"/>
        <v>0</v>
      </c>
      <c r="Z278" s="53">
        <f t="shared" si="33"/>
        <v>0</v>
      </c>
      <c r="AA278" s="53">
        <f t="shared" si="33"/>
        <v>0</v>
      </c>
      <c r="AB278" s="53">
        <f t="shared" si="33"/>
        <v>0</v>
      </c>
      <c r="AC278" s="53">
        <f t="shared" si="33"/>
        <v>0</v>
      </c>
      <c r="AD278" s="53">
        <f t="shared" si="33"/>
        <v>0</v>
      </c>
      <c r="AE278" s="53">
        <f t="shared" si="33"/>
        <v>0</v>
      </c>
      <c r="AF278" s="53">
        <f t="shared" si="33"/>
        <v>0</v>
      </c>
      <c r="AG278" s="53">
        <f t="shared" si="33"/>
        <v>0</v>
      </c>
      <c r="AH278" s="53">
        <f t="shared" si="33"/>
        <v>0</v>
      </c>
      <c r="AI278" s="53">
        <f t="shared" si="33"/>
        <v>0</v>
      </c>
      <c r="AJ278" s="53">
        <f t="shared" si="33"/>
        <v>0</v>
      </c>
      <c r="AK278" s="53">
        <f t="shared" si="33"/>
        <v>0</v>
      </c>
      <c r="AL278" s="53">
        <f t="shared" si="33"/>
        <v>0</v>
      </c>
      <c r="AM278" s="53">
        <f t="shared" si="33"/>
        <v>0</v>
      </c>
      <c r="AN278" s="53">
        <f t="shared" si="33"/>
        <v>0</v>
      </c>
      <c r="AO278" s="53">
        <f t="shared" si="33"/>
        <v>0</v>
      </c>
      <c r="AP278" s="53">
        <f t="shared" si="33"/>
        <v>0</v>
      </c>
      <c r="AQ278" s="53">
        <f t="shared" si="33"/>
        <v>0</v>
      </c>
      <c r="AR278" s="53">
        <f t="shared" si="33"/>
        <v>0</v>
      </c>
      <c r="AS278" s="53">
        <f t="shared" si="33"/>
        <v>0</v>
      </c>
      <c r="AT278" s="53">
        <f t="shared" si="33"/>
        <v>0</v>
      </c>
      <c r="AU278" s="53">
        <f t="shared" si="33"/>
        <v>0</v>
      </c>
      <c r="AV278" s="53">
        <f t="shared" si="33"/>
        <v>0</v>
      </c>
      <c r="AW278" s="53">
        <f t="shared" si="33"/>
        <v>0</v>
      </c>
      <c r="AX278" s="53">
        <f t="shared" si="33"/>
        <v>0</v>
      </c>
      <c r="AY278" s="53">
        <f t="shared" si="33"/>
        <v>0</v>
      </c>
      <c r="AZ278" s="53">
        <f t="shared" si="33"/>
        <v>0</v>
      </c>
      <c r="BA278" s="53">
        <f t="shared" si="33"/>
        <v>0</v>
      </c>
      <c r="BB278" s="53">
        <f t="shared" si="33"/>
        <v>0</v>
      </c>
      <c r="BC278" s="53">
        <f t="shared" si="33"/>
        <v>0</v>
      </c>
      <c r="BD278" s="53">
        <f t="shared" si="33"/>
        <v>0</v>
      </c>
      <c r="BE278" s="53">
        <f t="shared" si="33"/>
        <v>0</v>
      </c>
      <c r="BF278" s="53">
        <f t="shared" si="33"/>
        <v>0</v>
      </c>
      <c r="BG278" s="53">
        <f t="shared" si="33"/>
        <v>0</v>
      </c>
      <c r="BH278" s="53">
        <f t="shared" si="33"/>
        <v>0</v>
      </c>
      <c r="BI278" s="53">
        <f t="shared" si="33"/>
        <v>0</v>
      </c>
      <c r="BJ278" s="53">
        <f t="shared" si="33"/>
        <v>0</v>
      </c>
      <c r="BK278" s="53">
        <f t="shared" si="33"/>
        <v>0</v>
      </c>
      <c r="BL278" s="53">
        <f t="shared" si="33"/>
        <v>0</v>
      </c>
      <c r="BM278" s="53">
        <f t="shared" si="33"/>
        <v>0</v>
      </c>
      <c r="BN278" s="53">
        <f t="shared" si="33"/>
        <v>0</v>
      </c>
      <c r="BO278" s="53">
        <f t="shared" ref="BO278:CX278" si="34">IFERROR(IF(BO$262=0,0,(BO19-BO20)/BO20),0)</f>
        <v>0</v>
      </c>
      <c r="BP278" s="53">
        <f t="shared" si="34"/>
        <v>0</v>
      </c>
      <c r="BQ278" s="53">
        <f t="shared" si="34"/>
        <v>0</v>
      </c>
      <c r="BR278" s="53">
        <f t="shared" si="34"/>
        <v>0</v>
      </c>
      <c r="BS278" s="53">
        <f t="shared" si="34"/>
        <v>0</v>
      </c>
      <c r="BT278" s="53">
        <f t="shared" si="34"/>
        <v>0</v>
      </c>
      <c r="BU278" s="53">
        <f t="shared" si="34"/>
        <v>0</v>
      </c>
      <c r="BV278" s="53">
        <f t="shared" si="34"/>
        <v>0</v>
      </c>
      <c r="BW278" s="53">
        <f t="shared" si="34"/>
        <v>0</v>
      </c>
      <c r="BX278" s="53">
        <f t="shared" si="34"/>
        <v>0</v>
      </c>
      <c r="BY278" s="53">
        <f t="shared" si="34"/>
        <v>0</v>
      </c>
      <c r="BZ278" s="53">
        <f t="shared" si="34"/>
        <v>0</v>
      </c>
      <c r="CA278" s="53">
        <f t="shared" si="34"/>
        <v>0</v>
      </c>
      <c r="CB278" s="53">
        <f t="shared" si="34"/>
        <v>0</v>
      </c>
      <c r="CC278" s="53">
        <f t="shared" si="34"/>
        <v>0</v>
      </c>
      <c r="CD278" s="53">
        <f t="shared" si="34"/>
        <v>0</v>
      </c>
      <c r="CE278" s="53">
        <f t="shared" si="34"/>
        <v>0</v>
      </c>
      <c r="CF278" s="53">
        <f t="shared" si="34"/>
        <v>0</v>
      </c>
      <c r="CG278" s="53">
        <f t="shared" si="34"/>
        <v>0</v>
      </c>
      <c r="CH278" s="53">
        <f t="shared" si="34"/>
        <v>0</v>
      </c>
      <c r="CI278" s="53">
        <f t="shared" si="34"/>
        <v>0</v>
      </c>
      <c r="CJ278" s="53">
        <f t="shared" si="34"/>
        <v>0</v>
      </c>
      <c r="CK278" s="53">
        <f t="shared" si="34"/>
        <v>0</v>
      </c>
      <c r="CL278" s="53">
        <f t="shared" si="34"/>
        <v>0</v>
      </c>
      <c r="CM278" s="53">
        <f t="shared" si="34"/>
        <v>0</v>
      </c>
      <c r="CN278" s="53">
        <f t="shared" si="34"/>
        <v>0</v>
      </c>
      <c r="CO278" s="53">
        <f t="shared" si="34"/>
        <v>0</v>
      </c>
      <c r="CP278" s="53">
        <f t="shared" si="34"/>
        <v>0</v>
      </c>
      <c r="CQ278" s="53">
        <f t="shared" si="34"/>
        <v>0</v>
      </c>
      <c r="CR278" s="53">
        <f t="shared" si="34"/>
        <v>0</v>
      </c>
      <c r="CS278" s="53">
        <f t="shared" si="34"/>
        <v>0</v>
      </c>
      <c r="CT278" s="53">
        <f t="shared" si="34"/>
        <v>0</v>
      </c>
      <c r="CU278" s="53">
        <f t="shared" si="34"/>
        <v>0</v>
      </c>
      <c r="CV278" s="53">
        <f t="shared" si="34"/>
        <v>0</v>
      </c>
      <c r="CW278" s="53">
        <f t="shared" si="34"/>
        <v>0</v>
      </c>
      <c r="CX278" s="53">
        <f t="shared" si="34"/>
        <v>0</v>
      </c>
      <c r="DB278" s="2" vm="527">
        <f ca="1">IF(Returns!A282&lt;&gt;0,Returns!A282,"")</f>
        <v>42142</v>
      </c>
      <c r="DC278" s="11">
        <f ca="1">IF(Returns!B293&gt;0,Returns!B293/Returns!B292-1,"")</f>
        <v>-2.5235475146880515E-2</v>
      </c>
      <c r="DD278" s="11">
        <f ca="1">IF(Returns!D285&gt;0,Returns!D285/Returns!D284-1,"")</f>
        <v>2.7664593203169385E-3</v>
      </c>
    </row>
    <row r="279" spans="2:108" x14ac:dyDescent="0.3">
      <c r="B279" s="57">
        <f t="shared" ca="1" si="6"/>
        <v>9.3942759908302413E-4</v>
      </c>
      <c r="C279" s="53">
        <f t="shared" ref="C279:BN279" si="35">IFERROR(IF(C$262=0,0,(C20-C21)/C21),0)</f>
        <v>0</v>
      </c>
      <c r="D279" s="53">
        <f t="shared" si="35"/>
        <v>0</v>
      </c>
      <c r="E279" s="53">
        <f t="shared" si="35"/>
        <v>0</v>
      </c>
      <c r="F279" s="53">
        <f t="shared" si="35"/>
        <v>0</v>
      </c>
      <c r="G279" s="53">
        <f t="shared" si="35"/>
        <v>0</v>
      </c>
      <c r="H279" s="53">
        <f t="shared" si="35"/>
        <v>0</v>
      </c>
      <c r="I279" s="53">
        <f t="shared" si="35"/>
        <v>0</v>
      </c>
      <c r="J279" s="53">
        <f t="shared" si="35"/>
        <v>0</v>
      </c>
      <c r="K279" s="53">
        <f t="shared" si="35"/>
        <v>0</v>
      </c>
      <c r="L279" s="53">
        <f t="shared" si="35"/>
        <v>0</v>
      </c>
      <c r="M279" s="53">
        <f t="shared" si="35"/>
        <v>0</v>
      </c>
      <c r="N279" s="53">
        <f t="shared" si="35"/>
        <v>0</v>
      </c>
      <c r="O279" s="53">
        <f t="shared" si="35"/>
        <v>0</v>
      </c>
      <c r="P279" s="53">
        <f t="shared" si="35"/>
        <v>0</v>
      </c>
      <c r="Q279" s="53">
        <f t="shared" si="35"/>
        <v>0</v>
      </c>
      <c r="R279" s="53">
        <f t="shared" si="35"/>
        <v>0</v>
      </c>
      <c r="S279" s="53">
        <f t="shared" si="35"/>
        <v>0</v>
      </c>
      <c r="T279" s="53">
        <f t="shared" si="35"/>
        <v>0</v>
      </c>
      <c r="U279" s="53">
        <f t="shared" si="35"/>
        <v>0</v>
      </c>
      <c r="V279" s="53">
        <f t="shared" si="35"/>
        <v>0</v>
      </c>
      <c r="W279" s="53">
        <f t="shared" si="35"/>
        <v>0</v>
      </c>
      <c r="X279" s="53">
        <f t="shared" si="35"/>
        <v>0</v>
      </c>
      <c r="Y279" s="53">
        <f t="shared" si="35"/>
        <v>0</v>
      </c>
      <c r="Z279" s="53">
        <f t="shared" si="35"/>
        <v>0</v>
      </c>
      <c r="AA279" s="53">
        <f t="shared" si="35"/>
        <v>0</v>
      </c>
      <c r="AB279" s="53">
        <f t="shared" si="35"/>
        <v>0</v>
      </c>
      <c r="AC279" s="53">
        <f t="shared" si="35"/>
        <v>0</v>
      </c>
      <c r="AD279" s="53">
        <f t="shared" si="35"/>
        <v>0</v>
      </c>
      <c r="AE279" s="53">
        <f t="shared" si="35"/>
        <v>0</v>
      </c>
      <c r="AF279" s="53">
        <f t="shared" si="35"/>
        <v>0</v>
      </c>
      <c r="AG279" s="53">
        <f t="shared" si="35"/>
        <v>0</v>
      </c>
      <c r="AH279" s="53">
        <f t="shared" si="35"/>
        <v>0</v>
      </c>
      <c r="AI279" s="53">
        <f t="shared" si="35"/>
        <v>0</v>
      </c>
      <c r="AJ279" s="53">
        <f t="shared" si="35"/>
        <v>0</v>
      </c>
      <c r="AK279" s="53">
        <f t="shared" si="35"/>
        <v>0</v>
      </c>
      <c r="AL279" s="53">
        <f t="shared" si="35"/>
        <v>0</v>
      </c>
      <c r="AM279" s="53">
        <f t="shared" si="35"/>
        <v>0</v>
      </c>
      <c r="AN279" s="53">
        <f t="shared" si="35"/>
        <v>0</v>
      </c>
      <c r="AO279" s="53">
        <f t="shared" si="35"/>
        <v>0</v>
      </c>
      <c r="AP279" s="53">
        <f t="shared" si="35"/>
        <v>0</v>
      </c>
      <c r="AQ279" s="53">
        <f t="shared" si="35"/>
        <v>0</v>
      </c>
      <c r="AR279" s="53">
        <f t="shared" si="35"/>
        <v>0</v>
      </c>
      <c r="AS279" s="53">
        <f t="shared" si="35"/>
        <v>0</v>
      </c>
      <c r="AT279" s="53">
        <f t="shared" si="35"/>
        <v>0</v>
      </c>
      <c r="AU279" s="53">
        <f t="shared" si="35"/>
        <v>0</v>
      </c>
      <c r="AV279" s="53">
        <f t="shared" si="35"/>
        <v>0</v>
      </c>
      <c r="AW279" s="53">
        <f t="shared" si="35"/>
        <v>0</v>
      </c>
      <c r="AX279" s="53">
        <f t="shared" si="35"/>
        <v>0</v>
      </c>
      <c r="AY279" s="53">
        <f t="shared" si="35"/>
        <v>0</v>
      </c>
      <c r="AZ279" s="53">
        <f t="shared" si="35"/>
        <v>0</v>
      </c>
      <c r="BA279" s="53">
        <f t="shared" si="35"/>
        <v>0</v>
      </c>
      <c r="BB279" s="53">
        <f t="shared" si="35"/>
        <v>0</v>
      </c>
      <c r="BC279" s="53">
        <f t="shared" si="35"/>
        <v>0</v>
      </c>
      <c r="BD279" s="53">
        <f t="shared" si="35"/>
        <v>0</v>
      </c>
      <c r="BE279" s="53">
        <f t="shared" si="35"/>
        <v>0</v>
      </c>
      <c r="BF279" s="53">
        <f t="shared" si="35"/>
        <v>0</v>
      </c>
      <c r="BG279" s="53">
        <f t="shared" si="35"/>
        <v>0</v>
      </c>
      <c r="BH279" s="53">
        <f t="shared" si="35"/>
        <v>0</v>
      </c>
      <c r="BI279" s="53">
        <f t="shared" si="35"/>
        <v>0</v>
      </c>
      <c r="BJ279" s="53">
        <f t="shared" si="35"/>
        <v>0</v>
      </c>
      <c r="BK279" s="53">
        <f t="shared" si="35"/>
        <v>0</v>
      </c>
      <c r="BL279" s="53">
        <f t="shared" si="35"/>
        <v>0</v>
      </c>
      <c r="BM279" s="53">
        <f t="shared" si="35"/>
        <v>0</v>
      </c>
      <c r="BN279" s="53">
        <f t="shared" si="35"/>
        <v>0</v>
      </c>
      <c r="BO279" s="53">
        <f t="shared" ref="BO279:CX279" si="36">IFERROR(IF(BO$262=0,0,(BO20-BO21)/BO21),0)</f>
        <v>0</v>
      </c>
      <c r="BP279" s="53">
        <f t="shared" si="36"/>
        <v>0</v>
      </c>
      <c r="BQ279" s="53">
        <f t="shared" si="36"/>
        <v>0</v>
      </c>
      <c r="BR279" s="53">
        <f t="shared" si="36"/>
        <v>0</v>
      </c>
      <c r="BS279" s="53">
        <f t="shared" si="36"/>
        <v>0</v>
      </c>
      <c r="BT279" s="53">
        <f t="shared" si="36"/>
        <v>0</v>
      </c>
      <c r="BU279" s="53">
        <f t="shared" si="36"/>
        <v>0</v>
      </c>
      <c r="BV279" s="53">
        <f t="shared" si="36"/>
        <v>0</v>
      </c>
      <c r="BW279" s="53">
        <f t="shared" si="36"/>
        <v>0</v>
      </c>
      <c r="BX279" s="53">
        <f t="shared" si="36"/>
        <v>0</v>
      </c>
      <c r="BY279" s="53">
        <f t="shared" si="36"/>
        <v>0</v>
      </c>
      <c r="BZ279" s="53">
        <f t="shared" si="36"/>
        <v>0</v>
      </c>
      <c r="CA279" s="53">
        <f t="shared" si="36"/>
        <v>0</v>
      </c>
      <c r="CB279" s="53">
        <f t="shared" si="36"/>
        <v>0</v>
      </c>
      <c r="CC279" s="53">
        <f t="shared" si="36"/>
        <v>0</v>
      </c>
      <c r="CD279" s="53">
        <f t="shared" si="36"/>
        <v>0</v>
      </c>
      <c r="CE279" s="53">
        <f t="shared" si="36"/>
        <v>0</v>
      </c>
      <c r="CF279" s="53">
        <f t="shared" si="36"/>
        <v>0</v>
      </c>
      <c r="CG279" s="53">
        <f t="shared" si="36"/>
        <v>0</v>
      </c>
      <c r="CH279" s="53">
        <f t="shared" si="36"/>
        <v>0</v>
      </c>
      <c r="CI279" s="53">
        <f t="shared" si="36"/>
        <v>0</v>
      </c>
      <c r="CJ279" s="53">
        <f t="shared" si="36"/>
        <v>0</v>
      </c>
      <c r="CK279" s="53">
        <f t="shared" si="36"/>
        <v>0</v>
      </c>
      <c r="CL279" s="53">
        <f t="shared" si="36"/>
        <v>0</v>
      </c>
      <c r="CM279" s="53">
        <f t="shared" si="36"/>
        <v>0</v>
      </c>
      <c r="CN279" s="53">
        <f t="shared" si="36"/>
        <v>0</v>
      </c>
      <c r="CO279" s="53">
        <f t="shared" si="36"/>
        <v>0</v>
      </c>
      <c r="CP279" s="53">
        <f t="shared" si="36"/>
        <v>0</v>
      </c>
      <c r="CQ279" s="53">
        <f t="shared" si="36"/>
        <v>0</v>
      </c>
      <c r="CR279" s="53">
        <f t="shared" si="36"/>
        <v>0</v>
      </c>
      <c r="CS279" s="53">
        <f t="shared" si="36"/>
        <v>0</v>
      </c>
      <c r="CT279" s="53">
        <f t="shared" si="36"/>
        <v>0</v>
      </c>
      <c r="CU279" s="53">
        <f t="shared" si="36"/>
        <v>0</v>
      </c>
      <c r="CV279" s="53">
        <f t="shared" si="36"/>
        <v>0</v>
      </c>
      <c r="CW279" s="53">
        <f t="shared" si="36"/>
        <v>0</v>
      </c>
      <c r="CX279" s="53">
        <f t="shared" si="36"/>
        <v>0</v>
      </c>
      <c r="DB279" s="2" vm="528">
        <f ca="1">IF(Returns!A283&lt;&gt;0,Returns!A283,"")</f>
        <v>42150</v>
      </c>
      <c r="DC279" s="11">
        <f ca="1">IF(Returns!B294&gt;0,Returns!B294/Returns!B293-1,"")</f>
        <v>1.7029581722857845E-2</v>
      </c>
      <c r="DD279" s="11">
        <f ca="1">IF(Returns!D286&gt;0,Returns!D286/Returns!D285-1,"")</f>
        <v>6.5428940135665581E-3</v>
      </c>
    </row>
    <row r="280" spans="2:108" x14ac:dyDescent="0.3">
      <c r="B280" s="57">
        <f t="shared" ca="1" si="6"/>
        <v>4.7157266873088192E-3</v>
      </c>
      <c r="C280" s="53">
        <f t="shared" ref="C280:BN280" si="37">IFERROR(IF(C$262=0,0,(C21-C22)/C22),0)</f>
        <v>0</v>
      </c>
      <c r="D280" s="53">
        <f t="shared" si="37"/>
        <v>0</v>
      </c>
      <c r="E280" s="53">
        <f t="shared" si="37"/>
        <v>0</v>
      </c>
      <c r="F280" s="53">
        <f t="shared" si="37"/>
        <v>0</v>
      </c>
      <c r="G280" s="53">
        <f t="shared" si="37"/>
        <v>0</v>
      </c>
      <c r="H280" s="53">
        <f t="shared" si="37"/>
        <v>0</v>
      </c>
      <c r="I280" s="53">
        <f t="shared" si="37"/>
        <v>0</v>
      </c>
      <c r="J280" s="53">
        <f t="shared" si="37"/>
        <v>0</v>
      </c>
      <c r="K280" s="53">
        <f t="shared" si="37"/>
        <v>0</v>
      </c>
      <c r="L280" s="53">
        <f t="shared" si="37"/>
        <v>0</v>
      </c>
      <c r="M280" s="53">
        <f t="shared" si="37"/>
        <v>0</v>
      </c>
      <c r="N280" s="53">
        <f t="shared" si="37"/>
        <v>0</v>
      </c>
      <c r="O280" s="53">
        <f t="shared" si="37"/>
        <v>0</v>
      </c>
      <c r="P280" s="53">
        <f t="shared" si="37"/>
        <v>0</v>
      </c>
      <c r="Q280" s="53">
        <f t="shared" si="37"/>
        <v>0</v>
      </c>
      <c r="R280" s="53">
        <f t="shared" si="37"/>
        <v>0</v>
      </c>
      <c r="S280" s="53">
        <f t="shared" si="37"/>
        <v>0</v>
      </c>
      <c r="T280" s="53">
        <f t="shared" si="37"/>
        <v>0</v>
      </c>
      <c r="U280" s="53">
        <f t="shared" si="37"/>
        <v>0</v>
      </c>
      <c r="V280" s="53">
        <f t="shared" si="37"/>
        <v>0</v>
      </c>
      <c r="W280" s="53">
        <f t="shared" si="37"/>
        <v>0</v>
      </c>
      <c r="X280" s="53">
        <f t="shared" si="37"/>
        <v>0</v>
      </c>
      <c r="Y280" s="53">
        <f t="shared" si="37"/>
        <v>0</v>
      </c>
      <c r="Z280" s="53">
        <f t="shared" si="37"/>
        <v>0</v>
      </c>
      <c r="AA280" s="53">
        <f t="shared" si="37"/>
        <v>0</v>
      </c>
      <c r="AB280" s="53">
        <f t="shared" si="37"/>
        <v>0</v>
      </c>
      <c r="AC280" s="53">
        <f t="shared" si="37"/>
        <v>0</v>
      </c>
      <c r="AD280" s="53">
        <f t="shared" si="37"/>
        <v>0</v>
      </c>
      <c r="AE280" s="53">
        <f t="shared" si="37"/>
        <v>0</v>
      </c>
      <c r="AF280" s="53">
        <f t="shared" si="37"/>
        <v>0</v>
      </c>
      <c r="AG280" s="53">
        <f t="shared" si="37"/>
        <v>0</v>
      </c>
      <c r="AH280" s="53">
        <f t="shared" si="37"/>
        <v>0</v>
      </c>
      <c r="AI280" s="53">
        <f t="shared" si="37"/>
        <v>0</v>
      </c>
      <c r="AJ280" s="53">
        <f t="shared" si="37"/>
        <v>0</v>
      </c>
      <c r="AK280" s="53">
        <f t="shared" si="37"/>
        <v>0</v>
      </c>
      <c r="AL280" s="53">
        <f t="shared" si="37"/>
        <v>0</v>
      </c>
      <c r="AM280" s="53">
        <f t="shared" si="37"/>
        <v>0</v>
      </c>
      <c r="AN280" s="53">
        <f t="shared" si="37"/>
        <v>0</v>
      </c>
      <c r="AO280" s="53">
        <f t="shared" si="37"/>
        <v>0</v>
      </c>
      <c r="AP280" s="53">
        <f t="shared" si="37"/>
        <v>0</v>
      </c>
      <c r="AQ280" s="53">
        <f t="shared" si="37"/>
        <v>0</v>
      </c>
      <c r="AR280" s="53">
        <f t="shared" si="37"/>
        <v>0</v>
      </c>
      <c r="AS280" s="53">
        <f t="shared" si="37"/>
        <v>0</v>
      </c>
      <c r="AT280" s="53">
        <f t="shared" si="37"/>
        <v>0</v>
      </c>
      <c r="AU280" s="53">
        <f t="shared" si="37"/>
        <v>0</v>
      </c>
      <c r="AV280" s="53">
        <f t="shared" si="37"/>
        <v>0</v>
      </c>
      <c r="AW280" s="53">
        <f t="shared" si="37"/>
        <v>0</v>
      </c>
      <c r="AX280" s="53">
        <f t="shared" si="37"/>
        <v>0</v>
      </c>
      <c r="AY280" s="53">
        <f t="shared" si="37"/>
        <v>0</v>
      </c>
      <c r="AZ280" s="53">
        <f t="shared" si="37"/>
        <v>0</v>
      </c>
      <c r="BA280" s="53">
        <f t="shared" si="37"/>
        <v>0</v>
      </c>
      <c r="BB280" s="53">
        <f t="shared" si="37"/>
        <v>0</v>
      </c>
      <c r="BC280" s="53">
        <f t="shared" si="37"/>
        <v>0</v>
      </c>
      <c r="BD280" s="53">
        <f t="shared" si="37"/>
        <v>0</v>
      </c>
      <c r="BE280" s="53">
        <f t="shared" si="37"/>
        <v>0</v>
      </c>
      <c r="BF280" s="53">
        <f t="shared" si="37"/>
        <v>0</v>
      </c>
      <c r="BG280" s="53">
        <f t="shared" si="37"/>
        <v>0</v>
      </c>
      <c r="BH280" s="53">
        <f t="shared" si="37"/>
        <v>0</v>
      </c>
      <c r="BI280" s="53">
        <f t="shared" si="37"/>
        <v>0</v>
      </c>
      <c r="BJ280" s="53">
        <f t="shared" si="37"/>
        <v>0</v>
      </c>
      <c r="BK280" s="53">
        <f t="shared" si="37"/>
        <v>0</v>
      </c>
      <c r="BL280" s="53">
        <f t="shared" si="37"/>
        <v>0</v>
      </c>
      <c r="BM280" s="53">
        <f t="shared" si="37"/>
        <v>0</v>
      </c>
      <c r="BN280" s="53">
        <f t="shared" si="37"/>
        <v>0</v>
      </c>
      <c r="BO280" s="53">
        <f t="shared" ref="BO280:CX280" si="38">IFERROR(IF(BO$262=0,0,(BO21-BO22)/BO22),0)</f>
        <v>0</v>
      </c>
      <c r="BP280" s="53">
        <f t="shared" si="38"/>
        <v>0</v>
      </c>
      <c r="BQ280" s="53">
        <f t="shared" si="38"/>
        <v>0</v>
      </c>
      <c r="BR280" s="53">
        <f t="shared" si="38"/>
        <v>0</v>
      </c>
      <c r="BS280" s="53">
        <f t="shared" si="38"/>
        <v>0</v>
      </c>
      <c r="BT280" s="53">
        <f t="shared" si="38"/>
        <v>0</v>
      </c>
      <c r="BU280" s="53">
        <f t="shared" si="38"/>
        <v>0</v>
      </c>
      <c r="BV280" s="53">
        <f t="shared" si="38"/>
        <v>0</v>
      </c>
      <c r="BW280" s="53">
        <f t="shared" si="38"/>
        <v>0</v>
      </c>
      <c r="BX280" s="53">
        <f t="shared" si="38"/>
        <v>0</v>
      </c>
      <c r="BY280" s="53">
        <f t="shared" si="38"/>
        <v>0</v>
      </c>
      <c r="BZ280" s="53">
        <f t="shared" si="38"/>
        <v>0</v>
      </c>
      <c r="CA280" s="53">
        <f t="shared" si="38"/>
        <v>0</v>
      </c>
      <c r="CB280" s="53">
        <f t="shared" si="38"/>
        <v>0</v>
      </c>
      <c r="CC280" s="53">
        <f t="shared" si="38"/>
        <v>0</v>
      </c>
      <c r="CD280" s="53">
        <f t="shared" si="38"/>
        <v>0</v>
      </c>
      <c r="CE280" s="53">
        <f t="shared" si="38"/>
        <v>0</v>
      </c>
      <c r="CF280" s="53">
        <f t="shared" si="38"/>
        <v>0</v>
      </c>
      <c r="CG280" s="53">
        <f t="shared" si="38"/>
        <v>0</v>
      </c>
      <c r="CH280" s="53">
        <f t="shared" si="38"/>
        <v>0</v>
      </c>
      <c r="CI280" s="53">
        <f t="shared" si="38"/>
        <v>0</v>
      </c>
      <c r="CJ280" s="53">
        <f t="shared" si="38"/>
        <v>0</v>
      </c>
      <c r="CK280" s="53">
        <f t="shared" si="38"/>
        <v>0</v>
      </c>
      <c r="CL280" s="53">
        <f t="shared" si="38"/>
        <v>0</v>
      </c>
      <c r="CM280" s="53">
        <f t="shared" si="38"/>
        <v>0</v>
      </c>
      <c r="CN280" s="53">
        <f t="shared" si="38"/>
        <v>0</v>
      </c>
      <c r="CO280" s="53">
        <f t="shared" si="38"/>
        <v>0</v>
      </c>
      <c r="CP280" s="53">
        <f t="shared" si="38"/>
        <v>0</v>
      </c>
      <c r="CQ280" s="53">
        <f t="shared" si="38"/>
        <v>0</v>
      </c>
      <c r="CR280" s="53">
        <f t="shared" si="38"/>
        <v>0</v>
      </c>
      <c r="CS280" s="53">
        <f t="shared" si="38"/>
        <v>0</v>
      </c>
      <c r="CT280" s="53">
        <f t="shared" si="38"/>
        <v>0</v>
      </c>
      <c r="CU280" s="53">
        <f t="shared" si="38"/>
        <v>0</v>
      </c>
      <c r="CV280" s="53">
        <f t="shared" si="38"/>
        <v>0</v>
      </c>
      <c r="CW280" s="53">
        <f t="shared" si="38"/>
        <v>0</v>
      </c>
      <c r="CX280" s="53">
        <f t="shared" si="38"/>
        <v>0</v>
      </c>
      <c r="DB280" s="2" vm="529">
        <f ca="1">IF(Returns!A284&lt;&gt;0,Returns!A284,"")</f>
        <v>42156</v>
      </c>
      <c r="DC280" s="11">
        <f ca="1">IF(Returns!B295&gt;0,Returns!B295/Returns!B294-1,"")</f>
        <v>-6.9705749548464757E-2</v>
      </c>
      <c r="DD280" s="11">
        <f ca="1">IF(Returns!D287&gt;0,Returns!D287/Returns!D286-1,"")</f>
        <v>-3.8446602549622177E-3</v>
      </c>
    </row>
    <row r="281" spans="2:108" x14ac:dyDescent="0.3">
      <c r="B281" s="57">
        <f t="shared" ca="1" si="6"/>
        <v>1.213407583226848E-3</v>
      </c>
      <c r="C281" s="53">
        <f t="shared" ref="C281:BN281" si="39">IFERROR(IF(C$262=0,0,(C22-C23)/C23),0)</f>
        <v>0</v>
      </c>
      <c r="D281" s="53">
        <f t="shared" si="39"/>
        <v>0</v>
      </c>
      <c r="E281" s="53">
        <f t="shared" si="39"/>
        <v>0</v>
      </c>
      <c r="F281" s="53">
        <f t="shared" si="39"/>
        <v>0</v>
      </c>
      <c r="G281" s="53">
        <f t="shared" si="39"/>
        <v>0</v>
      </c>
      <c r="H281" s="53">
        <f t="shared" si="39"/>
        <v>0</v>
      </c>
      <c r="I281" s="53">
        <f t="shared" si="39"/>
        <v>0</v>
      </c>
      <c r="J281" s="53">
        <f t="shared" si="39"/>
        <v>0</v>
      </c>
      <c r="K281" s="53">
        <f t="shared" si="39"/>
        <v>0</v>
      </c>
      <c r="L281" s="53">
        <f t="shared" si="39"/>
        <v>0</v>
      </c>
      <c r="M281" s="53">
        <f t="shared" si="39"/>
        <v>0</v>
      </c>
      <c r="N281" s="53">
        <f t="shared" si="39"/>
        <v>0</v>
      </c>
      <c r="O281" s="53">
        <f t="shared" si="39"/>
        <v>0</v>
      </c>
      <c r="P281" s="53">
        <f t="shared" si="39"/>
        <v>0</v>
      </c>
      <c r="Q281" s="53">
        <f t="shared" si="39"/>
        <v>0</v>
      </c>
      <c r="R281" s="53">
        <f t="shared" si="39"/>
        <v>0</v>
      </c>
      <c r="S281" s="53">
        <f t="shared" si="39"/>
        <v>0</v>
      </c>
      <c r="T281" s="53">
        <f t="shared" si="39"/>
        <v>0</v>
      </c>
      <c r="U281" s="53">
        <f t="shared" si="39"/>
        <v>0</v>
      </c>
      <c r="V281" s="53">
        <f t="shared" si="39"/>
        <v>0</v>
      </c>
      <c r="W281" s="53">
        <f t="shared" si="39"/>
        <v>0</v>
      </c>
      <c r="X281" s="53">
        <f t="shared" si="39"/>
        <v>0</v>
      </c>
      <c r="Y281" s="53">
        <f t="shared" si="39"/>
        <v>0</v>
      </c>
      <c r="Z281" s="53">
        <f t="shared" si="39"/>
        <v>0</v>
      </c>
      <c r="AA281" s="53">
        <f t="shared" si="39"/>
        <v>0</v>
      </c>
      <c r="AB281" s="53">
        <f t="shared" si="39"/>
        <v>0</v>
      </c>
      <c r="AC281" s="53">
        <f t="shared" si="39"/>
        <v>0</v>
      </c>
      <c r="AD281" s="53">
        <f t="shared" si="39"/>
        <v>0</v>
      </c>
      <c r="AE281" s="53">
        <f t="shared" si="39"/>
        <v>0</v>
      </c>
      <c r="AF281" s="53">
        <f t="shared" si="39"/>
        <v>0</v>
      </c>
      <c r="AG281" s="53">
        <f t="shared" si="39"/>
        <v>0</v>
      </c>
      <c r="AH281" s="53">
        <f t="shared" si="39"/>
        <v>0</v>
      </c>
      <c r="AI281" s="53">
        <f t="shared" si="39"/>
        <v>0</v>
      </c>
      <c r="AJ281" s="53">
        <f t="shared" si="39"/>
        <v>0</v>
      </c>
      <c r="AK281" s="53">
        <f t="shared" si="39"/>
        <v>0</v>
      </c>
      <c r="AL281" s="53">
        <f t="shared" si="39"/>
        <v>0</v>
      </c>
      <c r="AM281" s="53">
        <f t="shared" si="39"/>
        <v>0</v>
      </c>
      <c r="AN281" s="53">
        <f t="shared" si="39"/>
        <v>0</v>
      </c>
      <c r="AO281" s="53">
        <f t="shared" si="39"/>
        <v>0</v>
      </c>
      <c r="AP281" s="53">
        <f t="shared" si="39"/>
        <v>0</v>
      </c>
      <c r="AQ281" s="53">
        <f t="shared" si="39"/>
        <v>0</v>
      </c>
      <c r="AR281" s="53">
        <f t="shared" si="39"/>
        <v>0</v>
      </c>
      <c r="AS281" s="53">
        <f t="shared" si="39"/>
        <v>0</v>
      </c>
      <c r="AT281" s="53">
        <f t="shared" si="39"/>
        <v>0</v>
      </c>
      <c r="AU281" s="53">
        <f t="shared" si="39"/>
        <v>0</v>
      </c>
      <c r="AV281" s="53">
        <f t="shared" si="39"/>
        <v>0</v>
      </c>
      <c r="AW281" s="53">
        <f t="shared" si="39"/>
        <v>0</v>
      </c>
      <c r="AX281" s="53">
        <f t="shared" si="39"/>
        <v>0</v>
      </c>
      <c r="AY281" s="53">
        <f t="shared" si="39"/>
        <v>0</v>
      </c>
      <c r="AZ281" s="53">
        <f t="shared" si="39"/>
        <v>0</v>
      </c>
      <c r="BA281" s="53">
        <f t="shared" si="39"/>
        <v>0</v>
      </c>
      <c r="BB281" s="53">
        <f t="shared" si="39"/>
        <v>0</v>
      </c>
      <c r="BC281" s="53">
        <f t="shared" si="39"/>
        <v>0</v>
      </c>
      <c r="BD281" s="53">
        <f t="shared" si="39"/>
        <v>0</v>
      </c>
      <c r="BE281" s="53">
        <f t="shared" si="39"/>
        <v>0</v>
      </c>
      <c r="BF281" s="53">
        <f t="shared" si="39"/>
        <v>0</v>
      </c>
      <c r="BG281" s="53">
        <f t="shared" si="39"/>
        <v>0</v>
      </c>
      <c r="BH281" s="53">
        <f t="shared" si="39"/>
        <v>0</v>
      </c>
      <c r="BI281" s="53">
        <f t="shared" si="39"/>
        <v>0</v>
      </c>
      <c r="BJ281" s="53">
        <f t="shared" si="39"/>
        <v>0</v>
      </c>
      <c r="BK281" s="53">
        <f t="shared" si="39"/>
        <v>0</v>
      </c>
      <c r="BL281" s="53">
        <f t="shared" si="39"/>
        <v>0</v>
      </c>
      <c r="BM281" s="53">
        <f t="shared" si="39"/>
        <v>0</v>
      </c>
      <c r="BN281" s="53">
        <f t="shared" si="39"/>
        <v>0</v>
      </c>
      <c r="BO281" s="53">
        <f t="shared" ref="BO281:CX281" si="40">IFERROR(IF(BO$262=0,0,(BO22-BO23)/BO23),0)</f>
        <v>0</v>
      </c>
      <c r="BP281" s="53">
        <f t="shared" si="40"/>
        <v>0</v>
      </c>
      <c r="BQ281" s="53">
        <f t="shared" si="40"/>
        <v>0</v>
      </c>
      <c r="BR281" s="53">
        <f t="shared" si="40"/>
        <v>0</v>
      </c>
      <c r="BS281" s="53">
        <f t="shared" si="40"/>
        <v>0</v>
      </c>
      <c r="BT281" s="53">
        <f t="shared" si="40"/>
        <v>0</v>
      </c>
      <c r="BU281" s="53">
        <f t="shared" si="40"/>
        <v>0</v>
      </c>
      <c r="BV281" s="53">
        <f t="shared" si="40"/>
        <v>0</v>
      </c>
      <c r="BW281" s="53">
        <f t="shared" si="40"/>
        <v>0</v>
      </c>
      <c r="BX281" s="53">
        <f t="shared" si="40"/>
        <v>0</v>
      </c>
      <c r="BY281" s="53">
        <f t="shared" si="40"/>
        <v>0</v>
      </c>
      <c r="BZ281" s="53">
        <f t="shared" si="40"/>
        <v>0</v>
      </c>
      <c r="CA281" s="53">
        <f t="shared" si="40"/>
        <v>0</v>
      </c>
      <c r="CB281" s="53">
        <f t="shared" si="40"/>
        <v>0</v>
      </c>
      <c r="CC281" s="53">
        <f t="shared" si="40"/>
        <v>0</v>
      </c>
      <c r="CD281" s="53">
        <f t="shared" si="40"/>
        <v>0</v>
      </c>
      <c r="CE281" s="53">
        <f t="shared" si="40"/>
        <v>0</v>
      </c>
      <c r="CF281" s="53">
        <f t="shared" si="40"/>
        <v>0</v>
      </c>
      <c r="CG281" s="53">
        <f t="shared" si="40"/>
        <v>0</v>
      </c>
      <c r="CH281" s="53">
        <f t="shared" si="40"/>
        <v>0</v>
      </c>
      <c r="CI281" s="53">
        <f t="shared" si="40"/>
        <v>0</v>
      </c>
      <c r="CJ281" s="53">
        <f t="shared" si="40"/>
        <v>0</v>
      </c>
      <c r="CK281" s="53">
        <f t="shared" si="40"/>
        <v>0</v>
      </c>
      <c r="CL281" s="53">
        <f t="shared" si="40"/>
        <v>0</v>
      </c>
      <c r="CM281" s="53">
        <f t="shared" si="40"/>
        <v>0</v>
      </c>
      <c r="CN281" s="53">
        <f t="shared" si="40"/>
        <v>0</v>
      </c>
      <c r="CO281" s="53">
        <f t="shared" si="40"/>
        <v>0</v>
      </c>
      <c r="CP281" s="53">
        <f t="shared" si="40"/>
        <v>0</v>
      </c>
      <c r="CQ281" s="53">
        <f t="shared" si="40"/>
        <v>0</v>
      </c>
      <c r="CR281" s="53">
        <f t="shared" si="40"/>
        <v>0</v>
      </c>
      <c r="CS281" s="53">
        <f t="shared" si="40"/>
        <v>0</v>
      </c>
      <c r="CT281" s="53">
        <f t="shared" si="40"/>
        <v>0</v>
      </c>
      <c r="CU281" s="53">
        <f t="shared" si="40"/>
        <v>0</v>
      </c>
      <c r="CV281" s="53">
        <f t="shared" si="40"/>
        <v>0</v>
      </c>
      <c r="CW281" s="53">
        <f t="shared" si="40"/>
        <v>0</v>
      </c>
      <c r="CX281" s="53">
        <f t="shared" si="40"/>
        <v>0</v>
      </c>
      <c r="DB281" s="2" vm="530">
        <f ca="1">IF(Returns!A285&lt;&gt;0,Returns!A285,"")</f>
        <v>42163</v>
      </c>
      <c r="DC281" s="11">
        <f ca="1">IF(Returns!B296&gt;0,Returns!B296/Returns!B295-1,"")</f>
        <v>4.7606528201913134E-2</v>
      </c>
      <c r="DD281" s="11">
        <f ca="1">IF(Returns!D288&gt;0,Returns!D288/Returns!D287-1,"")</f>
        <v>-1.2067399864365003E-2</v>
      </c>
    </row>
    <row r="282" spans="2:108" x14ac:dyDescent="0.3">
      <c r="B282" s="57">
        <f t="shared" ca="1" si="6"/>
        <v>2.6562231360597992E-4</v>
      </c>
      <c r="C282" s="53">
        <f t="shared" ref="C282:BN282" si="41">IFERROR(IF(C$262=0,0,(C23-C24)/C24),0)</f>
        <v>0</v>
      </c>
      <c r="D282" s="53">
        <f t="shared" si="41"/>
        <v>0</v>
      </c>
      <c r="E282" s="53">
        <f t="shared" si="41"/>
        <v>0</v>
      </c>
      <c r="F282" s="53">
        <f t="shared" si="41"/>
        <v>0</v>
      </c>
      <c r="G282" s="53">
        <f t="shared" si="41"/>
        <v>0</v>
      </c>
      <c r="H282" s="53">
        <f t="shared" si="41"/>
        <v>0</v>
      </c>
      <c r="I282" s="53">
        <f t="shared" si="41"/>
        <v>0</v>
      </c>
      <c r="J282" s="53">
        <f t="shared" si="41"/>
        <v>0</v>
      </c>
      <c r="K282" s="53">
        <f t="shared" si="41"/>
        <v>0</v>
      </c>
      <c r="L282" s="53">
        <f t="shared" si="41"/>
        <v>0</v>
      </c>
      <c r="M282" s="53">
        <f t="shared" si="41"/>
        <v>0</v>
      </c>
      <c r="N282" s="53">
        <f t="shared" si="41"/>
        <v>0</v>
      </c>
      <c r="O282" s="53">
        <f t="shared" si="41"/>
        <v>0</v>
      </c>
      <c r="P282" s="53">
        <f t="shared" si="41"/>
        <v>0</v>
      </c>
      <c r="Q282" s="53">
        <f t="shared" si="41"/>
        <v>0</v>
      </c>
      <c r="R282" s="53">
        <f t="shared" si="41"/>
        <v>0</v>
      </c>
      <c r="S282" s="53">
        <f t="shared" si="41"/>
        <v>0</v>
      </c>
      <c r="T282" s="53">
        <f t="shared" si="41"/>
        <v>0</v>
      </c>
      <c r="U282" s="53">
        <f t="shared" si="41"/>
        <v>0</v>
      </c>
      <c r="V282" s="53">
        <f t="shared" si="41"/>
        <v>0</v>
      </c>
      <c r="W282" s="53">
        <f t="shared" si="41"/>
        <v>0</v>
      </c>
      <c r="X282" s="53">
        <f t="shared" si="41"/>
        <v>0</v>
      </c>
      <c r="Y282" s="53">
        <f t="shared" si="41"/>
        <v>0</v>
      </c>
      <c r="Z282" s="53">
        <f t="shared" si="41"/>
        <v>0</v>
      </c>
      <c r="AA282" s="53">
        <f t="shared" si="41"/>
        <v>0</v>
      </c>
      <c r="AB282" s="53">
        <f t="shared" si="41"/>
        <v>0</v>
      </c>
      <c r="AC282" s="53">
        <f t="shared" si="41"/>
        <v>0</v>
      </c>
      <c r="AD282" s="53">
        <f t="shared" si="41"/>
        <v>0</v>
      </c>
      <c r="AE282" s="53">
        <f t="shared" si="41"/>
        <v>0</v>
      </c>
      <c r="AF282" s="53">
        <f t="shared" si="41"/>
        <v>0</v>
      </c>
      <c r="AG282" s="53">
        <f t="shared" si="41"/>
        <v>0</v>
      </c>
      <c r="AH282" s="53">
        <f t="shared" si="41"/>
        <v>0</v>
      </c>
      <c r="AI282" s="53">
        <f t="shared" si="41"/>
        <v>0</v>
      </c>
      <c r="AJ282" s="53">
        <f t="shared" si="41"/>
        <v>0</v>
      </c>
      <c r="AK282" s="53">
        <f t="shared" si="41"/>
        <v>0</v>
      </c>
      <c r="AL282" s="53">
        <f t="shared" si="41"/>
        <v>0</v>
      </c>
      <c r="AM282" s="53">
        <f t="shared" si="41"/>
        <v>0</v>
      </c>
      <c r="AN282" s="53">
        <f t="shared" si="41"/>
        <v>0</v>
      </c>
      <c r="AO282" s="53">
        <f t="shared" si="41"/>
        <v>0</v>
      </c>
      <c r="AP282" s="53">
        <f t="shared" si="41"/>
        <v>0</v>
      </c>
      <c r="AQ282" s="53">
        <f t="shared" si="41"/>
        <v>0</v>
      </c>
      <c r="AR282" s="53">
        <f t="shared" si="41"/>
        <v>0</v>
      </c>
      <c r="AS282" s="53">
        <f t="shared" si="41"/>
        <v>0</v>
      </c>
      <c r="AT282" s="53">
        <f t="shared" si="41"/>
        <v>0</v>
      </c>
      <c r="AU282" s="53">
        <f t="shared" si="41"/>
        <v>0</v>
      </c>
      <c r="AV282" s="53">
        <f t="shared" si="41"/>
        <v>0</v>
      </c>
      <c r="AW282" s="53">
        <f t="shared" si="41"/>
        <v>0</v>
      </c>
      <c r="AX282" s="53">
        <f t="shared" si="41"/>
        <v>0</v>
      </c>
      <c r="AY282" s="53">
        <f t="shared" si="41"/>
        <v>0</v>
      </c>
      <c r="AZ282" s="53">
        <f t="shared" si="41"/>
        <v>0</v>
      </c>
      <c r="BA282" s="53">
        <f t="shared" si="41"/>
        <v>0</v>
      </c>
      <c r="BB282" s="53">
        <f t="shared" si="41"/>
        <v>0</v>
      </c>
      <c r="BC282" s="53">
        <f t="shared" si="41"/>
        <v>0</v>
      </c>
      <c r="BD282" s="53">
        <f t="shared" si="41"/>
        <v>0</v>
      </c>
      <c r="BE282" s="53">
        <f t="shared" si="41"/>
        <v>0</v>
      </c>
      <c r="BF282" s="53">
        <f t="shared" si="41"/>
        <v>0</v>
      </c>
      <c r="BG282" s="53">
        <f t="shared" si="41"/>
        <v>0</v>
      </c>
      <c r="BH282" s="53">
        <f t="shared" si="41"/>
        <v>0</v>
      </c>
      <c r="BI282" s="53">
        <f t="shared" si="41"/>
        <v>0</v>
      </c>
      <c r="BJ282" s="53">
        <f t="shared" si="41"/>
        <v>0</v>
      </c>
      <c r="BK282" s="53">
        <f t="shared" si="41"/>
        <v>0</v>
      </c>
      <c r="BL282" s="53">
        <f t="shared" si="41"/>
        <v>0</v>
      </c>
      <c r="BM282" s="53">
        <f t="shared" si="41"/>
        <v>0</v>
      </c>
      <c r="BN282" s="53">
        <f t="shared" si="41"/>
        <v>0</v>
      </c>
      <c r="BO282" s="53">
        <f t="shared" ref="BO282:CX282" si="42">IFERROR(IF(BO$262=0,0,(BO23-BO24)/BO24),0)</f>
        <v>0</v>
      </c>
      <c r="BP282" s="53">
        <f t="shared" si="42"/>
        <v>0</v>
      </c>
      <c r="BQ282" s="53">
        <f t="shared" si="42"/>
        <v>0</v>
      </c>
      <c r="BR282" s="53">
        <f t="shared" si="42"/>
        <v>0</v>
      </c>
      <c r="BS282" s="53">
        <f t="shared" si="42"/>
        <v>0</v>
      </c>
      <c r="BT282" s="53">
        <f t="shared" si="42"/>
        <v>0</v>
      </c>
      <c r="BU282" s="53">
        <f t="shared" si="42"/>
        <v>0</v>
      </c>
      <c r="BV282" s="53">
        <f t="shared" si="42"/>
        <v>0</v>
      </c>
      <c r="BW282" s="53">
        <f t="shared" si="42"/>
        <v>0</v>
      </c>
      <c r="BX282" s="53">
        <f t="shared" si="42"/>
        <v>0</v>
      </c>
      <c r="BY282" s="53">
        <f t="shared" si="42"/>
        <v>0</v>
      </c>
      <c r="BZ282" s="53">
        <f t="shared" si="42"/>
        <v>0</v>
      </c>
      <c r="CA282" s="53">
        <f t="shared" si="42"/>
        <v>0</v>
      </c>
      <c r="CB282" s="53">
        <f t="shared" si="42"/>
        <v>0</v>
      </c>
      <c r="CC282" s="53">
        <f t="shared" si="42"/>
        <v>0</v>
      </c>
      <c r="CD282" s="53">
        <f t="shared" si="42"/>
        <v>0</v>
      </c>
      <c r="CE282" s="53">
        <f t="shared" si="42"/>
        <v>0</v>
      </c>
      <c r="CF282" s="53">
        <f t="shared" si="42"/>
        <v>0</v>
      </c>
      <c r="CG282" s="53">
        <f t="shared" si="42"/>
        <v>0</v>
      </c>
      <c r="CH282" s="53">
        <f t="shared" si="42"/>
        <v>0</v>
      </c>
      <c r="CI282" s="53">
        <f t="shared" si="42"/>
        <v>0</v>
      </c>
      <c r="CJ282" s="53">
        <f t="shared" si="42"/>
        <v>0</v>
      </c>
      <c r="CK282" s="53">
        <f t="shared" si="42"/>
        <v>0</v>
      </c>
      <c r="CL282" s="53">
        <f t="shared" si="42"/>
        <v>0</v>
      </c>
      <c r="CM282" s="53">
        <f t="shared" si="42"/>
        <v>0</v>
      </c>
      <c r="CN282" s="53">
        <f t="shared" si="42"/>
        <v>0</v>
      </c>
      <c r="CO282" s="53">
        <f t="shared" si="42"/>
        <v>0</v>
      </c>
      <c r="CP282" s="53">
        <f t="shared" si="42"/>
        <v>0</v>
      </c>
      <c r="CQ282" s="53">
        <f t="shared" si="42"/>
        <v>0</v>
      </c>
      <c r="CR282" s="53">
        <f t="shared" si="42"/>
        <v>0</v>
      </c>
      <c r="CS282" s="53">
        <f t="shared" si="42"/>
        <v>0</v>
      </c>
      <c r="CT282" s="53">
        <f t="shared" si="42"/>
        <v>0</v>
      </c>
      <c r="CU282" s="53">
        <f t="shared" si="42"/>
        <v>0</v>
      </c>
      <c r="CV282" s="53">
        <f t="shared" si="42"/>
        <v>0</v>
      </c>
      <c r="CW282" s="53">
        <f t="shared" si="42"/>
        <v>0</v>
      </c>
      <c r="CX282" s="53">
        <f t="shared" si="42"/>
        <v>0</v>
      </c>
      <c r="DB282" s="2" vm="531">
        <f ca="1">IF(Returns!A286&lt;&gt;0,Returns!A286,"")</f>
        <v>42170</v>
      </c>
      <c r="DC282" s="11">
        <f ca="1">IF(Returns!B297&gt;0,Returns!B297/Returns!B296-1,"")</f>
        <v>-3.669813324067106E-2</v>
      </c>
      <c r="DD282" s="11">
        <f ca="1">IF(Returns!D289&gt;0,Returns!D289/Returns!D288-1,"")</f>
        <v>1.7088723381641913E-3</v>
      </c>
    </row>
    <row r="283" spans="2:108" x14ac:dyDescent="0.3">
      <c r="B283" s="57">
        <f t="shared" ca="1" si="6"/>
        <v>2.7120697116847486E-3</v>
      </c>
      <c r="C283" s="53">
        <f t="shared" ref="C283:BN283" si="43">IFERROR(IF(C$262=0,0,(C24-C25)/C25),0)</f>
        <v>0</v>
      </c>
      <c r="D283" s="53">
        <f t="shared" si="43"/>
        <v>0</v>
      </c>
      <c r="E283" s="53">
        <f t="shared" si="43"/>
        <v>0</v>
      </c>
      <c r="F283" s="53">
        <f t="shared" si="43"/>
        <v>0</v>
      </c>
      <c r="G283" s="53">
        <f t="shared" si="43"/>
        <v>0</v>
      </c>
      <c r="H283" s="53">
        <f t="shared" si="43"/>
        <v>0</v>
      </c>
      <c r="I283" s="53">
        <f t="shared" si="43"/>
        <v>0</v>
      </c>
      <c r="J283" s="53">
        <f t="shared" si="43"/>
        <v>0</v>
      </c>
      <c r="K283" s="53">
        <f t="shared" si="43"/>
        <v>0</v>
      </c>
      <c r="L283" s="53">
        <f t="shared" si="43"/>
        <v>0</v>
      </c>
      <c r="M283" s="53">
        <f t="shared" si="43"/>
        <v>0</v>
      </c>
      <c r="N283" s="53">
        <f t="shared" si="43"/>
        <v>0</v>
      </c>
      <c r="O283" s="53">
        <f t="shared" si="43"/>
        <v>0</v>
      </c>
      <c r="P283" s="53">
        <f t="shared" si="43"/>
        <v>0</v>
      </c>
      <c r="Q283" s="53">
        <f t="shared" si="43"/>
        <v>0</v>
      </c>
      <c r="R283" s="53">
        <f t="shared" si="43"/>
        <v>0</v>
      </c>
      <c r="S283" s="53">
        <f t="shared" si="43"/>
        <v>0</v>
      </c>
      <c r="T283" s="53">
        <f t="shared" si="43"/>
        <v>0</v>
      </c>
      <c r="U283" s="53">
        <f t="shared" si="43"/>
        <v>0</v>
      </c>
      <c r="V283" s="53">
        <f t="shared" si="43"/>
        <v>0</v>
      </c>
      <c r="W283" s="53">
        <f t="shared" si="43"/>
        <v>0</v>
      </c>
      <c r="X283" s="53">
        <f t="shared" si="43"/>
        <v>0</v>
      </c>
      <c r="Y283" s="53">
        <f t="shared" si="43"/>
        <v>0</v>
      </c>
      <c r="Z283" s="53">
        <f t="shared" si="43"/>
        <v>0</v>
      </c>
      <c r="AA283" s="53">
        <f t="shared" si="43"/>
        <v>0</v>
      </c>
      <c r="AB283" s="53">
        <f t="shared" si="43"/>
        <v>0</v>
      </c>
      <c r="AC283" s="53">
        <f t="shared" si="43"/>
        <v>0</v>
      </c>
      <c r="AD283" s="53">
        <f t="shared" si="43"/>
        <v>0</v>
      </c>
      <c r="AE283" s="53">
        <f t="shared" si="43"/>
        <v>0</v>
      </c>
      <c r="AF283" s="53">
        <f t="shared" si="43"/>
        <v>0</v>
      </c>
      <c r="AG283" s="53">
        <f t="shared" si="43"/>
        <v>0</v>
      </c>
      <c r="AH283" s="53">
        <f t="shared" si="43"/>
        <v>0</v>
      </c>
      <c r="AI283" s="53">
        <f t="shared" si="43"/>
        <v>0</v>
      </c>
      <c r="AJ283" s="53">
        <f t="shared" si="43"/>
        <v>0</v>
      </c>
      <c r="AK283" s="53">
        <f t="shared" si="43"/>
        <v>0</v>
      </c>
      <c r="AL283" s="53">
        <f t="shared" si="43"/>
        <v>0</v>
      </c>
      <c r="AM283" s="53">
        <f t="shared" si="43"/>
        <v>0</v>
      </c>
      <c r="AN283" s="53">
        <f t="shared" si="43"/>
        <v>0</v>
      </c>
      <c r="AO283" s="53">
        <f t="shared" si="43"/>
        <v>0</v>
      </c>
      <c r="AP283" s="53">
        <f t="shared" si="43"/>
        <v>0</v>
      </c>
      <c r="AQ283" s="53">
        <f t="shared" si="43"/>
        <v>0</v>
      </c>
      <c r="AR283" s="53">
        <f t="shared" si="43"/>
        <v>0</v>
      </c>
      <c r="AS283" s="53">
        <f t="shared" si="43"/>
        <v>0</v>
      </c>
      <c r="AT283" s="53">
        <f t="shared" si="43"/>
        <v>0</v>
      </c>
      <c r="AU283" s="53">
        <f t="shared" si="43"/>
        <v>0</v>
      </c>
      <c r="AV283" s="53">
        <f t="shared" si="43"/>
        <v>0</v>
      </c>
      <c r="AW283" s="53">
        <f t="shared" si="43"/>
        <v>0</v>
      </c>
      <c r="AX283" s="53">
        <f t="shared" si="43"/>
        <v>0</v>
      </c>
      <c r="AY283" s="53">
        <f t="shared" si="43"/>
        <v>0</v>
      </c>
      <c r="AZ283" s="53">
        <f t="shared" si="43"/>
        <v>0</v>
      </c>
      <c r="BA283" s="53">
        <f t="shared" si="43"/>
        <v>0</v>
      </c>
      <c r="BB283" s="53">
        <f t="shared" si="43"/>
        <v>0</v>
      </c>
      <c r="BC283" s="53">
        <f t="shared" si="43"/>
        <v>0</v>
      </c>
      <c r="BD283" s="53">
        <f t="shared" si="43"/>
        <v>0</v>
      </c>
      <c r="BE283" s="53">
        <f t="shared" si="43"/>
        <v>0</v>
      </c>
      <c r="BF283" s="53">
        <f t="shared" si="43"/>
        <v>0</v>
      </c>
      <c r="BG283" s="53">
        <f t="shared" si="43"/>
        <v>0</v>
      </c>
      <c r="BH283" s="53">
        <f t="shared" si="43"/>
        <v>0</v>
      </c>
      <c r="BI283" s="53">
        <f t="shared" si="43"/>
        <v>0</v>
      </c>
      <c r="BJ283" s="53">
        <f t="shared" si="43"/>
        <v>0</v>
      </c>
      <c r="BK283" s="53">
        <f t="shared" si="43"/>
        <v>0</v>
      </c>
      <c r="BL283" s="53">
        <f t="shared" si="43"/>
        <v>0</v>
      </c>
      <c r="BM283" s="53">
        <f t="shared" si="43"/>
        <v>0</v>
      </c>
      <c r="BN283" s="53">
        <f t="shared" si="43"/>
        <v>0</v>
      </c>
      <c r="BO283" s="53">
        <f t="shared" ref="BO283:CX283" si="44">IFERROR(IF(BO$262=0,0,(BO24-BO25)/BO25),0)</f>
        <v>0</v>
      </c>
      <c r="BP283" s="53">
        <f t="shared" si="44"/>
        <v>0</v>
      </c>
      <c r="BQ283" s="53">
        <f t="shared" si="44"/>
        <v>0</v>
      </c>
      <c r="BR283" s="53">
        <f t="shared" si="44"/>
        <v>0</v>
      </c>
      <c r="BS283" s="53">
        <f t="shared" si="44"/>
        <v>0</v>
      </c>
      <c r="BT283" s="53">
        <f t="shared" si="44"/>
        <v>0</v>
      </c>
      <c r="BU283" s="53">
        <f t="shared" si="44"/>
        <v>0</v>
      </c>
      <c r="BV283" s="53">
        <f t="shared" si="44"/>
        <v>0</v>
      </c>
      <c r="BW283" s="53">
        <f t="shared" si="44"/>
        <v>0</v>
      </c>
      <c r="BX283" s="53">
        <f t="shared" si="44"/>
        <v>0</v>
      </c>
      <c r="BY283" s="53">
        <f t="shared" si="44"/>
        <v>0</v>
      </c>
      <c r="BZ283" s="53">
        <f t="shared" si="44"/>
        <v>0</v>
      </c>
      <c r="CA283" s="53">
        <f t="shared" si="44"/>
        <v>0</v>
      </c>
      <c r="CB283" s="53">
        <f t="shared" si="44"/>
        <v>0</v>
      </c>
      <c r="CC283" s="53">
        <f t="shared" si="44"/>
        <v>0</v>
      </c>
      <c r="CD283" s="53">
        <f t="shared" si="44"/>
        <v>0</v>
      </c>
      <c r="CE283" s="53">
        <f t="shared" si="44"/>
        <v>0</v>
      </c>
      <c r="CF283" s="53">
        <f t="shared" si="44"/>
        <v>0</v>
      </c>
      <c r="CG283" s="53">
        <f t="shared" si="44"/>
        <v>0</v>
      </c>
      <c r="CH283" s="53">
        <f t="shared" si="44"/>
        <v>0</v>
      </c>
      <c r="CI283" s="53">
        <f t="shared" si="44"/>
        <v>0</v>
      </c>
      <c r="CJ283" s="53">
        <f t="shared" si="44"/>
        <v>0</v>
      </c>
      <c r="CK283" s="53">
        <f t="shared" si="44"/>
        <v>0</v>
      </c>
      <c r="CL283" s="53">
        <f t="shared" si="44"/>
        <v>0</v>
      </c>
      <c r="CM283" s="53">
        <f t="shared" si="44"/>
        <v>0</v>
      </c>
      <c r="CN283" s="53">
        <f t="shared" si="44"/>
        <v>0</v>
      </c>
      <c r="CO283" s="53">
        <f t="shared" si="44"/>
        <v>0</v>
      </c>
      <c r="CP283" s="53">
        <f t="shared" si="44"/>
        <v>0</v>
      </c>
      <c r="CQ283" s="53">
        <f t="shared" si="44"/>
        <v>0</v>
      </c>
      <c r="CR283" s="53">
        <f t="shared" si="44"/>
        <v>0</v>
      </c>
      <c r="CS283" s="53">
        <f t="shared" si="44"/>
        <v>0</v>
      </c>
      <c r="CT283" s="53">
        <f t="shared" si="44"/>
        <v>0</v>
      </c>
      <c r="CU283" s="53">
        <f t="shared" si="44"/>
        <v>0</v>
      </c>
      <c r="CV283" s="53">
        <f t="shared" si="44"/>
        <v>0</v>
      </c>
      <c r="CW283" s="53">
        <f t="shared" si="44"/>
        <v>0</v>
      </c>
      <c r="CX283" s="53">
        <f t="shared" si="44"/>
        <v>0</v>
      </c>
      <c r="DB283" s="2" vm="532">
        <f ca="1">IF(Returns!A287&lt;&gt;0,Returns!A287,"")</f>
        <v>42177</v>
      </c>
      <c r="DC283" s="11">
        <f ca="1">IF(Returns!B298&gt;0,Returns!B298/Returns!B297-1,"")</f>
        <v>6.1002004008016142E-2</v>
      </c>
      <c r="DD283" s="11">
        <f ca="1">IF(Returns!D290&gt;0,Returns!D290/Returns!D289-1,"")</f>
        <v>1.8357389767039933E-2</v>
      </c>
    </row>
    <row r="284" spans="2:108" x14ac:dyDescent="0.3">
      <c r="B284" s="57">
        <f t="shared" ca="1" si="6"/>
        <v>9.0313326153883527E-3</v>
      </c>
      <c r="C284" s="53">
        <f t="shared" ref="C284:BN284" si="45">IFERROR(IF(C$262=0,0,(C25-C26)/C26),0)</f>
        <v>0</v>
      </c>
      <c r="D284" s="53">
        <f t="shared" si="45"/>
        <v>0</v>
      </c>
      <c r="E284" s="53">
        <f t="shared" si="45"/>
        <v>0</v>
      </c>
      <c r="F284" s="53">
        <f t="shared" si="45"/>
        <v>0</v>
      </c>
      <c r="G284" s="53">
        <f t="shared" si="45"/>
        <v>0</v>
      </c>
      <c r="H284" s="53">
        <f t="shared" si="45"/>
        <v>0</v>
      </c>
      <c r="I284" s="53">
        <f t="shared" si="45"/>
        <v>0</v>
      </c>
      <c r="J284" s="53">
        <f t="shared" si="45"/>
        <v>0</v>
      </c>
      <c r="K284" s="53">
        <f t="shared" si="45"/>
        <v>0</v>
      </c>
      <c r="L284" s="53">
        <f t="shared" si="45"/>
        <v>0</v>
      </c>
      <c r="M284" s="53">
        <f t="shared" si="45"/>
        <v>0</v>
      </c>
      <c r="N284" s="53">
        <f t="shared" si="45"/>
        <v>0</v>
      </c>
      <c r="O284" s="53">
        <f t="shared" si="45"/>
        <v>0</v>
      </c>
      <c r="P284" s="53">
        <f t="shared" si="45"/>
        <v>0</v>
      </c>
      <c r="Q284" s="53">
        <f t="shared" si="45"/>
        <v>0</v>
      </c>
      <c r="R284" s="53">
        <f t="shared" si="45"/>
        <v>0</v>
      </c>
      <c r="S284" s="53">
        <f t="shared" si="45"/>
        <v>0</v>
      </c>
      <c r="T284" s="53">
        <f t="shared" si="45"/>
        <v>0</v>
      </c>
      <c r="U284" s="53">
        <f t="shared" si="45"/>
        <v>0</v>
      </c>
      <c r="V284" s="53">
        <f t="shared" si="45"/>
        <v>0</v>
      </c>
      <c r="W284" s="53">
        <f t="shared" si="45"/>
        <v>0</v>
      </c>
      <c r="X284" s="53">
        <f t="shared" si="45"/>
        <v>0</v>
      </c>
      <c r="Y284" s="53">
        <f t="shared" si="45"/>
        <v>0</v>
      </c>
      <c r="Z284" s="53">
        <f t="shared" si="45"/>
        <v>0</v>
      </c>
      <c r="AA284" s="53">
        <f t="shared" si="45"/>
        <v>0</v>
      </c>
      <c r="AB284" s="53">
        <f t="shared" si="45"/>
        <v>0</v>
      </c>
      <c r="AC284" s="53">
        <f t="shared" si="45"/>
        <v>0</v>
      </c>
      <c r="AD284" s="53">
        <f t="shared" si="45"/>
        <v>0</v>
      </c>
      <c r="AE284" s="53">
        <f t="shared" si="45"/>
        <v>0</v>
      </c>
      <c r="AF284" s="53">
        <f t="shared" si="45"/>
        <v>0</v>
      </c>
      <c r="AG284" s="53">
        <f t="shared" si="45"/>
        <v>0</v>
      </c>
      <c r="AH284" s="53">
        <f t="shared" si="45"/>
        <v>0</v>
      </c>
      <c r="AI284" s="53">
        <f t="shared" si="45"/>
        <v>0</v>
      </c>
      <c r="AJ284" s="53">
        <f t="shared" si="45"/>
        <v>0</v>
      </c>
      <c r="AK284" s="53">
        <f t="shared" si="45"/>
        <v>0</v>
      </c>
      <c r="AL284" s="53">
        <f t="shared" si="45"/>
        <v>0</v>
      </c>
      <c r="AM284" s="53">
        <f t="shared" si="45"/>
        <v>0</v>
      </c>
      <c r="AN284" s="53">
        <f t="shared" si="45"/>
        <v>0</v>
      </c>
      <c r="AO284" s="53">
        <f t="shared" si="45"/>
        <v>0</v>
      </c>
      <c r="AP284" s="53">
        <f t="shared" si="45"/>
        <v>0</v>
      </c>
      <c r="AQ284" s="53">
        <f t="shared" si="45"/>
        <v>0</v>
      </c>
      <c r="AR284" s="53">
        <f t="shared" si="45"/>
        <v>0</v>
      </c>
      <c r="AS284" s="53">
        <f t="shared" si="45"/>
        <v>0</v>
      </c>
      <c r="AT284" s="53">
        <f t="shared" si="45"/>
        <v>0</v>
      </c>
      <c r="AU284" s="53">
        <f t="shared" si="45"/>
        <v>0</v>
      </c>
      <c r="AV284" s="53">
        <f t="shared" si="45"/>
        <v>0</v>
      </c>
      <c r="AW284" s="53">
        <f t="shared" si="45"/>
        <v>0</v>
      </c>
      <c r="AX284" s="53">
        <f t="shared" si="45"/>
        <v>0</v>
      </c>
      <c r="AY284" s="53">
        <f t="shared" si="45"/>
        <v>0</v>
      </c>
      <c r="AZ284" s="53">
        <f t="shared" si="45"/>
        <v>0</v>
      </c>
      <c r="BA284" s="53">
        <f t="shared" si="45"/>
        <v>0</v>
      </c>
      <c r="BB284" s="53">
        <f t="shared" si="45"/>
        <v>0</v>
      </c>
      <c r="BC284" s="53">
        <f t="shared" si="45"/>
        <v>0</v>
      </c>
      <c r="BD284" s="53">
        <f t="shared" si="45"/>
        <v>0</v>
      </c>
      <c r="BE284" s="53">
        <f t="shared" si="45"/>
        <v>0</v>
      </c>
      <c r="BF284" s="53">
        <f t="shared" si="45"/>
        <v>0</v>
      </c>
      <c r="BG284" s="53">
        <f t="shared" si="45"/>
        <v>0</v>
      </c>
      <c r="BH284" s="53">
        <f t="shared" si="45"/>
        <v>0</v>
      </c>
      <c r="BI284" s="53">
        <f t="shared" si="45"/>
        <v>0</v>
      </c>
      <c r="BJ284" s="53">
        <f t="shared" si="45"/>
        <v>0</v>
      </c>
      <c r="BK284" s="53">
        <f t="shared" si="45"/>
        <v>0</v>
      </c>
      <c r="BL284" s="53">
        <f t="shared" si="45"/>
        <v>0</v>
      </c>
      <c r="BM284" s="53">
        <f t="shared" si="45"/>
        <v>0</v>
      </c>
      <c r="BN284" s="53">
        <f t="shared" si="45"/>
        <v>0</v>
      </c>
      <c r="BO284" s="53">
        <f t="shared" ref="BO284:CX284" si="46">IFERROR(IF(BO$262=0,0,(BO25-BO26)/BO26),0)</f>
        <v>0</v>
      </c>
      <c r="BP284" s="53">
        <f t="shared" si="46"/>
        <v>0</v>
      </c>
      <c r="BQ284" s="53">
        <f t="shared" si="46"/>
        <v>0</v>
      </c>
      <c r="BR284" s="53">
        <f t="shared" si="46"/>
        <v>0</v>
      </c>
      <c r="BS284" s="53">
        <f t="shared" si="46"/>
        <v>0</v>
      </c>
      <c r="BT284" s="53">
        <f t="shared" si="46"/>
        <v>0</v>
      </c>
      <c r="BU284" s="53">
        <f t="shared" si="46"/>
        <v>0</v>
      </c>
      <c r="BV284" s="53">
        <f t="shared" si="46"/>
        <v>0</v>
      </c>
      <c r="BW284" s="53">
        <f t="shared" si="46"/>
        <v>0</v>
      </c>
      <c r="BX284" s="53">
        <f t="shared" si="46"/>
        <v>0</v>
      </c>
      <c r="BY284" s="53">
        <f t="shared" si="46"/>
        <v>0</v>
      </c>
      <c r="BZ284" s="53">
        <f t="shared" si="46"/>
        <v>0</v>
      </c>
      <c r="CA284" s="53">
        <f t="shared" si="46"/>
        <v>0</v>
      </c>
      <c r="CB284" s="53">
        <f t="shared" si="46"/>
        <v>0</v>
      </c>
      <c r="CC284" s="53">
        <f t="shared" si="46"/>
        <v>0</v>
      </c>
      <c r="CD284" s="53">
        <f t="shared" si="46"/>
        <v>0</v>
      </c>
      <c r="CE284" s="53">
        <f t="shared" si="46"/>
        <v>0</v>
      </c>
      <c r="CF284" s="53">
        <f t="shared" si="46"/>
        <v>0</v>
      </c>
      <c r="CG284" s="53">
        <f t="shared" si="46"/>
        <v>0</v>
      </c>
      <c r="CH284" s="53">
        <f t="shared" si="46"/>
        <v>0</v>
      </c>
      <c r="CI284" s="53">
        <f t="shared" si="46"/>
        <v>0</v>
      </c>
      <c r="CJ284" s="53">
        <f t="shared" si="46"/>
        <v>0</v>
      </c>
      <c r="CK284" s="53">
        <f t="shared" si="46"/>
        <v>0</v>
      </c>
      <c r="CL284" s="53">
        <f t="shared" si="46"/>
        <v>0</v>
      </c>
      <c r="CM284" s="53">
        <f t="shared" si="46"/>
        <v>0</v>
      </c>
      <c r="CN284" s="53">
        <f t="shared" si="46"/>
        <v>0</v>
      </c>
      <c r="CO284" s="53">
        <f t="shared" si="46"/>
        <v>0</v>
      </c>
      <c r="CP284" s="53">
        <f t="shared" si="46"/>
        <v>0</v>
      </c>
      <c r="CQ284" s="53">
        <f t="shared" si="46"/>
        <v>0</v>
      </c>
      <c r="CR284" s="53">
        <f t="shared" si="46"/>
        <v>0</v>
      </c>
      <c r="CS284" s="53">
        <f t="shared" si="46"/>
        <v>0</v>
      </c>
      <c r="CT284" s="53">
        <f t="shared" si="46"/>
        <v>0</v>
      </c>
      <c r="CU284" s="53">
        <f t="shared" si="46"/>
        <v>0</v>
      </c>
      <c r="CV284" s="53">
        <f t="shared" si="46"/>
        <v>0</v>
      </c>
      <c r="CW284" s="53">
        <f t="shared" si="46"/>
        <v>0</v>
      </c>
      <c r="CX284" s="53">
        <f t="shared" si="46"/>
        <v>0</v>
      </c>
      <c r="DB284" s="2" vm="533">
        <f ca="1">IF(Returns!A288&lt;&gt;0,Returns!A288,"")</f>
        <v>42184</v>
      </c>
      <c r="DC284" s="11">
        <f ca="1">IF(Returns!B299&gt;0,Returns!B299/Returns!B298-1,"")</f>
        <v>2.043668782109398E-2</v>
      </c>
      <c r="DD284" s="11">
        <f ca="1">IF(Returns!D291&gt;0,Returns!D291/Returns!D290-1,"")</f>
        <v>-2.863549232846796E-2</v>
      </c>
    </row>
    <row r="285" spans="2:108" x14ac:dyDescent="0.3">
      <c r="B285" s="57">
        <f t="shared" ca="1" si="6"/>
        <v>4.0899864665658201E-3</v>
      </c>
      <c r="C285" s="53">
        <f t="shared" ref="C285:BN285" si="47">IFERROR(IF(C$262=0,0,(C26-C27)/C27),0)</f>
        <v>0</v>
      </c>
      <c r="D285" s="53">
        <f t="shared" si="47"/>
        <v>0</v>
      </c>
      <c r="E285" s="53">
        <f t="shared" si="47"/>
        <v>0</v>
      </c>
      <c r="F285" s="53">
        <f t="shared" si="47"/>
        <v>0</v>
      </c>
      <c r="G285" s="53">
        <f t="shared" si="47"/>
        <v>0</v>
      </c>
      <c r="H285" s="53">
        <f t="shared" si="47"/>
        <v>0</v>
      </c>
      <c r="I285" s="53">
        <f t="shared" si="47"/>
        <v>0</v>
      </c>
      <c r="J285" s="53">
        <f t="shared" si="47"/>
        <v>0</v>
      </c>
      <c r="K285" s="53">
        <f t="shared" si="47"/>
        <v>0</v>
      </c>
      <c r="L285" s="53">
        <f t="shared" si="47"/>
        <v>0</v>
      </c>
      <c r="M285" s="53">
        <f t="shared" si="47"/>
        <v>0</v>
      </c>
      <c r="N285" s="53">
        <f t="shared" si="47"/>
        <v>0</v>
      </c>
      <c r="O285" s="53">
        <f t="shared" si="47"/>
        <v>0</v>
      </c>
      <c r="P285" s="53">
        <f t="shared" si="47"/>
        <v>0</v>
      </c>
      <c r="Q285" s="53">
        <f t="shared" si="47"/>
        <v>0</v>
      </c>
      <c r="R285" s="53">
        <f t="shared" si="47"/>
        <v>0</v>
      </c>
      <c r="S285" s="53">
        <f t="shared" si="47"/>
        <v>0</v>
      </c>
      <c r="T285" s="53">
        <f t="shared" si="47"/>
        <v>0</v>
      </c>
      <c r="U285" s="53">
        <f t="shared" si="47"/>
        <v>0</v>
      </c>
      <c r="V285" s="53">
        <f t="shared" si="47"/>
        <v>0</v>
      </c>
      <c r="W285" s="53">
        <f t="shared" si="47"/>
        <v>0</v>
      </c>
      <c r="X285" s="53">
        <f t="shared" si="47"/>
        <v>0</v>
      </c>
      <c r="Y285" s="53">
        <f t="shared" si="47"/>
        <v>0</v>
      </c>
      <c r="Z285" s="53">
        <f t="shared" si="47"/>
        <v>0</v>
      </c>
      <c r="AA285" s="53">
        <f t="shared" si="47"/>
        <v>0</v>
      </c>
      <c r="AB285" s="53">
        <f t="shared" si="47"/>
        <v>0</v>
      </c>
      <c r="AC285" s="53">
        <f t="shared" si="47"/>
        <v>0</v>
      </c>
      <c r="AD285" s="53">
        <f t="shared" si="47"/>
        <v>0</v>
      </c>
      <c r="AE285" s="53">
        <f t="shared" si="47"/>
        <v>0</v>
      </c>
      <c r="AF285" s="53">
        <f t="shared" si="47"/>
        <v>0</v>
      </c>
      <c r="AG285" s="53">
        <f t="shared" si="47"/>
        <v>0</v>
      </c>
      <c r="AH285" s="53">
        <f t="shared" si="47"/>
        <v>0</v>
      </c>
      <c r="AI285" s="53">
        <f t="shared" si="47"/>
        <v>0</v>
      </c>
      <c r="AJ285" s="53">
        <f t="shared" si="47"/>
        <v>0</v>
      </c>
      <c r="AK285" s="53">
        <f t="shared" si="47"/>
        <v>0</v>
      </c>
      <c r="AL285" s="53">
        <f t="shared" si="47"/>
        <v>0</v>
      </c>
      <c r="AM285" s="53">
        <f t="shared" si="47"/>
        <v>0</v>
      </c>
      <c r="AN285" s="53">
        <f t="shared" si="47"/>
        <v>0</v>
      </c>
      <c r="AO285" s="53">
        <f t="shared" si="47"/>
        <v>0</v>
      </c>
      <c r="AP285" s="53">
        <f t="shared" si="47"/>
        <v>0</v>
      </c>
      <c r="AQ285" s="53">
        <f t="shared" si="47"/>
        <v>0</v>
      </c>
      <c r="AR285" s="53">
        <f t="shared" si="47"/>
        <v>0</v>
      </c>
      <c r="AS285" s="53">
        <f t="shared" si="47"/>
        <v>0</v>
      </c>
      <c r="AT285" s="53">
        <f t="shared" si="47"/>
        <v>0</v>
      </c>
      <c r="AU285" s="53">
        <f t="shared" si="47"/>
        <v>0</v>
      </c>
      <c r="AV285" s="53">
        <f t="shared" si="47"/>
        <v>0</v>
      </c>
      <c r="AW285" s="53">
        <f t="shared" si="47"/>
        <v>0</v>
      </c>
      <c r="AX285" s="53">
        <f t="shared" si="47"/>
        <v>0</v>
      </c>
      <c r="AY285" s="53">
        <f t="shared" si="47"/>
        <v>0</v>
      </c>
      <c r="AZ285" s="53">
        <f t="shared" si="47"/>
        <v>0</v>
      </c>
      <c r="BA285" s="53">
        <f t="shared" si="47"/>
        <v>0</v>
      </c>
      <c r="BB285" s="53">
        <f t="shared" si="47"/>
        <v>0</v>
      </c>
      <c r="BC285" s="53">
        <f t="shared" si="47"/>
        <v>0</v>
      </c>
      <c r="BD285" s="53">
        <f t="shared" si="47"/>
        <v>0</v>
      </c>
      <c r="BE285" s="53">
        <f t="shared" si="47"/>
        <v>0</v>
      </c>
      <c r="BF285" s="53">
        <f t="shared" si="47"/>
        <v>0</v>
      </c>
      <c r="BG285" s="53">
        <f t="shared" si="47"/>
        <v>0</v>
      </c>
      <c r="BH285" s="53">
        <f t="shared" si="47"/>
        <v>0</v>
      </c>
      <c r="BI285" s="53">
        <f t="shared" si="47"/>
        <v>0</v>
      </c>
      <c r="BJ285" s="53">
        <f t="shared" si="47"/>
        <v>0</v>
      </c>
      <c r="BK285" s="53">
        <f t="shared" si="47"/>
        <v>0</v>
      </c>
      <c r="BL285" s="53">
        <f t="shared" si="47"/>
        <v>0</v>
      </c>
      <c r="BM285" s="53">
        <f t="shared" si="47"/>
        <v>0</v>
      </c>
      <c r="BN285" s="53">
        <f t="shared" si="47"/>
        <v>0</v>
      </c>
      <c r="BO285" s="53">
        <f t="shared" ref="BO285:CX285" si="48">IFERROR(IF(BO$262=0,0,(BO26-BO27)/BO27),0)</f>
        <v>0</v>
      </c>
      <c r="BP285" s="53">
        <f t="shared" si="48"/>
        <v>0</v>
      </c>
      <c r="BQ285" s="53">
        <f t="shared" si="48"/>
        <v>0</v>
      </c>
      <c r="BR285" s="53">
        <f t="shared" si="48"/>
        <v>0</v>
      </c>
      <c r="BS285" s="53">
        <f t="shared" si="48"/>
        <v>0</v>
      </c>
      <c r="BT285" s="53">
        <f t="shared" si="48"/>
        <v>0</v>
      </c>
      <c r="BU285" s="53">
        <f t="shared" si="48"/>
        <v>0</v>
      </c>
      <c r="BV285" s="53">
        <f t="shared" si="48"/>
        <v>0</v>
      </c>
      <c r="BW285" s="53">
        <f t="shared" si="48"/>
        <v>0</v>
      </c>
      <c r="BX285" s="53">
        <f t="shared" si="48"/>
        <v>0</v>
      </c>
      <c r="BY285" s="53">
        <f t="shared" si="48"/>
        <v>0</v>
      </c>
      <c r="BZ285" s="53">
        <f t="shared" si="48"/>
        <v>0</v>
      </c>
      <c r="CA285" s="53">
        <f t="shared" si="48"/>
        <v>0</v>
      </c>
      <c r="CB285" s="53">
        <f t="shared" si="48"/>
        <v>0</v>
      </c>
      <c r="CC285" s="53">
        <f t="shared" si="48"/>
        <v>0</v>
      </c>
      <c r="CD285" s="53">
        <f t="shared" si="48"/>
        <v>0</v>
      </c>
      <c r="CE285" s="53">
        <f t="shared" si="48"/>
        <v>0</v>
      </c>
      <c r="CF285" s="53">
        <f t="shared" si="48"/>
        <v>0</v>
      </c>
      <c r="CG285" s="53">
        <f t="shared" si="48"/>
        <v>0</v>
      </c>
      <c r="CH285" s="53">
        <f t="shared" si="48"/>
        <v>0</v>
      </c>
      <c r="CI285" s="53">
        <f t="shared" si="48"/>
        <v>0</v>
      </c>
      <c r="CJ285" s="53">
        <f t="shared" si="48"/>
        <v>0</v>
      </c>
      <c r="CK285" s="53">
        <f t="shared" si="48"/>
        <v>0</v>
      </c>
      <c r="CL285" s="53">
        <f t="shared" si="48"/>
        <v>0</v>
      </c>
      <c r="CM285" s="53">
        <f t="shared" si="48"/>
        <v>0</v>
      </c>
      <c r="CN285" s="53">
        <f t="shared" si="48"/>
        <v>0</v>
      </c>
      <c r="CO285" s="53">
        <f t="shared" si="48"/>
        <v>0</v>
      </c>
      <c r="CP285" s="53">
        <f t="shared" si="48"/>
        <v>0</v>
      </c>
      <c r="CQ285" s="53">
        <f t="shared" si="48"/>
        <v>0</v>
      </c>
      <c r="CR285" s="53">
        <f t="shared" si="48"/>
        <v>0</v>
      </c>
      <c r="CS285" s="53">
        <f t="shared" si="48"/>
        <v>0</v>
      </c>
      <c r="CT285" s="53">
        <f t="shared" si="48"/>
        <v>0</v>
      </c>
      <c r="CU285" s="53">
        <f t="shared" si="48"/>
        <v>0</v>
      </c>
      <c r="CV285" s="53">
        <f t="shared" si="48"/>
        <v>0</v>
      </c>
      <c r="CW285" s="53">
        <f t="shared" si="48"/>
        <v>0</v>
      </c>
      <c r="CX285" s="53">
        <f t="shared" si="48"/>
        <v>0</v>
      </c>
      <c r="DB285" s="2" vm="534">
        <f ca="1">IF(Returns!A289&lt;&gt;0,Returns!A289,"")</f>
        <v>42191</v>
      </c>
      <c r="DC285" s="11">
        <f ca="1">IF(Returns!B300&gt;0,Returns!B300/Returns!B299-1,"")</f>
        <v>-2.9633879983711697E-2</v>
      </c>
      <c r="DD285" s="11">
        <f ca="1">IF(Returns!D292&gt;0,Returns!D292/Returns!D291-1,"")</f>
        <v>6.9059667944255665E-3</v>
      </c>
    </row>
    <row r="286" spans="2:108" x14ac:dyDescent="0.3">
      <c r="B286" s="57">
        <f t="shared" ca="1" si="6"/>
        <v>5.3114650900495412E-3</v>
      </c>
      <c r="C286" s="53">
        <f t="shared" ref="C286:BN286" si="49">IFERROR(IF(C$262=0,0,(C27-C28)/C28),0)</f>
        <v>0</v>
      </c>
      <c r="D286" s="53">
        <f t="shared" si="49"/>
        <v>0</v>
      </c>
      <c r="E286" s="53">
        <f t="shared" si="49"/>
        <v>0</v>
      </c>
      <c r="F286" s="53">
        <f t="shared" si="49"/>
        <v>0</v>
      </c>
      <c r="G286" s="53">
        <f t="shared" si="49"/>
        <v>0</v>
      </c>
      <c r="H286" s="53">
        <f t="shared" si="49"/>
        <v>0</v>
      </c>
      <c r="I286" s="53">
        <f t="shared" si="49"/>
        <v>0</v>
      </c>
      <c r="J286" s="53">
        <f t="shared" si="49"/>
        <v>0</v>
      </c>
      <c r="K286" s="53">
        <f t="shared" si="49"/>
        <v>0</v>
      </c>
      <c r="L286" s="53">
        <f t="shared" si="49"/>
        <v>0</v>
      </c>
      <c r="M286" s="53">
        <f t="shared" si="49"/>
        <v>0</v>
      </c>
      <c r="N286" s="53">
        <f t="shared" si="49"/>
        <v>0</v>
      </c>
      <c r="O286" s="53">
        <f t="shared" si="49"/>
        <v>0</v>
      </c>
      <c r="P286" s="53">
        <f t="shared" si="49"/>
        <v>0</v>
      </c>
      <c r="Q286" s="53">
        <f t="shared" si="49"/>
        <v>0</v>
      </c>
      <c r="R286" s="53">
        <f t="shared" si="49"/>
        <v>0</v>
      </c>
      <c r="S286" s="53">
        <f t="shared" si="49"/>
        <v>0</v>
      </c>
      <c r="T286" s="53">
        <f t="shared" si="49"/>
        <v>0</v>
      </c>
      <c r="U286" s="53">
        <f t="shared" si="49"/>
        <v>0</v>
      </c>
      <c r="V286" s="53">
        <f t="shared" si="49"/>
        <v>0</v>
      </c>
      <c r="W286" s="53">
        <f t="shared" si="49"/>
        <v>0</v>
      </c>
      <c r="X286" s="53">
        <f t="shared" si="49"/>
        <v>0</v>
      </c>
      <c r="Y286" s="53">
        <f t="shared" si="49"/>
        <v>0</v>
      </c>
      <c r="Z286" s="53">
        <f t="shared" si="49"/>
        <v>0</v>
      </c>
      <c r="AA286" s="53">
        <f t="shared" si="49"/>
        <v>0</v>
      </c>
      <c r="AB286" s="53">
        <f t="shared" si="49"/>
        <v>0</v>
      </c>
      <c r="AC286" s="53">
        <f t="shared" si="49"/>
        <v>0</v>
      </c>
      <c r="AD286" s="53">
        <f t="shared" si="49"/>
        <v>0</v>
      </c>
      <c r="AE286" s="53">
        <f t="shared" si="49"/>
        <v>0</v>
      </c>
      <c r="AF286" s="53">
        <f t="shared" si="49"/>
        <v>0</v>
      </c>
      <c r="AG286" s="53">
        <f t="shared" si="49"/>
        <v>0</v>
      </c>
      <c r="AH286" s="53">
        <f t="shared" si="49"/>
        <v>0</v>
      </c>
      <c r="AI286" s="53">
        <f t="shared" si="49"/>
        <v>0</v>
      </c>
      <c r="AJ286" s="53">
        <f t="shared" si="49"/>
        <v>0</v>
      </c>
      <c r="AK286" s="53">
        <f t="shared" si="49"/>
        <v>0</v>
      </c>
      <c r="AL286" s="53">
        <f t="shared" si="49"/>
        <v>0</v>
      </c>
      <c r="AM286" s="53">
        <f t="shared" si="49"/>
        <v>0</v>
      </c>
      <c r="AN286" s="53">
        <f t="shared" si="49"/>
        <v>0</v>
      </c>
      <c r="AO286" s="53">
        <f t="shared" si="49"/>
        <v>0</v>
      </c>
      <c r="AP286" s="53">
        <f t="shared" si="49"/>
        <v>0</v>
      </c>
      <c r="AQ286" s="53">
        <f t="shared" si="49"/>
        <v>0</v>
      </c>
      <c r="AR286" s="53">
        <f t="shared" si="49"/>
        <v>0</v>
      </c>
      <c r="AS286" s="53">
        <f t="shared" si="49"/>
        <v>0</v>
      </c>
      <c r="AT286" s="53">
        <f t="shared" si="49"/>
        <v>0</v>
      </c>
      <c r="AU286" s="53">
        <f t="shared" si="49"/>
        <v>0</v>
      </c>
      <c r="AV286" s="53">
        <f t="shared" si="49"/>
        <v>0</v>
      </c>
      <c r="AW286" s="53">
        <f t="shared" si="49"/>
        <v>0</v>
      </c>
      <c r="AX286" s="53">
        <f t="shared" si="49"/>
        <v>0</v>
      </c>
      <c r="AY286" s="53">
        <f t="shared" si="49"/>
        <v>0</v>
      </c>
      <c r="AZ286" s="53">
        <f t="shared" si="49"/>
        <v>0</v>
      </c>
      <c r="BA286" s="53">
        <f t="shared" si="49"/>
        <v>0</v>
      </c>
      <c r="BB286" s="53">
        <f t="shared" si="49"/>
        <v>0</v>
      </c>
      <c r="BC286" s="53">
        <f t="shared" si="49"/>
        <v>0</v>
      </c>
      <c r="BD286" s="53">
        <f t="shared" si="49"/>
        <v>0</v>
      </c>
      <c r="BE286" s="53">
        <f t="shared" si="49"/>
        <v>0</v>
      </c>
      <c r="BF286" s="53">
        <f t="shared" si="49"/>
        <v>0</v>
      </c>
      <c r="BG286" s="53">
        <f t="shared" si="49"/>
        <v>0</v>
      </c>
      <c r="BH286" s="53">
        <f t="shared" si="49"/>
        <v>0</v>
      </c>
      <c r="BI286" s="53">
        <f t="shared" si="49"/>
        <v>0</v>
      </c>
      <c r="BJ286" s="53">
        <f t="shared" si="49"/>
        <v>0</v>
      </c>
      <c r="BK286" s="53">
        <f t="shared" si="49"/>
        <v>0</v>
      </c>
      <c r="BL286" s="53">
        <f t="shared" si="49"/>
        <v>0</v>
      </c>
      <c r="BM286" s="53">
        <f t="shared" si="49"/>
        <v>0</v>
      </c>
      <c r="BN286" s="53">
        <f t="shared" si="49"/>
        <v>0</v>
      </c>
      <c r="BO286" s="53">
        <f t="shared" ref="BO286:CX286" si="50">IFERROR(IF(BO$262=0,0,(BO27-BO28)/BO28),0)</f>
        <v>0</v>
      </c>
      <c r="BP286" s="53">
        <f t="shared" si="50"/>
        <v>0</v>
      </c>
      <c r="BQ286" s="53">
        <f t="shared" si="50"/>
        <v>0</v>
      </c>
      <c r="BR286" s="53">
        <f t="shared" si="50"/>
        <v>0</v>
      </c>
      <c r="BS286" s="53">
        <f t="shared" si="50"/>
        <v>0</v>
      </c>
      <c r="BT286" s="53">
        <f t="shared" si="50"/>
        <v>0</v>
      </c>
      <c r="BU286" s="53">
        <f t="shared" si="50"/>
        <v>0</v>
      </c>
      <c r="BV286" s="53">
        <f t="shared" si="50"/>
        <v>0</v>
      </c>
      <c r="BW286" s="53">
        <f t="shared" si="50"/>
        <v>0</v>
      </c>
      <c r="BX286" s="53">
        <f t="shared" si="50"/>
        <v>0</v>
      </c>
      <c r="BY286" s="53">
        <f t="shared" si="50"/>
        <v>0</v>
      </c>
      <c r="BZ286" s="53">
        <f t="shared" si="50"/>
        <v>0</v>
      </c>
      <c r="CA286" s="53">
        <f t="shared" si="50"/>
        <v>0</v>
      </c>
      <c r="CB286" s="53">
        <f t="shared" si="50"/>
        <v>0</v>
      </c>
      <c r="CC286" s="53">
        <f t="shared" si="50"/>
        <v>0</v>
      </c>
      <c r="CD286" s="53">
        <f t="shared" si="50"/>
        <v>0</v>
      </c>
      <c r="CE286" s="53">
        <f t="shared" si="50"/>
        <v>0</v>
      </c>
      <c r="CF286" s="53">
        <f t="shared" si="50"/>
        <v>0</v>
      </c>
      <c r="CG286" s="53">
        <f t="shared" si="50"/>
        <v>0</v>
      </c>
      <c r="CH286" s="53">
        <f t="shared" si="50"/>
        <v>0</v>
      </c>
      <c r="CI286" s="53">
        <f t="shared" si="50"/>
        <v>0</v>
      </c>
      <c r="CJ286" s="53">
        <f t="shared" si="50"/>
        <v>0</v>
      </c>
      <c r="CK286" s="53">
        <f t="shared" si="50"/>
        <v>0</v>
      </c>
      <c r="CL286" s="53">
        <f t="shared" si="50"/>
        <v>0</v>
      </c>
      <c r="CM286" s="53">
        <f t="shared" si="50"/>
        <v>0</v>
      </c>
      <c r="CN286" s="53">
        <f t="shared" si="50"/>
        <v>0</v>
      </c>
      <c r="CO286" s="53">
        <f t="shared" si="50"/>
        <v>0</v>
      </c>
      <c r="CP286" s="53">
        <f t="shared" si="50"/>
        <v>0</v>
      </c>
      <c r="CQ286" s="53">
        <f t="shared" si="50"/>
        <v>0</v>
      </c>
      <c r="CR286" s="53">
        <f t="shared" si="50"/>
        <v>0</v>
      </c>
      <c r="CS286" s="53">
        <f t="shared" si="50"/>
        <v>0</v>
      </c>
      <c r="CT286" s="53">
        <f t="shared" si="50"/>
        <v>0</v>
      </c>
      <c r="CU286" s="53">
        <f t="shared" si="50"/>
        <v>0</v>
      </c>
      <c r="CV286" s="53">
        <f t="shared" si="50"/>
        <v>0</v>
      </c>
      <c r="CW286" s="53">
        <f t="shared" si="50"/>
        <v>0</v>
      </c>
      <c r="CX286" s="53">
        <f t="shared" si="50"/>
        <v>0</v>
      </c>
      <c r="DB286" s="2" vm="535">
        <f ca="1">IF(Returns!A290&lt;&gt;0,Returns!A290,"")</f>
        <v>42198</v>
      </c>
      <c r="DC286" s="11">
        <f ca="1">IF(Returns!B301&gt;0,Returns!B301/Returns!B300-1,"")</f>
        <v>1.5813066285169208E-2</v>
      </c>
      <c r="DD286" s="11">
        <f ca="1">IF(Returns!D293&gt;0,Returns!D293/Returns!D292-1,"")</f>
        <v>-1.7890526086077108E-2</v>
      </c>
    </row>
    <row r="287" spans="2:108" x14ac:dyDescent="0.3">
      <c r="B287" s="57">
        <f t="shared" ca="1" si="6"/>
        <v>1.2673955773472339E-2</v>
      </c>
      <c r="C287" s="53">
        <f t="shared" ref="C287:BN287" si="51">IFERROR(IF(C$262=0,0,(C28-C29)/C29),0)</f>
        <v>0</v>
      </c>
      <c r="D287" s="53">
        <f t="shared" si="51"/>
        <v>0</v>
      </c>
      <c r="E287" s="53">
        <f t="shared" si="51"/>
        <v>0</v>
      </c>
      <c r="F287" s="53">
        <f t="shared" si="51"/>
        <v>0</v>
      </c>
      <c r="G287" s="53">
        <f t="shared" si="51"/>
        <v>0</v>
      </c>
      <c r="H287" s="53">
        <f t="shared" si="51"/>
        <v>0</v>
      </c>
      <c r="I287" s="53">
        <f t="shared" si="51"/>
        <v>0</v>
      </c>
      <c r="J287" s="53">
        <f t="shared" si="51"/>
        <v>0</v>
      </c>
      <c r="K287" s="53">
        <f t="shared" si="51"/>
        <v>0</v>
      </c>
      <c r="L287" s="53">
        <f t="shared" si="51"/>
        <v>0</v>
      </c>
      <c r="M287" s="53">
        <f t="shared" si="51"/>
        <v>0</v>
      </c>
      <c r="N287" s="53">
        <f t="shared" si="51"/>
        <v>0</v>
      </c>
      <c r="O287" s="53">
        <f t="shared" si="51"/>
        <v>0</v>
      </c>
      <c r="P287" s="53">
        <f t="shared" si="51"/>
        <v>0</v>
      </c>
      <c r="Q287" s="53">
        <f t="shared" si="51"/>
        <v>0</v>
      </c>
      <c r="R287" s="53">
        <f t="shared" si="51"/>
        <v>0</v>
      </c>
      <c r="S287" s="53">
        <f t="shared" si="51"/>
        <v>0</v>
      </c>
      <c r="T287" s="53">
        <f t="shared" si="51"/>
        <v>0</v>
      </c>
      <c r="U287" s="53">
        <f t="shared" si="51"/>
        <v>0</v>
      </c>
      <c r="V287" s="53">
        <f t="shared" si="51"/>
        <v>0</v>
      </c>
      <c r="W287" s="53">
        <f t="shared" si="51"/>
        <v>0</v>
      </c>
      <c r="X287" s="53">
        <f t="shared" si="51"/>
        <v>0</v>
      </c>
      <c r="Y287" s="53">
        <f t="shared" si="51"/>
        <v>0</v>
      </c>
      <c r="Z287" s="53">
        <f t="shared" si="51"/>
        <v>0</v>
      </c>
      <c r="AA287" s="53">
        <f t="shared" si="51"/>
        <v>0</v>
      </c>
      <c r="AB287" s="53">
        <f t="shared" si="51"/>
        <v>0</v>
      </c>
      <c r="AC287" s="53">
        <f t="shared" si="51"/>
        <v>0</v>
      </c>
      <c r="AD287" s="53">
        <f t="shared" si="51"/>
        <v>0</v>
      </c>
      <c r="AE287" s="53">
        <f t="shared" si="51"/>
        <v>0</v>
      </c>
      <c r="AF287" s="53">
        <f t="shared" si="51"/>
        <v>0</v>
      </c>
      <c r="AG287" s="53">
        <f t="shared" si="51"/>
        <v>0</v>
      </c>
      <c r="AH287" s="53">
        <f t="shared" si="51"/>
        <v>0</v>
      </c>
      <c r="AI287" s="53">
        <f t="shared" si="51"/>
        <v>0</v>
      </c>
      <c r="AJ287" s="53">
        <f t="shared" si="51"/>
        <v>0</v>
      </c>
      <c r="AK287" s="53">
        <f t="shared" si="51"/>
        <v>0</v>
      </c>
      <c r="AL287" s="53">
        <f t="shared" si="51"/>
        <v>0</v>
      </c>
      <c r="AM287" s="53">
        <f t="shared" si="51"/>
        <v>0</v>
      </c>
      <c r="AN287" s="53">
        <f t="shared" si="51"/>
        <v>0</v>
      </c>
      <c r="AO287" s="53">
        <f t="shared" si="51"/>
        <v>0</v>
      </c>
      <c r="AP287" s="53">
        <f t="shared" si="51"/>
        <v>0</v>
      </c>
      <c r="AQ287" s="53">
        <f t="shared" si="51"/>
        <v>0</v>
      </c>
      <c r="AR287" s="53">
        <f t="shared" si="51"/>
        <v>0</v>
      </c>
      <c r="AS287" s="53">
        <f t="shared" si="51"/>
        <v>0</v>
      </c>
      <c r="AT287" s="53">
        <f t="shared" si="51"/>
        <v>0</v>
      </c>
      <c r="AU287" s="53">
        <f t="shared" si="51"/>
        <v>0</v>
      </c>
      <c r="AV287" s="53">
        <f t="shared" si="51"/>
        <v>0</v>
      </c>
      <c r="AW287" s="53">
        <f t="shared" si="51"/>
        <v>0</v>
      </c>
      <c r="AX287" s="53">
        <f t="shared" si="51"/>
        <v>0</v>
      </c>
      <c r="AY287" s="53">
        <f t="shared" si="51"/>
        <v>0</v>
      </c>
      <c r="AZ287" s="53">
        <f t="shared" si="51"/>
        <v>0</v>
      </c>
      <c r="BA287" s="53">
        <f t="shared" si="51"/>
        <v>0</v>
      </c>
      <c r="BB287" s="53">
        <f t="shared" si="51"/>
        <v>0</v>
      </c>
      <c r="BC287" s="53">
        <f t="shared" si="51"/>
        <v>0</v>
      </c>
      <c r="BD287" s="53">
        <f t="shared" si="51"/>
        <v>0</v>
      </c>
      <c r="BE287" s="53">
        <f t="shared" si="51"/>
        <v>0</v>
      </c>
      <c r="BF287" s="53">
        <f t="shared" si="51"/>
        <v>0</v>
      </c>
      <c r="BG287" s="53">
        <f t="shared" si="51"/>
        <v>0</v>
      </c>
      <c r="BH287" s="53">
        <f t="shared" si="51"/>
        <v>0</v>
      </c>
      <c r="BI287" s="53">
        <f t="shared" si="51"/>
        <v>0</v>
      </c>
      <c r="BJ287" s="53">
        <f t="shared" si="51"/>
        <v>0</v>
      </c>
      <c r="BK287" s="53">
        <f t="shared" si="51"/>
        <v>0</v>
      </c>
      <c r="BL287" s="53">
        <f t="shared" si="51"/>
        <v>0</v>
      </c>
      <c r="BM287" s="53">
        <f t="shared" si="51"/>
        <v>0</v>
      </c>
      <c r="BN287" s="53">
        <f t="shared" si="51"/>
        <v>0</v>
      </c>
      <c r="BO287" s="53">
        <f t="shared" ref="BO287:CX287" si="52">IFERROR(IF(BO$262=0,0,(BO28-BO29)/BO29),0)</f>
        <v>0</v>
      </c>
      <c r="BP287" s="53">
        <f t="shared" si="52"/>
        <v>0</v>
      </c>
      <c r="BQ287" s="53">
        <f t="shared" si="52"/>
        <v>0</v>
      </c>
      <c r="BR287" s="53">
        <f t="shared" si="52"/>
        <v>0</v>
      </c>
      <c r="BS287" s="53">
        <f t="shared" si="52"/>
        <v>0</v>
      </c>
      <c r="BT287" s="53">
        <f t="shared" si="52"/>
        <v>0</v>
      </c>
      <c r="BU287" s="53">
        <f t="shared" si="52"/>
        <v>0</v>
      </c>
      <c r="BV287" s="53">
        <f t="shared" si="52"/>
        <v>0</v>
      </c>
      <c r="BW287" s="53">
        <f t="shared" si="52"/>
        <v>0</v>
      </c>
      <c r="BX287" s="53">
        <f t="shared" si="52"/>
        <v>0</v>
      </c>
      <c r="BY287" s="53">
        <f t="shared" si="52"/>
        <v>0</v>
      </c>
      <c r="BZ287" s="53">
        <f t="shared" si="52"/>
        <v>0</v>
      </c>
      <c r="CA287" s="53">
        <f t="shared" si="52"/>
        <v>0</v>
      </c>
      <c r="CB287" s="53">
        <f t="shared" si="52"/>
        <v>0</v>
      </c>
      <c r="CC287" s="53">
        <f t="shared" si="52"/>
        <v>0</v>
      </c>
      <c r="CD287" s="53">
        <f t="shared" si="52"/>
        <v>0</v>
      </c>
      <c r="CE287" s="53">
        <f t="shared" si="52"/>
        <v>0</v>
      </c>
      <c r="CF287" s="53">
        <f t="shared" si="52"/>
        <v>0</v>
      </c>
      <c r="CG287" s="53">
        <f t="shared" si="52"/>
        <v>0</v>
      </c>
      <c r="CH287" s="53">
        <f t="shared" si="52"/>
        <v>0</v>
      </c>
      <c r="CI287" s="53">
        <f t="shared" si="52"/>
        <v>0</v>
      </c>
      <c r="CJ287" s="53">
        <f t="shared" si="52"/>
        <v>0</v>
      </c>
      <c r="CK287" s="53">
        <f t="shared" si="52"/>
        <v>0</v>
      </c>
      <c r="CL287" s="53">
        <f t="shared" si="52"/>
        <v>0</v>
      </c>
      <c r="CM287" s="53">
        <f t="shared" si="52"/>
        <v>0</v>
      </c>
      <c r="CN287" s="53">
        <f t="shared" si="52"/>
        <v>0</v>
      </c>
      <c r="CO287" s="53">
        <f t="shared" si="52"/>
        <v>0</v>
      </c>
      <c r="CP287" s="53">
        <f t="shared" si="52"/>
        <v>0</v>
      </c>
      <c r="CQ287" s="53">
        <f t="shared" si="52"/>
        <v>0</v>
      </c>
      <c r="CR287" s="53">
        <f t="shared" si="52"/>
        <v>0</v>
      </c>
      <c r="CS287" s="53">
        <f t="shared" si="52"/>
        <v>0</v>
      </c>
      <c r="CT287" s="53">
        <f t="shared" si="52"/>
        <v>0</v>
      </c>
      <c r="CU287" s="53">
        <f t="shared" si="52"/>
        <v>0</v>
      </c>
      <c r="CV287" s="53">
        <f t="shared" si="52"/>
        <v>0</v>
      </c>
      <c r="CW287" s="53">
        <f t="shared" si="52"/>
        <v>0</v>
      </c>
      <c r="CX287" s="53">
        <f t="shared" si="52"/>
        <v>0</v>
      </c>
      <c r="DB287" s="2" vm="536">
        <f ca="1">IF(Returns!A291&lt;&gt;0,Returns!A291,"")</f>
        <v>42205</v>
      </c>
      <c r="DC287" s="11">
        <f ca="1">IF(Returns!B302&gt;0,Returns!B302/Returns!B301-1,"")</f>
        <v>1.3632778758403186E-2</v>
      </c>
      <c r="DD287" s="11">
        <f ca="1">IF(Returns!D294&gt;0,Returns!D294/Returns!D293-1,"")</f>
        <v>5.9875399022837339E-3</v>
      </c>
    </row>
    <row r="288" spans="2:108" x14ac:dyDescent="0.3">
      <c r="B288" s="57">
        <f t="shared" ca="1" si="6"/>
        <v>1.7350073900689435E-3</v>
      </c>
      <c r="C288" s="53">
        <f t="shared" ref="C288:BN288" si="53">IFERROR(IF(C$262=0,0,(C29-C30)/C30),0)</f>
        <v>0</v>
      </c>
      <c r="D288" s="53">
        <f t="shared" si="53"/>
        <v>0</v>
      </c>
      <c r="E288" s="53">
        <f t="shared" si="53"/>
        <v>0</v>
      </c>
      <c r="F288" s="53">
        <f t="shared" si="53"/>
        <v>0</v>
      </c>
      <c r="G288" s="53">
        <f t="shared" si="53"/>
        <v>0</v>
      </c>
      <c r="H288" s="53">
        <f t="shared" si="53"/>
        <v>0</v>
      </c>
      <c r="I288" s="53">
        <f t="shared" si="53"/>
        <v>0</v>
      </c>
      <c r="J288" s="53">
        <f t="shared" si="53"/>
        <v>0</v>
      </c>
      <c r="K288" s="53">
        <f t="shared" si="53"/>
        <v>0</v>
      </c>
      <c r="L288" s="53">
        <f t="shared" si="53"/>
        <v>0</v>
      </c>
      <c r="M288" s="53">
        <f t="shared" si="53"/>
        <v>0</v>
      </c>
      <c r="N288" s="53">
        <f t="shared" si="53"/>
        <v>0</v>
      </c>
      <c r="O288" s="53">
        <f t="shared" si="53"/>
        <v>0</v>
      </c>
      <c r="P288" s="53">
        <f t="shared" si="53"/>
        <v>0</v>
      </c>
      <c r="Q288" s="53">
        <f t="shared" si="53"/>
        <v>0</v>
      </c>
      <c r="R288" s="53">
        <f t="shared" si="53"/>
        <v>0</v>
      </c>
      <c r="S288" s="53">
        <f t="shared" si="53"/>
        <v>0</v>
      </c>
      <c r="T288" s="53">
        <f t="shared" si="53"/>
        <v>0</v>
      </c>
      <c r="U288" s="53">
        <f t="shared" si="53"/>
        <v>0</v>
      </c>
      <c r="V288" s="53">
        <f t="shared" si="53"/>
        <v>0</v>
      </c>
      <c r="W288" s="53">
        <f t="shared" si="53"/>
        <v>0</v>
      </c>
      <c r="X288" s="53">
        <f t="shared" si="53"/>
        <v>0</v>
      </c>
      <c r="Y288" s="53">
        <f t="shared" si="53"/>
        <v>0</v>
      </c>
      <c r="Z288" s="53">
        <f t="shared" si="53"/>
        <v>0</v>
      </c>
      <c r="AA288" s="53">
        <f t="shared" si="53"/>
        <v>0</v>
      </c>
      <c r="AB288" s="53">
        <f t="shared" si="53"/>
        <v>0</v>
      </c>
      <c r="AC288" s="53">
        <f t="shared" si="53"/>
        <v>0</v>
      </c>
      <c r="AD288" s="53">
        <f t="shared" si="53"/>
        <v>0</v>
      </c>
      <c r="AE288" s="53">
        <f t="shared" si="53"/>
        <v>0</v>
      </c>
      <c r="AF288" s="53">
        <f t="shared" si="53"/>
        <v>0</v>
      </c>
      <c r="AG288" s="53">
        <f t="shared" si="53"/>
        <v>0</v>
      </c>
      <c r="AH288" s="53">
        <f t="shared" si="53"/>
        <v>0</v>
      </c>
      <c r="AI288" s="53">
        <f t="shared" si="53"/>
        <v>0</v>
      </c>
      <c r="AJ288" s="53">
        <f t="shared" si="53"/>
        <v>0</v>
      </c>
      <c r="AK288" s="53">
        <f t="shared" si="53"/>
        <v>0</v>
      </c>
      <c r="AL288" s="53">
        <f t="shared" si="53"/>
        <v>0</v>
      </c>
      <c r="AM288" s="53">
        <f t="shared" si="53"/>
        <v>0</v>
      </c>
      <c r="AN288" s="53">
        <f t="shared" si="53"/>
        <v>0</v>
      </c>
      <c r="AO288" s="53">
        <f t="shared" si="53"/>
        <v>0</v>
      </c>
      <c r="AP288" s="53">
        <f t="shared" si="53"/>
        <v>0</v>
      </c>
      <c r="AQ288" s="53">
        <f t="shared" si="53"/>
        <v>0</v>
      </c>
      <c r="AR288" s="53">
        <f t="shared" si="53"/>
        <v>0</v>
      </c>
      <c r="AS288" s="53">
        <f t="shared" si="53"/>
        <v>0</v>
      </c>
      <c r="AT288" s="53">
        <f t="shared" si="53"/>
        <v>0</v>
      </c>
      <c r="AU288" s="53">
        <f t="shared" si="53"/>
        <v>0</v>
      </c>
      <c r="AV288" s="53">
        <f t="shared" si="53"/>
        <v>0</v>
      </c>
      <c r="AW288" s="53">
        <f t="shared" si="53"/>
        <v>0</v>
      </c>
      <c r="AX288" s="53">
        <f t="shared" si="53"/>
        <v>0</v>
      </c>
      <c r="AY288" s="53">
        <f t="shared" si="53"/>
        <v>0</v>
      </c>
      <c r="AZ288" s="53">
        <f t="shared" si="53"/>
        <v>0</v>
      </c>
      <c r="BA288" s="53">
        <f t="shared" si="53"/>
        <v>0</v>
      </c>
      <c r="BB288" s="53">
        <f t="shared" si="53"/>
        <v>0</v>
      </c>
      <c r="BC288" s="53">
        <f t="shared" si="53"/>
        <v>0</v>
      </c>
      <c r="BD288" s="53">
        <f t="shared" si="53"/>
        <v>0</v>
      </c>
      <c r="BE288" s="53">
        <f t="shared" si="53"/>
        <v>0</v>
      </c>
      <c r="BF288" s="53">
        <f t="shared" si="53"/>
        <v>0</v>
      </c>
      <c r="BG288" s="53">
        <f t="shared" si="53"/>
        <v>0</v>
      </c>
      <c r="BH288" s="53">
        <f t="shared" si="53"/>
        <v>0</v>
      </c>
      <c r="BI288" s="53">
        <f t="shared" si="53"/>
        <v>0</v>
      </c>
      <c r="BJ288" s="53">
        <f t="shared" si="53"/>
        <v>0</v>
      </c>
      <c r="BK288" s="53">
        <f t="shared" si="53"/>
        <v>0</v>
      </c>
      <c r="BL288" s="53">
        <f t="shared" si="53"/>
        <v>0</v>
      </c>
      <c r="BM288" s="53">
        <f t="shared" si="53"/>
        <v>0</v>
      </c>
      <c r="BN288" s="53">
        <f t="shared" si="53"/>
        <v>0</v>
      </c>
      <c r="BO288" s="53">
        <f t="shared" ref="BO288:CX288" si="54">IFERROR(IF(BO$262=0,0,(BO29-BO30)/BO30),0)</f>
        <v>0</v>
      </c>
      <c r="BP288" s="53">
        <f t="shared" si="54"/>
        <v>0</v>
      </c>
      <c r="BQ288" s="53">
        <f t="shared" si="54"/>
        <v>0</v>
      </c>
      <c r="BR288" s="53">
        <f t="shared" si="54"/>
        <v>0</v>
      </c>
      <c r="BS288" s="53">
        <f t="shared" si="54"/>
        <v>0</v>
      </c>
      <c r="BT288" s="53">
        <f t="shared" si="54"/>
        <v>0</v>
      </c>
      <c r="BU288" s="53">
        <f t="shared" si="54"/>
        <v>0</v>
      </c>
      <c r="BV288" s="53">
        <f t="shared" si="54"/>
        <v>0</v>
      </c>
      <c r="BW288" s="53">
        <f t="shared" si="54"/>
        <v>0</v>
      </c>
      <c r="BX288" s="53">
        <f t="shared" si="54"/>
        <v>0</v>
      </c>
      <c r="BY288" s="53">
        <f t="shared" si="54"/>
        <v>0</v>
      </c>
      <c r="BZ288" s="53">
        <f t="shared" si="54"/>
        <v>0</v>
      </c>
      <c r="CA288" s="53">
        <f t="shared" si="54"/>
        <v>0</v>
      </c>
      <c r="CB288" s="53">
        <f t="shared" si="54"/>
        <v>0</v>
      </c>
      <c r="CC288" s="53">
        <f t="shared" si="54"/>
        <v>0</v>
      </c>
      <c r="CD288" s="53">
        <f t="shared" si="54"/>
        <v>0</v>
      </c>
      <c r="CE288" s="53">
        <f t="shared" si="54"/>
        <v>0</v>
      </c>
      <c r="CF288" s="53">
        <f t="shared" si="54"/>
        <v>0</v>
      </c>
      <c r="CG288" s="53">
        <f t="shared" si="54"/>
        <v>0</v>
      </c>
      <c r="CH288" s="53">
        <f t="shared" si="54"/>
        <v>0</v>
      </c>
      <c r="CI288" s="53">
        <f t="shared" si="54"/>
        <v>0</v>
      </c>
      <c r="CJ288" s="53">
        <f t="shared" si="54"/>
        <v>0</v>
      </c>
      <c r="CK288" s="53">
        <f t="shared" si="54"/>
        <v>0</v>
      </c>
      <c r="CL288" s="53">
        <f t="shared" si="54"/>
        <v>0</v>
      </c>
      <c r="CM288" s="53">
        <f t="shared" si="54"/>
        <v>0</v>
      </c>
      <c r="CN288" s="53">
        <f t="shared" si="54"/>
        <v>0</v>
      </c>
      <c r="CO288" s="53">
        <f t="shared" si="54"/>
        <v>0</v>
      </c>
      <c r="CP288" s="53">
        <f t="shared" si="54"/>
        <v>0</v>
      </c>
      <c r="CQ288" s="53">
        <f t="shared" si="54"/>
        <v>0</v>
      </c>
      <c r="CR288" s="53">
        <f t="shared" si="54"/>
        <v>0</v>
      </c>
      <c r="CS288" s="53">
        <f t="shared" si="54"/>
        <v>0</v>
      </c>
      <c r="CT288" s="53">
        <f t="shared" si="54"/>
        <v>0</v>
      </c>
      <c r="CU288" s="53">
        <f t="shared" si="54"/>
        <v>0</v>
      </c>
      <c r="CV288" s="53">
        <f t="shared" si="54"/>
        <v>0</v>
      </c>
      <c r="CW288" s="53">
        <f t="shared" si="54"/>
        <v>0</v>
      </c>
      <c r="CX288" s="53">
        <f t="shared" si="54"/>
        <v>0</v>
      </c>
      <c r="DB288" s="2" vm="537">
        <f ca="1">IF(Returns!A292&lt;&gt;0,Returns!A292,"")</f>
        <v>42212</v>
      </c>
      <c r="DC288" s="11">
        <f ca="1">IF(Returns!B303&gt;0,Returns!B303/Returns!B302-1,"")</f>
        <v>5.7354575768803429E-2</v>
      </c>
      <c r="DD288" s="11">
        <f ca="1">IF(Returns!D295&gt;0,Returns!D295/Returns!D294-1,"")</f>
        <v>-5.8226963791210506E-2</v>
      </c>
    </row>
    <row r="289" spans="2:108" x14ac:dyDescent="0.3">
      <c r="B289" s="57">
        <f t="shared" ca="1" si="6"/>
        <v>6.0459715243939335E-3</v>
      </c>
      <c r="C289" s="53">
        <f t="shared" ref="C289:BN289" si="55">IFERROR(IF(C$262=0,0,(C30-C31)/C31),0)</f>
        <v>0</v>
      </c>
      <c r="D289" s="53">
        <f t="shared" si="55"/>
        <v>0</v>
      </c>
      <c r="E289" s="53">
        <f t="shared" si="55"/>
        <v>0</v>
      </c>
      <c r="F289" s="53">
        <f t="shared" si="55"/>
        <v>0</v>
      </c>
      <c r="G289" s="53">
        <f t="shared" si="55"/>
        <v>0</v>
      </c>
      <c r="H289" s="53">
        <f t="shared" si="55"/>
        <v>0</v>
      </c>
      <c r="I289" s="53">
        <f t="shared" si="55"/>
        <v>0</v>
      </c>
      <c r="J289" s="53">
        <f t="shared" si="55"/>
        <v>0</v>
      </c>
      <c r="K289" s="53">
        <f t="shared" si="55"/>
        <v>0</v>
      </c>
      <c r="L289" s="53">
        <f t="shared" si="55"/>
        <v>0</v>
      </c>
      <c r="M289" s="53">
        <f t="shared" si="55"/>
        <v>0</v>
      </c>
      <c r="N289" s="53">
        <f t="shared" si="55"/>
        <v>0</v>
      </c>
      <c r="O289" s="53">
        <f t="shared" si="55"/>
        <v>0</v>
      </c>
      <c r="P289" s="53">
        <f t="shared" si="55"/>
        <v>0</v>
      </c>
      <c r="Q289" s="53">
        <f t="shared" si="55"/>
        <v>0</v>
      </c>
      <c r="R289" s="53">
        <f t="shared" si="55"/>
        <v>0</v>
      </c>
      <c r="S289" s="53">
        <f t="shared" si="55"/>
        <v>0</v>
      </c>
      <c r="T289" s="53">
        <f t="shared" si="55"/>
        <v>0</v>
      </c>
      <c r="U289" s="53">
        <f t="shared" si="55"/>
        <v>0</v>
      </c>
      <c r="V289" s="53">
        <f t="shared" si="55"/>
        <v>0</v>
      </c>
      <c r="W289" s="53">
        <f t="shared" si="55"/>
        <v>0</v>
      </c>
      <c r="X289" s="53">
        <f t="shared" si="55"/>
        <v>0</v>
      </c>
      <c r="Y289" s="53">
        <f t="shared" si="55"/>
        <v>0</v>
      </c>
      <c r="Z289" s="53">
        <f t="shared" si="55"/>
        <v>0</v>
      </c>
      <c r="AA289" s="53">
        <f t="shared" si="55"/>
        <v>0</v>
      </c>
      <c r="AB289" s="53">
        <f t="shared" si="55"/>
        <v>0</v>
      </c>
      <c r="AC289" s="53">
        <f t="shared" si="55"/>
        <v>0</v>
      </c>
      <c r="AD289" s="53">
        <f t="shared" si="55"/>
        <v>0</v>
      </c>
      <c r="AE289" s="53">
        <f t="shared" si="55"/>
        <v>0</v>
      </c>
      <c r="AF289" s="53">
        <f t="shared" si="55"/>
        <v>0</v>
      </c>
      <c r="AG289" s="53">
        <f t="shared" si="55"/>
        <v>0</v>
      </c>
      <c r="AH289" s="53">
        <f t="shared" si="55"/>
        <v>0</v>
      </c>
      <c r="AI289" s="53">
        <f t="shared" si="55"/>
        <v>0</v>
      </c>
      <c r="AJ289" s="53">
        <f t="shared" si="55"/>
        <v>0</v>
      </c>
      <c r="AK289" s="53">
        <f t="shared" si="55"/>
        <v>0</v>
      </c>
      <c r="AL289" s="53">
        <f t="shared" si="55"/>
        <v>0</v>
      </c>
      <c r="AM289" s="53">
        <f t="shared" si="55"/>
        <v>0</v>
      </c>
      <c r="AN289" s="53">
        <f t="shared" si="55"/>
        <v>0</v>
      </c>
      <c r="AO289" s="53">
        <f t="shared" si="55"/>
        <v>0</v>
      </c>
      <c r="AP289" s="53">
        <f t="shared" si="55"/>
        <v>0</v>
      </c>
      <c r="AQ289" s="53">
        <f t="shared" si="55"/>
        <v>0</v>
      </c>
      <c r="AR289" s="53">
        <f t="shared" si="55"/>
        <v>0</v>
      </c>
      <c r="AS289" s="53">
        <f t="shared" si="55"/>
        <v>0</v>
      </c>
      <c r="AT289" s="53">
        <f t="shared" si="55"/>
        <v>0</v>
      </c>
      <c r="AU289" s="53">
        <f t="shared" si="55"/>
        <v>0</v>
      </c>
      <c r="AV289" s="53">
        <f t="shared" si="55"/>
        <v>0</v>
      </c>
      <c r="AW289" s="53">
        <f t="shared" si="55"/>
        <v>0</v>
      </c>
      <c r="AX289" s="53">
        <f t="shared" si="55"/>
        <v>0</v>
      </c>
      <c r="AY289" s="53">
        <f t="shared" si="55"/>
        <v>0</v>
      </c>
      <c r="AZ289" s="53">
        <f t="shared" si="55"/>
        <v>0</v>
      </c>
      <c r="BA289" s="53">
        <f t="shared" si="55"/>
        <v>0</v>
      </c>
      <c r="BB289" s="53">
        <f t="shared" si="55"/>
        <v>0</v>
      </c>
      <c r="BC289" s="53">
        <f t="shared" si="55"/>
        <v>0</v>
      </c>
      <c r="BD289" s="53">
        <f t="shared" si="55"/>
        <v>0</v>
      </c>
      <c r="BE289" s="53">
        <f t="shared" si="55"/>
        <v>0</v>
      </c>
      <c r="BF289" s="53">
        <f t="shared" si="55"/>
        <v>0</v>
      </c>
      <c r="BG289" s="53">
        <f t="shared" si="55"/>
        <v>0</v>
      </c>
      <c r="BH289" s="53">
        <f t="shared" si="55"/>
        <v>0</v>
      </c>
      <c r="BI289" s="53">
        <f t="shared" si="55"/>
        <v>0</v>
      </c>
      <c r="BJ289" s="53">
        <f t="shared" si="55"/>
        <v>0</v>
      </c>
      <c r="BK289" s="53">
        <f t="shared" si="55"/>
        <v>0</v>
      </c>
      <c r="BL289" s="53">
        <f t="shared" si="55"/>
        <v>0</v>
      </c>
      <c r="BM289" s="53">
        <f t="shared" si="55"/>
        <v>0</v>
      </c>
      <c r="BN289" s="53">
        <f t="shared" si="55"/>
        <v>0</v>
      </c>
      <c r="BO289" s="53">
        <f t="shared" ref="BO289:CX289" si="56">IFERROR(IF(BO$262=0,0,(BO30-BO31)/BO31),0)</f>
        <v>0</v>
      </c>
      <c r="BP289" s="53">
        <f t="shared" si="56"/>
        <v>0</v>
      </c>
      <c r="BQ289" s="53">
        <f t="shared" si="56"/>
        <v>0</v>
      </c>
      <c r="BR289" s="53">
        <f t="shared" si="56"/>
        <v>0</v>
      </c>
      <c r="BS289" s="53">
        <f t="shared" si="56"/>
        <v>0</v>
      </c>
      <c r="BT289" s="53">
        <f t="shared" si="56"/>
        <v>0</v>
      </c>
      <c r="BU289" s="53">
        <f t="shared" si="56"/>
        <v>0</v>
      </c>
      <c r="BV289" s="53">
        <f t="shared" si="56"/>
        <v>0</v>
      </c>
      <c r="BW289" s="53">
        <f t="shared" si="56"/>
        <v>0</v>
      </c>
      <c r="BX289" s="53">
        <f t="shared" si="56"/>
        <v>0</v>
      </c>
      <c r="BY289" s="53">
        <f t="shared" si="56"/>
        <v>0</v>
      </c>
      <c r="BZ289" s="53">
        <f t="shared" si="56"/>
        <v>0</v>
      </c>
      <c r="CA289" s="53">
        <f t="shared" si="56"/>
        <v>0</v>
      </c>
      <c r="CB289" s="53">
        <f t="shared" si="56"/>
        <v>0</v>
      </c>
      <c r="CC289" s="53">
        <f t="shared" si="56"/>
        <v>0</v>
      </c>
      <c r="CD289" s="53">
        <f t="shared" si="56"/>
        <v>0</v>
      </c>
      <c r="CE289" s="53">
        <f t="shared" si="56"/>
        <v>0</v>
      </c>
      <c r="CF289" s="53">
        <f t="shared" si="56"/>
        <v>0</v>
      </c>
      <c r="CG289" s="53">
        <f t="shared" si="56"/>
        <v>0</v>
      </c>
      <c r="CH289" s="53">
        <f t="shared" si="56"/>
        <v>0</v>
      </c>
      <c r="CI289" s="53">
        <f t="shared" si="56"/>
        <v>0</v>
      </c>
      <c r="CJ289" s="53">
        <f t="shared" si="56"/>
        <v>0</v>
      </c>
      <c r="CK289" s="53">
        <f t="shared" si="56"/>
        <v>0</v>
      </c>
      <c r="CL289" s="53">
        <f t="shared" si="56"/>
        <v>0</v>
      </c>
      <c r="CM289" s="53">
        <f t="shared" si="56"/>
        <v>0</v>
      </c>
      <c r="CN289" s="53">
        <f t="shared" si="56"/>
        <v>0</v>
      </c>
      <c r="CO289" s="53">
        <f t="shared" si="56"/>
        <v>0</v>
      </c>
      <c r="CP289" s="53">
        <f t="shared" si="56"/>
        <v>0</v>
      </c>
      <c r="CQ289" s="53">
        <f t="shared" si="56"/>
        <v>0</v>
      </c>
      <c r="CR289" s="53">
        <f t="shared" si="56"/>
        <v>0</v>
      </c>
      <c r="CS289" s="53">
        <f t="shared" si="56"/>
        <v>0</v>
      </c>
      <c r="CT289" s="53">
        <f t="shared" si="56"/>
        <v>0</v>
      </c>
      <c r="CU289" s="53">
        <f t="shared" si="56"/>
        <v>0</v>
      </c>
      <c r="CV289" s="53">
        <f t="shared" si="56"/>
        <v>0</v>
      </c>
      <c r="CW289" s="53">
        <f t="shared" si="56"/>
        <v>0</v>
      </c>
      <c r="CX289" s="53">
        <f t="shared" si="56"/>
        <v>0</v>
      </c>
      <c r="DB289" s="2" vm="538">
        <f ca="1">IF(Returns!A293&lt;&gt;0,Returns!A293,"")</f>
        <v>42219</v>
      </c>
      <c r="DC289" s="11">
        <f ca="1">IF(Returns!B304&gt;0,Returns!B304/Returns!B303-1,"")</f>
        <v>4.9530450627233824E-2</v>
      </c>
      <c r="DD289" s="11">
        <f ca="1">IF(Returns!D296&gt;0,Returns!D296/Returns!D295-1,"")</f>
        <v>1.1133883366504227E-2</v>
      </c>
    </row>
    <row r="290" spans="2:108" x14ac:dyDescent="0.3">
      <c r="B290" s="57">
        <f t="shared" ca="1" si="6"/>
        <v>1.4366753222068878E-3</v>
      </c>
      <c r="C290" s="53">
        <f t="shared" ref="C290:BN290" si="57">IFERROR(IF(C$262=0,0,(C31-C32)/C32),0)</f>
        <v>0</v>
      </c>
      <c r="D290" s="53">
        <f t="shared" si="57"/>
        <v>0</v>
      </c>
      <c r="E290" s="53">
        <f t="shared" si="57"/>
        <v>0</v>
      </c>
      <c r="F290" s="53">
        <f t="shared" si="57"/>
        <v>0</v>
      </c>
      <c r="G290" s="53">
        <f t="shared" si="57"/>
        <v>0</v>
      </c>
      <c r="H290" s="53">
        <f t="shared" si="57"/>
        <v>0</v>
      </c>
      <c r="I290" s="53">
        <f t="shared" si="57"/>
        <v>0</v>
      </c>
      <c r="J290" s="53">
        <f t="shared" si="57"/>
        <v>0</v>
      </c>
      <c r="K290" s="53">
        <f t="shared" si="57"/>
        <v>0</v>
      </c>
      <c r="L290" s="53">
        <f t="shared" si="57"/>
        <v>0</v>
      </c>
      <c r="M290" s="53">
        <f t="shared" si="57"/>
        <v>0</v>
      </c>
      <c r="N290" s="53">
        <f t="shared" si="57"/>
        <v>0</v>
      </c>
      <c r="O290" s="53">
        <f t="shared" si="57"/>
        <v>0</v>
      </c>
      <c r="P290" s="53">
        <f t="shared" si="57"/>
        <v>0</v>
      </c>
      <c r="Q290" s="53">
        <f t="shared" si="57"/>
        <v>0</v>
      </c>
      <c r="R290" s="53">
        <f t="shared" si="57"/>
        <v>0</v>
      </c>
      <c r="S290" s="53">
        <f t="shared" si="57"/>
        <v>0</v>
      </c>
      <c r="T290" s="53">
        <f t="shared" si="57"/>
        <v>0</v>
      </c>
      <c r="U290" s="53">
        <f t="shared" si="57"/>
        <v>0</v>
      </c>
      <c r="V290" s="53">
        <f t="shared" si="57"/>
        <v>0</v>
      </c>
      <c r="W290" s="53">
        <f t="shared" si="57"/>
        <v>0</v>
      </c>
      <c r="X290" s="53">
        <f t="shared" si="57"/>
        <v>0</v>
      </c>
      <c r="Y290" s="53">
        <f t="shared" si="57"/>
        <v>0</v>
      </c>
      <c r="Z290" s="53">
        <f t="shared" si="57"/>
        <v>0</v>
      </c>
      <c r="AA290" s="53">
        <f t="shared" si="57"/>
        <v>0</v>
      </c>
      <c r="AB290" s="53">
        <f t="shared" si="57"/>
        <v>0</v>
      </c>
      <c r="AC290" s="53">
        <f t="shared" si="57"/>
        <v>0</v>
      </c>
      <c r="AD290" s="53">
        <f t="shared" si="57"/>
        <v>0</v>
      </c>
      <c r="AE290" s="53">
        <f t="shared" si="57"/>
        <v>0</v>
      </c>
      <c r="AF290" s="53">
        <f t="shared" si="57"/>
        <v>0</v>
      </c>
      <c r="AG290" s="53">
        <f t="shared" si="57"/>
        <v>0</v>
      </c>
      <c r="AH290" s="53">
        <f t="shared" si="57"/>
        <v>0</v>
      </c>
      <c r="AI290" s="53">
        <f t="shared" si="57"/>
        <v>0</v>
      </c>
      <c r="AJ290" s="53">
        <f t="shared" si="57"/>
        <v>0</v>
      </c>
      <c r="AK290" s="53">
        <f t="shared" si="57"/>
        <v>0</v>
      </c>
      <c r="AL290" s="53">
        <f t="shared" si="57"/>
        <v>0</v>
      </c>
      <c r="AM290" s="53">
        <f t="shared" si="57"/>
        <v>0</v>
      </c>
      <c r="AN290" s="53">
        <f t="shared" si="57"/>
        <v>0</v>
      </c>
      <c r="AO290" s="53">
        <f t="shared" si="57"/>
        <v>0</v>
      </c>
      <c r="AP290" s="53">
        <f t="shared" si="57"/>
        <v>0</v>
      </c>
      <c r="AQ290" s="53">
        <f t="shared" si="57"/>
        <v>0</v>
      </c>
      <c r="AR290" s="53">
        <f t="shared" si="57"/>
        <v>0</v>
      </c>
      <c r="AS290" s="53">
        <f t="shared" si="57"/>
        <v>0</v>
      </c>
      <c r="AT290" s="53">
        <f t="shared" si="57"/>
        <v>0</v>
      </c>
      <c r="AU290" s="53">
        <f t="shared" si="57"/>
        <v>0</v>
      </c>
      <c r="AV290" s="53">
        <f t="shared" si="57"/>
        <v>0</v>
      </c>
      <c r="AW290" s="53">
        <f t="shared" si="57"/>
        <v>0</v>
      </c>
      <c r="AX290" s="53">
        <f t="shared" si="57"/>
        <v>0</v>
      </c>
      <c r="AY290" s="53">
        <f t="shared" si="57"/>
        <v>0</v>
      </c>
      <c r="AZ290" s="53">
        <f t="shared" si="57"/>
        <v>0</v>
      </c>
      <c r="BA290" s="53">
        <f t="shared" si="57"/>
        <v>0</v>
      </c>
      <c r="BB290" s="53">
        <f t="shared" si="57"/>
        <v>0</v>
      </c>
      <c r="BC290" s="53">
        <f t="shared" si="57"/>
        <v>0</v>
      </c>
      <c r="BD290" s="53">
        <f t="shared" si="57"/>
        <v>0</v>
      </c>
      <c r="BE290" s="53">
        <f t="shared" si="57"/>
        <v>0</v>
      </c>
      <c r="BF290" s="53">
        <f t="shared" si="57"/>
        <v>0</v>
      </c>
      <c r="BG290" s="53">
        <f t="shared" si="57"/>
        <v>0</v>
      </c>
      <c r="BH290" s="53">
        <f t="shared" si="57"/>
        <v>0</v>
      </c>
      <c r="BI290" s="53">
        <f t="shared" si="57"/>
        <v>0</v>
      </c>
      <c r="BJ290" s="53">
        <f t="shared" si="57"/>
        <v>0</v>
      </c>
      <c r="BK290" s="53">
        <f t="shared" si="57"/>
        <v>0</v>
      </c>
      <c r="BL290" s="53">
        <f t="shared" si="57"/>
        <v>0</v>
      </c>
      <c r="BM290" s="53">
        <f t="shared" si="57"/>
        <v>0</v>
      </c>
      <c r="BN290" s="53">
        <f t="shared" si="57"/>
        <v>0</v>
      </c>
      <c r="BO290" s="53">
        <f t="shared" ref="BO290:CX290" si="58">IFERROR(IF(BO$262=0,0,(BO31-BO32)/BO32),0)</f>
        <v>0</v>
      </c>
      <c r="BP290" s="53">
        <f t="shared" si="58"/>
        <v>0</v>
      </c>
      <c r="BQ290" s="53">
        <f t="shared" si="58"/>
        <v>0</v>
      </c>
      <c r="BR290" s="53">
        <f t="shared" si="58"/>
        <v>0</v>
      </c>
      <c r="BS290" s="53">
        <f t="shared" si="58"/>
        <v>0</v>
      </c>
      <c r="BT290" s="53">
        <f t="shared" si="58"/>
        <v>0</v>
      </c>
      <c r="BU290" s="53">
        <f t="shared" si="58"/>
        <v>0</v>
      </c>
      <c r="BV290" s="53">
        <f t="shared" si="58"/>
        <v>0</v>
      </c>
      <c r="BW290" s="53">
        <f t="shared" si="58"/>
        <v>0</v>
      </c>
      <c r="BX290" s="53">
        <f t="shared" si="58"/>
        <v>0</v>
      </c>
      <c r="BY290" s="53">
        <f t="shared" si="58"/>
        <v>0</v>
      </c>
      <c r="BZ290" s="53">
        <f t="shared" si="58"/>
        <v>0</v>
      </c>
      <c r="CA290" s="53">
        <f t="shared" si="58"/>
        <v>0</v>
      </c>
      <c r="CB290" s="53">
        <f t="shared" si="58"/>
        <v>0</v>
      </c>
      <c r="CC290" s="53">
        <f t="shared" si="58"/>
        <v>0</v>
      </c>
      <c r="CD290" s="53">
        <f t="shared" si="58"/>
        <v>0</v>
      </c>
      <c r="CE290" s="53">
        <f t="shared" si="58"/>
        <v>0</v>
      </c>
      <c r="CF290" s="53">
        <f t="shared" si="58"/>
        <v>0</v>
      </c>
      <c r="CG290" s="53">
        <f t="shared" si="58"/>
        <v>0</v>
      </c>
      <c r="CH290" s="53">
        <f t="shared" si="58"/>
        <v>0</v>
      </c>
      <c r="CI290" s="53">
        <f t="shared" si="58"/>
        <v>0</v>
      </c>
      <c r="CJ290" s="53">
        <f t="shared" si="58"/>
        <v>0</v>
      </c>
      <c r="CK290" s="53">
        <f t="shared" si="58"/>
        <v>0</v>
      </c>
      <c r="CL290" s="53">
        <f t="shared" si="58"/>
        <v>0</v>
      </c>
      <c r="CM290" s="53">
        <f t="shared" si="58"/>
        <v>0</v>
      </c>
      <c r="CN290" s="53">
        <f t="shared" si="58"/>
        <v>0</v>
      </c>
      <c r="CO290" s="53">
        <f t="shared" si="58"/>
        <v>0</v>
      </c>
      <c r="CP290" s="53">
        <f t="shared" si="58"/>
        <v>0</v>
      </c>
      <c r="CQ290" s="53">
        <f t="shared" si="58"/>
        <v>0</v>
      </c>
      <c r="CR290" s="53">
        <f t="shared" si="58"/>
        <v>0</v>
      </c>
      <c r="CS290" s="53">
        <f t="shared" si="58"/>
        <v>0</v>
      </c>
      <c r="CT290" s="53">
        <f t="shared" si="58"/>
        <v>0</v>
      </c>
      <c r="CU290" s="53">
        <f t="shared" si="58"/>
        <v>0</v>
      </c>
      <c r="CV290" s="53">
        <f t="shared" si="58"/>
        <v>0</v>
      </c>
      <c r="CW290" s="53">
        <f t="shared" si="58"/>
        <v>0</v>
      </c>
      <c r="CX290" s="53">
        <f t="shared" si="58"/>
        <v>0</v>
      </c>
      <c r="DB290" s="2" vm="539">
        <f ca="1">IF(Returns!A294&lt;&gt;0,Returns!A294,"")</f>
        <v>42226</v>
      </c>
      <c r="DC290" s="11">
        <f ca="1">IF(Returns!B305&gt;0,Returns!B305/Returns!B304-1,"")</f>
        <v>4.4855850291304344E-2</v>
      </c>
      <c r="DD290" s="11">
        <f ca="1">IF(Returns!D297&gt;0,Returns!D297/Returns!D296-1,"")</f>
        <v>-3.2483900325804171E-2</v>
      </c>
    </row>
    <row r="291" spans="2:108" x14ac:dyDescent="0.3">
      <c r="B291" s="57">
        <f t="shared" ca="1" si="6"/>
        <v>7.0978126341700309E-3</v>
      </c>
      <c r="C291" s="53">
        <f t="shared" ref="C291:BN291" si="59">IFERROR(IF(C$262=0,0,(C32-C33)/C33),0)</f>
        <v>0</v>
      </c>
      <c r="D291" s="53">
        <f t="shared" si="59"/>
        <v>0</v>
      </c>
      <c r="E291" s="53">
        <f t="shared" si="59"/>
        <v>0</v>
      </c>
      <c r="F291" s="53">
        <f t="shared" si="59"/>
        <v>0</v>
      </c>
      <c r="G291" s="53">
        <f t="shared" si="59"/>
        <v>0</v>
      </c>
      <c r="H291" s="53">
        <f t="shared" si="59"/>
        <v>0</v>
      </c>
      <c r="I291" s="53">
        <f t="shared" si="59"/>
        <v>0</v>
      </c>
      <c r="J291" s="53">
        <f t="shared" si="59"/>
        <v>0</v>
      </c>
      <c r="K291" s="53">
        <f t="shared" si="59"/>
        <v>0</v>
      </c>
      <c r="L291" s="53">
        <f t="shared" si="59"/>
        <v>0</v>
      </c>
      <c r="M291" s="53">
        <f t="shared" si="59"/>
        <v>0</v>
      </c>
      <c r="N291" s="53">
        <f t="shared" si="59"/>
        <v>0</v>
      </c>
      <c r="O291" s="53">
        <f t="shared" si="59"/>
        <v>0</v>
      </c>
      <c r="P291" s="53">
        <f t="shared" si="59"/>
        <v>0</v>
      </c>
      <c r="Q291" s="53">
        <f t="shared" si="59"/>
        <v>0</v>
      </c>
      <c r="R291" s="53">
        <f t="shared" si="59"/>
        <v>0</v>
      </c>
      <c r="S291" s="53">
        <f t="shared" si="59"/>
        <v>0</v>
      </c>
      <c r="T291" s="53">
        <f t="shared" si="59"/>
        <v>0</v>
      </c>
      <c r="U291" s="53">
        <f t="shared" si="59"/>
        <v>0</v>
      </c>
      <c r="V291" s="53">
        <f t="shared" si="59"/>
        <v>0</v>
      </c>
      <c r="W291" s="53">
        <f t="shared" si="59"/>
        <v>0</v>
      </c>
      <c r="X291" s="53">
        <f t="shared" si="59"/>
        <v>0</v>
      </c>
      <c r="Y291" s="53">
        <f t="shared" si="59"/>
        <v>0</v>
      </c>
      <c r="Z291" s="53">
        <f t="shared" si="59"/>
        <v>0</v>
      </c>
      <c r="AA291" s="53">
        <f t="shared" si="59"/>
        <v>0</v>
      </c>
      <c r="AB291" s="53">
        <f t="shared" si="59"/>
        <v>0</v>
      </c>
      <c r="AC291" s="53">
        <f t="shared" si="59"/>
        <v>0</v>
      </c>
      <c r="AD291" s="53">
        <f t="shared" si="59"/>
        <v>0</v>
      </c>
      <c r="AE291" s="53">
        <f t="shared" si="59"/>
        <v>0</v>
      </c>
      <c r="AF291" s="53">
        <f t="shared" si="59"/>
        <v>0</v>
      </c>
      <c r="AG291" s="53">
        <f t="shared" si="59"/>
        <v>0</v>
      </c>
      <c r="AH291" s="53">
        <f t="shared" si="59"/>
        <v>0</v>
      </c>
      <c r="AI291" s="53">
        <f t="shared" si="59"/>
        <v>0</v>
      </c>
      <c r="AJ291" s="53">
        <f t="shared" si="59"/>
        <v>0</v>
      </c>
      <c r="AK291" s="53">
        <f t="shared" si="59"/>
        <v>0</v>
      </c>
      <c r="AL291" s="53">
        <f t="shared" si="59"/>
        <v>0</v>
      </c>
      <c r="AM291" s="53">
        <f t="shared" si="59"/>
        <v>0</v>
      </c>
      <c r="AN291" s="53">
        <f t="shared" si="59"/>
        <v>0</v>
      </c>
      <c r="AO291" s="53">
        <f t="shared" si="59"/>
        <v>0</v>
      </c>
      <c r="AP291" s="53">
        <f t="shared" si="59"/>
        <v>0</v>
      </c>
      <c r="AQ291" s="53">
        <f t="shared" si="59"/>
        <v>0</v>
      </c>
      <c r="AR291" s="53">
        <f t="shared" si="59"/>
        <v>0</v>
      </c>
      <c r="AS291" s="53">
        <f t="shared" si="59"/>
        <v>0</v>
      </c>
      <c r="AT291" s="53">
        <f t="shared" si="59"/>
        <v>0</v>
      </c>
      <c r="AU291" s="53">
        <f t="shared" si="59"/>
        <v>0</v>
      </c>
      <c r="AV291" s="53">
        <f t="shared" si="59"/>
        <v>0</v>
      </c>
      <c r="AW291" s="53">
        <f t="shared" si="59"/>
        <v>0</v>
      </c>
      <c r="AX291" s="53">
        <f t="shared" si="59"/>
        <v>0</v>
      </c>
      <c r="AY291" s="53">
        <f t="shared" si="59"/>
        <v>0</v>
      </c>
      <c r="AZ291" s="53">
        <f t="shared" si="59"/>
        <v>0</v>
      </c>
      <c r="BA291" s="53">
        <f t="shared" si="59"/>
        <v>0</v>
      </c>
      <c r="BB291" s="53">
        <f t="shared" si="59"/>
        <v>0</v>
      </c>
      <c r="BC291" s="53">
        <f t="shared" si="59"/>
        <v>0</v>
      </c>
      <c r="BD291" s="53">
        <f t="shared" si="59"/>
        <v>0</v>
      </c>
      <c r="BE291" s="53">
        <f t="shared" si="59"/>
        <v>0</v>
      </c>
      <c r="BF291" s="53">
        <f t="shared" si="59"/>
        <v>0</v>
      </c>
      <c r="BG291" s="53">
        <f t="shared" si="59"/>
        <v>0</v>
      </c>
      <c r="BH291" s="53">
        <f t="shared" si="59"/>
        <v>0</v>
      </c>
      <c r="BI291" s="53">
        <f t="shared" si="59"/>
        <v>0</v>
      </c>
      <c r="BJ291" s="53">
        <f t="shared" si="59"/>
        <v>0</v>
      </c>
      <c r="BK291" s="53">
        <f t="shared" si="59"/>
        <v>0</v>
      </c>
      <c r="BL291" s="53">
        <f t="shared" si="59"/>
        <v>0</v>
      </c>
      <c r="BM291" s="53">
        <f t="shared" si="59"/>
        <v>0</v>
      </c>
      <c r="BN291" s="53">
        <f t="shared" si="59"/>
        <v>0</v>
      </c>
      <c r="BO291" s="53">
        <f t="shared" ref="BO291:CX291" si="60">IFERROR(IF(BO$262=0,0,(BO32-BO33)/BO33),0)</f>
        <v>0</v>
      </c>
      <c r="BP291" s="53">
        <f t="shared" si="60"/>
        <v>0</v>
      </c>
      <c r="BQ291" s="53">
        <f t="shared" si="60"/>
        <v>0</v>
      </c>
      <c r="BR291" s="53">
        <f t="shared" si="60"/>
        <v>0</v>
      </c>
      <c r="BS291" s="53">
        <f t="shared" si="60"/>
        <v>0</v>
      </c>
      <c r="BT291" s="53">
        <f t="shared" si="60"/>
        <v>0</v>
      </c>
      <c r="BU291" s="53">
        <f t="shared" si="60"/>
        <v>0</v>
      </c>
      <c r="BV291" s="53">
        <f t="shared" si="60"/>
        <v>0</v>
      </c>
      <c r="BW291" s="53">
        <f t="shared" si="60"/>
        <v>0</v>
      </c>
      <c r="BX291" s="53">
        <f t="shared" si="60"/>
        <v>0</v>
      </c>
      <c r="BY291" s="53">
        <f t="shared" si="60"/>
        <v>0</v>
      </c>
      <c r="BZ291" s="53">
        <f t="shared" si="60"/>
        <v>0</v>
      </c>
      <c r="CA291" s="53">
        <f t="shared" si="60"/>
        <v>0</v>
      </c>
      <c r="CB291" s="53">
        <f t="shared" si="60"/>
        <v>0</v>
      </c>
      <c r="CC291" s="53">
        <f t="shared" si="60"/>
        <v>0</v>
      </c>
      <c r="CD291" s="53">
        <f t="shared" si="60"/>
        <v>0</v>
      </c>
      <c r="CE291" s="53">
        <f t="shared" si="60"/>
        <v>0</v>
      </c>
      <c r="CF291" s="53">
        <f t="shared" si="60"/>
        <v>0</v>
      </c>
      <c r="CG291" s="53">
        <f t="shared" si="60"/>
        <v>0</v>
      </c>
      <c r="CH291" s="53">
        <f t="shared" si="60"/>
        <v>0</v>
      </c>
      <c r="CI291" s="53">
        <f t="shared" si="60"/>
        <v>0</v>
      </c>
      <c r="CJ291" s="53">
        <f t="shared" si="60"/>
        <v>0</v>
      </c>
      <c r="CK291" s="53">
        <f t="shared" si="60"/>
        <v>0</v>
      </c>
      <c r="CL291" s="53">
        <f t="shared" si="60"/>
        <v>0</v>
      </c>
      <c r="CM291" s="53">
        <f t="shared" si="60"/>
        <v>0</v>
      </c>
      <c r="CN291" s="53">
        <f t="shared" si="60"/>
        <v>0</v>
      </c>
      <c r="CO291" s="53">
        <f t="shared" si="60"/>
        <v>0</v>
      </c>
      <c r="CP291" s="53">
        <f t="shared" si="60"/>
        <v>0</v>
      </c>
      <c r="CQ291" s="53">
        <f t="shared" si="60"/>
        <v>0</v>
      </c>
      <c r="CR291" s="53">
        <f t="shared" si="60"/>
        <v>0</v>
      </c>
      <c r="CS291" s="53">
        <f t="shared" si="60"/>
        <v>0</v>
      </c>
      <c r="CT291" s="53">
        <f t="shared" si="60"/>
        <v>0</v>
      </c>
      <c r="CU291" s="53">
        <f t="shared" si="60"/>
        <v>0</v>
      </c>
      <c r="CV291" s="53">
        <f t="shared" si="60"/>
        <v>0</v>
      </c>
      <c r="CW291" s="53">
        <f t="shared" si="60"/>
        <v>0</v>
      </c>
      <c r="CX291" s="53">
        <f t="shared" si="60"/>
        <v>0</v>
      </c>
      <c r="DB291" s="2" vm="540">
        <f ca="1">IF(Returns!A295&lt;&gt;0,Returns!A295,"")</f>
        <v>42233</v>
      </c>
      <c r="DC291" s="11">
        <f ca="1">IF(Returns!B306&gt;0,Returns!B306/Returns!B305-1,"")</f>
        <v>5.3474996005751674E-2</v>
      </c>
      <c r="DD291" s="11">
        <f ca="1">IF(Returns!D298&gt;0,Returns!D298/Returns!D297-1,"")</f>
        <v>2.0538053702851222E-2</v>
      </c>
    </row>
    <row r="292" spans="2:108" x14ac:dyDescent="0.3">
      <c r="B292" s="57">
        <f t="shared" ca="1" si="6"/>
        <v>6.7335987633748308E-5</v>
      </c>
      <c r="C292" s="53">
        <f t="shared" ref="C292:BN292" si="61">IFERROR(IF(C$262=0,0,(C33-C34)/C34),0)</f>
        <v>0</v>
      </c>
      <c r="D292" s="53">
        <f t="shared" si="61"/>
        <v>0</v>
      </c>
      <c r="E292" s="53">
        <f t="shared" si="61"/>
        <v>0</v>
      </c>
      <c r="F292" s="53">
        <f t="shared" si="61"/>
        <v>0</v>
      </c>
      <c r="G292" s="53">
        <f t="shared" si="61"/>
        <v>0</v>
      </c>
      <c r="H292" s="53">
        <f t="shared" si="61"/>
        <v>0</v>
      </c>
      <c r="I292" s="53">
        <f t="shared" si="61"/>
        <v>0</v>
      </c>
      <c r="J292" s="53">
        <f t="shared" si="61"/>
        <v>0</v>
      </c>
      <c r="K292" s="53">
        <f t="shared" si="61"/>
        <v>0</v>
      </c>
      <c r="L292" s="53">
        <f t="shared" si="61"/>
        <v>0</v>
      </c>
      <c r="M292" s="53">
        <f t="shared" si="61"/>
        <v>0</v>
      </c>
      <c r="N292" s="53">
        <f t="shared" si="61"/>
        <v>0</v>
      </c>
      <c r="O292" s="53">
        <f t="shared" si="61"/>
        <v>0</v>
      </c>
      <c r="P292" s="53">
        <f t="shared" si="61"/>
        <v>0</v>
      </c>
      <c r="Q292" s="53">
        <f t="shared" si="61"/>
        <v>0</v>
      </c>
      <c r="R292" s="53">
        <f t="shared" si="61"/>
        <v>0</v>
      </c>
      <c r="S292" s="53">
        <f t="shared" si="61"/>
        <v>0</v>
      </c>
      <c r="T292" s="53">
        <f t="shared" si="61"/>
        <v>0</v>
      </c>
      <c r="U292" s="53">
        <f t="shared" si="61"/>
        <v>0</v>
      </c>
      <c r="V292" s="53">
        <f t="shared" si="61"/>
        <v>0</v>
      </c>
      <c r="W292" s="53">
        <f t="shared" si="61"/>
        <v>0</v>
      </c>
      <c r="X292" s="53">
        <f t="shared" si="61"/>
        <v>0</v>
      </c>
      <c r="Y292" s="53">
        <f t="shared" si="61"/>
        <v>0</v>
      </c>
      <c r="Z292" s="53">
        <f t="shared" si="61"/>
        <v>0</v>
      </c>
      <c r="AA292" s="53">
        <f t="shared" si="61"/>
        <v>0</v>
      </c>
      <c r="AB292" s="53">
        <f t="shared" si="61"/>
        <v>0</v>
      </c>
      <c r="AC292" s="53">
        <f t="shared" si="61"/>
        <v>0</v>
      </c>
      <c r="AD292" s="53">
        <f t="shared" si="61"/>
        <v>0</v>
      </c>
      <c r="AE292" s="53">
        <f t="shared" si="61"/>
        <v>0</v>
      </c>
      <c r="AF292" s="53">
        <f t="shared" si="61"/>
        <v>0</v>
      </c>
      <c r="AG292" s="53">
        <f t="shared" si="61"/>
        <v>0</v>
      </c>
      <c r="AH292" s="53">
        <f t="shared" si="61"/>
        <v>0</v>
      </c>
      <c r="AI292" s="53">
        <f t="shared" si="61"/>
        <v>0</v>
      </c>
      <c r="AJ292" s="53">
        <f t="shared" si="61"/>
        <v>0</v>
      </c>
      <c r="AK292" s="53">
        <f t="shared" si="61"/>
        <v>0</v>
      </c>
      <c r="AL292" s="53">
        <f t="shared" si="61"/>
        <v>0</v>
      </c>
      <c r="AM292" s="53">
        <f t="shared" si="61"/>
        <v>0</v>
      </c>
      <c r="AN292" s="53">
        <f t="shared" si="61"/>
        <v>0</v>
      </c>
      <c r="AO292" s="53">
        <f t="shared" si="61"/>
        <v>0</v>
      </c>
      <c r="AP292" s="53">
        <f t="shared" si="61"/>
        <v>0</v>
      </c>
      <c r="AQ292" s="53">
        <f t="shared" si="61"/>
        <v>0</v>
      </c>
      <c r="AR292" s="53">
        <f t="shared" si="61"/>
        <v>0</v>
      </c>
      <c r="AS292" s="53">
        <f t="shared" si="61"/>
        <v>0</v>
      </c>
      <c r="AT292" s="53">
        <f t="shared" si="61"/>
        <v>0</v>
      </c>
      <c r="AU292" s="53">
        <f t="shared" si="61"/>
        <v>0</v>
      </c>
      <c r="AV292" s="53">
        <f t="shared" si="61"/>
        <v>0</v>
      </c>
      <c r="AW292" s="53">
        <f t="shared" si="61"/>
        <v>0</v>
      </c>
      <c r="AX292" s="53">
        <f t="shared" si="61"/>
        <v>0</v>
      </c>
      <c r="AY292" s="53">
        <f t="shared" si="61"/>
        <v>0</v>
      </c>
      <c r="AZ292" s="53">
        <f t="shared" si="61"/>
        <v>0</v>
      </c>
      <c r="BA292" s="53">
        <f t="shared" si="61"/>
        <v>0</v>
      </c>
      <c r="BB292" s="53">
        <f t="shared" si="61"/>
        <v>0</v>
      </c>
      <c r="BC292" s="53">
        <f t="shared" si="61"/>
        <v>0</v>
      </c>
      <c r="BD292" s="53">
        <f t="shared" si="61"/>
        <v>0</v>
      </c>
      <c r="BE292" s="53">
        <f t="shared" si="61"/>
        <v>0</v>
      </c>
      <c r="BF292" s="53">
        <f t="shared" si="61"/>
        <v>0</v>
      </c>
      <c r="BG292" s="53">
        <f t="shared" si="61"/>
        <v>0</v>
      </c>
      <c r="BH292" s="53">
        <f t="shared" si="61"/>
        <v>0</v>
      </c>
      <c r="BI292" s="53">
        <f t="shared" si="61"/>
        <v>0</v>
      </c>
      <c r="BJ292" s="53">
        <f t="shared" si="61"/>
        <v>0</v>
      </c>
      <c r="BK292" s="53">
        <f t="shared" si="61"/>
        <v>0</v>
      </c>
      <c r="BL292" s="53">
        <f t="shared" si="61"/>
        <v>0</v>
      </c>
      <c r="BM292" s="53">
        <f t="shared" si="61"/>
        <v>0</v>
      </c>
      <c r="BN292" s="53">
        <f t="shared" si="61"/>
        <v>0</v>
      </c>
      <c r="BO292" s="53">
        <f t="shared" ref="BO292:CX292" si="62">IFERROR(IF(BO$262=0,0,(BO33-BO34)/BO34),0)</f>
        <v>0</v>
      </c>
      <c r="BP292" s="53">
        <f t="shared" si="62"/>
        <v>0</v>
      </c>
      <c r="BQ292" s="53">
        <f t="shared" si="62"/>
        <v>0</v>
      </c>
      <c r="BR292" s="53">
        <f t="shared" si="62"/>
        <v>0</v>
      </c>
      <c r="BS292" s="53">
        <f t="shared" si="62"/>
        <v>0</v>
      </c>
      <c r="BT292" s="53">
        <f t="shared" si="62"/>
        <v>0</v>
      </c>
      <c r="BU292" s="53">
        <f t="shared" si="62"/>
        <v>0</v>
      </c>
      <c r="BV292" s="53">
        <f t="shared" si="62"/>
        <v>0</v>
      </c>
      <c r="BW292" s="53">
        <f t="shared" si="62"/>
        <v>0</v>
      </c>
      <c r="BX292" s="53">
        <f t="shared" si="62"/>
        <v>0</v>
      </c>
      <c r="BY292" s="53">
        <f t="shared" si="62"/>
        <v>0</v>
      </c>
      <c r="BZ292" s="53">
        <f t="shared" si="62"/>
        <v>0</v>
      </c>
      <c r="CA292" s="53">
        <f t="shared" si="62"/>
        <v>0</v>
      </c>
      <c r="CB292" s="53">
        <f t="shared" si="62"/>
        <v>0</v>
      </c>
      <c r="CC292" s="53">
        <f t="shared" si="62"/>
        <v>0</v>
      </c>
      <c r="CD292" s="53">
        <f t="shared" si="62"/>
        <v>0</v>
      </c>
      <c r="CE292" s="53">
        <f t="shared" si="62"/>
        <v>0</v>
      </c>
      <c r="CF292" s="53">
        <f t="shared" si="62"/>
        <v>0</v>
      </c>
      <c r="CG292" s="53">
        <f t="shared" si="62"/>
        <v>0</v>
      </c>
      <c r="CH292" s="53">
        <f t="shared" si="62"/>
        <v>0</v>
      </c>
      <c r="CI292" s="53">
        <f t="shared" si="62"/>
        <v>0</v>
      </c>
      <c r="CJ292" s="53">
        <f t="shared" si="62"/>
        <v>0</v>
      </c>
      <c r="CK292" s="53">
        <f t="shared" si="62"/>
        <v>0</v>
      </c>
      <c r="CL292" s="53">
        <f t="shared" si="62"/>
        <v>0</v>
      </c>
      <c r="CM292" s="53">
        <f t="shared" si="62"/>
        <v>0</v>
      </c>
      <c r="CN292" s="53">
        <f t="shared" si="62"/>
        <v>0</v>
      </c>
      <c r="CO292" s="53">
        <f t="shared" si="62"/>
        <v>0</v>
      </c>
      <c r="CP292" s="53">
        <f t="shared" si="62"/>
        <v>0</v>
      </c>
      <c r="CQ292" s="53">
        <f t="shared" si="62"/>
        <v>0</v>
      </c>
      <c r="CR292" s="53">
        <f t="shared" si="62"/>
        <v>0</v>
      </c>
      <c r="CS292" s="53">
        <f t="shared" si="62"/>
        <v>0</v>
      </c>
      <c r="CT292" s="53">
        <f t="shared" si="62"/>
        <v>0</v>
      </c>
      <c r="CU292" s="53">
        <f t="shared" si="62"/>
        <v>0</v>
      </c>
      <c r="CV292" s="53">
        <f t="shared" si="62"/>
        <v>0</v>
      </c>
      <c r="CW292" s="53">
        <f t="shared" si="62"/>
        <v>0</v>
      </c>
      <c r="CX292" s="53">
        <f t="shared" si="62"/>
        <v>0</v>
      </c>
      <c r="DB292" s="2" vm="541">
        <f ca="1">IF(Returns!A296&lt;&gt;0,Returns!A296,"")</f>
        <v>42240</v>
      </c>
      <c r="DC292" s="11">
        <f ca="1">IF(Returns!B307&gt;0,Returns!B307/Returns!B306-1,"")</f>
        <v>-2.581251800961526E-2</v>
      </c>
      <c r="DD292" s="11">
        <f ca="1">IF(Returns!D299&gt;0,Returns!D299/Returns!D298-1,"")</f>
        <v>-2.9516300383031213E-3</v>
      </c>
    </row>
    <row r="293" spans="2:108" x14ac:dyDescent="0.3">
      <c r="B293" s="57">
        <f t="shared" ca="1" si="6"/>
        <v>4.8615087639100676E-3</v>
      </c>
      <c r="C293" s="53">
        <f t="shared" ref="C293:BN293" si="63">IFERROR(IF(C$262=0,0,(C34-C35)/C35),0)</f>
        <v>0</v>
      </c>
      <c r="D293" s="53">
        <f t="shared" si="63"/>
        <v>0</v>
      </c>
      <c r="E293" s="53">
        <f t="shared" si="63"/>
        <v>0</v>
      </c>
      <c r="F293" s="53">
        <f t="shared" si="63"/>
        <v>0</v>
      </c>
      <c r="G293" s="53">
        <f t="shared" si="63"/>
        <v>0</v>
      </c>
      <c r="H293" s="53">
        <f t="shared" si="63"/>
        <v>0</v>
      </c>
      <c r="I293" s="53">
        <f t="shared" si="63"/>
        <v>0</v>
      </c>
      <c r="J293" s="53">
        <f t="shared" si="63"/>
        <v>0</v>
      </c>
      <c r="K293" s="53">
        <f t="shared" si="63"/>
        <v>0</v>
      </c>
      <c r="L293" s="53">
        <f t="shared" si="63"/>
        <v>0</v>
      </c>
      <c r="M293" s="53">
        <f t="shared" si="63"/>
        <v>0</v>
      </c>
      <c r="N293" s="53">
        <f t="shared" si="63"/>
        <v>0</v>
      </c>
      <c r="O293" s="53">
        <f t="shared" si="63"/>
        <v>0</v>
      </c>
      <c r="P293" s="53">
        <f t="shared" si="63"/>
        <v>0</v>
      </c>
      <c r="Q293" s="53">
        <f t="shared" si="63"/>
        <v>0</v>
      </c>
      <c r="R293" s="53">
        <f t="shared" si="63"/>
        <v>0</v>
      </c>
      <c r="S293" s="53">
        <f t="shared" si="63"/>
        <v>0</v>
      </c>
      <c r="T293" s="53">
        <f t="shared" si="63"/>
        <v>0</v>
      </c>
      <c r="U293" s="53">
        <f t="shared" si="63"/>
        <v>0</v>
      </c>
      <c r="V293" s="53">
        <f t="shared" si="63"/>
        <v>0</v>
      </c>
      <c r="W293" s="53">
        <f t="shared" si="63"/>
        <v>0</v>
      </c>
      <c r="X293" s="53">
        <f t="shared" si="63"/>
        <v>0</v>
      </c>
      <c r="Y293" s="53">
        <f t="shared" si="63"/>
        <v>0</v>
      </c>
      <c r="Z293" s="53">
        <f t="shared" si="63"/>
        <v>0</v>
      </c>
      <c r="AA293" s="53">
        <f t="shared" si="63"/>
        <v>0</v>
      </c>
      <c r="AB293" s="53">
        <f t="shared" si="63"/>
        <v>0</v>
      </c>
      <c r="AC293" s="53">
        <f t="shared" si="63"/>
        <v>0</v>
      </c>
      <c r="AD293" s="53">
        <f t="shared" si="63"/>
        <v>0</v>
      </c>
      <c r="AE293" s="53">
        <f t="shared" si="63"/>
        <v>0</v>
      </c>
      <c r="AF293" s="53">
        <f t="shared" si="63"/>
        <v>0</v>
      </c>
      <c r="AG293" s="53">
        <f t="shared" si="63"/>
        <v>0</v>
      </c>
      <c r="AH293" s="53">
        <f t="shared" si="63"/>
        <v>0</v>
      </c>
      <c r="AI293" s="53">
        <f t="shared" si="63"/>
        <v>0</v>
      </c>
      <c r="AJ293" s="53">
        <f t="shared" si="63"/>
        <v>0</v>
      </c>
      <c r="AK293" s="53">
        <f t="shared" si="63"/>
        <v>0</v>
      </c>
      <c r="AL293" s="53">
        <f t="shared" si="63"/>
        <v>0</v>
      </c>
      <c r="AM293" s="53">
        <f t="shared" si="63"/>
        <v>0</v>
      </c>
      <c r="AN293" s="53">
        <f t="shared" si="63"/>
        <v>0</v>
      </c>
      <c r="AO293" s="53">
        <f t="shared" si="63"/>
        <v>0</v>
      </c>
      <c r="AP293" s="53">
        <f t="shared" si="63"/>
        <v>0</v>
      </c>
      <c r="AQ293" s="53">
        <f t="shared" si="63"/>
        <v>0</v>
      </c>
      <c r="AR293" s="53">
        <f t="shared" si="63"/>
        <v>0</v>
      </c>
      <c r="AS293" s="53">
        <f t="shared" si="63"/>
        <v>0</v>
      </c>
      <c r="AT293" s="53">
        <f t="shared" si="63"/>
        <v>0</v>
      </c>
      <c r="AU293" s="53">
        <f t="shared" si="63"/>
        <v>0</v>
      </c>
      <c r="AV293" s="53">
        <f t="shared" si="63"/>
        <v>0</v>
      </c>
      <c r="AW293" s="53">
        <f t="shared" si="63"/>
        <v>0</v>
      </c>
      <c r="AX293" s="53">
        <f t="shared" si="63"/>
        <v>0</v>
      </c>
      <c r="AY293" s="53">
        <f t="shared" si="63"/>
        <v>0</v>
      </c>
      <c r="AZ293" s="53">
        <f t="shared" si="63"/>
        <v>0</v>
      </c>
      <c r="BA293" s="53">
        <f t="shared" si="63"/>
        <v>0</v>
      </c>
      <c r="BB293" s="53">
        <f t="shared" si="63"/>
        <v>0</v>
      </c>
      <c r="BC293" s="53">
        <f t="shared" si="63"/>
        <v>0</v>
      </c>
      <c r="BD293" s="53">
        <f t="shared" si="63"/>
        <v>0</v>
      </c>
      <c r="BE293" s="53">
        <f t="shared" si="63"/>
        <v>0</v>
      </c>
      <c r="BF293" s="53">
        <f t="shared" si="63"/>
        <v>0</v>
      </c>
      <c r="BG293" s="53">
        <f t="shared" si="63"/>
        <v>0</v>
      </c>
      <c r="BH293" s="53">
        <f t="shared" si="63"/>
        <v>0</v>
      </c>
      <c r="BI293" s="53">
        <f t="shared" si="63"/>
        <v>0</v>
      </c>
      <c r="BJ293" s="53">
        <f t="shared" si="63"/>
        <v>0</v>
      </c>
      <c r="BK293" s="53">
        <f t="shared" si="63"/>
        <v>0</v>
      </c>
      <c r="BL293" s="53">
        <f t="shared" si="63"/>
        <v>0</v>
      </c>
      <c r="BM293" s="53">
        <f t="shared" si="63"/>
        <v>0</v>
      </c>
      <c r="BN293" s="53">
        <f t="shared" si="63"/>
        <v>0</v>
      </c>
      <c r="BO293" s="53">
        <f t="shared" ref="BO293:CX293" si="64">IFERROR(IF(BO$262=0,0,(BO34-BO35)/BO35),0)</f>
        <v>0</v>
      </c>
      <c r="BP293" s="53">
        <f t="shared" si="64"/>
        <v>0</v>
      </c>
      <c r="BQ293" s="53">
        <f t="shared" si="64"/>
        <v>0</v>
      </c>
      <c r="BR293" s="53">
        <f t="shared" si="64"/>
        <v>0</v>
      </c>
      <c r="BS293" s="53">
        <f t="shared" si="64"/>
        <v>0</v>
      </c>
      <c r="BT293" s="53">
        <f t="shared" si="64"/>
        <v>0</v>
      </c>
      <c r="BU293" s="53">
        <f t="shared" si="64"/>
        <v>0</v>
      </c>
      <c r="BV293" s="53">
        <f t="shared" si="64"/>
        <v>0</v>
      </c>
      <c r="BW293" s="53">
        <f t="shared" si="64"/>
        <v>0</v>
      </c>
      <c r="BX293" s="53">
        <f t="shared" si="64"/>
        <v>0</v>
      </c>
      <c r="BY293" s="53">
        <f t="shared" si="64"/>
        <v>0</v>
      </c>
      <c r="BZ293" s="53">
        <f t="shared" si="64"/>
        <v>0</v>
      </c>
      <c r="CA293" s="53">
        <f t="shared" si="64"/>
        <v>0</v>
      </c>
      <c r="CB293" s="53">
        <f t="shared" si="64"/>
        <v>0</v>
      </c>
      <c r="CC293" s="53">
        <f t="shared" si="64"/>
        <v>0</v>
      </c>
      <c r="CD293" s="53">
        <f t="shared" si="64"/>
        <v>0</v>
      </c>
      <c r="CE293" s="53">
        <f t="shared" si="64"/>
        <v>0</v>
      </c>
      <c r="CF293" s="53">
        <f t="shared" si="64"/>
        <v>0</v>
      </c>
      <c r="CG293" s="53">
        <f t="shared" si="64"/>
        <v>0</v>
      </c>
      <c r="CH293" s="53">
        <f t="shared" si="64"/>
        <v>0</v>
      </c>
      <c r="CI293" s="53">
        <f t="shared" si="64"/>
        <v>0</v>
      </c>
      <c r="CJ293" s="53">
        <f t="shared" si="64"/>
        <v>0</v>
      </c>
      <c r="CK293" s="53">
        <f t="shared" si="64"/>
        <v>0</v>
      </c>
      <c r="CL293" s="53">
        <f t="shared" si="64"/>
        <v>0</v>
      </c>
      <c r="CM293" s="53">
        <f t="shared" si="64"/>
        <v>0</v>
      </c>
      <c r="CN293" s="53">
        <f t="shared" si="64"/>
        <v>0</v>
      </c>
      <c r="CO293" s="53">
        <f t="shared" si="64"/>
        <v>0</v>
      </c>
      <c r="CP293" s="53">
        <f t="shared" si="64"/>
        <v>0</v>
      </c>
      <c r="CQ293" s="53">
        <f t="shared" si="64"/>
        <v>0</v>
      </c>
      <c r="CR293" s="53">
        <f t="shared" si="64"/>
        <v>0</v>
      </c>
      <c r="CS293" s="53">
        <f t="shared" si="64"/>
        <v>0</v>
      </c>
      <c r="CT293" s="53">
        <f t="shared" si="64"/>
        <v>0</v>
      </c>
      <c r="CU293" s="53">
        <f t="shared" si="64"/>
        <v>0</v>
      </c>
      <c r="CV293" s="53">
        <f t="shared" si="64"/>
        <v>0</v>
      </c>
      <c r="CW293" s="53">
        <f t="shared" si="64"/>
        <v>0</v>
      </c>
      <c r="CX293" s="53">
        <f t="shared" si="64"/>
        <v>0</v>
      </c>
      <c r="DB293" s="2" vm="542">
        <f ca="1">IF(Returns!A297&lt;&gt;0,Returns!A297,"")</f>
        <v>42247</v>
      </c>
      <c r="DC293" s="11">
        <f ca="1">IF(Returns!B308&gt;0,Returns!B308/Returns!B307-1,"")</f>
        <v>4.0632054176072296E-2</v>
      </c>
      <c r="DD293" s="11">
        <f ca="1">IF(Returns!D300&gt;0,Returns!D300/Returns!D299-1,"")</f>
        <v>-4.2672426812595532E-3</v>
      </c>
    </row>
    <row r="294" spans="2:108" x14ac:dyDescent="0.3">
      <c r="B294" s="57">
        <f t="shared" ca="1" si="6"/>
        <v>1.7644422210847447E-3</v>
      </c>
      <c r="C294" s="53">
        <f t="shared" ref="C294:BN294" si="65">IFERROR(IF(C$262=0,0,(C35-C36)/C36),0)</f>
        <v>0</v>
      </c>
      <c r="D294" s="53">
        <f t="shared" si="65"/>
        <v>0</v>
      </c>
      <c r="E294" s="53">
        <f t="shared" si="65"/>
        <v>0</v>
      </c>
      <c r="F294" s="53">
        <f t="shared" si="65"/>
        <v>0</v>
      </c>
      <c r="G294" s="53">
        <f t="shared" si="65"/>
        <v>0</v>
      </c>
      <c r="H294" s="53">
        <f t="shared" si="65"/>
        <v>0</v>
      </c>
      <c r="I294" s="53">
        <f t="shared" si="65"/>
        <v>0</v>
      </c>
      <c r="J294" s="53">
        <f t="shared" si="65"/>
        <v>0</v>
      </c>
      <c r="K294" s="53">
        <f t="shared" si="65"/>
        <v>0</v>
      </c>
      <c r="L294" s="53">
        <f t="shared" si="65"/>
        <v>0</v>
      </c>
      <c r="M294" s="53">
        <f t="shared" si="65"/>
        <v>0</v>
      </c>
      <c r="N294" s="53">
        <f t="shared" si="65"/>
        <v>0</v>
      </c>
      <c r="O294" s="53">
        <f t="shared" si="65"/>
        <v>0</v>
      </c>
      <c r="P294" s="53">
        <f t="shared" si="65"/>
        <v>0</v>
      </c>
      <c r="Q294" s="53">
        <f t="shared" si="65"/>
        <v>0</v>
      </c>
      <c r="R294" s="53">
        <f t="shared" si="65"/>
        <v>0</v>
      </c>
      <c r="S294" s="53">
        <f t="shared" si="65"/>
        <v>0</v>
      </c>
      <c r="T294" s="53">
        <f t="shared" si="65"/>
        <v>0</v>
      </c>
      <c r="U294" s="53">
        <f t="shared" si="65"/>
        <v>0</v>
      </c>
      <c r="V294" s="53">
        <f t="shared" si="65"/>
        <v>0</v>
      </c>
      <c r="W294" s="53">
        <f t="shared" si="65"/>
        <v>0</v>
      </c>
      <c r="X294" s="53">
        <f t="shared" si="65"/>
        <v>0</v>
      </c>
      <c r="Y294" s="53">
        <f t="shared" si="65"/>
        <v>0</v>
      </c>
      <c r="Z294" s="53">
        <f t="shared" si="65"/>
        <v>0</v>
      </c>
      <c r="AA294" s="53">
        <f t="shared" si="65"/>
        <v>0</v>
      </c>
      <c r="AB294" s="53">
        <f t="shared" si="65"/>
        <v>0</v>
      </c>
      <c r="AC294" s="53">
        <f t="shared" si="65"/>
        <v>0</v>
      </c>
      <c r="AD294" s="53">
        <f t="shared" si="65"/>
        <v>0</v>
      </c>
      <c r="AE294" s="53">
        <f t="shared" si="65"/>
        <v>0</v>
      </c>
      <c r="AF294" s="53">
        <f t="shared" si="65"/>
        <v>0</v>
      </c>
      <c r="AG294" s="53">
        <f t="shared" si="65"/>
        <v>0</v>
      </c>
      <c r="AH294" s="53">
        <f t="shared" si="65"/>
        <v>0</v>
      </c>
      <c r="AI294" s="53">
        <f t="shared" si="65"/>
        <v>0</v>
      </c>
      <c r="AJ294" s="53">
        <f t="shared" si="65"/>
        <v>0</v>
      </c>
      <c r="AK294" s="53">
        <f t="shared" si="65"/>
        <v>0</v>
      </c>
      <c r="AL294" s="53">
        <f t="shared" si="65"/>
        <v>0</v>
      </c>
      <c r="AM294" s="53">
        <f t="shared" si="65"/>
        <v>0</v>
      </c>
      <c r="AN294" s="53">
        <f t="shared" si="65"/>
        <v>0</v>
      </c>
      <c r="AO294" s="53">
        <f t="shared" si="65"/>
        <v>0</v>
      </c>
      <c r="AP294" s="53">
        <f t="shared" si="65"/>
        <v>0</v>
      </c>
      <c r="AQ294" s="53">
        <f t="shared" si="65"/>
        <v>0</v>
      </c>
      <c r="AR294" s="53">
        <f t="shared" si="65"/>
        <v>0</v>
      </c>
      <c r="AS294" s="53">
        <f t="shared" si="65"/>
        <v>0</v>
      </c>
      <c r="AT294" s="53">
        <f t="shared" si="65"/>
        <v>0</v>
      </c>
      <c r="AU294" s="53">
        <f t="shared" si="65"/>
        <v>0</v>
      </c>
      <c r="AV294" s="53">
        <f t="shared" si="65"/>
        <v>0</v>
      </c>
      <c r="AW294" s="53">
        <f t="shared" si="65"/>
        <v>0</v>
      </c>
      <c r="AX294" s="53">
        <f t="shared" si="65"/>
        <v>0</v>
      </c>
      <c r="AY294" s="53">
        <f t="shared" si="65"/>
        <v>0</v>
      </c>
      <c r="AZ294" s="53">
        <f t="shared" si="65"/>
        <v>0</v>
      </c>
      <c r="BA294" s="53">
        <f t="shared" si="65"/>
        <v>0</v>
      </c>
      <c r="BB294" s="53">
        <f t="shared" si="65"/>
        <v>0</v>
      </c>
      <c r="BC294" s="53">
        <f t="shared" si="65"/>
        <v>0</v>
      </c>
      <c r="BD294" s="53">
        <f t="shared" si="65"/>
        <v>0</v>
      </c>
      <c r="BE294" s="53">
        <f t="shared" si="65"/>
        <v>0</v>
      </c>
      <c r="BF294" s="53">
        <f t="shared" si="65"/>
        <v>0</v>
      </c>
      <c r="BG294" s="53">
        <f t="shared" si="65"/>
        <v>0</v>
      </c>
      <c r="BH294" s="53">
        <f t="shared" si="65"/>
        <v>0</v>
      </c>
      <c r="BI294" s="53">
        <f t="shared" si="65"/>
        <v>0</v>
      </c>
      <c r="BJ294" s="53">
        <f t="shared" si="65"/>
        <v>0</v>
      </c>
      <c r="BK294" s="53">
        <f t="shared" si="65"/>
        <v>0</v>
      </c>
      <c r="BL294" s="53">
        <f t="shared" si="65"/>
        <v>0</v>
      </c>
      <c r="BM294" s="53">
        <f t="shared" si="65"/>
        <v>0</v>
      </c>
      <c r="BN294" s="53">
        <f t="shared" si="65"/>
        <v>0</v>
      </c>
      <c r="BO294" s="53">
        <f t="shared" ref="BO294:CX294" si="66">IFERROR(IF(BO$262=0,0,(BO35-BO36)/BO36),0)</f>
        <v>0</v>
      </c>
      <c r="BP294" s="53">
        <f t="shared" si="66"/>
        <v>0</v>
      </c>
      <c r="BQ294" s="53">
        <f t="shared" si="66"/>
        <v>0</v>
      </c>
      <c r="BR294" s="53">
        <f t="shared" si="66"/>
        <v>0</v>
      </c>
      <c r="BS294" s="53">
        <f t="shared" si="66"/>
        <v>0</v>
      </c>
      <c r="BT294" s="53">
        <f t="shared" si="66"/>
        <v>0</v>
      </c>
      <c r="BU294" s="53">
        <f t="shared" si="66"/>
        <v>0</v>
      </c>
      <c r="BV294" s="53">
        <f t="shared" si="66"/>
        <v>0</v>
      </c>
      <c r="BW294" s="53">
        <f t="shared" si="66"/>
        <v>0</v>
      </c>
      <c r="BX294" s="53">
        <f t="shared" si="66"/>
        <v>0</v>
      </c>
      <c r="BY294" s="53">
        <f t="shared" si="66"/>
        <v>0</v>
      </c>
      <c r="BZ294" s="53">
        <f t="shared" si="66"/>
        <v>0</v>
      </c>
      <c r="CA294" s="53">
        <f t="shared" si="66"/>
        <v>0</v>
      </c>
      <c r="CB294" s="53">
        <f t="shared" si="66"/>
        <v>0</v>
      </c>
      <c r="CC294" s="53">
        <f t="shared" si="66"/>
        <v>0</v>
      </c>
      <c r="CD294" s="53">
        <f t="shared" si="66"/>
        <v>0</v>
      </c>
      <c r="CE294" s="53">
        <f t="shared" si="66"/>
        <v>0</v>
      </c>
      <c r="CF294" s="53">
        <f t="shared" si="66"/>
        <v>0</v>
      </c>
      <c r="CG294" s="53">
        <f t="shared" si="66"/>
        <v>0</v>
      </c>
      <c r="CH294" s="53">
        <f t="shared" si="66"/>
        <v>0</v>
      </c>
      <c r="CI294" s="53">
        <f t="shared" si="66"/>
        <v>0</v>
      </c>
      <c r="CJ294" s="53">
        <f t="shared" si="66"/>
        <v>0</v>
      </c>
      <c r="CK294" s="53">
        <f t="shared" si="66"/>
        <v>0</v>
      </c>
      <c r="CL294" s="53">
        <f t="shared" si="66"/>
        <v>0</v>
      </c>
      <c r="CM294" s="53">
        <f t="shared" si="66"/>
        <v>0</v>
      </c>
      <c r="CN294" s="53">
        <f t="shared" si="66"/>
        <v>0</v>
      </c>
      <c r="CO294" s="53">
        <f t="shared" si="66"/>
        <v>0</v>
      </c>
      <c r="CP294" s="53">
        <f t="shared" si="66"/>
        <v>0</v>
      </c>
      <c r="CQ294" s="53">
        <f t="shared" si="66"/>
        <v>0</v>
      </c>
      <c r="CR294" s="53">
        <f t="shared" si="66"/>
        <v>0</v>
      </c>
      <c r="CS294" s="53">
        <f t="shared" si="66"/>
        <v>0</v>
      </c>
      <c r="CT294" s="53">
        <f t="shared" si="66"/>
        <v>0</v>
      </c>
      <c r="CU294" s="53">
        <f t="shared" si="66"/>
        <v>0</v>
      </c>
      <c r="CV294" s="53">
        <f t="shared" si="66"/>
        <v>0</v>
      </c>
      <c r="CW294" s="53">
        <f t="shared" si="66"/>
        <v>0</v>
      </c>
      <c r="CX294" s="53">
        <f t="shared" si="66"/>
        <v>0</v>
      </c>
      <c r="DB294" s="2" vm="543">
        <f ca="1">IF(Returns!A298&lt;&gt;0,Returns!A298,"")</f>
        <v>42255</v>
      </c>
      <c r="DC294" s="11">
        <f ca="1">IF(Returns!B309&gt;0,Returns!B309/Returns!B308-1,"")</f>
        <v>7.1957513650982019E-3</v>
      </c>
      <c r="DD294" s="11">
        <f ca="1">IF(Returns!D301&gt;0,Returns!D301/Returns!D300-1,"")</f>
        <v>9.6665099753578954E-3</v>
      </c>
    </row>
    <row r="295" spans="2:108" x14ac:dyDescent="0.3">
      <c r="B295" s="57">
        <f t="shared" ca="1" si="6"/>
        <v>5.6796065016126137E-3</v>
      </c>
      <c r="C295" s="53">
        <f t="shared" ref="C295:BN295" si="67">IFERROR(IF(C$262=0,0,(C36-C37)/C37),0)</f>
        <v>0</v>
      </c>
      <c r="D295" s="53">
        <f t="shared" si="67"/>
        <v>0</v>
      </c>
      <c r="E295" s="53">
        <f t="shared" si="67"/>
        <v>0</v>
      </c>
      <c r="F295" s="53">
        <f t="shared" si="67"/>
        <v>0</v>
      </c>
      <c r="G295" s="53">
        <f t="shared" si="67"/>
        <v>0</v>
      </c>
      <c r="H295" s="53">
        <f t="shared" si="67"/>
        <v>0</v>
      </c>
      <c r="I295" s="53">
        <f t="shared" si="67"/>
        <v>0</v>
      </c>
      <c r="J295" s="53">
        <f t="shared" si="67"/>
        <v>0</v>
      </c>
      <c r="K295" s="53">
        <f t="shared" si="67"/>
        <v>0</v>
      </c>
      <c r="L295" s="53">
        <f t="shared" si="67"/>
        <v>0</v>
      </c>
      <c r="M295" s="53">
        <f t="shared" si="67"/>
        <v>0</v>
      </c>
      <c r="N295" s="53">
        <f t="shared" si="67"/>
        <v>0</v>
      </c>
      <c r="O295" s="53">
        <f t="shared" si="67"/>
        <v>0</v>
      </c>
      <c r="P295" s="53">
        <f t="shared" si="67"/>
        <v>0</v>
      </c>
      <c r="Q295" s="53">
        <f t="shared" si="67"/>
        <v>0</v>
      </c>
      <c r="R295" s="53">
        <f t="shared" si="67"/>
        <v>0</v>
      </c>
      <c r="S295" s="53">
        <f t="shared" si="67"/>
        <v>0</v>
      </c>
      <c r="T295" s="53">
        <f t="shared" si="67"/>
        <v>0</v>
      </c>
      <c r="U295" s="53">
        <f t="shared" si="67"/>
        <v>0</v>
      </c>
      <c r="V295" s="53">
        <f t="shared" si="67"/>
        <v>0</v>
      </c>
      <c r="W295" s="53">
        <f t="shared" si="67"/>
        <v>0</v>
      </c>
      <c r="X295" s="53">
        <f t="shared" si="67"/>
        <v>0</v>
      </c>
      <c r="Y295" s="53">
        <f t="shared" si="67"/>
        <v>0</v>
      </c>
      <c r="Z295" s="53">
        <f t="shared" si="67"/>
        <v>0</v>
      </c>
      <c r="AA295" s="53">
        <f t="shared" si="67"/>
        <v>0</v>
      </c>
      <c r="AB295" s="53">
        <f t="shared" si="67"/>
        <v>0</v>
      </c>
      <c r="AC295" s="53">
        <f t="shared" si="67"/>
        <v>0</v>
      </c>
      <c r="AD295" s="53">
        <f t="shared" si="67"/>
        <v>0</v>
      </c>
      <c r="AE295" s="53">
        <f t="shared" si="67"/>
        <v>0</v>
      </c>
      <c r="AF295" s="53">
        <f t="shared" si="67"/>
        <v>0</v>
      </c>
      <c r="AG295" s="53">
        <f t="shared" si="67"/>
        <v>0</v>
      </c>
      <c r="AH295" s="53">
        <f t="shared" si="67"/>
        <v>0</v>
      </c>
      <c r="AI295" s="53">
        <f t="shared" si="67"/>
        <v>0</v>
      </c>
      <c r="AJ295" s="53">
        <f t="shared" si="67"/>
        <v>0</v>
      </c>
      <c r="AK295" s="53">
        <f t="shared" si="67"/>
        <v>0</v>
      </c>
      <c r="AL295" s="53">
        <f t="shared" si="67"/>
        <v>0</v>
      </c>
      <c r="AM295" s="53">
        <f t="shared" si="67"/>
        <v>0</v>
      </c>
      <c r="AN295" s="53">
        <f t="shared" si="67"/>
        <v>0</v>
      </c>
      <c r="AO295" s="53">
        <f t="shared" si="67"/>
        <v>0</v>
      </c>
      <c r="AP295" s="53">
        <f t="shared" si="67"/>
        <v>0</v>
      </c>
      <c r="AQ295" s="53">
        <f t="shared" si="67"/>
        <v>0</v>
      </c>
      <c r="AR295" s="53">
        <f t="shared" si="67"/>
        <v>0</v>
      </c>
      <c r="AS295" s="53">
        <f t="shared" si="67"/>
        <v>0</v>
      </c>
      <c r="AT295" s="53">
        <f t="shared" si="67"/>
        <v>0</v>
      </c>
      <c r="AU295" s="53">
        <f t="shared" si="67"/>
        <v>0</v>
      </c>
      <c r="AV295" s="53">
        <f t="shared" si="67"/>
        <v>0</v>
      </c>
      <c r="AW295" s="53">
        <f t="shared" si="67"/>
        <v>0</v>
      </c>
      <c r="AX295" s="53">
        <f t="shared" si="67"/>
        <v>0</v>
      </c>
      <c r="AY295" s="53">
        <f t="shared" si="67"/>
        <v>0</v>
      </c>
      <c r="AZ295" s="53">
        <f t="shared" si="67"/>
        <v>0</v>
      </c>
      <c r="BA295" s="53">
        <f t="shared" si="67"/>
        <v>0</v>
      </c>
      <c r="BB295" s="53">
        <f t="shared" si="67"/>
        <v>0</v>
      </c>
      <c r="BC295" s="53">
        <f t="shared" si="67"/>
        <v>0</v>
      </c>
      <c r="BD295" s="53">
        <f t="shared" si="67"/>
        <v>0</v>
      </c>
      <c r="BE295" s="53">
        <f t="shared" si="67"/>
        <v>0</v>
      </c>
      <c r="BF295" s="53">
        <f t="shared" si="67"/>
        <v>0</v>
      </c>
      <c r="BG295" s="53">
        <f t="shared" si="67"/>
        <v>0</v>
      </c>
      <c r="BH295" s="53">
        <f t="shared" si="67"/>
        <v>0</v>
      </c>
      <c r="BI295" s="53">
        <f t="shared" si="67"/>
        <v>0</v>
      </c>
      <c r="BJ295" s="53">
        <f t="shared" si="67"/>
        <v>0</v>
      </c>
      <c r="BK295" s="53">
        <f t="shared" si="67"/>
        <v>0</v>
      </c>
      <c r="BL295" s="53">
        <f t="shared" si="67"/>
        <v>0</v>
      </c>
      <c r="BM295" s="53">
        <f t="shared" si="67"/>
        <v>0</v>
      </c>
      <c r="BN295" s="53">
        <f t="shared" si="67"/>
        <v>0</v>
      </c>
      <c r="BO295" s="53">
        <f t="shared" ref="BO295:CX295" si="68">IFERROR(IF(BO$262=0,0,(BO36-BO37)/BO37),0)</f>
        <v>0</v>
      </c>
      <c r="BP295" s="53">
        <f t="shared" si="68"/>
        <v>0</v>
      </c>
      <c r="BQ295" s="53">
        <f t="shared" si="68"/>
        <v>0</v>
      </c>
      <c r="BR295" s="53">
        <f t="shared" si="68"/>
        <v>0</v>
      </c>
      <c r="BS295" s="53">
        <f t="shared" si="68"/>
        <v>0</v>
      </c>
      <c r="BT295" s="53">
        <f t="shared" si="68"/>
        <v>0</v>
      </c>
      <c r="BU295" s="53">
        <f t="shared" si="68"/>
        <v>0</v>
      </c>
      <c r="BV295" s="53">
        <f t="shared" si="68"/>
        <v>0</v>
      </c>
      <c r="BW295" s="53">
        <f t="shared" si="68"/>
        <v>0</v>
      </c>
      <c r="BX295" s="53">
        <f t="shared" si="68"/>
        <v>0</v>
      </c>
      <c r="BY295" s="53">
        <f t="shared" si="68"/>
        <v>0</v>
      </c>
      <c r="BZ295" s="53">
        <f t="shared" si="68"/>
        <v>0</v>
      </c>
      <c r="CA295" s="53">
        <f t="shared" si="68"/>
        <v>0</v>
      </c>
      <c r="CB295" s="53">
        <f t="shared" si="68"/>
        <v>0</v>
      </c>
      <c r="CC295" s="53">
        <f t="shared" si="68"/>
        <v>0</v>
      </c>
      <c r="CD295" s="53">
        <f t="shared" si="68"/>
        <v>0</v>
      </c>
      <c r="CE295" s="53">
        <f t="shared" si="68"/>
        <v>0</v>
      </c>
      <c r="CF295" s="53">
        <f t="shared" si="68"/>
        <v>0</v>
      </c>
      <c r="CG295" s="53">
        <f t="shared" si="68"/>
        <v>0</v>
      </c>
      <c r="CH295" s="53">
        <f t="shared" si="68"/>
        <v>0</v>
      </c>
      <c r="CI295" s="53">
        <f t="shared" si="68"/>
        <v>0</v>
      </c>
      <c r="CJ295" s="53">
        <f t="shared" si="68"/>
        <v>0</v>
      </c>
      <c r="CK295" s="53">
        <f t="shared" si="68"/>
        <v>0</v>
      </c>
      <c r="CL295" s="53">
        <f t="shared" si="68"/>
        <v>0</v>
      </c>
      <c r="CM295" s="53">
        <f t="shared" si="68"/>
        <v>0</v>
      </c>
      <c r="CN295" s="53">
        <f t="shared" si="68"/>
        <v>0</v>
      </c>
      <c r="CO295" s="53">
        <f t="shared" si="68"/>
        <v>0</v>
      </c>
      <c r="CP295" s="53">
        <f t="shared" si="68"/>
        <v>0</v>
      </c>
      <c r="CQ295" s="53">
        <f t="shared" si="68"/>
        <v>0</v>
      </c>
      <c r="CR295" s="53">
        <f t="shared" si="68"/>
        <v>0</v>
      </c>
      <c r="CS295" s="53">
        <f t="shared" si="68"/>
        <v>0</v>
      </c>
      <c r="CT295" s="53">
        <f t="shared" si="68"/>
        <v>0</v>
      </c>
      <c r="CU295" s="53">
        <f t="shared" si="68"/>
        <v>0</v>
      </c>
      <c r="CV295" s="53">
        <f t="shared" si="68"/>
        <v>0</v>
      </c>
      <c r="CW295" s="53">
        <f t="shared" si="68"/>
        <v>0</v>
      </c>
      <c r="CX295" s="53">
        <f t="shared" si="68"/>
        <v>0</v>
      </c>
      <c r="DB295" s="2" vm="544">
        <f ca="1">IF(Returns!A299&lt;&gt;0,Returns!A299,"")</f>
        <v>42261</v>
      </c>
      <c r="DC295" s="11">
        <f ca="1">IF(Returns!B310&gt;0,Returns!B310/Returns!B309-1,"")</f>
        <v>-9.2089237441694838E-4</v>
      </c>
      <c r="DD295" s="11">
        <f ca="1">IF(Returns!D302&gt;0,Returns!D302/Returns!D301-1,"")</f>
        <v>3.7160217915890081E-2</v>
      </c>
    </row>
    <row r="296" spans="2:108" x14ac:dyDescent="0.3">
      <c r="B296" s="57">
        <f t="shared" ca="1" si="6"/>
        <v>3.8744185080893348E-4</v>
      </c>
      <c r="C296" s="53">
        <f t="shared" ref="C296:BN296" si="69">IFERROR(IF(C$262=0,0,(C37-C38)/C38),0)</f>
        <v>0</v>
      </c>
      <c r="D296" s="53">
        <f t="shared" si="69"/>
        <v>0</v>
      </c>
      <c r="E296" s="53">
        <f t="shared" si="69"/>
        <v>0</v>
      </c>
      <c r="F296" s="53">
        <f t="shared" si="69"/>
        <v>0</v>
      </c>
      <c r="G296" s="53">
        <f t="shared" si="69"/>
        <v>0</v>
      </c>
      <c r="H296" s="53">
        <f t="shared" si="69"/>
        <v>0</v>
      </c>
      <c r="I296" s="53">
        <f t="shared" si="69"/>
        <v>0</v>
      </c>
      <c r="J296" s="53">
        <f t="shared" si="69"/>
        <v>0</v>
      </c>
      <c r="K296" s="53">
        <f t="shared" si="69"/>
        <v>0</v>
      </c>
      <c r="L296" s="53">
        <f t="shared" si="69"/>
        <v>0</v>
      </c>
      <c r="M296" s="53">
        <f t="shared" si="69"/>
        <v>0</v>
      </c>
      <c r="N296" s="53">
        <f t="shared" si="69"/>
        <v>0</v>
      </c>
      <c r="O296" s="53">
        <f t="shared" si="69"/>
        <v>0</v>
      </c>
      <c r="P296" s="53">
        <f t="shared" si="69"/>
        <v>0</v>
      </c>
      <c r="Q296" s="53">
        <f t="shared" si="69"/>
        <v>0</v>
      </c>
      <c r="R296" s="53">
        <f t="shared" si="69"/>
        <v>0</v>
      </c>
      <c r="S296" s="53">
        <f t="shared" si="69"/>
        <v>0</v>
      </c>
      <c r="T296" s="53">
        <f t="shared" si="69"/>
        <v>0</v>
      </c>
      <c r="U296" s="53">
        <f t="shared" si="69"/>
        <v>0</v>
      </c>
      <c r="V296" s="53">
        <f t="shared" si="69"/>
        <v>0</v>
      </c>
      <c r="W296" s="53">
        <f t="shared" si="69"/>
        <v>0</v>
      </c>
      <c r="X296" s="53">
        <f t="shared" si="69"/>
        <v>0</v>
      </c>
      <c r="Y296" s="53">
        <f t="shared" si="69"/>
        <v>0</v>
      </c>
      <c r="Z296" s="53">
        <f t="shared" si="69"/>
        <v>0</v>
      </c>
      <c r="AA296" s="53">
        <f t="shared" si="69"/>
        <v>0</v>
      </c>
      <c r="AB296" s="53">
        <f t="shared" si="69"/>
        <v>0</v>
      </c>
      <c r="AC296" s="53">
        <f t="shared" si="69"/>
        <v>0</v>
      </c>
      <c r="AD296" s="53">
        <f t="shared" si="69"/>
        <v>0</v>
      </c>
      <c r="AE296" s="53">
        <f t="shared" si="69"/>
        <v>0</v>
      </c>
      <c r="AF296" s="53">
        <f t="shared" si="69"/>
        <v>0</v>
      </c>
      <c r="AG296" s="53">
        <f t="shared" si="69"/>
        <v>0</v>
      </c>
      <c r="AH296" s="53">
        <f t="shared" si="69"/>
        <v>0</v>
      </c>
      <c r="AI296" s="53">
        <f t="shared" si="69"/>
        <v>0</v>
      </c>
      <c r="AJ296" s="53">
        <f t="shared" si="69"/>
        <v>0</v>
      </c>
      <c r="AK296" s="53">
        <f t="shared" si="69"/>
        <v>0</v>
      </c>
      <c r="AL296" s="53">
        <f t="shared" si="69"/>
        <v>0</v>
      </c>
      <c r="AM296" s="53">
        <f t="shared" si="69"/>
        <v>0</v>
      </c>
      <c r="AN296" s="53">
        <f t="shared" si="69"/>
        <v>0</v>
      </c>
      <c r="AO296" s="53">
        <f t="shared" si="69"/>
        <v>0</v>
      </c>
      <c r="AP296" s="53">
        <f t="shared" si="69"/>
        <v>0</v>
      </c>
      <c r="AQ296" s="53">
        <f t="shared" si="69"/>
        <v>0</v>
      </c>
      <c r="AR296" s="53">
        <f t="shared" si="69"/>
        <v>0</v>
      </c>
      <c r="AS296" s="53">
        <f t="shared" si="69"/>
        <v>0</v>
      </c>
      <c r="AT296" s="53">
        <f t="shared" si="69"/>
        <v>0</v>
      </c>
      <c r="AU296" s="53">
        <f t="shared" si="69"/>
        <v>0</v>
      </c>
      <c r="AV296" s="53">
        <f t="shared" si="69"/>
        <v>0</v>
      </c>
      <c r="AW296" s="53">
        <f t="shared" si="69"/>
        <v>0</v>
      </c>
      <c r="AX296" s="53">
        <f t="shared" si="69"/>
        <v>0</v>
      </c>
      <c r="AY296" s="53">
        <f t="shared" si="69"/>
        <v>0</v>
      </c>
      <c r="AZ296" s="53">
        <f t="shared" si="69"/>
        <v>0</v>
      </c>
      <c r="BA296" s="53">
        <f t="shared" si="69"/>
        <v>0</v>
      </c>
      <c r="BB296" s="53">
        <f t="shared" si="69"/>
        <v>0</v>
      </c>
      <c r="BC296" s="53">
        <f t="shared" si="69"/>
        <v>0</v>
      </c>
      <c r="BD296" s="53">
        <f t="shared" si="69"/>
        <v>0</v>
      </c>
      <c r="BE296" s="53">
        <f t="shared" si="69"/>
        <v>0</v>
      </c>
      <c r="BF296" s="53">
        <f t="shared" si="69"/>
        <v>0</v>
      </c>
      <c r="BG296" s="53">
        <f t="shared" si="69"/>
        <v>0</v>
      </c>
      <c r="BH296" s="53">
        <f t="shared" si="69"/>
        <v>0</v>
      </c>
      <c r="BI296" s="53">
        <f t="shared" si="69"/>
        <v>0</v>
      </c>
      <c r="BJ296" s="53">
        <f t="shared" si="69"/>
        <v>0</v>
      </c>
      <c r="BK296" s="53">
        <f t="shared" si="69"/>
        <v>0</v>
      </c>
      <c r="BL296" s="53">
        <f t="shared" si="69"/>
        <v>0</v>
      </c>
      <c r="BM296" s="53">
        <f t="shared" si="69"/>
        <v>0</v>
      </c>
      <c r="BN296" s="53">
        <f t="shared" si="69"/>
        <v>0</v>
      </c>
      <c r="BO296" s="53">
        <f t="shared" ref="BO296:CX296" si="70">IFERROR(IF(BO$262=0,0,(BO37-BO38)/BO38),0)</f>
        <v>0</v>
      </c>
      <c r="BP296" s="53">
        <f t="shared" si="70"/>
        <v>0</v>
      </c>
      <c r="BQ296" s="53">
        <f t="shared" si="70"/>
        <v>0</v>
      </c>
      <c r="BR296" s="53">
        <f t="shared" si="70"/>
        <v>0</v>
      </c>
      <c r="BS296" s="53">
        <f t="shared" si="70"/>
        <v>0</v>
      </c>
      <c r="BT296" s="53">
        <f t="shared" si="70"/>
        <v>0</v>
      </c>
      <c r="BU296" s="53">
        <f t="shared" si="70"/>
        <v>0</v>
      </c>
      <c r="BV296" s="53">
        <f t="shared" si="70"/>
        <v>0</v>
      </c>
      <c r="BW296" s="53">
        <f t="shared" si="70"/>
        <v>0</v>
      </c>
      <c r="BX296" s="53">
        <f t="shared" si="70"/>
        <v>0</v>
      </c>
      <c r="BY296" s="53">
        <f t="shared" si="70"/>
        <v>0</v>
      </c>
      <c r="BZ296" s="53">
        <f t="shared" si="70"/>
        <v>0</v>
      </c>
      <c r="CA296" s="53">
        <f t="shared" si="70"/>
        <v>0</v>
      </c>
      <c r="CB296" s="53">
        <f t="shared" si="70"/>
        <v>0</v>
      </c>
      <c r="CC296" s="53">
        <f t="shared" si="70"/>
        <v>0</v>
      </c>
      <c r="CD296" s="53">
        <f t="shared" si="70"/>
        <v>0</v>
      </c>
      <c r="CE296" s="53">
        <f t="shared" si="70"/>
        <v>0</v>
      </c>
      <c r="CF296" s="53">
        <f t="shared" si="70"/>
        <v>0</v>
      </c>
      <c r="CG296" s="53">
        <f t="shared" si="70"/>
        <v>0</v>
      </c>
      <c r="CH296" s="53">
        <f t="shared" si="70"/>
        <v>0</v>
      </c>
      <c r="CI296" s="53">
        <f t="shared" si="70"/>
        <v>0</v>
      </c>
      <c r="CJ296" s="53">
        <f t="shared" si="70"/>
        <v>0</v>
      </c>
      <c r="CK296" s="53">
        <f t="shared" si="70"/>
        <v>0</v>
      </c>
      <c r="CL296" s="53">
        <f t="shared" si="70"/>
        <v>0</v>
      </c>
      <c r="CM296" s="53">
        <f t="shared" si="70"/>
        <v>0</v>
      </c>
      <c r="CN296" s="53">
        <f t="shared" si="70"/>
        <v>0</v>
      </c>
      <c r="CO296" s="53">
        <f t="shared" si="70"/>
        <v>0</v>
      </c>
      <c r="CP296" s="53">
        <f t="shared" si="70"/>
        <v>0</v>
      </c>
      <c r="CQ296" s="53">
        <f t="shared" si="70"/>
        <v>0</v>
      </c>
      <c r="CR296" s="53">
        <f t="shared" si="70"/>
        <v>0</v>
      </c>
      <c r="CS296" s="53">
        <f t="shared" si="70"/>
        <v>0</v>
      </c>
      <c r="CT296" s="53">
        <f t="shared" si="70"/>
        <v>0</v>
      </c>
      <c r="CU296" s="53">
        <f t="shared" si="70"/>
        <v>0</v>
      </c>
      <c r="CV296" s="53">
        <f t="shared" si="70"/>
        <v>0</v>
      </c>
      <c r="CW296" s="53">
        <f t="shared" si="70"/>
        <v>0</v>
      </c>
      <c r="CX296" s="53">
        <f t="shared" si="70"/>
        <v>0</v>
      </c>
      <c r="DB296" s="2" vm="545">
        <f ca="1">IF(Returns!A300&lt;&gt;0,Returns!A300,"")</f>
        <v>42268</v>
      </c>
      <c r="DC296" s="11">
        <f ca="1">IF(Returns!B311&gt;0,Returns!B311/Returns!B310-1,"")</f>
        <v>-4.8302212178877202E-2</v>
      </c>
      <c r="DD296" s="11">
        <f ca="1">IF(Returns!D303&gt;0,Returns!D303/Returns!D302-1,"")</f>
        <v>7.6960385614770477E-3</v>
      </c>
    </row>
    <row r="297" spans="2:108" x14ac:dyDescent="0.3">
      <c r="B297" s="57">
        <f t="shared" ca="1" si="6"/>
        <v>5.4808117883756635E-4</v>
      </c>
      <c r="C297" s="53">
        <f t="shared" ref="C297:BN297" si="71">IFERROR(IF(C$262=0,0,(C38-C39)/C39),0)</f>
        <v>0</v>
      </c>
      <c r="D297" s="53">
        <f t="shared" si="71"/>
        <v>0</v>
      </c>
      <c r="E297" s="53">
        <f t="shared" si="71"/>
        <v>0</v>
      </c>
      <c r="F297" s="53">
        <f t="shared" si="71"/>
        <v>0</v>
      </c>
      <c r="G297" s="53">
        <f t="shared" si="71"/>
        <v>0</v>
      </c>
      <c r="H297" s="53">
        <f t="shared" si="71"/>
        <v>0</v>
      </c>
      <c r="I297" s="53">
        <f t="shared" si="71"/>
        <v>0</v>
      </c>
      <c r="J297" s="53">
        <f t="shared" si="71"/>
        <v>0</v>
      </c>
      <c r="K297" s="53">
        <f t="shared" si="71"/>
        <v>0</v>
      </c>
      <c r="L297" s="53">
        <f t="shared" si="71"/>
        <v>0</v>
      </c>
      <c r="M297" s="53">
        <f t="shared" si="71"/>
        <v>0</v>
      </c>
      <c r="N297" s="53">
        <f t="shared" si="71"/>
        <v>0</v>
      </c>
      <c r="O297" s="53">
        <f t="shared" si="71"/>
        <v>0</v>
      </c>
      <c r="P297" s="53">
        <f t="shared" si="71"/>
        <v>0</v>
      </c>
      <c r="Q297" s="53">
        <f t="shared" si="71"/>
        <v>0</v>
      </c>
      <c r="R297" s="53">
        <f t="shared" si="71"/>
        <v>0</v>
      </c>
      <c r="S297" s="53">
        <f t="shared" si="71"/>
        <v>0</v>
      </c>
      <c r="T297" s="53">
        <f t="shared" si="71"/>
        <v>0</v>
      </c>
      <c r="U297" s="53">
        <f t="shared" si="71"/>
        <v>0</v>
      </c>
      <c r="V297" s="53">
        <f t="shared" si="71"/>
        <v>0</v>
      </c>
      <c r="W297" s="53">
        <f t="shared" si="71"/>
        <v>0</v>
      </c>
      <c r="X297" s="53">
        <f t="shared" si="71"/>
        <v>0</v>
      </c>
      <c r="Y297" s="53">
        <f t="shared" si="71"/>
        <v>0</v>
      </c>
      <c r="Z297" s="53">
        <f t="shared" si="71"/>
        <v>0</v>
      </c>
      <c r="AA297" s="53">
        <f t="shared" si="71"/>
        <v>0</v>
      </c>
      <c r="AB297" s="53">
        <f t="shared" si="71"/>
        <v>0</v>
      </c>
      <c r="AC297" s="53">
        <f t="shared" si="71"/>
        <v>0</v>
      </c>
      <c r="AD297" s="53">
        <f t="shared" si="71"/>
        <v>0</v>
      </c>
      <c r="AE297" s="53">
        <f t="shared" si="71"/>
        <v>0</v>
      </c>
      <c r="AF297" s="53">
        <f t="shared" si="71"/>
        <v>0</v>
      </c>
      <c r="AG297" s="53">
        <f t="shared" si="71"/>
        <v>0</v>
      </c>
      <c r="AH297" s="53">
        <f t="shared" si="71"/>
        <v>0</v>
      </c>
      <c r="AI297" s="53">
        <f t="shared" si="71"/>
        <v>0</v>
      </c>
      <c r="AJ297" s="53">
        <f t="shared" si="71"/>
        <v>0</v>
      </c>
      <c r="AK297" s="53">
        <f t="shared" si="71"/>
        <v>0</v>
      </c>
      <c r="AL297" s="53">
        <f t="shared" si="71"/>
        <v>0</v>
      </c>
      <c r="AM297" s="53">
        <f t="shared" si="71"/>
        <v>0</v>
      </c>
      <c r="AN297" s="53">
        <f t="shared" si="71"/>
        <v>0</v>
      </c>
      <c r="AO297" s="53">
        <f t="shared" si="71"/>
        <v>0</v>
      </c>
      <c r="AP297" s="53">
        <f t="shared" si="71"/>
        <v>0</v>
      </c>
      <c r="AQ297" s="53">
        <f t="shared" si="71"/>
        <v>0</v>
      </c>
      <c r="AR297" s="53">
        <f t="shared" si="71"/>
        <v>0</v>
      </c>
      <c r="AS297" s="53">
        <f t="shared" si="71"/>
        <v>0</v>
      </c>
      <c r="AT297" s="53">
        <f t="shared" si="71"/>
        <v>0</v>
      </c>
      <c r="AU297" s="53">
        <f t="shared" si="71"/>
        <v>0</v>
      </c>
      <c r="AV297" s="53">
        <f t="shared" si="71"/>
        <v>0</v>
      </c>
      <c r="AW297" s="53">
        <f t="shared" si="71"/>
        <v>0</v>
      </c>
      <c r="AX297" s="53">
        <f t="shared" si="71"/>
        <v>0</v>
      </c>
      <c r="AY297" s="53">
        <f t="shared" si="71"/>
        <v>0</v>
      </c>
      <c r="AZ297" s="53">
        <f t="shared" si="71"/>
        <v>0</v>
      </c>
      <c r="BA297" s="53">
        <f t="shared" si="71"/>
        <v>0</v>
      </c>
      <c r="BB297" s="53">
        <f t="shared" si="71"/>
        <v>0</v>
      </c>
      <c r="BC297" s="53">
        <f t="shared" si="71"/>
        <v>0</v>
      </c>
      <c r="BD297" s="53">
        <f t="shared" si="71"/>
        <v>0</v>
      </c>
      <c r="BE297" s="53">
        <f t="shared" si="71"/>
        <v>0</v>
      </c>
      <c r="BF297" s="53">
        <f t="shared" si="71"/>
        <v>0</v>
      </c>
      <c r="BG297" s="53">
        <f t="shared" si="71"/>
        <v>0</v>
      </c>
      <c r="BH297" s="53">
        <f t="shared" si="71"/>
        <v>0</v>
      </c>
      <c r="BI297" s="53">
        <f t="shared" si="71"/>
        <v>0</v>
      </c>
      <c r="BJ297" s="53">
        <f t="shared" si="71"/>
        <v>0</v>
      </c>
      <c r="BK297" s="53">
        <f t="shared" si="71"/>
        <v>0</v>
      </c>
      <c r="BL297" s="53">
        <f t="shared" si="71"/>
        <v>0</v>
      </c>
      <c r="BM297" s="53">
        <f t="shared" si="71"/>
        <v>0</v>
      </c>
      <c r="BN297" s="53">
        <f t="shared" si="71"/>
        <v>0</v>
      </c>
      <c r="BO297" s="53">
        <f t="shared" ref="BO297:CX297" si="72">IFERROR(IF(BO$262=0,0,(BO38-BO39)/BO39),0)</f>
        <v>0</v>
      </c>
      <c r="BP297" s="53">
        <f t="shared" si="72"/>
        <v>0</v>
      </c>
      <c r="BQ297" s="53">
        <f t="shared" si="72"/>
        <v>0</v>
      </c>
      <c r="BR297" s="53">
        <f t="shared" si="72"/>
        <v>0</v>
      </c>
      <c r="BS297" s="53">
        <f t="shared" si="72"/>
        <v>0</v>
      </c>
      <c r="BT297" s="53">
        <f t="shared" si="72"/>
        <v>0</v>
      </c>
      <c r="BU297" s="53">
        <f t="shared" si="72"/>
        <v>0</v>
      </c>
      <c r="BV297" s="53">
        <f t="shared" si="72"/>
        <v>0</v>
      </c>
      <c r="BW297" s="53">
        <f t="shared" si="72"/>
        <v>0</v>
      </c>
      <c r="BX297" s="53">
        <f t="shared" si="72"/>
        <v>0</v>
      </c>
      <c r="BY297" s="53">
        <f t="shared" si="72"/>
        <v>0</v>
      </c>
      <c r="BZ297" s="53">
        <f t="shared" si="72"/>
        <v>0</v>
      </c>
      <c r="CA297" s="53">
        <f t="shared" si="72"/>
        <v>0</v>
      </c>
      <c r="CB297" s="53">
        <f t="shared" si="72"/>
        <v>0</v>
      </c>
      <c r="CC297" s="53">
        <f t="shared" si="72"/>
        <v>0</v>
      </c>
      <c r="CD297" s="53">
        <f t="shared" si="72"/>
        <v>0</v>
      </c>
      <c r="CE297" s="53">
        <f t="shared" si="72"/>
        <v>0</v>
      </c>
      <c r="CF297" s="53">
        <f t="shared" si="72"/>
        <v>0</v>
      </c>
      <c r="CG297" s="53">
        <f t="shared" si="72"/>
        <v>0</v>
      </c>
      <c r="CH297" s="53">
        <f t="shared" si="72"/>
        <v>0</v>
      </c>
      <c r="CI297" s="53">
        <f t="shared" si="72"/>
        <v>0</v>
      </c>
      <c r="CJ297" s="53">
        <f t="shared" si="72"/>
        <v>0</v>
      </c>
      <c r="CK297" s="53">
        <f t="shared" si="72"/>
        <v>0</v>
      </c>
      <c r="CL297" s="53">
        <f t="shared" si="72"/>
        <v>0</v>
      </c>
      <c r="CM297" s="53">
        <f t="shared" si="72"/>
        <v>0</v>
      </c>
      <c r="CN297" s="53">
        <f t="shared" si="72"/>
        <v>0</v>
      </c>
      <c r="CO297" s="53">
        <f t="shared" si="72"/>
        <v>0</v>
      </c>
      <c r="CP297" s="53">
        <f t="shared" si="72"/>
        <v>0</v>
      </c>
      <c r="CQ297" s="53">
        <f t="shared" si="72"/>
        <v>0</v>
      </c>
      <c r="CR297" s="53">
        <f t="shared" si="72"/>
        <v>0</v>
      </c>
      <c r="CS297" s="53">
        <f t="shared" si="72"/>
        <v>0</v>
      </c>
      <c r="CT297" s="53">
        <f t="shared" si="72"/>
        <v>0</v>
      </c>
      <c r="CU297" s="53">
        <f t="shared" si="72"/>
        <v>0</v>
      </c>
      <c r="CV297" s="53">
        <f t="shared" si="72"/>
        <v>0</v>
      </c>
      <c r="CW297" s="53">
        <f t="shared" si="72"/>
        <v>0</v>
      </c>
      <c r="CX297" s="53">
        <f t="shared" si="72"/>
        <v>0</v>
      </c>
      <c r="DB297" s="2" vm="546">
        <f ca="1">IF(Returns!A301&lt;&gt;0,Returns!A301,"")</f>
        <v>42275</v>
      </c>
      <c r="DC297" s="11">
        <f ca="1">IF(Returns!B312&gt;0,Returns!B312/Returns!B311-1,"")</f>
        <v>3.7475591658205021E-2</v>
      </c>
      <c r="DD297" s="11">
        <f ca="1">IF(Returns!D304&gt;0,Returns!D304/Returns!D303-1,"")</f>
        <v>2.5019014753722812E-2</v>
      </c>
    </row>
    <row r="298" spans="2:108" x14ac:dyDescent="0.3">
      <c r="B298" s="57">
        <f t="shared" ca="1" si="6"/>
        <v>2.5405688274510439E-3</v>
      </c>
      <c r="C298" s="53">
        <f t="shared" ref="C298:BN298" si="73">IFERROR(IF(C$262=0,0,(C39-C40)/C40),0)</f>
        <v>0</v>
      </c>
      <c r="D298" s="53">
        <f t="shared" si="73"/>
        <v>0</v>
      </c>
      <c r="E298" s="53">
        <f t="shared" si="73"/>
        <v>0</v>
      </c>
      <c r="F298" s="53">
        <f t="shared" si="73"/>
        <v>0</v>
      </c>
      <c r="G298" s="53">
        <f t="shared" si="73"/>
        <v>0</v>
      </c>
      <c r="H298" s="53">
        <f t="shared" si="73"/>
        <v>0</v>
      </c>
      <c r="I298" s="53">
        <f t="shared" si="73"/>
        <v>0</v>
      </c>
      <c r="J298" s="53">
        <f t="shared" si="73"/>
        <v>0</v>
      </c>
      <c r="K298" s="53">
        <f t="shared" si="73"/>
        <v>0</v>
      </c>
      <c r="L298" s="53">
        <f t="shared" si="73"/>
        <v>0</v>
      </c>
      <c r="M298" s="53">
        <f t="shared" si="73"/>
        <v>0</v>
      </c>
      <c r="N298" s="53">
        <f t="shared" si="73"/>
        <v>0</v>
      </c>
      <c r="O298" s="53">
        <f t="shared" si="73"/>
        <v>0</v>
      </c>
      <c r="P298" s="53">
        <f t="shared" si="73"/>
        <v>0</v>
      </c>
      <c r="Q298" s="53">
        <f t="shared" si="73"/>
        <v>0</v>
      </c>
      <c r="R298" s="53">
        <f t="shared" si="73"/>
        <v>0</v>
      </c>
      <c r="S298" s="53">
        <f t="shared" si="73"/>
        <v>0</v>
      </c>
      <c r="T298" s="53">
        <f t="shared" si="73"/>
        <v>0</v>
      </c>
      <c r="U298" s="53">
        <f t="shared" si="73"/>
        <v>0</v>
      </c>
      <c r="V298" s="53">
        <f t="shared" si="73"/>
        <v>0</v>
      </c>
      <c r="W298" s="53">
        <f t="shared" si="73"/>
        <v>0</v>
      </c>
      <c r="X298" s="53">
        <f t="shared" si="73"/>
        <v>0</v>
      </c>
      <c r="Y298" s="53">
        <f t="shared" si="73"/>
        <v>0</v>
      </c>
      <c r="Z298" s="53">
        <f t="shared" si="73"/>
        <v>0</v>
      </c>
      <c r="AA298" s="53">
        <f t="shared" si="73"/>
        <v>0</v>
      </c>
      <c r="AB298" s="53">
        <f t="shared" si="73"/>
        <v>0</v>
      </c>
      <c r="AC298" s="53">
        <f t="shared" si="73"/>
        <v>0</v>
      </c>
      <c r="AD298" s="53">
        <f t="shared" si="73"/>
        <v>0</v>
      </c>
      <c r="AE298" s="53">
        <f t="shared" si="73"/>
        <v>0</v>
      </c>
      <c r="AF298" s="53">
        <f t="shared" si="73"/>
        <v>0</v>
      </c>
      <c r="AG298" s="53">
        <f t="shared" si="73"/>
        <v>0</v>
      </c>
      <c r="AH298" s="53">
        <f t="shared" si="73"/>
        <v>0</v>
      </c>
      <c r="AI298" s="53">
        <f t="shared" si="73"/>
        <v>0</v>
      </c>
      <c r="AJ298" s="53">
        <f t="shared" si="73"/>
        <v>0</v>
      </c>
      <c r="AK298" s="53">
        <f t="shared" si="73"/>
        <v>0</v>
      </c>
      <c r="AL298" s="53">
        <f t="shared" si="73"/>
        <v>0</v>
      </c>
      <c r="AM298" s="53">
        <f t="shared" si="73"/>
        <v>0</v>
      </c>
      <c r="AN298" s="53">
        <f t="shared" si="73"/>
        <v>0</v>
      </c>
      <c r="AO298" s="53">
        <f t="shared" si="73"/>
        <v>0</v>
      </c>
      <c r="AP298" s="53">
        <f t="shared" si="73"/>
        <v>0</v>
      </c>
      <c r="AQ298" s="53">
        <f t="shared" si="73"/>
        <v>0</v>
      </c>
      <c r="AR298" s="53">
        <f t="shared" si="73"/>
        <v>0</v>
      </c>
      <c r="AS298" s="53">
        <f t="shared" si="73"/>
        <v>0</v>
      </c>
      <c r="AT298" s="53">
        <f t="shared" si="73"/>
        <v>0</v>
      </c>
      <c r="AU298" s="53">
        <f t="shared" si="73"/>
        <v>0</v>
      </c>
      <c r="AV298" s="53">
        <f t="shared" si="73"/>
        <v>0</v>
      </c>
      <c r="AW298" s="53">
        <f t="shared" si="73"/>
        <v>0</v>
      </c>
      <c r="AX298" s="53">
        <f t="shared" si="73"/>
        <v>0</v>
      </c>
      <c r="AY298" s="53">
        <f t="shared" si="73"/>
        <v>0</v>
      </c>
      <c r="AZ298" s="53">
        <f t="shared" si="73"/>
        <v>0</v>
      </c>
      <c r="BA298" s="53">
        <f t="shared" si="73"/>
        <v>0</v>
      </c>
      <c r="BB298" s="53">
        <f t="shared" si="73"/>
        <v>0</v>
      </c>
      <c r="BC298" s="53">
        <f t="shared" si="73"/>
        <v>0</v>
      </c>
      <c r="BD298" s="53">
        <f t="shared" si="73"/>
        <v>0</v>
      </c>
      <c r="BE298" s="53">
        <f t="shared" si="73"/>
        <v>0</v>
      </c>
      <c r="BF298" s="53">
        <f t="shared" si="73"/>
        <v>0</v>
      </c>
      <c r="BG298" s="53">
        <f t="shared" si="73"/>
        <v>0</v>
      </c>
      <c r="BH298" s="53">
        <f t="shared" si="73"/>
        <v>0</v>
      </c>
      <c r="BI298" s="53">
        <f t="shared" si="73"/>
        <v>0</v>
      </c>
      <c r="BJ298" s="53">
        <f t="shared" si="73"/>
        <v>0</v>
      </c>
      <c r="BK298" s="53">
        <f t="shared" si="73"/>
        <v>0</v>
      </c>
      <c r="BL298" s="53">
        <f t="shared" si="73"/>
        <v>0</v>
      </c>
      <c r="BM298" s="53">
        <f t="shared" si="73"/>
        <v>0</v>
      </c>
      <c r="BN298" s="53">
        <f t="shared" si="73"/>
        <v>0</v>
      </c>
      <c r="BO298" s="53">
        <f t="shared" ref="BO298:CX298" si="74">IFERROR(IF(BO$262=0,0,(BO39-BO40)/BO40),0)</f>
        <v>0</v>
      </c>
      <c r="BP298" s="53">
        <f t="shared" si="74"/>
        <v>0</v>
      </c>
      <c r="BQ298" s="53">
        <f t="shared" si="74"/>
        <v>0</v>
      </c>
      <c r="BR298" s="53">
        <f t="shared" si="74"/>
        <v>0</v>
      </c>
      <c r="BS298" s="53">
        <f t="shared" si="74"/>
        <v>0</v>
      </c>
      <c r="BT298" s="53">
        <f t="shared" si="74"/>
        <v>0</v>
      </c>
      <c r="BU298" s="53">
        <f t="shared" si="74"/>
        <v>0</v>
      </c>
      <c r="BV298" s="53">
        <f t="shared" si="74"/>
        <v>0</v>
      </c>
      <c r="BW298" s="53">
        <f t="shared" si="74"/>
        <v>0</v>
      </c>
      <c r="BX298" s="53">
        <f t="shared" si="74"/>
        <v>0</v>
      </c>
      <c r="BY298" s="53">
        <f t="shared" si="74"/>
        <v>0</v>
      </c>
      <c r="BZ298" s="53">
        <f t="shared" si="74"/>
        <v>0</v>
      </c>
      <c r="CA298" s="53">
        <f t="shared" si="74"/>
        <v>0</v>
      </c>
      <c r="CB298" s="53">
        <f t="shared" si="74"/>
        <v>0</v>
      </c>
      <c r="CC298" s="53">
        <f t="shared" si="74"/>
        <v>0</v>
      </c>
      <c r="CD298" s="53">
        <f t="shared" si="74"/>
        <v>0</v>
      </c>
      <c r="CE298" s="53">
        <f t="shared" si="74"/>
        <v>0</v>
      </c>
      <c r="CF298" s="53">
        <f t="shared" si="74"/>
        <v>0</v>
      </c>
      <c r="CG298" s="53">
        <f t="shared" si="74"/>
        <v>0</v>
      </c>
      <c r="CH298" s="53">
        <f t="shared" si="74"/>
        <v>0</v>
      </c>
      <c r="CI298" s="53">
        <f t="shared" si="74"/>
        <v>0</v>
      </c>
      <c r="CJ298" s="53">
        <f t="shared" si="74"/>
        <v>0</v>
      </c>
      <c r="CK298" s="53">
        <f t="shared" si="74"/>
        <v>0</v>
      </c>
      <c r="CL298" s="53">
        <f t="shared" si="74"/>
        <v>0</v>
      </c>
      <c r="CM298" s="53">
        <f t="shared" si="74"/>
        <v>0</v>
      </c>
      <c r="CN298" s="53">
        <f t="shared" si="74"/>
        <v>0</v>
      </c>
      <c r="CO298" s="53">
        <f t="shared" si="74"/>
        <v>0</v>
      </c>
      <c r="CP298" s="53">
        <f t="shared" si="74"/>
        <v>0</v>
      </c>
      <c r="CQ298" s="53">
        <f t="shared" si="74"/>
        <v>0</v>
      </c>
      <c r="CR298" s="53">
        <f t="shared" si="74"/>
        <v>0</v>
      </c>
      <c r="CS298" s="53">
        <f t="shared" si="74"/>
        <v>0</v>
      </c>
      <c r="CT298" s="53">
        <f t="shared" si="74"/>
        <v>0</v>
      </c>
      <c r="CU298" s="53">
        <f t="shared" si="74"/>
        <v>0</v>
      </c>
      <c r="CV298" s="53">
        <f t="shared" si="74"/>
        <v>0</v>
      </c>
      <c r="CW298" s="53">
        <f t="shared" si="74"/>
        <v>0</v>
      </c>
      <c r="CX298" s="53">
        <f t="shared" si="74"/>
        <v>0</v>
      </c>
      <c r="DB298" s="2" vm="547">
        <f ca="1">IF(Returns!A302&lt;&gt;0,Returns!A302,"")</f>
        <v>42282</v>
      </c>
      <c r="DC298" s="11">
        <f ca="1">IF(Returns!B313&gt;0,Returns!B313/Returns!B312-1,"")</f>
        <v>-2.0327039479628439E-3</v>
      </c>
      <c r="DD298" s="11">
        <f ca="1">IF(Returns!D305&gt;0,Returns!D305/Returns!D304-1,"")</f>
        <v>9.540707111455049E-4</v>
      </c>
    </row>
    <row r="299" spans="2:108" x14ac:dyDescent="0.3">
      <c r="B299" s="57">
        <f t="shared" ca="1" si="6"/>
        <v>5.7607250059479526E-3</v>
      </c>
      <c r="C299" s="53">
        <f t="shared" ref="C299:BN299" si="75">IFERROR(IF(C$262=0,0,(C40-C41)/C41),0)</f>
        <v>0</v>
      </c>
      <c r="D299" s="53">
        <f t="shared" si="75"/>
        <v>0</v>
      </c>
      <c r="E299" s="53">
        <f t="shared" si="75"/>
        <v>0</v>
      </c>
      <c r="F299" s="53">
        <f t="shared" si="75"/>
        <v>0</v>
      </c>
      <c r="G299" s="53">
        <f t="shared" si="75"/>
        <v>0</v>
      </c>
      <c r="H299" s="53">
        <f t="shared" si="75"/>
        <v>0</v>
      </c>
      <c r="I299" s="53">
        <f t="shared" si="75"/>
        <v>0</v>
      </c>
      <c r="J299" s="53">
        <f t="shared" si="75"/>
        <v>0</v>
      </c>
      <c r="K299" s="53">
        <f t="shared" si="75"/>
        <v>0</v>
      </c>
      <c r="L299" s="53">
        <f t="shared" si="75"/>
        <v>0</v>
      </c>
      <c r="M299" s="53">
        <f t="shared" si="75"/>
        <v>0</v>
      </c>
      <c r="N299" s="53">
        <f t="shared" si="75"/>
        <v>0</v>
      </c>
      <c r="O299" s="53">
        <f t="shared" si="75"/>
        <v>0</v>
      </c>
      <c r="P299" s="53">
        <f t="shared" si="75"/>
        <v>0</v>
      </c>
      <c r="Q299" s="53">
        <f t="shared" si="75"/>
        <v>0</v>
      </c>
      <c r="R299" s="53">
        <f t="shared" si="75"/>
        <v>0</v>
      </c>
      <c r="S299" s="53">
        <f t="shared" si="75"/>
        <v>0</v>
      </c>
      <c r="T299" s="53">
        <f t="shared" si="75"/>
        <v>0</v>
      </c>
      <c r="U299" s="53">
        <f t="shared" si="75"/>
        <v>0</v>
      </c>
      <c r="V299" s="53">
        <f t="shared" si="75"/>
        <v>0</v>
      </c>
      <c r="W299" s="53">
        <f t="shared" si="75"/>
        <v>0</v>
      </c>
      <c r="X299" s="53">
        <f t="shared" si="75"/>
        <v>0</v>
      </c>
      <c r="Y299" s="53">
        <f t="shared" si="75"/>
        <v>0</v>
      </c>
      <c r="Z299" s="53">
        <f t="shared" si="75"/>
        <v>0</v>
      </c>
      <c r="AA299" s="53">
        <f t="shared" si="75"/>
        <v>0</v>
      </c>
      <c r="AB299" s="53">
        <f t="shared" si="75"/>
        <v>0</v>
      </c>
      <c r="AC299" s="53">
        <f t="shared" si="75"/>
        <v>0</v>
      </c>
      <c r="AD299" s="53">
        <f t="shared" si="75"/>
        <v>0</v>
      </c>
      <c r="AE299" s="53">
        <f t="shared" si="75"/>
        <v>0</v>
      </c>
      <c r="AF299" s="53">
        <f t="shared" si="75"/>
        <v>0</v>
      </c>
      <c r="AG299" s="53">
        <f t="shared" si="75"/>
        <v>0</v>
      </c>
      <c r="AH299" s="53">
        <f t="shared" si="75"/>
        <v>0</v>
      </c>
      <c r="AI299" s="53">
        <f t="shared" si="75"/>
        <v>0</v>
      </c>
      <c r="AJ299" s="53">
        <f t="shared" si="75"/>
        <v>0</v>
      </c>
      <c r="AK299" s="53">
        <f t="shared" si="75"/>
        <v>0</v>
      </c>
      <c r="AL299" s="53">
        <f t="shared" si="75"/>
        <v>0</v>
      </c>
      <c r="AM299" s="53">
        <f t="shared" si="75"/>
        <v>0</v>
      </c>
      <c r="AN299" s="53">
        <f t="shared" si="75"/>
        <v>0</v>
      </c>
      <c r="AO299" s="53">
        <f t="shared" si="75"/>
        <v>0</v>
      </c>
      <c r="AP299" s="53">
        <f t="shared" si="75"/>
        <v>0</v>
      </c>
      <c r="AQ299" s="53">
        <f t="shared" si="75"/>
        <v>0</v>
      </c>
      <c r="AR299" s="53">
        <f t="shared" si="75"/>
        <v>0</v>
      </c>
      <c r="AS299" s="53">
        <f t="shared" si="75"/>
        <v>0</v>
      </c>
      <c r="AT299" s="53">
        <f t="shared" si="75"/>
        <v>0</v>
      </c>
      <c r="AU299" s="53">
        <f t="shared" si="75"/>
        <v>0</v>
      </c>
      <c r="AV299" s="53">
        <f t="shared" si="75"/>
        <v>0</v>
      </c>
      <c r="AW299" s="53">
        <f t="shared" si="75"/>
        <v>0</v>
      </c>
      <c r="AX299" s="53">
        <f t="shared" si="75"/>
        <v>0</v>
      </c>
      <c r="AY299" s="53">
        <f t="shared" si="75"/>
        <v>0</v>
      </c>
      <c r="AZ299" s="53">
        <f t="shared" si="75"/>
        <v>0</v>
      </c>
      <c r="BA299" s="53">
        <f t="shared" si="75"/>
        <v>0</v>
      </c>
      <c r="BB299" s="53">
        <f t="shared" si="75"/>
        <v>0</v>
      </c>
      <c r="BC299" s="53">
        <f t="shared" si="75"/>
        <v>0</v>
      </c>
      <c r="BD299" s="53">
        <f t="shared" si="75"/>
        <v>0</v>
      </c>
      <c r="BE299" s="53">
        <f t="shared" si="75"/>
        <v>0</v>
      </c>
      <c r="BF299" s="53">
        <f t="shared" si="75"/>
        <v>0</v>
      </c>
      <c r="BG299" s="53">
        <f t="shared" si="75"/>
        <v>0</v>
      </c>
      <c r="BH299" s="53">
        <f t="shared" si="75"/>
        <v>0</v>
      </c>
      <c r="BI299" s="53">
        <f t="shared" si="75"/>
        <v>0</v>
      </c>
      <c r="BJ299" s="53">
        <f t="shared" si="75"/>
        <v>0</v>
      </c>
      <c r="BK299" s="53">
        <f t="shared" si="75"/>
        <v>0</v>
      </c>
      <c r="BL299" s="53">
        <f t="shared" si="75"/>
        <v>0</v>
      </c>
      <c r="BM299" s="53">
        <f t="shared" si="75"/>
        <v>0</v>
      </c>
      <c r="BN299" s="53">
        <f t="shared" si="75"/>
        <v>0</v>
      </c>
      <c r="BO299" s="53">
        <f t="shared" ref="BO299:CX299" si="76">IFERROR(IF(BO$262=0,0,(BO40-BO41)/BO41),0)</f>
        <v>0</v>
      </c>
      <c r="BP299" s="53">
        <f t="shared" si="76"/>
        <v>0</v>
      </c>
      <c r="BQ299" s="53">
        <f t="shared" si="76"/>
        <v>0</v>
      </c>
      <c r="BR299" s="53">
        <f t="shared" si="76"/>
        <v>0</v>
      </c>
      <c r="BS299" s="53">
        <f t="shared" si="76"/>
        <v>0</v>
      </c>
      <c r="BT299" s="53">
        <f t="shared" si="76"/>
        <v>0</v>
      </c>
      <c r="BU299" s="53">
        <f t="shared" si="76"/>
        <v>0</v>
      </c>
      <c r="BV299" s="53">
        <f t="shared" si="76"/>
        <v>0</v>
      </c>
      <c r="BW299" s="53">
        <f t="shared" si="76"/>
        <v>0</v>
      </c>
      <c r="BX299" s="53">
        <f t="shared" si="76"/>
        <v>0</v>
      </c>
      <c r="BY299" s="53">
        <f t="shared" si="76"/>
        <v>0</v>
      </c>
      <c r="BZ299" s="53">
        <f t="shared" si="76"/>
        <v>0</v>
      </c>
      <c r="CA299" s="53">
        <f t="shared" si="76"/>
        <v>0</v>
      </c>
      <c r="CB299" s="53">
        <f t="shared" si="76"/>
        <v>0</v>
      </c>
      <c r="CC299" s="53">
        <f t="shared" si="76"/>
        <v>0</v>
      </c>
      <c r="CD299" s="53">
        <f t="shared" si="76"/>
        <v>0</v>
      </c>
      <c r="CE299" s="53">
        <f t="shared" si="76"/>
        <v>0</v>
      </c>
      <c r="CF299" s="53">
        <f t="shared" si="76"/>
        <v>0</v>
      </c>
      <c r="CG299" s="53">
        <f t="shared" si="76"/>
        <v>0</v>
      </c>
      <c r="CH299" s="53">
        <f t="shared" si="76"/>
        <v>0</v>
      </c>
      <c r="CI299" s="53">
        <f t="shared" si="76"/>
        <v>0</v>
      </c>
      <c r="CJ299" s="53">
        <f t="shared" si="76"/>
        <v>0</v>
      </c>
      <c r="CK299" s="53">
        <f t="shared" si="76"/>
        <v>0</v>
      </c>
      <c r="CL299" s="53">
        <f t="shared" si="76"/>
        <v>0</v>
      </c>
      <c r="CM299" s="53">
        <f t="shared" si="76"/>
        <v>0</v>
      </c>
      <c r="CN299" s="53">
        <f t="shared" si="76"/>
        <v>0</v>
      </c>
      <c r="CO299" s="53">
        <f t="shared" si="76"/>
        <v>0</v>
      </c>
      <c r="CP299" s="53">
        <f t="shared" si="76"/>
        <v>0</v>
      </c>
      <c r="CQ299" s="53">
        <f t="shared" si="76"/>
        <v>0</v>
      </c>
      <c r="CR299" s="53">
        <f t="shared" si="76"/>
        <v>0</v>
      </c>
      <c r="CS299" s="53">
        <f t="shared" si="76"/>
        <v>0</v>
      </c>
      <c r="CT299" s="53">
        <f t="shared" si="76"/>
        <v>0</v>
      </c>
      <c r="CU299" s="53">
        <f t="shared" si="76"/>
        <v>0</v>
      </c>
      <c r="CV299" s="53">
        <f t="shared" si="76"/>
        <v>0</v>
      </c>
      <c r="CW299" s="53">
        <f t="shared" si="76"/>
        <v>0</v>
      </c>
      <c r="CX299" s="53">
        <f t="shared" si="76"/>
        <v>0</v>
      </c>
      <c r="DB299" s="2" vm="548">
        <f ca="1">IF(Returns!A303&lt;&gt;0,Returns!A303,"")</f>
        <v>42289</v>
      </c>
      <c r="DC299" s="11">
        <f ca="1">IF(Returns!B314&gt;0,Returns!B314/Returns!B313-1,"")</f>
        <v>1.9764933085894443E-2</v>
      </c>
      <c r="DD299" s="11">
        <f ca="1">IF(Returns!D306&gt;0,Returns!D306/Returns!D305-1,"")</f>
        <v>1.3972156629154187E-2</v>
      </c>
    </row>
    <row r="300" spans="2:108" x14ac:dyDescent="0.3">
      <c r="B300" s="57">
        <f t="shared" ca="1" si="6"/>
        <v>4.8053579097993062E-4</v>
      </c>
      <c r="C300" s="53">
        <f t="shared" ref="C300:BN300" si="77">IFERROR(IF(C$262=0,0,(C41-C42)/C42),0)</f>
        <v>0</v>
      </c>
      <c r="D300" s="53">
        <f t="shared" si="77"/>
        <v>0</v>
      </c>
      <c r="E300" s="53">
        <f t="shared" si="77"/>
        <v>0</v>
      </c>
      <c r="F300" s="53">
        <f t="shared" si="77"/>
        <v>0</v>
      </c>
      <c r="G300" s="53">
        <f t="shared" si="77"/>
        <v>0</v>
      </c>
      <c r="H300" s="53">
        <f t="shared" si="77"/>
        <v>0</v>
      </c>
      <c r="I300" s="53">
        <f t="shared" si="77"/>
        <v>0</v>
      </c>
      <c r="J300" s="53">
        <f t="shared" si="77"/>
        <v>0</v>
      </c>
      <c r="K300" s="53">
        <f t="shared" si="77"/>
        <v>0</v>
      </c>
      <c r="L300" s="53">
        <f t="shared" si="77"/>
        <v>0</v>
      </c>
      <c r="M300" s="53">
        <f t="shared" si="77"/>
        <v>0</v>
      </c>
      <c r="N300" s="53">
        <f t="shared" si="77"/>
        <v>0</v>
      </c>
      <c r="O300" s="53">
        <f t="shared" si="77"/>
        <v>0</v>
      </c>
      <c r="P300" s="53">
        <f t="shared" si="77"/>
        <v>0</v>
      </c>
      <c r="Q300" s="53">
        <f t="shared" si="77"/>
        <v>0</v>
      </c>
      <c r="R300" s="53">
        <f t="shared" si="77"/>
        <v>0</v>
      </c>
      <c r="S300" s="53">
        <f t="shared" si="77"/>
        <v>0</v>
      </c>
      <c r="T300" s="53">
        <f t="shared" si="77"/>
        <v>0</v>
      </c>
      <c r="U300" s="53">
        <f t="shared" si="77"/>
        <v>0</v>
      </c>
      <c r="V300" s="53">
        <f t="shared" si="77"/>
        <v>0</v>
      </c>
      <c r="W300" s="53">
        <f t="shared" si="77"/>
        <v>0</v>
      </c>
      <c r="X300" s="53">
        <f t="shared" si="77"/>
        <v>0</v>
      </c>
      <c r="Y300" s="53">
        <f t="shared" si="77"/>
        <v>0</v>
      </c>
      <c r="Z300" s="53">
        <f t="shared" si="77"/>
        <v>0</v>
      </c>
      <c r="AA300" s="53">
        <f t="shared" si="77"/>
        <v>0</v>
      </c>
      <c r="AB300" s="53">
        <f t="shared" si="77"/>
        <v>0</v>
      </c>
      <c r="AC300" s="53">
        <f t="shared" si="77"/>
        <v>0</v>
      </c>
      <c r="AD300" s="53">
        <f t="shared" si="77"/>
        <v>0</v>
      </c>
      <c r="AE300" s="53">
        <f t="shared" si="77"/>
        <v>0</v>
      </c>
      <c r="AF300" s="53">
        <f t="shared" si="77"/>
        <v>0</v>
      </c>
      <c r="AG300" s="53">
        <f t="shared" si="77"/>
        <v>0</v>
      </c>
      <c r="AH300" s="53">
        <f t="shared" si="77"/>
        <v>0</v>
      </c>
      <c r="AI300" s="53">
        <f t="shared" si="77"/>
        <v>0</v>
      </c>
      <c r="AJ300" s="53">
        <f t="shared" si="77"/>
        <v>0</v>
      </c>
      <c r="AK300" s="53">
        <f t="shared" si="77"/>
        <v>0</v>
      </c>
      <c r="AL300" s="53">
        <f t="shared" si="77"/>
        <v>0</v>
      </c>
      <c r="AM300" s="53">
        <f t="shared" si="77"/>
        <v>0</v>
      </c>
      <c r="AN300" s="53">
        <f t="shared" si="77"/>
        <v>0</v>
      </c>
      <c r="AO300" s="53">
        <f t="shared" si="77"/>
        <v>0</v>
      </c>
      <c r="AP300" s="53">
        <f t="shared" si="77"/>
        <v>0</v>
      </c>
      <c r="AQ300" s="53">
        <f t="shared" si="77"/>
        <v>0</v>
      </c>
      <c r="AR300" s="53">
        <f t="shared" si="77"/>
        <v>0</v>
      </c>
      <c r="AS300" s="53">
        <f t="shared" si="77"/>
        <v>0</v>
      </c>
      <c r="AT300" s="53">
        <f t="shared" si="77"/>
        <v>0</v>
      </c>
      <c r="AU300" s="53">
        <f t="shared" si="77"/>
        <v>0</v>
      </c>
      <c r="AV300" s="53">
        <f t="shared" si="77"/>
        <v>0</v>
      </c>
      <c r="AW300" s="53">
        <f t="shared" si="77"/>
        <v>0</v>
      </c>
      <c r="AX300" s="53">
        <f t="shared" si="77"/>
        <v>0</v>
      </c>
      <c r="AY300" s="53">
        <f t="shared" si="77"/>
        <v>0</v>
      </c>
      <c r="AZ300" s="53">
        <f t="shared" si="77"/>
        <v>0</v>
      </c>
      <c r="BA300" s="53">
        <f t="shared" si="77"/>
        <v>0</v>
      </c>
      <c r="BB300" s="53">
        <f t="shared" si="77"/>
        <v>0</v>
      </c>
      <c r="BC300" s="53">
        <f t="shared" si="77"/>
        <v>0</v>
      </c>
      <c r="BD300" s="53">
        <f t="shared" si="77"/>
        <v>0</v>
      </c>
      <c r="BE300" s="53">
        <f t="shared" si="77"/>
        <v>0</v>
      </c>
      <c r="BF300" s="53">
        <f t="shared" si="77"/>
        <v>0</v>
      </c>
      <c r="BG300" s="53">
        <f t="shared" si="77"/>
        <v>0</v>
      </c>
      <c r="BH300" s="53">
        <f t="shared" si="77"/>
        <v>0</v>
      </c>
      <c r="BI300" s="53">
        <f t="shared" si="77"/>
        <v>0</v>
      </c>
      <c r="BJ300" s="53">
        <f t="shared" si="77"/>
        <v>0</v>
      </c>
      <c r="BK300" s="53">
        <f t="shared" si="77"/>
        <v>0</v>
      </c>
      <c r="BL300" s="53">
        <f t="shared" si="77"/>
        <v>0</v>
      </c>
      <c r="BM300" s="53">
        <f t="shared" si="77"/>
        <v>0</v>
      </c>
      <c r="BN300" s="53">
        <f t="shared" si="77"/>
        <v>0</v>
      </c>
      <c r="BO300" s="53">
        <f t="shared" ref="BO300:CX300" si="78">IFERROR(IF(BO$262=0,0,(BO41-BO42)/BO42),0)</f>
        <v>0</v>
      </c>
      <c r="BP300" s="53">
        <f t="shared" si="78"/>
        <v>0</v>
      </c>
      <c r="BQ300" s="53">
        <f t="shared" si="78"/>
        <v>0</v>
      </c>
      <c r="BR300" s="53">
        <f t="shared" si="78"/>
        <v>0</v>
      </c>
      <c r="BS300" s="53">
        <f t="shared" si="78"/>
        <v>0</v>
      </c>
      <c r="BT300" s="53">
        <f t="shared" si="78"/>
        <v>0</v>
      </c>
      <c r="BU300" s="53">
        <f t="shared" si="78"/>
        <v>0</v>
      </c>
      <c r="BV300" s="53">
        <f t="shared" si="78"/>
        <v>0</v>
      </c>
      <c r="BW300" s="53">
        <f t="shared" si="78"/>
        <v>0</v>
      </c>
      <c r="BX300" s="53">
        <f t="shared" si="78"/>
        <v>0</v>
      </c>
      <c r="BY300" s="53">
        <f t="shared" si="78"/>
        <v>0</v>
      </c>
      <c r="BZ300" s="53">
        <f t="shared" si="78"/>
        <v>0</v>
      </c>
      <c r="CA300" s="53">
        <f t="shared" si="78"/>
        <v>0</v>
      </c>
      <c r="CB300" s="53">
        <f t="shared" si="78"/>
        <v>0</v>
      </c>
      <c r="CC300" s="53">
        <f t="shared" si="78"/>
        <v>0</v>
      </c>
      <c r="CD300" s="53">
        <f t="shared" si="78"/>
        <v>0</v>
      </c>
      <c r="CE300" s="53">
        <f t="shared" si="78"/>
        <v>0</v>
      </c>
      <c r="CF300" s="53">
        <f t="shared" si="78"/>
        <v>0</v>
      </c>
      <c r="CG300" s="53">
        <f t="shared" si="78"/>
        <v>0</v>
      </c>
      <c r="CH300" s="53">
        <f t="shared" si="78"/>
        <v>0</v>
      </c>
      <c r="CI300" s="53">
        <f t="shared" si="78"/>
        <v>0</v>
      </c>
      <c r="CJ300" s="53">
        <f t="shared" si="78"/>
        <v>0</v>
      </c>
      <c r="CK300" s="53">
        <f t="shared" si="78"/>
        <v>0</v>
      </c>
      <c r="CL300" s="53">
        <f t="shared" si="78"/>
        <v>0</v>
      </c>
      <c r="CM300" s="53">
        <f t="shared" si="78"/>
        <v>0</v>
      </c>
      <c r="CN300" s="53">
        <f t="shared" si="78"/>
        <v>0</v>
      </c>
      <c r="CO300" s="53">
        <f t="shared" si="78"/>
        <v>0</v>
      </c>
      <c r="CP300" s="53">
        <f t="shared" si="78"/>
        <v>0</v>
      </c>
      <c r="CQ300" s="53">
        <f t="shared" si="78"/>
        <v>0</v>
      </c>
      <c r="CR300" s="53">
        <f t="shared" si="78"/>
        <v>0</v>
      </c>
      <c r="CS300" s="53">
        <f t="shared" si="78"/>
        <v>0</v>
      </c>
      <c r="CT300" s="53">
        <f t="shared" si="78"/>
        <v>0</v>
      </c>
      <c r="CU300" s="53">
        <f t="shared" si="78"/>
        <v>0</v>
      </c>
      <c r="CV300" s="53">
        <f t="shared" si="78"/>
        <v>0</v>
      </c>
      <c r="CW300" s="53">
        <f t="shared" si="78"/>
        <v>0</v>
      </c>
      <c r="CX300" s="53">
        <f t="shared" si="78"/>
        <v>0</v>
      </c>
      <c r="DB300" s="2" vm="549">
        <f ca="1">IF(Returns!A304&lt;&gt;0,Returns!A304,"")</f>
        <v>42296</v>
      </c>
      <c r="DC300" s="11">
        <f ca="1">IF(Returns!B315&gt;0,Returns!B315/Returns!B314-1,"")</f>
        <v>-0.10185089289677318</v>
      </c>
      <c r="DD300" s="11">
        <f ca="1">IF(Returns!D307&gt;0,Returns!D307/Returns!D306-1,"")</f>
        <v>-3.7134856829556639E-2</v>
      </c>
    </row>
    <row r="301" spans="2:108" x14ac:dyDescent="0.3">
      <c r="B301" s="57">
        <f t="shared" ca="1" si="6"/>
        <v>3.2373894945540694E-4</v>
      </c>
      <c r="C301" s="53">
        <f t="shared" ref="C301:BN301" si="79">IFERROR(IF(C$262=0,0,(C42-C43)/C43),0)</f>
        <v>0</v>
      </c>
      <c r="D301" s="53">
        <f t="shared" si="79"/>
        <v>0</v>
      </c>
      <c r="E301" s="53">
        <f t="shared" si="79"/>
        <v>0</v>
      </c>
      <c r="F301" s="53">
        <f t="shared" si="79"/>
        <v>0</v>
      </c>
      <c r="G301" s="53">
        <f t="shared" si="79"/>
        <v>0</v>
      </c>
      <c r="H301" s="53">
        <f t="shared" si="79"/>
        <v>0</v>
      </c>
      <c r="I301" s="53">
        <f t="shared" si="79"/>
        <v>0</v>
      </c>
      <c r="J301" s="53">
        <f t="shared" si="79"/>
        <v>0</v>
      </c>
      <c r="K301" s="53">
        <f t="shared" si="79"/>
        <v>0</v>
      </c>
      <c r="L301" s="53">
        <f t="shared" si="79"/>
        <v>0</v>
      </c>
      <c r="M301" s="53">
        <f t="shared" si="79"/>
        <v>0</v>
      </c>
      <c r="N301" s="53">
        <f t="shared" si="79"/>
        <v>0</v>
      </c>
      <c r="O301" s="53">
        <f t="shared" si="79"/>
        <v>0</v>
      </c>
      <c r="P301" s="53">
        <f t="shared" si="79"/>
        <v>0</v>
      </c>
      <c r="Q301" s="53">
        <f t="shared" si="79"/>
        <v>0</v>
      </c>
      <c r="R301" s="53">
        <f t="shared" si="79"/>
        <v>0</v>
      </c>
      <c r="S301" s="53">
        <f t="shared" si="79"/>
        <v>0</v>
      </c>
      <c r="T301" s="53">
        <f t="shared" si="79"/>
        <v>0</v>
      </c>
      <c r="U301" s="53">
        <f t="shared" si="79"/>
        <v>0</v>
      </c>
      <c r="V301" s="53">
        <f t="shared" si="79"/>
        <v>0</v>
      </c>
      <c r="W301" s="53">
        <f t="shared" si="79"/>
        <v>0</v>
      </c>
      <c r="X301" s="53">
        <f t="shared" si="79"/>
        <v>0</v>
      </c>
      <c r="Y301" s="53">
        <f t="shared" si="79"/>
        <v>0</v>
      </c>
      <c r="Z301" s="53">
        <f t="shared" si="79"/>
        <v>0</v>
      </c>
      <c r="AA301" s="53">
        <f t="shared" si="79"/>
        <v>0</v>
      </c>
      <c r="AB301" s="53">
        <f t="shared" si="79"/>
        <v>0</v>
      </c>
      <c r="AC301" s="53">
        <f t="shared" si="79"/>
        <v>0</v>
      </c>
      <c r="AD301" s="53">
        <f t="shared" si="79"/>
        <v>0</v>
      </c>
      <c r="AE301" s="53">
        <f t="shared" si="79"/>
        <v>0</v>
      </c>
      <c r="AF301" s="53">
        <f t="shared" si="79"/>
        <v>0</v>
      </c>
      <c r="AG301" s="53">
        <f t="shared" si="79"/>
        <v>0</v>
      </c>
      <c r="AH301" s="53">
        <f t="shared" si="79"/>
        <v>0</v>
      </c>
      <c r="AI301" s="53">
        <f t="shared" si="79"/>
        <v>0</v>
      </c>
      <c r="AJ301" s="53">
        <f t="shared" si="79"/>
        <v>0</v>
      </c>
      <c r="AK301" s="53">
        <f t="shared" si="79"/>
        <v>0</v>
      </c>
      <c r="AL301" s="53">
        <f t="shared" si="79"/>
        <v>0</v>
      </c>
      <c r="AM301" s="53">
        <f t="shared" si="79"/>
        <v>0</v>
      </c>
      <c r="AN301" s="53">
        <f t="shared" si="79"/>
        <v>0</v>
      </c>
      <c r="AO301" s="53">
        <f t="shared" si="79"/>
        <v>0</v>
      </c>
      <c r="AP301" s="53">
        <f t="shared" si="79"/>
        <v>0</v>
      </c>
      <c r="AQ301" s="53">
        <f t="shared" si="79"/>
        <v>0</v>
      </c>
      <c r="AR301" s="53">
        <f t="shared" si="79"/>
        <v>0</v>
      </c>
      <c r="AS301" s="53">
        <f t="shared" si="79"/>
        <v>0</v>
      </c>
      <c r="AT301" s="53">
        <f t="shared" si="79"/>
        <v>0</v>
      </c>
      <c r="AU301" s="53">
        <f t="shared" si="79"/>
        <v>0</v>
      </c>
      <c r="AV301" s="53">
        <f t="shared" si="79"/>
        <v>0</v>
      </c>
      <c r="AW301" s="53">
        <f t="shared" si="79"/>
        <v>0</v>
      </c>
      <c r="AX301" s="53">
        <f t="shared" si="79"/>
        <v>0</v>
      </c>
      <c r="AY301" s="53">
        <f t="shared" si="79"/>
        <v>0</v>
      </c>
      <c r="AZ301" s="53">
        <f t="shared" si="79"/>
        <v>0</v>
      </c>
      <c r="BA301" s="53">
        <f t="shared" si="79"/>
        <v>0</v>
      </c>
      <c r="BB301" s="53">
        <f t="shared" si="79"/>
        <v>0</v>
      </c>
      <c r="BC301" s="53">
        <f t="shared" si="79"/>
        <v>0</v>
      </c>
      <c r="BD301" s="53">
        <f t="shared" si="79"/>
        <v>0</v>
      </c>
      <c r="BE301" s="53">
        <f t="shared" si="79"/>
        <v>0</v>
      </c>
      <c r="BF301" s="53">
        <f t="shared" si="79"/>
        <v>0</v>
      </c>
      <c r="BG301" s="53">
        <f t="shared" si="79"/>
        <v>0</v>
      </c>
      <c r="BH301" s="53">
        <f t="shared" si="79"/>
        <v>0</v>
      </c>
      <c r="BI301" s="53">
        <f t="shared" si="79"/>
        <v>0</v>
      </c>
      <c r="BJ301" s="53">
        <f t="shared" si="79"/>
        <v>0</v>
      </c>
      <c r="BK301" s="53">
        <f t="shared" si="79"/>
        <v>0</v>
      </c>
      <c r="BL301" s="53">
        <f t="shared" si="79"/>
        <v>0</v>
      </c>
      <c r="BM301" s="53">
        <f t="shared" si="79"/>
        <v>0</v>
      </c>
      <c r="BN301" s="53">
        <f t="shared" si="79"/>
        <v>0</v>
      </c>
      <c r="BO301" s="53">
        <f t="shared" ref="BO301:CX301" si="80">IFERROR(IF(BO$262=0,0,(BO42-BO43)/BO43),0)</f>
        <v>0</v>
      </c>
      <c r="BP301" s="53">
        <f t="shared" si="80"/>
        <v>0</v>
      </c>
      <c r="BQ301" s="53">
        <f t="shared" si="80"/>
        <v>0</v>
      </c>
      <c r="BR301" s="53">
        <f t="shared" si="80"/>
        <v>0</v>
      </c>
      <c r="BS301" s="53">
        <f t="shared" si="80"/>
        <v>0</v>
      </c>
      <c r="BT301" s="53">
        <f t="shared" si="80"/>
        <v>0</v>
      </c>
      <c r="BU301" s="53">
        <f t="shared" si="80"/>
        <v>0</v>
      </c>
      <c r="BV301" s="53">
        <f t="shared" si="80"/>
        <v>0</v>
      </c>
      <c r="BW301" s="53">
        <f t="shared" si="80"/>
        <v>0</v>
      </c>
      <c r="BX301" s="53">
        <f t="shared" si="80"/>
        <v>0</v>
      </c>
      <c r="BY301" s="53">
        <f t="shared" si="80"/>
        <v>0</v>
      </c>
      <c r="BZ301" s="53">
        <f t="shared" si="80"/>
        <v>0</v>
      </c>
      <c r="CA301" s="53">
        <f t="shared" si="80"/>
        <v>0</v>
      </c>
      <c r="CB301" s="53">
        <f t="shared" si="80"/>
        <v>0</v>
      </c>
      <c r="CC301" s="53">
        <f t="shared" si="80"/>
        <v>0</v>
      </c>
      <c r="CD301" s="53">
        <f t="shared" si="80"/>
        <v>0</v>
      </c>
      <c r="CE301" s="53">
        <f t="shared" si="80"/>
        <v>0</v>
      </c>
      <c r="CF301" s="53">
        <f t="shared" si="80"/>
        <v>0</v>
      </c>
      <c r="CG301" s="53">
        <f t="shared" si="80"/>
        <v>0</v>
      </c>
      <c r="CH301" s="53">
        <f t="shared" si="80"/>
        <v>0</v>
      </c>
      <c r="CI301" s="53">
        <f t="shared" si="80"/>
        <v>0</v>
      </c>
      <c r="CJ301" s="53">
        <f t="shared" si="80"/>
        <v>0</v>
      </c>
      <c r="CK301" s="53">
        <f t="shared" si="80"/>
        <v>0</v>
      </c>
      <c r="CL301" s="53">
        <f t="shared" si="80"/>
        <v>0</v>
      </c>
      <c r="CM301" s="53">
        <f t="shared" si="80"/>
        <v>0</v>
      </c>
      <c r="CN301" s="53">
        <f t="shared" si="80"/>
        <v>0</v>
      </c>
      <c r="CO301" s="53">
        <f t="shared" si="80"/>
        <v>0</v>
      </c>
      <c r="CP301" s="53">
        <f t="shared" si="80"/>
        <v>0</v>
      </c>
      <c r="CQ301" s="53">
        <f t="shared" si="80"/>
        <v>0</v>
      </c>
      <c r="CR301" s="53">
        <f t="shared" si="80"/>
        <v>0</v>
      </c>
      <c r="CS301" s="53">
        <f t="shared" si="80"/>
        <v>0</v>
      </c>
      <c r="CT301" s="53">
        <f t="shared" si="80"/>
        <v>0</v>
      </c>
      <c r="CU301" s="53">
        <f t="shared" si="80"/>
        <v>0</v>
      </c>
      <c r="CV301" s="53">
        <f t="shared" si="80"/>
        <v>0</v>
      </c>
      <c r="CW301" s="53">
        <f t="shared" si="80"/>
        <v>0</v>
      </c>
      <c r="CX301" s="53">
        <f t="shared" si="80"/>
        <v>0</v>
      </c>
      <c r="DB301" s="2" vm="550">
        <f ca="1">IF(Returns!A305&lt;&gt;0,Returns!A305,"")</f>
        <v>42303</v>
      </c>
      <c r="DC301" s="11">
        <f ca="1">IF(Returns!B316&gt;0,Returns!B316/Returns!B315-1,"")</f>
        <v>-6.0736347912033528E-2</v>
      </c>
      <c r="DD301" s="11">
        <f ca="1">IF(Returns!D308&gt;0,Returns!D308/Returns!D307-1,"")</f>
        <v>3.3550029693416805E-2</v>
      </c>
    </row>
    <row r="302" spans="2:108" x14ac:dyDescent="0.3">
      <c r="B302" s="57">
        <f t="shared" ca="1" si="6"/>
        <v>8.0558234247916948E-4</v>
      </c>
      <c r="C302" s="53">
        <f t="shared" ref="C302:BN302" si="81">IFERROR(IF(C$262=0,0,(C43-C44)/C44),0)</f>
        <v>0</v>
      </c>
      <c r="D302" s="53">
        <f t="shared" si="81"/>
        <v>0</v>
      </c>
      <c r="E302" s="53">
        <f t="shared" si="81"/>
        <v>0</v>
      </c>
      <c r="F302" s="53">
        <f t="shared" si="81"/>
        <v>0</v>
      </c>
      <c r="G302" s="53">
        <f t="shared" si="81"/>
        <v>0</v>
      </c>
      <c r="H302" s="53">
        <f t="shared" si="81"/>
        <v>0</v>
      </c>
      <c r="I302" s="53">
        <f t="shared" si="81"/>
        <v>0</v>
      </c>
      <c r="J302" s="53">
        <f t="shared" si="81"/>
        <v>0</v>
      </c>
      <c r="K302" s="53">
        <f t="shared" si="81"/>
        <v>0</v>
      </c>
      <c r="L302" s="53">
        <f t="shared" si="81"/>
        <v>0</v>
      </c>
      <c r="M302" s="53">
        <f t="shared" si="81"/>
        <v>0</v>
      </c>
      <c r="N302" s="53">
        <f t="shared" si="81"/>
        <v>0</v>
      </c>
      <c r="O302" s="53">
        <f t="shared" si="81"/>
        <v>0</v>
      </c>
      <c r="P302" s="53">
        <f t="shared" si="81"/>
        <v>0</v>
      </c>
      <c r="Q302" s="53">
        <f t="shared" si="81"/>
        <v>0</v>
      </c>
      <c r="R302" s="53">
        <f t="shared" si="81"/>
        <v>0</v>
      </c>
      <c r="S302" s="53">
        <f t="shared" si="81"/>
        <v>0</v>
      </c>
      <c r="T302" s="53">
        <f t="shared" si="81"/>
        <v>0</v>
      </c>
      <c r="U302" s="53">
        <f t="shared" si="81"/>
        <v>0</v>
      </c>
      <c r="V302" s="53">
        <f t="shared" si="81"/>
        <v>0</v>
      </c>
      <c r="W302" s="53">
        <f t="shared" si="81"/>
        <v>0</v>
      </c>
      <c r="X302" s="53">
        <f t="shared" si="81"/>
        <v>0</v>
      </c>
      <c r="Y302" s="53">
        <f t="shared" si="81"/>
        <v>0</v>
      </c>
      <c r="Z302" s="53">
        <f t="shared" si="81"/>
        <v>0</v>
      </c>
      <c r="AA302" s="53">
        <f t="shared" si="81"/>
        <v>0</v>
      </c>
      <c r="AB302" s="53">
        <f t="shared" si="81"/>
        <v>0</v>
      </c>
      <c r="AC302" s="53">
        <f t="shared" si="81"/>
        <v>0</v>
      </c>
      <c r="AD302" s="53">
        <f t="shared" si="81"/>
        <v>0</v>
      </c>
      <c r="AE302" s="53">
        <f t="shared" si="81"/>
        <v>0</v>
      </c>
      <c r="AF302" s="53">
        <f t="shared" si="81"/>
        <v>0</v>
      </c>
      <c r="AG302" s="53">
        <f t="shared" si="81"/>
        <v>0</v>
      </c>
      <c r="AH302" s="53">
        <f t="shared" si="81"/>
        <v>0</v>
      </c>
      <c r="AI302" s="53">
        <f t="shared" si="81"/>
        <v>0</v>
      </c>
      <c r="AJ302" s="53">
        <f t="shared" si="81"/>
        <v>0</v>
      </c>
      <c r="AK302" s="53">
        <f t="shared" si="81"/>
        <v>0</v>
      </c>
      <c r="AL302" s="53">
        <f t="shared" si="81"/>
        <v>0</v>
      </c>
      <c r="AM302" s="53">
        <f t="shared" si="81"/>
        <v>0</v>
      </c>
      <c r="AN302" s="53">
        <f t="shared" si="81"/>
        <v>0</v>
      </c>
      <c r="AO302" s="53">
        <f t="shared" si="81"/>
        <v>0</v>
      </c>
      <c r="AP302" s="53">
        <f t="shared" si="81"/>
        <v>0</v>
      </c>
      <c r="AQ302" s="53">
        <f t="shared" si="81"/>
        <v>0</v>
      </c>
      <c r="AR302" s="53">
        <f t="shared" si="81"/>
        <v>0</v>
      </c>
      <c r="AS302" s="53">
        <f t="shared" si="81"/>
        <v>0</v>
      </c>
      <c r="AT302" s="53">
        <f t="shared" si="81"/>
        <v>0</v>
      </c>
      <c r="AU302" s="53">
        <f t="shared" si="81"/>
        <v>0</v>
      </c>
      <c r="AV302" s="53">
        <f t="shared" si="81"/>
        <v>0</v>
      </c>
      <c r="AW302" s="53">
        <f t="shared" si="81"/>
        <v>0</v>
      </c>
      <c r="AX302" s="53">
        <f t="shared" si="81"/>
        <v>0</v>
      </c>
      <c r="AY302" s="53">
        <f t="shared" si="81"/>
        <v>0</v>
      </c>
      <c r="AZ302" s="53">
        <f t="shared" si="81"/>
        <v>0</v>
      </c>
      <c r="BA302" s="53">
        <f t="shared" si="81"/>
        <v>0</v>
      </c>
      <c r="BB302" s="53">
        <f t="shared" si="81"/>
        <v>0</v>
      </c>
      <c r="BC302" s="53">
        <f t="shared" si="81"/>
        <v>0</v>
      </c>
      <c r="BD302" s="53">
        <f t="shared" si="81"/>
        <v>0</v>
      </c>
      <c r="BE302" s="53">
        <f t="shared" si="81"/>
        <v>0</v>
      </c>
      <c r="BF302" s="53">
        <f t="shared" si="81"/>
        <v>0</v>
      </c>
      <c r="BG302" s="53">
        <f t="shared" si="81"/>
        <v>0</v>
      </c>
      <c r="BH302" s="53">
        <f t="shared" si="81"/>
        <v>0</v>
      </c>
      <c r="BI302" s="53">
        <f t="shared" si="81"/>
        <v>0</v>
      </c>
      <c r="BJ302" s="53">
        <f t="shared" si="81"/>
        <v>0</v>
      </c>
      <c r="BK302" s="53">
        <f t="shared" si="81"/>
        <v>0</v>
      </c>
      <c r="BL302" s="53">
        <f t="shared" si="81"/>
        <v>0</v>
      </c>
      <c r="BM302" s="53">
        <f t="shared" si="81"/>
        <v>0</v>
      </c>
      <c r="BN302" s="53">
        <f t="shared" si="81"/>
        <v>0</v>
      </c>
      <c r="BO302" s="53">
        <f t="shared" ref="BO302:CX302" si="82">IFERROR(IF(BO$262=0,0,(BO43-BO44)/BO44),0)</f>
        <v>0</v>
      </c>
      <c r="BP302" s="53">
        <f t="shared" si="82"/>
        <v>0</v>
      </c>
      <c r="BQ302" s="53">
        <f t="shared" si="82"/>
        <v>0</v>
      </c>
      <c r="BR302" s="53">
        <f t="shared" si="82"/>
        <v>0</v>
      </c>
      <c r="BS302" s="53">
        <f t="shared" si="82"/>
        <v>0</v>
      </c>
      <c r="BT302" s="53">
        <f t="shared" si="82"/>
        <v>0</v>
      </c>
      <c r="BU302" s="53">
        <f t="shared" si="82"/>
        <v>0</v>
      </c>
      <c r="BV302" s="53">
        <f t="shared" si="82"/>
        <v>0</v>
      </c>
      <c r="BW302" s="53">
        <f t="shared" si="82"/>
        <v>0</v>
      </c>
      <c r="BX302" s="53">
        <f t="shared" si="82"/>
        <v>0</v>
      </c>
      <c r="BY302" s="53">
        <f t="shared" si="82"/>
        <v>0</v>
      </c>
      <c r="BZ302" s="53">
        <f t="shared" si="82"/>
        <v>0</v>
      </c>
      <c r="CA302" s="53">
        <f t="shared" si="82"/>
        <v>0</v>
      </c>
      <c r="CB302" s="53">
        <f t="shared" si="82"/>
        <v>0</v>
      </c>
      <c r="CC302" s="53">
        <f t="shared" si="82"/>
        <v>0</v>
      </c>
      <c r="CD302" s="53">
        <f t="shared" si="82"/>
        <v>0</v>
      </c>
      <c r="CE302" s="53">
        <f t="shared" si="82"/>
        <v>0</v>
      </c>
      <c r="CF302" s="53">
        <f t="shared" si="82"/>
        <v>0</v>
      </c>
      <c r="CG302" s="53">
        <f t="shared" si="82"/>
        <v>0</v>
      </c>
      <c r="CH302" s="53">
        <f t="shared" si="82"/>
        <v>0</v>
      </c>
      <c r="CI302" s="53">
        <f t="shared" si="82"/>
        <v>0</v>
      </c>
      <c r="CJ302" s="53">
        <f t="shared" si="82"/>
        <v>0</v>
      </c>
      <c r="CK302" s="53">
        <f t="shared" si="82"/>
        <v>0</v>
      </c>
      <c r="CL302" s="53">
        <f t="shared" si="82"/>
        <v>0</v>
      </c>
      <c r="CM302" s="53">
        <f t="shared" si="82"/>
        <v>0</v>
      </c>
      <c r="CN302" s="53">
        <f t="shared" si="82"/>
        <v>0</v>
      </c>
      <c r="CO302" s="53">
        <f t="shared" si="82"/>
        <v>0</v>
      </c>
      <c r="CP302" s="53">
        <f t="shared" si="82"/>
        <v>0</v>
      </c>
      <c r="CQ302" s="53">
        <f t="shared" si="82"/>
        <v>0</v>
      </c>
      <c r="CR302" s="53">
        <f t="shared" si="82"/>
        <v>0</v>
      </c>
      <c r="CS302" s="53">
        <f t="shared" si="82"/>
        <v>0</v>
      </c>
      <c r="CT302" s="53">
        <f t="shared" si="82"/>
        <v>0</v>
      </c>
      <c r="CU302" s="53">
        <f t="shared" si="82"/>
        <v>0</v>
      </c>
      <c r="CV302" s="53">
        <f t="shared" si="82"/>
        <v>0</v>
      </c>
      <c r="CW302" s="53">
        <f t="shared" si="82"/>
        <v>0</v>
      </c>
      <c r="CX302" s="53">
        <f t="shared" si="82"/>
        <v>0</v>
      </c>
      <c r="DB302" s="2" vm="551">
        <f ca="1">IF(Returns!A306&lt;&gt;0,Returns!A306,"")</f>
        <v>42310</v>
      </c>
      <c r="DC302" s="11">
        <f ca="1">IF(Returns!B317&gt;0,Returns!B317/Returns!B316-1,"")</f>
        <v>4.5950401627556259E-2</v>
      </c>
      <c r="DD302" s="11">
        <f ca="1">IF(Returns!D309&gt;0,Returns!D309/Returns!D308-1,"")</f>
        <v>-1.4206330285703173E-3</v>
      </c>
    </row>
    <row r="303" spans="2:108" x14ac:dyDescent="0.3">
      <c r="B303" s="57">
        <f t="shared" ca="1" si="6"/>
        <v>4.5518263572985135E-4</v>
      </c>
      <c r="C303" s="53">
        <f t="shared" ref="C303:BN303" si="83">IFERROR(IF(C$262=0,0,(C44-C45)/C45),0)</f>
        <v>0</v>
      </c>
      <c r="D303" s="53">
        <f t="shared" si="83"/>
        <v>0</v>
      </c>
      <c r="E303" s="53">
        <f t="shared" si="83"/>
        <v>0</v>
      </c>
      <c r="F303" s="53">
        <f t="shared" si="83"/>
        <v>0</v>
      </c>
      <c r="G303" s="53">
        <f t="shared" si="83"/>
        <v>0</v>
      </c>
      <c r="H303" s="53">
        <f t="shared" si="83"/>
        <v>0</v>
      </c>
      <c r="I303" s="53">
        <f t="shared" si="83"/>
        <v>0</v>
      </c>
      <c r="J303" s="53">
        <f t="shared" si="83"/>
        <v>0</v>
      </c>
      <c r="K303" s="53">
        <f t="shared" si="83"/>
        <v>0</v>
      </c>
      <c r="L303" s="53">
        <f t="shared" si="83"/>
        <v>0</v>
      </c>
      <c r="M303" s="53">
        <f t="shared" si="83"/>
        <v>0</v>
      </c>
      <c r="N303" s="53">
        <f t="shared" si="83"/>
        <v>0</v>
      </c>
      <c r="O303" s="53">
        <f t="shared" si="83"/>
        <v>0</v>
      </c>
      <c r="P303" s="53">
        <f t="shared" si="83"/>
        <v>0</v>
      </c>
      <c r="Q303" s="53">
        <f t="shared" si="83"/>
        <v>0</v>
      </c>
      <c r="R303" s="53">
        <f t="shared" si="83"/>
        <v>0</v>
      </c>
      <c r="S303" s="53">
        <f t="shared" si="83"/>
        <v>0</v>
      </c>
      <c r="T303" s="53">
        <f t="shared" si="83"/>
        <v>0</v>
      </c>
      <c r="U303" s="53">
        <f t="shared" si="83"/>
        <v>0</v>
      </c>
      <c r="V303" s="53">
        <f t="shared" si="83"/>
        <v>0</v>
      </c>
      <c r="W303" s="53">
        <f t="shared" si="83"/>
        <v>0</v>
      </c>
      <c r="X303" s="53">
        <f t="shared" si="83"/>
        <v>0</v>
      </c>
      <c r="Y303" s="53">
        <f t="shared" si="83"/>
        <v>0</v>
      </c>
      <c r="Z303" s="53">
        <f t="shared" si="83"/>
        <v>0</v>
      </c>
      <c r="AA303" s="53">
        <f t="shared" si="83"/>
        <v>0</v>
      </c>
      <c r="AB303" s="53">
        <f t="shared" si="83"/>
        <v>0</v>
      </c>
      <c r="AC303" s="53">
        <f t="shared" si="83"/>
        <v>0</v>
      </c>
      <c r="AD303" s="53">
        <f t="shared" si="83"/>
        <v>0</v>
      </c>
      <c r="AE303" s="53">
        <f t="shared" si="83"/>
        <v>0</v>
      </c>
      <c r="AF303" s="53">
        <f t="shared" si="83"/>
        <v>0</v>
      </c>
      <c r="AG303" s="53">
        <f t="shared" si="83"/>
        <v>0</v>
      </c>
      <c r="AH303" s="53">
        <f t="shared" si="83"/>
        <v>0</v>
      </c>
      <c r="AI303" s="53">
        <f t="shared" si="83"/>
        <v>0</v>
      </c>
      <c r="AJ303" s="53">
        <f t="shared" si="83"/>
        <v>0</v>
      </c>
      <c r="AK303" s="53">
        <f t="shared" si="83"/>
        <v>0</v>
      </c>
      <c r="AL303" s="53">
        <f t="shared" si="83"/>
        <v>0</v>
      </c>
      <c r="AM303" s="53">
        <f t="shared" si="83"/>
        <v>0</v>
      </c>
      <c r="AN303" s="53">
        <f t="shared" si="83"/>
        <v>0</v>
      </c>
      <c r="AO303" s="53">
        <f t="shared" si="83"/>
        <v>0</v>
      </c>
      <c r="AP303" s="53">
        <f t="shared" si="83"/>
        <v>0</v>
      </c>
      <c r="AQ303" s="53">
        <f t="shared" si="83"/>
        <v>0</v>
      </c>
      <c r="AR303" s="53">
        <f t="shared" si="83"/>
        <v>0</v>
      </c>
      <c r="AS303" s="53">
        <f t="shared" si="83"/>
        <v>0</v>
      </c>
      <c r="AT303" s="53">
        <f t="shared" si="83"/>
        <v>0</v>
      </c>
      <c r="AU303" s="53">
        <f t="shared" si="83"/>
        <v>0</v>
      </c>
      <c r="AV303" s="53">
        <f t="shared" si="83"/>
        <v>0</v>
      </c>
      <c r="AW303" s="53">
        <f t="shared" si="83"/>
        <v>0</v>
      </c>
      <c r="AX303" s="53">
        <f t="shared" si="83"/>
        <v>0</v>
      </c>
      <c r="AY303" s="53">
        <f t="shared" si="83"/>
        <v>0</v>
      </c>
      <c r="AZ303" s="53">
        <f t="shared" si="83"/>
        <v>0</v>
      </c>
      <c r="BA303" s="53">
        <f t="shared" si="83"/>
        <v>0</v>
      </c>
      <c r="BB303" s="53">
        <f t="shared" si="83"/>
        <v>0</v>
      </c>
      <c r="BC303" s="53">
        <f t="shared" si="83"/>
        <v>0</v>
      </c>
      <c r="BD303" s="53">
        <f t="shared" si="83"/>
        <v>0</v>
      </c>
      <c r="BE303" s="53">
        <f t="shared" si="83"/>
        <v>0</v>
      </c>
      <c r="BF303" s="53">
        <f t="shared" si="83"/>
        <v>0</v>
      </c>
      <c r="BG303" s="53">
        <f t="shared" si="83"/>
        <v>0</v>
      </c>
      <c r="BH303" s="53">
        <f t="shared" si="83"/>
        <v>0</v>
      </c>
      <c r="BI303" s="53">
        <f t="shared" si="83"/>
        <v>0</v>
      </c>
      <c r="BJ303" s="53">
        <f t="shared" si="83"/>
        <v>0</v>
      </c>
      <c r="BK303" s="53">
        <f t="shared" si="83"/>
        <v>0</v>
      </c>
      <c r="BL303" s="53">
        <f t="shared" si="83"/>
        <v>0</v>
      </c>
      <c r="BM303" s="53">
        <f t="shared" si="83"/>
        <v>0</v>
      </c>
      <c r="BN303" s="53">
        <f t="shared" si="83"/>
        <v>0</v>
      </c>
      <c r="BO303" s="53">
        <f t="shared" ref="BO303:CX303" si="84">IFERROR(IF(BO$262=0,0,(BO44-BO45)/BO45),0)</f>
        <v>0</v>
      </c>
      <c r="BP303" s="53">
        <f t="shared" si="84"/>
        <v>0</v>
      </c>
      <c r="BQ303" s="53">
        <f t="shared" si="84"/>
        <v>0</v>
      </c>
      <c r="BR303" s="53">
        <f t="shared" si="84"/>
        <v>0</v>
      </c>
      <c r="BS303" s="53">
        <f t="shared" si="84"/>
        <v>0</v>
      </c>
      <c r="BT303" s="53">
        <f t="shared" si="84"/>
        <v>0</v>
      </c>
      <c r="BU303" s="53">
        <f t="shared" si="84"/>
        <v>0</v>
      </c>
      <c r="BV303" s="53">
        <f t="shared" si="84"/>
        <v>0</v>
      </c>
      <c r="BW303" s="53">
        <f t="shared" si="84"/>
        <v>0</v>
      </c>
      <c r="BX303" s="53">
        <f t="shared" si="84"/>
        <v>0</v>
      </c>
      <c r="BY303" s="53">
        <f t="shared" si="84"/>
        <v>0</v>
      </c>
      <c r="BZ303" s="53">
        <f t="shared" si="84"/>
        <v>0</v>
      </c>
      <c r="CA303" s="53">
        <f t="shared" si="84"/>
        <v>0</v>
      </c>
      <c r="CB303" s="53">
        <f t="shared" si="84"/>
        <v>0</v>
      </c>
      <c r="CC303" s="53">
        <f t="shared" si="84"/>
        <v>0</v>
      </c>
      <c r="CD303" s="53">
        <f t="shared" si="84"/>
        <v>0</v>
      </c>
      <c r="CE303" s="53">
        <f t="shared" si="84"/>
        <v>0</v>
      </c>
      <c r="CF303" s="53">
        <f t="shared" si="84"/>
        <v>0</v>
      </c>
      <c r="CG303" s="53">
        <f t="shared" si="84"/>
        <v>0</v>
      </c>
      <c r="CH303" s="53">
        <f t="shared" si="84"/>
        <v>0</v>
      </c>
      <c r="CI303" s="53">
        <f t="shared" si="84"/>
        <v>0</v>
      </c>
      <c r="CJ303" s="53">
        <f t="shared" si="84"/>
        <v>0</v>
      </c>
      <c r="CK303" s="53">
        <f t="shared" si="84"/>
        <v>0</v>
      </c>
      <c r="CL303" s="53">
        <f t="shared" si="84"/>
        <v>0</v>
      </c>
      <c r="CM303" s="53">
        <f t="shared" si="84"/>
        <v>0</v>
      </c>
      <c r="CN303" s="53">
        <f t="shared" si="84"/>
        <v>0</v>
      </c>
      <c r="CO303" s="53">
        <f t="shared" si="84"/>
        <v>0</v>
      </c>
      <c r="CP303" s="53">
        <f t="shared" si="84"/>
        <v>0</v>
      </c>
      <c r="CQ303" s="53">
        <f t="shared" si="84"/>
        <v>0</v>
      </c>
      <c r="CR303" s="53">
        <f t="shared" si="84"/>
        <v>0</v>
      </c>
      <c r="CS303" s="53">
        <f t="shared" si="84"/>
        <v>0</v>
      </c>
      <c r="CT303" s="53">
        <f t="shared" si="84"/>
        <v>0</v>
      </c>
      <c r="CU303" s="53">
        <f t="shared" si="84"/>
        <v>0</v>
      </c>
      <c r="CV303" s="53">
        <f t="shared" si="84"/>
        <v>0</v>
      </c>
      <c r="CW303" s="53">
        <f t="shared" si="84"/>
        <v>0</v>
      </c>
      <c r="CX303" s="53">
        <f t="shared" si="84"/>
        <v>0</v>
      </c>
      <c r="DB303" s="2" vm="552">
        <f ca="1">IF(Returns!A307&lt;&gt;0,Returns!A307,"")</f>
        <v>42317</v>
      </c>
      <c r="DC303" s="11">
        <f ca="1">IF(Returns!B318&gt;0,Returns!B318/Returns!B317-1,"")</f>
        <v>-1.5728226969381809E-2</v>
      </c>
      <c r="DD303" s="11">
        <f ca="1">IF(Returns!D310&gt;0,Returns!D310/Returns!D309-1,"")</f>
        <v>2.7608516107180403E-3</v>
      </c>
    </row>
    <row r="304" spans="2:108" x14ac:dyDescent="0.3">
      <c r="B304" s="57">
        <f t="shared" ca="1" si="6"/>
        <v>4.2554425403815918E-3</v>
      </c>
      <c r="C304" s="53">
        <f t="shared" ref="C304:BN304" si="85">IFERROR(IF(C$262=0,0,(C45-C46)/C46),0)</f>
        <v>0</v>
      </c>
      <c r="D304" s="53">
        <f t="shared" si="85"/>
        <v>0</v>
      </c>
      <c r="E304" s="53">
        <f t="shared" si="85"/>
        <v>0</v>
      </c>
      <c r="F304" s="53">
        <f t="shared" si="85"/>
        <v>0</v>
      </c>
      <c r="G304" s="53">
        <f t="shared" si="85"/>
        <v>0</v>
      </c>
      <c r="H304" s="53">
        <f t="shared" si="85"/>
        <v>0</v>
      </c>
      <c r="I304" s="53">
        <f t="shared" si="85"/>
        <v>0</v>
      </c>
      <c r="J304" s="53">
        <f t="shared" si="85"/>
        <v>0</v>
      </c>
      <c r="K304" s="53">
        <f t="shared" si="85"/>
        <v>0</v>
      </c>
      <c r="L304" s="53">
        <f t="shared" si="85"/>
        <v>0</v>
      </c>
      <c r="M304" s="53">
        <f t="shared" si="85"/>
        <v>0</v>
      </c>
      <c r="N304" s="53">
        <f t="shared" si="85"/>
        <v>0</v>
      </c>
      <c r="O304" s="53">
        <f t="shared" si="85"/>
        <v>0</v>
      </c>
      <c r="P304" s="53">
        <f t="shared" si="85"/>
        <v>0</v>
      </c>
      <c r="Q304" s="53">
        <f t="shared" si="85"/>
        <v>0</v>
      </c>
      <c r="R304" s="53">
        <f t="shared" si="85"/>
        <v>0</v>
      </c>
      <c r="S304" s="53">
        <f t="shared" si="85"/>
        <v>0</v>
      </c>
      <c r="T304" s="53">
        <f t="shared" si="85"/>
        <v>0</v>
      </c>
      <c r="U304" s="53">
        <f t="shared" si="85"/>
        <v>0</v>
      </c>
      <c r="V304" s="53">
        <f t="shared" si="85"/>
        <v>0</v>
      </c>
      <c r="W304" s="53">
        <f t="shared" si="85"/>
        <v>0</v>
      </c>
      <c r="X304" s="53">
        <f t="shared" si="85"/>
        <v>0</v>
      </c>
      <c r="Y304" s="53">
        <f t="shared" si="85"/>
        <v>0</v>
      </c>
      <c r="Z304" s="53">
        <f t="shared" si="85"/>
        <v>0</v>
      </c>
      <c r="AA304" s="53">
        <f t="shared" si="85"/>
        <v>0</v>
      </c>
      <c r="AB304" s="53">
        <f t="shared" si="85"/>
        <v>0</v>
      </c>
      <c r="AC304" s="53">
        <f t="shared" si="85"/>
        <v>0</v>
      </c>
      <c r="AD304" s="53">
        <f t="shared" si="85"/>
        <v>0</v>
      </c>
      <c r="AE304" s="53">
        <f t="shared" si="85"/>
        <v>0</v>
      </c>
      <c r="AF304" s="53">
        <f t="shared" si="85"/>
        <v>0</v>
      </c>
      <c r="AG304" s="53">
        <f t="shared" si="85"/>
        <v>0</v>
      </c>
      <c r="AH304" s="53">
        <f t="shared" si="85"/>
        <v>0</v>
      </c>
      <c r="AI304" s="53">
        <f t="shared" si="85"/>
        <v>0</v>
      </c>
      <c r="AJ304" s="53">
        <f t="shared" si="85"/>
        <v>0</v>
      </c>
      <c r="AK304" s="53">
        <f t="shared" si="85"/>
        <v>0</v>
      </c>
      <c r="AL304" s="53">
        <f t="shared" si="85"/>
        <v>0</v>
      </c>
      <c r="AM304" s="53">
        <f t="shared" si="85"/>
        <v>0</v>
      </c>
      <c r="AN304" s="53">
        <f t="shared" si="85"/>
        <v>0</v>
      </c>
      <c r="AO304" s="53">
        <f t="shared" si="85"/>
        <v>0</v>
      </c>
      <c r="AP304" s="53">
        <f t="shared" si="85"/>
        <v>0</v>
      </c>
      <c r="AQ304" s="53">
        <f t="shared" si="85"/>
        <v>0</v>
      </c>
      <c r="AR304" s="53">
        <f t="shared" si="85"/>
        <v>0</v>
      </c>
      <c r="AS304" s="53">
        <f t="shared" si="85"/>
        <v>0</v>
      </c>
      <c r="AT304" s="53">
        <f t="shared" si="85"/>
        <v>0</v>
      </c>
      <c r="AU304" s="53">
        <f t="shared" si="85"/>
        <v>0</v>
      </c>
      <c r="AV304" s="53">
        <f t="shared" si="85"/>
        <v>0</v>
      </c>
      <c r="AW304" s="53">
        <f t="shared" si="85"/>
        <v>0</v>
      </c>
      <c r="AX304" s="53">
        <f t="shared" si="85"/>
        <v>0</v>
      </c>
      <c r="AY304" s="53">
        <f t="shared" si="85"/>
        <v>0</v>
      </c>
      <c r="AZ304" s="53">
        <f t="shared" si="85"/>
        <v>0</v>
      </c>
      <c r="BA304" s="53">
        <f t="shared" si="85"/>
        <v>0</v>
      </c>
      <c r="BB304" s="53">
        <f t="shared" si="85"/>
        <v>0</v>
      </c>
      <c r="BC304" s="53">
        <f t="shared" si="85"/>
        <v>0</v>
      </c>
      <c r="BD304" s="53">
        <f t="shared" si="85"/>
        <v>0</v>
      </c>
      <c r="BE304" s="53">
        <f t="shared" si="85"/>
        <v>0</v>
      </c>
      <c r="BF304" s="53">
        <f t="shared" si="85"/>
        <v>0</v>
      </c>
      <c r="BG304" s="53">
        <f t="shared" si="85"/>
        <v>0</v>
      </c>
      <c r="BH304" s="53">
        <f t="shared" si="85"/>
        <v>0</v>
      </c>
      <c r="BI304" s="53">
        <f t="shared" si="85"/>
        <v>0</v>
      </c>
      <c r="BJ304" s="53">
        <f t="shared" si="85"/>
        <v>0</v>
      </c>
      <c r="BK304" s="53">
        <f t="shared" si="85"/>
        <v>0</v>
      </c>
      <c r="BL304" s="53">
        <f t="shared" si="85"/>
        <v>0</v>
      </c>
      <c r="BM304" s="53">
        <f t="shared" si="85"/>
        <v>0</v>
      </c>
      <c r="BN304" s="53">
        <f t="shared" si="85"/>
        <v>0</v>
      </c>
      <c r="BO304" s="53">
        <f t="shared" ref="BO304:CX304" si="86">IFERROR(IF(BO$262=0,0,(BO45-BO46)/BO46),0)</f>
        <v>0</v>
      </c>
      <c r="BP304" s="53">
        <f t="shared" si="86"/>
        <v>0</v>
      </c>
      <c r="BQ304" s="53">
        <f t="shared" si="86"/>
        <v>0</v>
      </c>
      <c r="BR304" s="53">
        <f t="shared" si="86"/>
        <v>0</v>
      </c>
      <c r="BS304" s="53">
        <f t="shared" si="86"/>
        <v>0</v>
      </c>
      <c r="BT304" s="53">
        <f t="shared" si="86"/>
        <v>0</v>
      </c>
      <c r="BU304" s="53">
        <f t="shared" si="86"/>
        <v>0</v>
      </c>
      <c r="BV304" s="53">
        <f t="shared" si="86"/>
        <v>0</v>
      </c>
      <c r="BW304" s="53">
        <f t="shared" si="86"/>
        <v>0</v>
      </c>
      <c r="BX304" s="53">
        <f t="shared" si="86"/>
        <v>0</v>
      </c>
      <c r="BY304" s="53">
        <f t="shared" si="86"/>
        <v>0</v>
      </c>
      <c r="BZ304" s="53">
        <f t="shared" si="86"/>
        <v>0</v>
      </c>
      <c r="CA304" s="53">
        <f t="shared" si="86"/>
        <v>0</v>
      </c>
      <c r="CB304" s="53">
        <f t="shared" si="86"/>
        <v>0</v>
      </c>
      <c r="CC304" s="53">
        <f t="shared" si="86"/>
        <v>0</v>
      </c>
      <c r="CD304" s="53">
        <f t="shared" si="86"/>
        <v>0</v>
      </c>
      <c r="CE304" s="53">
        <f t="shared" si="86"/>
        <v>0</v>
      </c>
      <c r="CF304" s="53">
        <f t="shared" si="86"/>
        <v>0</v>
      </c>
      <c r="CG304" s="53">
        <f t="shared" si="86"/>
        <v>0</v>
      </c>
      <c r="CH304" s="53">
        <f t="shared" si="86"/>
        <v>0</v>
      </c>
      <c r="CI304" s="53">
        <f t="shared" si="86"/>
        <v>0</v>
      </c>
      <c r="CJ304" s="53">
        <f t="shared" si="86"/>
        <v>0</v>
      </c>
      <c r="CK304" s="53">
        <f t="shared" si="86"/>
        <v>0</v>
      </c>
      <c r="CL304" s="53">
        <f t="shared" si="86"/>
        <v>0</v>
      </c>
      <c r="CM304" s="53">
        <f t="shared" si="86"/>
        <v>0</v>
      </c>
      <c r="CN304" s="53">
        <f t="shared" si="86"/>
        <v>0</v>
      </c>
      <c r="CO304" s="53">
        <f t="shared" si="86"/>
        <v>0</v>
      </c>
      <c r="CP304" s="53">
        <f t="shared" si="86"/>
        <v>0</v>
      </c>
      <c r="CQ304" s="53">
        <f t="shared" si="86"/>
        <v>0</v>
      </c>
      <c r="CR304" s="53">
        <f t="shared" si="86"/>
        <v>0</v>
      </c>
      <c r="CS304" s="53">
        <f t="shared" si="86"/>
        <v>0</v>
      </c>
      <c r="CT304" s="53">
        <f t="shared" si="86"/>
        <v>0</v>
      </c>
      <c r="CU304" s="53">
        <f t="shared" si="86"/>
        <v>0</v>
      </c>
      <c r="CV304" s="53">
        <f t="shared" si="86"/>
        <v>0</v>
      </c>
      <c r="CW304" s="53">
        <f t="shared" si="86"/>
        <v>0</v>
      </c>
      <c r="CX304" s="53">
        <f t="shared" si="86"/>
        <v>0</v>
      </c>
      <c r="DB304" s="2" vm="553">
        <f ca="1">IF(Returns!A308&lt;&gt;0,Returns!A308,"")</f>
        <v>42324</v>
      </c>
      <c r="DC304" s="11">
        <f ca="1">IF(Returns!B319&gt;0,Returns!B319/Returns!B318-1,"")</f>
        <v>-0.14458262350936968</v>
      </c>
      <c r="DD304" s="11">
        <f ca="1">IF(Returns!D311&gt;0,Returns!D311/Returns!D310-1,"")</f>
        <v>-3.2632882455049583E-2</v>
      </c>
    </row>
    <row r="305" spans="2:108" x14ac:dyDescent="0.3">
      <c r="B305" s="57">
        <f t="shared" ca="1" si="6"/>
        <v>2.7074905466934187E-3</v>
      </c>
      <c r="C305" s="53">
        <f t="shared" ref="C305:BN305" si="87">IFERROR(IF(C$262=0,0,(C46-C47)/C47),0)</f>
        <v>0</v>
      </c>
      <c r="D305" s="53">
        <f t="shared" si="87"/>
        <v>0</v>
      </c>
      <c r="E305" s="53">
        <f t="shared" si="87"/>
        <v>0</v>
      </c>
      <c r="F305" s="53">
        <f t="shared" si="87"/>
        <v>0</v>
      </c>
      <c r="G305" s="53">
        <f t="shared" si="87"/>
        <v>0</v>
      </c>
      <c r="H305" s="53">
        <f t="shared" si="87"/>
        <v>0</v>
      </c>
      <c r="I305" s="53">
        <f t="shared" si="87"/>
        <v>0</v>
      </c>
      <c r="J305" s="53">
        <f t="shared" si="87"/>
        <v>0</v>
      </c>
      <c r="K305" s="53">
        <f t="shared" si="87"/>
        <v>0</v>
      </c>
      <c r="L305" s="53">
        <f t="shared" si="87"/>
        <v>0</v>
      </c>
      <c r="M305" s="53">
        <f t="shared" si="87"/>
        <v>0</v>
      </c>
      <c r="N305" s="53">
        <f t="shared" si="87"/>
        <v>0</v>
      </c>
      <c r="O305" s="53">
        <f t="shared" si="87"/>
        <v>0</v>
      </c>
      <c r="P305" s="53">
        <f t="shared" si="87"/>
        <v>0</v>
      </c>
      <c r="Q305" s="53">
        <f t="shared" si="87"/>
        <v>0</v>
      </c>
      <c r="R305" s="53">
        <f t="shared" si="87"/>
        <v>0</v>
      </c>
      <c r="S305" s="53">
        <f t="shared" si="87"/>
        <v>0</v>
      </c>
      <c r="T305" s="53">
        <f t="shared" si="87"/>
        <v>0</v>
      </c>
      <c r="U305" s="53">
        <f t="shared" si="87"/>
        <v>0</v>
      </c>
      <c r="V305" s="53">
        <f t="shared" si="87"/>
        <v>0</v>
      </c>
      <c r="W305" s="53">
        <f t="shared" si="87"/>
        <v>0</v>
      </c>
      <c r="X305" s="53">
        <f t="shared" si="87"/>
        <v>0</v>
      </c>
      <c r="Y305" s="53">
        <f t="shared" si="87"/>
        <v>0</v>
      </c>
      <c r="Z305" s="53">
        <f t="shared" si="87"/>
        <v>0</v>
      </c>
      <c r="AA305" s="53">
        <f t="shared" si="87"/>
        <v>0</v>
      </c>
      <c r="AB305" s="53">
        <f t="shared" si="87"/>
        <v>0</v>
      </c>
      <c r="AC305" s="53">
        <f t="shared" si="87"/>
        <v>0</v>
      </c>
      <c r="AD305" s="53">
        <f t="shared" si="87"/>
        <v>0</v>
      </c>
      <c r="AE305" s="53">
        <f t="shared" si="87"/>
        <v>0</v>
      </c>
      <c r="AF305" s="53">
        <f t="shared" si="87"/>
        <v>0</v>
      </c>
      <c r="AG305" s="53">
        <f t="shared" si="87"/>
        <v>0</v>
      </c>
      <c r="AH305" s="53">
        <f t="shared" si="87"/>
        <v>0</v>
      </c>
      <c r="AI305" s="53">
        <f t="shared" si="87"/>
        <v>0</v>
      </c>
      <c r="AJ305" s="53">
        <f t="shared" si="87"/>
        <v>0</v>
      </c>
      <c r="AK305" s="53">
        <f t="shared" si="87"/>
        <v>0</v>
      </c>
      <c r="AL305" s="53">
        <f t="shared" si="87"/>
        <v>0</v>
      </c>
      <c r="AM305" s="53">
        <f t="shared" si="87"/>
        <v>0</v>
      </c>
      <c r="AN305" s="53">
        <f t="shared" si="87"/>
        <v>0</v>
      </c>
      <c r="AO305" s="53">
        <f t="shared" si="87"/>
        <v>0</v>
      </c>
      <c r="AP305" s="53">
        <f t="shared" si="87"/>
        <v>0</v>
      </c>
      <c r="AQ305" s="53">
        <f t="shared" si="87"/>
        <v>0</v>
      </c>
      <c r="AR305" s="53">
        <f t="shared" si="87"/>
        <v>0</v>
      </c>
      <c r="AS305" s="53">
        <f t="shared" si="87"/>
        <v>0</v>
      </c>
      <c r="AT305" s="53">
        <f t="shared" si="87"/>
        <v>0</v>
      </c>
      <c r="AU305" s="53">
        <f t="shared" si="87"/>
        <v>0</v>
      </c>
      <c r="AV305" s="53">
        <f t="shared" si="87"/>
        <v>0</v>
      </c>
      <c r="AW305" s="53">
        <f t="shared" si="87"/>
        <v>0</v>
      </c>
      <c r="AX305" s="53">
        <f t="shared" si="87"/>
        <v>0</v>
      </c>
      <c r="AY305" s="53">
        <f t="shared" si="87"/>
        <v>0</v>
      </c>
      <c r="AZ305" s="53">
        <f t="shared" si="87"/>
        <v>0</v>
      </c>
      <c r="BA305" s="53">
        <f t="shared" si="87"/>
        <v>0</v>
      </c>
      <c r="BB305" s="53">
        <f t="shared" si="87"/>
        <v>0</v>
      </c>
      <c r="BC305" s="53">
        <f t="shared" si="87"/>
        <v>0</v>
      </c>
      <c r="BD305" s="53">
        <f t="shared" si="87"/>
        <v>0</v>
      </c>
      <c r="BE305" s="53">
        <f t="shared" si="87"/>
        <v>0</v>
      </c>
      <c r="BF305" s="53">
        <f t="shared" si="87"/>
        <v>0</v>
      </c>
      <c r="BG305" s="53">
        <f t="shared" si="87"/>
        <v>0</v>
      </c>
      <c r="BH305" s="53">
        <f t="shared" si="87"/>
        <v>0</v>
      </c>
      <c r="BI305" s="53">
        <f t="shared" si="87"/>
        <v>0</v>
      </c>
      <c r="BJ305" s="53">
        <f t="shared" si="87"/>
        <v>0</v>
      </c>
      <c r="BK305" s="53">
        <f t="shared" si="87"/>
        <v>0</v>
      </c>
      <c r="BL305" s="53">
        <f t="shared" si="87"/>
        <v>0</v>
      </c>
      <c r="BM305" s="53">
        <f t="shared" si="87"/>
        <v>0</v>
      </c>
      <c r="BN305" s="53">
        <f t="shared" si="87"/>
        <v>0</v>
      </c>
      <c r="BO305" s="53">
        <f t="shared" ref="BO305:CX305" si="88">IFERROR(IF(BO$262=0,0,(BO46-BO47)/BO47),0)</f>
        <v>0</v>
      </c>
      <c r="BP305" s="53">
        <f t="shared" si="88"/>
        <v>0</v>
      </c>
      <c r="BQ305" s="53">
        <f t="shared" si="88"/>
        <v>0</v>
      </c>
      <c r="BR305" s="53">
        <f t="shared" si="88"/>
        <v>0</v>
      </c>
      <c r="BS305" s="53">
        <f t="shared" si="88"/>
        <v>0</v>
      </c>
      <c r="BT305" s="53">
        <f t="shared" si="88"/>
        <v>0</v>
      </c>
      <c r="BU305" s="53">
        <f t="shared" si="88"/>
        <v>0</v>
      </c>
      <c r="BV305" s="53">
        <f t="shared" si="88"/>
        <v>0</v>
      </c>
      <c r="BW305" s="53">
        <f t="shared" si="88"/>
        <v>0</v>
      </c>
      <c r="BX305" s="53">
        <f t="shared" si="88"/>
        <v>0</v>
      </c>
      <c r="BY305" s="53">
        <f t="shared" si="88"/>
        <v>0</v>
      </c>
      <c r="BZ305" s="53">
        <f t="shared" si="88"/>
        <v>0</v>
      </c>
      <c r="CA305" s="53">
        <f t="shared" si="88"/>
        <v>0</v>
      </c>
      <c r="CB305" s="53">
        <f t="shared" si="88"/>
        <v>0</v>
      </c>
      <c r="CC305" s="53">
        <f t="shared" si="88"/>
        <v>0</v>
      </c>
      <c r="CD305" s="53">
        <f t="shared" si="88"/>
        <v>0</v>
      </c>
      <c r="CE305" s="53">
        <f t="shared" si="88"/>
        <v>0</v>
      </c>
      <c r="CF305" s="53">
        <f t="shared" si="88"/>
        <v>0</v>
      </c>
      <c r="CG305" s="53">
        <f t="shared" si="88"/>
        <v>0</v>
      </c>
      <c r="CH305" s="53">
        <f t="shared" si="88"/>
        <v>0</v>
      </c>
      <c r="CI305" s="53">
        <f t="shared" si="88"/>
        <v>0</v>
      </c>
      <c r="CJ305" s="53">
        <f t="shared" si="88"/>
        <v>0</v>
      </c>
      <c r="CK305" s="53">
        <f t="shared" si="88"/>
        <v>0</v>
      </c>
      <c r="CL305" s="53">
        <f t="shared" si="88"/>
        <v>0</v>
      </c>
      <c r="CM305" s="53">
        <f t="shared" si="88"/>
        <v>0</v>
      </c>
      <c r="CN305" s="53">
        <f t="shared" si="88"/>
        <v>0</v>
      </c>
      <c r="CO305" s="53">
        <f t="shared" si="88"/>
        <v>0</v>
      </c>
      <c r="CP305" s="53">
        <f t="shared" si="88"/>
        <v>0</v>
      </c>
      <c r="CQ305" s="53">
        <f t="shared" si="88"/>
        <v>0</v>
      </c>
      <c r="CR305" s="53">
        <f t="shared" si="88"/>
        <v>0</v>
      </c>
      <c r="CS305" s="53">
        <f t="shared" si="88"/>
        <v>0</v>
      </c>
      <c r="CT305" s="53">
        <f t="shared" si="88"/>
        <v>0</v>
      </c>
      <c r="CU305" s="53">
        <f t="shared" si="88"/>
        <v>0</v>
      </c>
      <c r="CV305" s="53">
        <f t="shared" si="88"/>
        <v>0</v>
      </c>
      <c r="CW305" s="53">
        <f t="shared" si="88"/>
        <v>0</v>
      </c>
      <c r="CX305" s="53">
        <f t="shared" si="88"/>
        <v>0</v>
      </c>
      <c r="DB305" s="2" vm="554">
        <f ca="1">IF(Returns!A309&lt;&gt;0,Returns!A309,"")</f>
        <v>42331</v>
      </c>
      <c r="DC305" s="11">
        <f ca="1">IF(Returns!B320&gt;0,Returns!B320/Returns!B319-1,"")</f>
        <v>9.8580048991296909E-3</v>
      </c>
      <c r="DD305" s="11">
        <f ca="1">IF(Returns!D312&gt;0,Returns!D312/Returns!D311-1,"")</f>
        <v>-7.9153787445309653E-3</v>
      </c>
    </row>
    <row r="306" spans="2:108" x14ac:dyDescent="0.3">
      <c r="B306" s="57">
        <f t="shared" ca="1" si="6"/>
        <v>1.9703536580724834E-3</v>
      </c>
      <c r="C306" s="53">
        <f t="shared" ref="C306:BN306" si="89">IFERROR(IF(C$262=0,0,(C47-C48)/C48),0)</f>
        <v>0</v>
      </c>
      <c r="D306" s="53">
        <f t="shared" si="89"/>
        <v>0</v>
      </c>
      <c r="E306" s="53">
        <f t="shared" si="89"/>
        <v>0</v>
      </c>
      <c r="F306" s="53">
        <f t="shared" si="89"/>
        <v>0</v>
      </c>
      <c r="G306" s="53">
        <f t="shared" si="89"/>
        <v>0</v>
      </c>
      <c r="H306" s="53">
        <f t="shared" si="89"/>
        <v>0</v>
      </c>
      <c r="I306" s="53">
        <f t="shared" si="89"/>
        <v>0</v>
      </c>
      <c r="J306" s="53">
        <f t="shared" si="89"/>
        <v>0</v>
      </c>
      <c r="K306" s="53">
        <f t="shared" si="89"/>
        <v>0</v>
      </c>
      <c r="L306" s="53">
        <f t="shared" si="89"/>
        <v>0</v>
      </c>
      <c r="M306" s="53">
        <f t="shared" si="89"/>
        <v>0</v>
      </c>
      <c r="N306" s="53">
        <f t="shared" si="89"/>
        <v>0</v>
      </c>
      <c r="O306" s="53">
        <f t="shared" si="89"/>
        <v>0</v>
      </c>
      <c r="P306" s="53">
        <f t="shared" si="89"/>
        <v>0</v>
      </c>
      <c r="Q306" s="53">
        <f t="shared" si="89"/>
        <v>0</v>
      </c>
      <c r="R306" s="53">
        <f t="shared" si="89"/>
        <v>0</v>
      </c>
      <c r="S306" s="53">
        <f t="shared" si="89"/>
        <v>0</v>
      </c>
      <c r="T306" s="53">
        <f t="shared" si="89"/>
        <v>0</v>
      </c>
      <c r="U306" s="53">
        <f t="shared" si="89"/>
        <v>0</v>
      </c>
      <c r="V306" s="53">
        <f t="shared" si="89"/>
        <v>0</v>
      </c>
      <c r="W306" s="53">
        <f t="shared" si="89"/>
        <v>0</v>
      </c>
      <c r="X306" s="53">
        <f t="shared" si="89"/>
        <v>0</v>
      </c>
      <c r="Y306" s="53">
        <f t="shared" si="89"/>
        <v>0</v>
      </c>
      <c r="Z306" s="53">
        <f t="shared" si="89"/>
        <v>0</v>
      </c>
      <c r="AA306" s="53">
        <f t="shared" si="89"/>
        <v>0</v>
      </c>
      <c r="AB306" s="53">
        <f t="shared" si="89"/>
        <v>0</v>
      </c>
      <c r="AC306" s="53">
        <f t="shared" si="89"/>
        <v>0</v>
      </c>
      <c r="AD306" s="53">
        <f t="shared" si="89"/>
        <v>0</v>
      </c>
      <c r="AE306" s="53">
        <f t="shared" si="89"/>
        <v>0</v>
      </c>
      <c r="AF306" s="53">
        <f t="shared" si="89"/>
        <v>0</v>
      </c>
      <c r="AG306" s="53">
        <f t="shared" si="89"/>
        <v>0</v>
      </c>
      <c r="AH306" s="53">
        <f t="shared" si="89"/>
        <v>0</v>
      </c>
      <c r="AI306" s="53">
        <f t="shared" si="89"/>
        <v>0</v>
      </c>
      <c r="AJ306" s="53">
        <f t="shared" si="89"/>
        <v>0</v>
      </c>
      <c r="AK306" s="53">
        <f t="shared" si="89"/>
        <v>0</v>
      </c>
      <c r="AL306" s="53">
        <f t="shared" si="89"/>
        <v>0</v>
      </c>
      <c r="AM306" s="53">
        <f t="shared" si="89"/>
        <v>0</v>
      </c>
      <c r="AN306" s="53">
        <f t="shared" si="89"/>
        <v>0</v>
      </c>
      <c r="AO306" s="53">
        <f t="shared" si="89"/>
        <v>0</v>
      </c>
      <c r="AP306" s="53">
        <f t="shared" si="89"/>
        <v>0</v>
      </c>
      <c r="AQ306" s="53">
        <f t="shared" si="89"/>
        <v>0</v>
      </c>
      <c r="AR306" s="53">
        <f t="shared" si="89"/>
        <v>0</v>
      </c>
      <c r="AS306" s="53">
        <f t="shared" si="89"/>
        <v>0</v>
      </c>
      <c r="AT306" s="53">
        <f t="shared" si="89"/>
        <v>0</v>
      </c>
      <c r="AU306" s="53">
        <f t="shared" si="89"/>
        <v>0</v>
      </c>
      <c r="AV306" s="53">
        <f t="shared" si="89"/>
        <v>0</v>
      </c>
      <c r="AW306" s="53">
        <f t="shared" si="89"/>
        <v>0</v>
      </c>
      <c r="AX306" s="53">
        <f t="shared" si="89"/>
        <v>0</v>
      </c>
      <c r="AY306" s="53">
        <f t="shared" si="89"/>
        <v>0</v>
      </c>
      <c r="AZ306" s="53">
        <f t="shared" si="89"/>
        <v>0</v>
      </c>
      <c r="BA306" s="53">
        <f t="shared" si="89"/>
        <v>0</v>
      </c>
      <c r="BB306" s="53">
        <f t="shared" si="89"/>
        <v>0</v>
      </c>
      <c r="BC306" s="53">
        <f t="shared" si="89"/>
        <v>0</v>
      </c>
      <c r="BD306" s="53">
        <f t="shared" si="89"/>
        <v>0</v>
      </c>
      <c r="BE306" s="53">
        <f t="shared" si="89"/>
        <v>0</v>
      </c>
      <c r="BF306" s="53">
        <f t="shared" si="89"/>
        <v>0</v>
      </c>
      <c r="BG306" s="53">
        <f t="shared" si="89"/>
        <v>0</v>
      </c>
      <c r="BH306" s="53">
        <f t="shared" si="89"/>
        <v>0</v>
      </c>
      <c r="BI306" s="53">
        <f t="shared" si="89"/>
        <v>0</v>
      </c>
      <c r="BJ306" s="53">
        <f t="shared" si="89"/>
        <v>0</v>
      </c>
      <c r="BK306" s="53">
        <f t="shared" si="89"/>
        <v>0</v>
      </c>
      <c r="BL306" s="53">
        <f t="shared" si="89"/>
        <v>0</v>
      </c>
      <c r="BM306" s="53">
        <f t="shared" si="89"/>
        <v>0</v>
      </c>
      <c r="BN306" s="53">
        <f t="shared" si="89"/>
        <v>0</v>
      </c>
      <c r="BO306" s="53">
        <f t="shared" ref="BO306:CX306" si="90">IFERROR(IF(BO$262=0,0,(BO47-BO48)/BO48),0)</f>
        <v>0</v>
      </c>
      <c r="BP306" s="53">
        <f t="shared" si="90"/>
        <v>0</v>
      </c>
      <c r="BQ306" s="53">
        <f t="shared" si="90"/>
        <v>0</v>
      </c>
      <c r="BR306" s="53">
        <f t="shared" si="90"/>
        <v>0</v>
      </c>
      <c r="BS306" s="53">
        <f t="shared" si="90"/>
        <v>0</v>
      </c>
      <c r="BT306" s="53">
        <f t="shared" si="90"/>
        <v>0</v>
      </c>
      <c r="BU306" s="53">
        <f t="shared" si="90"/>
        <v>0</v>
      </c>
      <c r="BV306" s="53">
        <f t="shared" si="90"/>
        <v>0</v>
      </c>
      <c r="BW306" s="53">
        <f t="shared" si="90"/>
        <v>0</v>
      </c>
      <c r="BX306" s="53">
        <f t="shared" si="90"/>
        <v>0</v>
      </c>
      <c r="BY306" s="53">
        <f t="shared" si="90"/>
        <v>0</v>
      </c>
      <c r="BZ306" s="53">
        <f t="shared" si="90"/>
        <v>0</v>
      </c>
      <c r="CA306" s="53">
        <f t="shared" si="90"/>
        <v>0</v>
      </c>
      <c r="CB306" s="53">
        <f t="shared" si="90"/>
        <v>0</v>
      </c>
      <c r="CC306" s="53">
        <f t="shared" si="90"/>
        <v>0</v>
      </c>
      <c r="CD306" s="53">
        <f t="shared" si="90"/>
        <v>0</v>
      </c>
      <c r="CE306" s="53">
        <f t="shared" si="90"/>
        <v>0</v>
      </c>
      <c r="CF306" s="53">
        <f t="shared" si="90"/>
        <v>0</v>
      </c>
      <c r="CG306" s="53">
        <f t="shared" si="90"/>
        <v>0</v>
      </c>
      <c r="CH306" s="53">
        <f t="shared" si="90"/>
        <v>0</v>
      </c>
      <c r="CI306" s="53">
        <f t="shared" si="90"/>
        <v>0</v>
      </c>
      <c r="CJ306" s="53">
        <f t="shared" si="90"/>
        <v>0</v>
      </c>
      <c r="CK306" s="53">
        <f t="shared" si="90"/>
        <v>0</v>
      </c>
      <c r="CL306" s="53">
        <f t="shared" si="90"/>
        <v>0</v>
      </c>
      <c r="CM306" s="53">
        <f t="shared" si="90"/>
        <v>0</v>
      </c>
      <c r="CN306" s="53">
        <f t="shared" si="90"/>
        <v>0</v>
      </c>
      <c r="CO306" s="53">
        <f t="shared" si="90"/>
        <v>0</v>
      </c>
      <c r="CP306" s="53">
        <f t="shared" si="90"/>
        <v>0</v>
      </c>
      <c r="CQ306" s="53">
        <f t="shared" si="90"/>
        <v>0</v>
      </c>
      <c r="CR306" s="53">
        <f t="shared" si="90"/>
        <v>0</v>
      </c>
      <c r="CS306" s="53">
        <f t="shared" si="90"/>
        <v>0</v>
      </c>
      <c r="CT306" s="53">
        <f t="shared" si="90"/>
        <v>0</v>
      </c>
      <c r="CU306" s="53">
        <f t="shared" si="90"/>
        <v>0</v>
      </c>
      <c r="CV306" s="53">
        <f t="shared" si="90"/>
        <v>0</v>
      </c>
      <c r="CW306" s="53">
        <f t="shared" si="90"/>
        <v>0</v>
      </c>
      <c r="CX306" s="53">
        <f t="shared" si="90"/>
        <v>0</v>
      </c>
      <c r="DB306" s="2" vm="555">
        <f ca="1">IF(Returns!A310&lt;&gt;0,Returns!A310,"")</f>
        <v>42338</v>
      </c>
      <c r="DC306" s="11">
        <f ca="1">IF(Returns!B321&gt;0,Returns!B321/Returns!B320-1,"")</f>
        <v>5.486313796639597E-2</v>
      </c>
      <c r="DD306" s="11">
        <f ca="1">IF(Returns!D313&gt;0,Returns!D313/Returns!D312-1,"")</f>
        <v>2.4731535542557248E-2</v>
      </c>
    </row>
    <row r="307" spans="2:108" x14ac:dyDescent="0.3">
      <c r="B307" s="57">
        <f t="shared" ca="1" si="6"/>
        <v>2.0474099926497092E-4</v>
      </c>
      <c r="C307" s="53">
        <f t="shared" ref="C307:BN307" si="91">IFERROR(IF(C$262=0,0,(C48-C49)/C49),0)</f>
        <v>0</v>
      </c>
      <c r="D307" s="53">
        <f t="shared" si="91"/>
        <v>0</v>
      </c>
      <c r="E307" s="53">
        <f t="shared" si="91"/>
        <v>0</v>
      </c>
      <c r="F307" s="53">
        <f t="shared" si="91"/>
        <v>0</v>
      </c>
      <c r="G307" s="53">
        <f t="shared" si="91"/>
        <v>0</v>
      </c>
      <c r="H307" s="53">
        <f t="shared" si="91"/>
        <v>0</v>
      </c>
      <c r="I307" s="53">
        <f t="shared" si="91"/>
        <v>0</v>
      </c>
      <c r="J307" s="53">
        <f t="shared" si="91"/>
        <v>0</v>
      </c>
      <c r="K307" s="53">
        <f t="shared" si="91"/>
        <v>0</v>
      </c>
      <c r="L307" s="53">
        <f t="shared" si="91"/>
        <v>0</v>
      </c>
      <c r="M307" s="53">
        <f t="shared" si="91"/>
        <v>0</v>
      </c>
      <c r="N307" s="53">
        <f t="shared" si="91"/>
        <v>0</v>
      </c>
      <c r="O307" s="53">
        <f t="shared" si="91"/>
        <v>0</v>
      </c>
      <c r="P307" s="53">
        <f t="shared" si="91"/>
        <v>0</v>
      </c>
      <c r="Q307" s="53">
        <f t="shared" si="91"/>
        <v>0</v>
      </c>
      <c r="R307" s="53">
        <f t="shared" si="91"/>
        <v>0</v>
      </c>
      <c r="S307" s="53">
        <f t="shared" si="91"/>
        <v>0</v>
      </c>
      <c r="T307" s="53">
        <f t="shared" si="91"/>
        <v>0</v>
      </c>
      <c r="U307" s="53">
        <f t="shared" si="91"/>
        <v>0</v>
      </c>
      <c r="V307" s="53">
        <f t="shared" si="91"/>
        <v>0</v>
      </c>
      <c r="W307" s="53">
        <f t="shared" si="91"/>
        <v>0</v>
      </c>
      <c r="X307" s="53">
        <f t="shared" si="91"/>
        <v>0</v>
      </c>
      <c r="Y307" s="53">
        <f t="shared" si="91"/>
        <v>0</v>
      </c>
      <c r="Z307" s="53">
        <f t="shared" si="91"/>
        <v>0</v>
      </c>
      <c r="AA307" s="53">
        <f t="shared" si="91"/>
        <v>0</v>
      </c>
      <c r="AB307" s="53">
        <f t="shared" si="91"/>
        <v>0</v>
      </c>
      <c r="AC307" s="53">
        <f t="shared" si="91"/>
        <v>0</v>
      </c>
      <c r="AD307" s="53">
        <f t="shared" si="91"/>
        <v>0</v>
      </c>
      <c r="AE307" s="53">
        <f t="shared" si="91"/>
        <v>0</v>
      </c>
      <c r="AF307" s="53">
        <f t="shared" si="91"/>
        <v>0</v>
      </c>
      <c r="AG307" s="53">
        <f t="shared" si="91"/>
        <v>0</v>
      </c>
      <c r="AH307" s="53">
        <f t="shared" si="91"/>
        <v>0</v>
      </c>
      <c r="AI307" s="53">
        <f t="shared" si="91"/>
        <v>0</v>
      </c>
      <c r="AJ307" s="53">
        <f t="shared" si="91"/>
        <v>0</v>
      </c>
      <c r="AK307" s="53">
        <f t="shared" si="91"/>
        <v>0</v>
      </c>
      <c r="AL307" s="53">
        <f t="shared" si="91"/>
        <v>0</v>
      </c>
      <c r="AM307" s="53">
        <f t="shared" si="91"/>
        <v>0</v>
      </c>
      <c r="AN307" s="53">
        <f t="shared" si="91"/>
        <v>0</v>
      </c>
      <c r="AO307" s="53">
        <f t="shared" si="91"/>
        <v>0</v>
      </c>
      <c r="AP307" s="53">
        <f t="shared" si="91"/>
        <v>0</v>
      </c>
      <c r="AQ307" s="53">
        <f t="shared" si="91"/>
        <v>0</v>
      </c>
      <c r="AR307" s="53">
        <f t="shared" si="91"/>
        <v>0</v>
      </c>
      <c r="AS307" s="53">
        <f t="shared" si="91"/>
        <v>0</v>
      </c>
      <c r="AT307" s="53">
        <f t="shared" si="91"/>
        <v>0</v>
      </c>
      <c r="AU307" s="53">
        <f t="shared" si="91"/>
        <v>0</v>
      </c>
      <c r="AV307" s="53">
        <f t="shared" si="91"/>
        <v>0</v>
      </c>
      <c r="AW307" s="53">
        <f t="shared" si="91"/>
        <v>0</v>
      </c>
      <c r="AX307" s="53">
        <f t="shared" si="91"/>
        <v>0</v>
      </c>
      <c r="AY307" s="53">
        <f t="shared" si="91"/>
        <v>0</v>
      </c>
      <c r="AZ307" s="53">
        <f t="shared" si="91"/>
        <v>0</v>
      </c>
      <c r="BA307" s="53">
        <f t="shared" si="91"/>
        <v>0</v>
      </c>
      <c r="BB307" s="53">
        <f t="shared" si="91"/>
        <v>0</v>
      </c>
      <c r="BC307" s="53">
        <f t="shared" si="91"/>
        <v>0</v>
      </c>
      <c r="BD307" s="53">
        <f t="shared" si="91"/>
        <v>0</v>
      </c>
      <c r="BE307" s="53">
        <f t="shared" si="91"/>
        <v>0</v>
      </c>
      <c r="BF307" s="53">
        <f t="shared" si="91"/>
        <v>0</v>
      </c>
      <c r="BG307" s="53">
        <f t="shared" si="91"/>
        <v>0</v>
      </c>
      <c r="BH307" s="53">
        <f t="shared" si="91"/>
        <v>0</v>
      </c>
      <c r="BI307" s="53">
        <f t="shared" si="91"/>
        <v>0</v>
      </c>
      <c r="BJ307" s="53">
        <f t="shared" si="91"/>
        <v>0</v>
      </c>
      <c r="BK307" s="53">
        <f t="shared" si="91"/>
        <v>0</v>
      </c>
      <c r="BL307" s="53">
        <f t="shared" si="91"/>
        <v>0</v>
      </c>
      <c r="BM307" s="53">
        <f t="shared" si="91"/>
        <v>0</v>
      </c>
      <c r="BN307" s="53">
        <f t="shared" si="91"/>
        <v>0</v>
      </c>
      <c r="BO307" s="53">
        <f t="shared" ref="BO307:CX307" si="92">IFERROR(IF(BO$262=0,0,(BO48-BO49)/BO49),0)</f>
        <v>0</v>
      </c>
      <c r="BP307" s="53">
        <f t="shared" si="92"/>
        <v>0</v>
      </c>
      <c r="BQ307" s="53">
        <f t="shared" si="92"/>
        <v>0</v>
      </c>
      <c r="BR307" s="53">
        <f t="shared" si="92"/>
        <v>0</v>
      </c>
      <c r="BS307" s="53">
        <f t="shared" si="92"/>
        <v>0</v>
      </c>
      <c r="BT307" s="53">
        <f t="shared" si="92"/>
        <v>0</v>
      </c>
      <c r="BU307" s="53">
        <f t="shared" si="92"/>
        <v>0</v>
      </c>
      <c r="BV307" s="53">
        <f t="shared" si="92"/>
        <v>0</v>
      </c>
      <c r="BW307" s="53">
        <f t="shared" si="92"/>
        <v>0</v>
      </c>
      <c r="BX307" s="53">
        <f t="shared" si="92"/>
        <v>0</v>
      </c>
      <c r="BY307" s="53">
        <f t="shared" si="92"/>
        <v>0</v>
      </c>
      <c r="BZ307" s="53">
        <f t="shared" si="92"/>
        <v>0</v>
      </c>
      <c r="CA307" s="53">
        <f t="shared" si="92"/>
        <v>0</v>
      </c>
      <c r="CB307" s="53">
        <f t="shared" si="92"/>
        <v>0</v>
      </c>
      <c r="CC307" s="53">
        <f t="shared" si="92"/>
        <v>0</v>
      </c>
      <c r="CD307" s="53">
        <f t="shared" si="92"/>
        <v>0</v>
      </c>
      <c r="CE307" s="53">
        <f t="shared" si="92"/>
        <v>0</v>
      </c>
      <c r="CF307" s="53">
        <f t="shared" si="92"/>
        <v>0</v>
      </c>
      <c r="CG307" s="53">
        <f t="shared" si="92"/>
        <v>0</v>
      </c>
      <c r="CH307" s="53">
        <f t="shared" si="92"/>
        <v>0</v>
      </c>
      <c r="CI307" s="53">
        <f t="shared" si="92"/>
        <v>0</v>
      </c>
      <c r="CJ307" s="53">
        <f t="shared" si="92"/>
        <v>0</v>
      </c>
      <c r="CK307" s="53">
        <f t="shared" si="92"/>
        <v>0</v>
      </c>
      <c r="CL307" s="53">
        <f t="shared" si="92"/>
        <v>0</v>
      </c>
      <c r="CM307" s="53">
        <f t="shared" si="92"/>
        <v>0</v>
      </c>
      <c r="CN307" s="53">
        <f t="shared" si="92"/>
        <v>0</v>
      </c>
      <c r="CO307" s="53">
        <f t="shared" si="92"/>
        <v>0</v>
      </c>
      <c r="CP307" s="53">
        <f t="shared" si="92"/>
        <v>0</v>
      </c>
      <c r="CQ307" s="53">
        <f t="shared" si="92"/>
        <v>0</v>
      </c>
      <c r="CR307" s="53">
        <f t="shared" si="92"/>
        <v>0</v>
      </c>
      <c r="CS307" s="53">
        <f t="shared" si="92"/>
        <v>0</v>
      </c>
      <c r="CT307" s="53">
        <f t="shared" si="92"/>
        <v>0</v>
      </c>
      <c r="CU307" s="53">
        <f t="shared" si="92"/>
        <v>0</v>
      </c>
      <c r="CV307" s="53">
        <f t="shared" si="92"/>
        <v>0</v>
      </c>
      <c r="CW307" s="53">
        <f t="shared" si="92"/>
        <v>0</v>
      </c>
      <c r="CX307" s="53">
        <f t="shared" si="92"/>
        <v>0</v>
      </c>
      <c r="DB307" s="2" vm="556">
        <f ca="1">IF(Returns!A311&lt;&gt;0,Returns!A311,"")</f>
        <v>42345</v>
      </c>
      <c r="DC307" s="11">
        <f ca="1">IF(Returns!B322&gt;0,Returns!B322/Returns!B321-1,"")</f>
        <v>3.8007104131613456E-2</v>
      </c>
      <c r="DD307" s="11">
        <f ca="1">IF(Returns!D314&gt;0,Returns!D314/Returns!D313-1,"")</f>
        <v>-7.2434927795272941E-3</v>
      </c>
    </row>
    <row r="308" spans="2:108" x14ac:dyDescent="0.3">
      <c r="B308" s="57">
        <f t="shared" ca="1" si="6"/>
        <v>7.3526503950224352E-4</v>
      </c>
      <c r="C308" s="53">
        <f t="shared" ref="C308:BN308" si="93">IFERROR(IF(C$262=0,0,(C49-C50)/C50),0)</f>
        <v>0</v>
      </c>
      <c r="D308" s="53">
        <f t="shared" si="93"/>
        <v>0</v>
      </c>
      <c r="E308" s="53">
        <f t="shared" si="93"/>
        <v>0</v>
      </c>
      <c r="F308" s="53">
        <f t="shared" si="93"/>
        <v>0</v>
      </c>
      <c r="G308" s="53">
        <f t="shared" si="93"/>
        <v>0</v>
      </c>
      <c r="H308" s="53">
        <f t="shared" si="93"/>
        <v>0</v>
      </c>
      <c r="I308" s="53">
        <f t="shared" si="93"/>
        <v>0</v>
      </c>
      <c r="J308" s="53">
        <f t="shared" si="93"/>
        <v>0</v>
      </c>
      <c r="K308" s="53">
        <f t="shared" si="93"/>
        <v>0</v>
      </c>
      <c r="L308" s="53">
        <f t="shared" si="93"/>
        <v>0</v>
      </c>
      <c r="M308" s="53">
        <f t="shared" si="93"/>
        <v>0</v>
      </c>
      <c r="N308" s="53">
        <f t="shared" si="93"/>
        <v>0</v>
      </c>
      <c r="O308" s="53">
        <f t="shared" si="93"/>
        <v>0</v>
      </c>
      <c r="P308" s="53">
        <f t="shared" si="93"/>
        <v>0</v>
      </c>
      <c r="Q308" s="53">
        <f t="shared" si="93"/>
        <v>0</v>
      </c>
      <c r="R308" s="53">
        <f t="shared" si="93"/>
        <v>0</v>
      </c>
      <c r="S308" s="53">
        <f t="shared" si="93"/>
        <v>0</v>
      </c>
      <c r="T308" s="53">
        <f t="shared" si="93"/>
        <v>0</v>
      </c>
      <c r="U308" s="53">
        <f t="shared" si="93"/>
        <v>0</v>
      </c>
      <c r="V308" s="53">
        <f t="shared" si="93"/>
        <v>0</v>
      </c>
      <c r="W308" s="53">
        <f t="shared" si="93"/>
        <v>0</v>
      </c>
      <c r="X308" s="53">
        <f t="shared" si="93"/>
        <v>0</v>
      </c>
      <c r="Y308" s="53">
        <f t="shared" si="93"/>
        <v>0</v>
      </c>
      <c r="Z308" s="53">
        <f t="shared" si="93"/>
        <v>0</v>
      </c>
      <c r="AA308" s="53">
        <f t="shared" si="93"/>
        <v>0</v>
      </c>
      <c r="AB308" s="53">
        <f t="shared" si="93"/>
        <v>0</v>
      </c>
      <c r="AC308" s="53">
        <f t="shared" si="93"/>
        <v>0</v>
      </c>
      <c r="AD308" s="53">
        <f t="shared" si="93"/>
        <v>0</v>
      </c>
      <c r="AE308" s="53">
        <f t="shared" si="93"/>
        <v>0</v>
      </c>
      <c r="AF308" s="53">
        <f t="shared" si="93"/>
        <v>0</v>
      </c>
      <c r="AG308" s="53">
        <f t="shared" si="93"/>
        <v>0</v>
      </c>
      <c r="AH308" s="53">
        <f t="shared" si="93"/>
        <v>0</v>
      </c>
      <c r="AI308" s="53">
        <f t="shared" si="93"/>
        <v>0</v>
      </c>
      <c r="AJ308" s="53">
        <f t="shared" si="93"/>
        <v>0</v>
      </c>
      <c r="AK308" s="53">
        <f t="shared" si="93"/>
        <v>0</v>
      </c>
      <c r="AL308" s="53">
        <f t="shared" si="93"/>
        <v>0</v>
      </c>
      <c r="AM308" s="53">
        <f t="shared" si="93"/>
        <v>0</v>
      </c>
      <c r="AN308" s="53">
        <f t="shared" si="93"/>
        <v>0</v>
      </c>
      <c r="AO308" s="53">
        <f t="shared" si="93"/>
        <v>0</v>
      </c>
      <c r="AP308" s="53">
        <f t="shared" si="93"/>
        <v>0</v>
      </c>
      <c r="AQ308" s="53">
        <f t="shared" si="93"/>
        <v>0</v>
      </c>
      <c r="AR308" s="53">
        <f t="shared" si="93"/>
        <v>0</v>
      </c>
      <c r="AS308" s="53">
        <f t="shared" si="93"/>
        <v>0</v>
      </c>
      <c r="AT308" s="53">
        <f t="shared" si="93"/>
        <v>0</v>
      </c>
      <c r="AU308" s="53">
        <f t="shared" si="93"/>
        <v>0</v>
      </c>
      <c r="AV308" s="53">
        <f t="shared" si="93"/>
        <v>0</v>
      </c>
      <c r="AW308" s="53">
        <f t="shared" si="93"/>
        <v>0</v>
      </c>
      <c r="AX308" s="53">
        <f t="shared" si="93"/>
        <v>0</v>
      </c>
      <c r="AY308" s="53">
        <f t="shared" si="93"/>
        <v>0</v>
      </c>
      <c r="AZ308" s="53">
        <f t="shared" si="93"/>
        <v>0</v>
      </c>
      <c r="BA308" s="53">
        <f t="shared" si="93"/>
        <v>0</v>
      </c>
      <c r="BB308" s="53">
        <f t="shared" si="93"/>
        <v>0</v>
      </c>
      <c r="BC308" s="53">
        <f t="shared" si="93"/>
        <v>0</v>
      </c>
      <c r="BD308" s="53">
        <f t="shared" si="93"/>
        <v>0</v>
      </c>
      <c r="BE308" s="53">
        <f t="shared" si="93"/>
        <v>0</v>
      </c>
      <c r="BF308" s="53">
        <f t="shared" si="93"/>
        <v>0</v>
      </c>
      <c r="BG308" s="53">
        <f t="shared" si="93"/>
        <v>0</v>
      </c>
      <c r="BH308" s="53">
        <f t="shared" si="93"/>
        <v>0</v>
      </c>
      <c r="BI308" s="53">
        <f t="shared" si="93"/>
        <v>0</v>
      </c>
      <c r="BJ308" s="53">
        <f t="shared" si="93"/>
        <v>0</v>
      </c>
      <c r="BK308" s="53">
        <f t="shared" si="93"/>
        <v>0</v>
      </c>
      <c r="BL308" s="53">
        <f t="shared" si="93"/>
        <v>0</v>
      </c>
      <c r="BM308" s="53">
        <f t="shared" si="93"/>
        <v>0</v>
      </c>
      <c r="BN308" s="53">
        <f t="shared" si="93"/>
        <v>0</v>
      </c>
      <c r="BO308" s="53">
        <f t="shared" ref="BO308:CX308" si="94">IFERROR(IF(BO$262=0,0,(BO49-BO50)/BO50),0)</f>
        <v>0</v>
      </c>
      <c r="BP308" s="53">
        <f t="shared" si="94"/>
        <v>0</v>
      </c>
      <c r="BQ308" s="53">
        <f t="shared" si="94"/>
        <v>0</v>
      </c>
      <c r="BR308" s="53">
        <f t="shared" si="94"/>
        <v>0</v>
      </c>
      <c r="BS308" s="53">
        <f t="shared" si="94"/>
        <v>0</v>
      </c>
      <c r="BT308" s="53">
        <f t="shared" si="94"/>
        <v>0</v>
      </c>
      <c r="BU308" s="53">
        <f t="shared" si="94"/>
        <v>0</v>
      </c>
      <c r="BV308" s="53">
        <f t="shared" si="94"/>
        <v>0</v>
      </c>
      <c r="BW308" s="53">
        <f t="shared" si="94"/>
        <v>0</v>
      </c>
      <c r="BX308" s="53">
        <f t="shared" si="94"/>
        <v>0</v>
      </c>
      <c r="BY308" s="53">
        <f t="shared" si="94"/>
        <v>0</v>
      </c>
      <c r="BZ308" s="53">
        <f t="shared" si="94"/>
        <v>0</v>
      </c>
      <c r="CA308" s="53">
        <f t="shared" si="94"/>
        <v>0</v>
      </c>
      <c r="CB308" s="53">
        <f t="shared" si="94"/>
        <v>0</v>
      </c>
      <c r="CC308" s="53">
        <f t="shared" si="94"/>
        <v>0</v>
      </c>
      <c r="CD308" s="53">
        <f t="shared" si="94"/>
        <v>0</v>
      </c>
      <c r="CE308" s="53">
        <f t="shared" si="94"/>
        <v>0</v>
      </c>
      <c r="CF308" s="53">
        <f t="shared" si="94"/>
        <v>0</v>
      </c>
      <c r="CG308" s="53">
        <f t="shared" si="94"/>
        <v>0</v>
      </c>
      <c r="CH308" s="53">
        <f t="shared" si="94"/>
        <v>0</v>
      </c>
      <c r="CI308" s="53">
        <f t="shared" si="94"/>
        <v>0</v>
      </c>
      <c r="CJ308" s="53">
        <f t="shared" si="94"/>
        <v>0</v>
      </c>
      <c r="CK308" s="53">
        <f t="shared" si="94"/>
        <v>0</v>
      </c>
      <c r="CL308" s="53">
        <f t="shared" si="94"/>
        <v>0</v>
      </c>
      <c r="CM308" s="53">
        <f t="shared" si="94"/>
        <v>0</v>
      </c>
      <c r="CN308" s="53">
        <f t="shared" si="94"/>
        <v>0</v>
      </c>
      <c r="CO308" s="53">
        <f t="shared" si="94"/>
        <v>0</v>
      </c>
      <c r="CP308" s="53">
        <f t="shared" si="94"/>
        <v>0</v>
      </c>
      <c r="CQ308" s="53">
        <f t="shared" si="94"/>
        <v>0</v>
      </c>
      <c r="CR308" s="53">
        <f t="shared" si="94"/>
        <v>0</v>
      </c>
      <c r="CS308" s="53">
        <f t="shared" si="94"/>
        <v>0</v>
      </c>
      <c r="CT308" s="53">
        <f t="shared" si="94"/>
        <v>0</v>
      </c>
      <c r="CU308" s="53">
        <f t="shared" si="94"/>
        <v>0</v>
      </c>
      <c r="CV308" s="53">
        <f t="shared" si="94"/>
        <v>0</v>
      </c>
      <c r="CW308" s="53">
        <f t="shared" si="94"/>
        <v>0</v>
      </c>
      <c r="CX308" s="53">
        <f t="shared" si="94"/>
        <v>0</v>
      </c>
      <c r="DB308" s="2" vm="557">
        <f ca="1">IF(Returns!A312&lt;&gt;0,Returns!A312,"")</f>
        <v>42352</v>
      </c>
      <c r="DC308" s="11">
        <f ca="1">IF(Returns!B323&gt;0,Returns!B323/Returns!B322-1,"")</f>
        <v>3.585901338184172E-2</v>
      </c>
      <c r="DD308" s="11">
        <f ca="1">IF(Returns!D315&gt;0,Returns!D315/Returns!D314-1,"")</f>
        <v>-6.1898073086100514E-2</v>
      </c>
    </row>
    <row r="309" spans="2:108" x14ac:dyDescent="0.3">
      <c r="B309" s="57">
        <f t="shared" ca="1" si="6"/>
        <v>2.7517810210826162E-4</v>
      </c>
      <c r="C309" s="53">
        <f t="shared" ref="C309:BN309" si="95">IFERROR(IF(C$262=0,0,(C50-C51)/C51),0)</f>
        <v>0</v>
      </c>
      <c r="D309" s="53">
        <f t="shared" si="95"/>
        <v>0</v>
      </c>
      <c r="E309" s="53">
        <f t="shared" si="95"/>
        <v>0</v>
      </c>
      <c r="F309" s="53">
        <f t="shared" si="95"/>
        <v>0</v>
      </c>
      <c r="G309" s="53">
        <f t="shared" si="95"/>
        <v>0</v>
      </c>
      <c r="H309" s="53">
        <f t="shared" si="95"/>
        <v>0</v>
      </c>
      <c r="I309" s="53">
        <f t="shared" si="95"/>
        <v>0</v>
      </c>
      <c r="J309" s="53">
        <f t="shared" si="95"/>
        <v>0</v>
      </c>
      <c r="K309" s="53">
        <f t="shared" si="95"/>
        <v>0</v>
      </c>
      <c r="L309" s="53">
        <f t="shared" si="95"/>
        <v>0</v>
      </c>
      <c r="M309" s="53">
        <f t="shared" si="95"/>
        <v>0</v>
      </c>
      <c r="N309" s="53">
        <f t="shared" si="95"/>
        <v>0</v>
      </c>
      <c r="O309" s="53">
        <f t="shared" si="95"/>
        <v>0</v>
      </c>
      <c r="P309" s="53">
        <f t="shared" si="95"/>
        <v>0</v>
      </c>
      <c r="Q309" s="53">
        <f t="shared" si="95"/>
        <v>0</v>
      </c>
      <c r="R309" s="53">
        <f t="shared" si="95"/>
        <v>0</v>
      </c>
      <c r="S309" s="53">
        <f t="shared" si="95"/>
        <v>0</v>
      </c>
      <c r="T309" s="53">
        <f t="shared" si="95"/>
        <v>0</v>
      </c>
      <c r="U309" s="53">
        <f t="shared" si="95"/>
        <v>0</v>
      </c>
      <c r="V309" s="53">
        <f t="shared" si="95"/>
        <v>0</v>
      </c>
      <c r="W309" s="53">
        <f t="shared" si="95"/>
        <v>0</v>
      </c>
      <c r="X309" s="53">
        <f t="shared" si="95"/>
        <v>0</v>
      </c>
      <c r="Y309" s="53">
        <f t="shared" si="95"/>
        <v>0</v>
      </c>
      <c r="Z309" s="53">
        <f t="shared" si="95"/>
        <v>0</v>
      </c>
      <c r="AA309" s="53">
        <f t="shared" si="95"/>
        <v>0</v>
      </c>
      <c r="AB309" s="53">
        <f t="shared" si="95"/>
        <v>0</v>
      </c>
      <c r="AC309" s="53">
        <f t="shared" si="95"/>
        <v>0</v>
      </c>
      <c r="AD309" s="53">
        <f t="shared" si="95"/>
        <v>0</v>
      </c>
      <c r="AE309" s="53">
        <f t="shared" si="95"/>
        <v>0</v>
      </c>
      <c r="AF309" s="53">
        <f t="shared" si="95"/>
        <v>0</v>
      </c>
      <c r="AG309" s="53">
        <f t="shared" si="95"/>
        <v>0</v>
      </c>
      <c r="AH309" s="53">
        <f t="shared" si="95"/>
        <v>0</v>
      </c>
      <c r="AI309" s="53">
        <f t="shared" si="95"/>
        <v>0</v>
      </c>
      <c r="AJ309" s="53">
        <f t="shared" si="95"/>
        <v>0</v>
      </c>
      <c r="AK309" s="53">
        <f t="shared" si="95"/>
        <v>0</v>
      </c>
      <c r="AL309" s="53">
        <f t="shared" si="95"/>
        <v>0</v>
      </c>
      <c r="AM309" s="53">
        <f t="shared" si="95"/>
        <v>0</v>
      </c>
      <c r="AN309" s="53">
        <f t="shared" si="95"/>
        <v>0</v>
      </c>
      <c r="AO309" s="53">
        <f t="shared" si="95"/>
        <v>0</v>
      </c>
      <c r="AP309" s="53">
        <f t="shared" si="95"/>
        <v>0</v>
      </c>
      <c r="AQ309" s="53">
        <f t="shared" si="95"/>
        <v>0</v>
      </c>
      <c r="AR309" s="53">
        <f t="shared" si="95"/>
        <v>0</v>
      </c>
      <c r="AS309" s="53">
        <f t="shared" si="95"/>
        <v>0</v>
      </c>
      <c r="AT309" s="53">
        <f t="shared" si="95"/>
        <v>0</v>
      </c>
      <c r="AU309" s="53">
        <f t="shared" si="95"/>
        <v>0</v>
      </c>
      <c r="AV309" s="53">
        <f t="shared" si="95"/>
        <v>0</v>
      </c>
      <c r="AW309" s="53">
        <f t="shared" si="95"/>
        <v>0</v>
      </c>
      <c r="AX309" s="53">
        <f t="shared" si="95"/>
        <v>0</v>
      </c>
      <c r="AY309" s="53">
        <f t="shared" si="95"/>
        <v>0</v>
      </c>
      <c r="AZ309" s="53">
        <f t="shared" si="95"/>
        <v>0</v>
      </c>
      <c r="BA309" s="53">
        <f t="shared" si="95"/>
        <v>0</v>
      </c>
      <c r="BB309" s="53">
        <f t="shared" si="95"/>
        <v>0</v>
      </c>
      <c r="BC309" s="53">
        <f t="shared" si="95"/>
        <v>0</v>
      </c>
      <c r="BD309" s="53">
        <f t="shared" si="95"/>
        <v>0</v>
      </c>
      <c r="BE309" s="53">
        <f t="shared" si="95"/>
        <v>0</v>
      </c>
      <c r="BF309" s="53">
        <f t="shared" si="95"/>
        <v>0</v>
      </c>
      <c r="BG309" s="53">
        <f t="shared" si="95"/>
        <v>0</v>
      </c>
      <c r="BH309" s="53">
        <f t="shared" si="95"/>
        <v>0</v>
      </c>
      <c r="BI309" s="53">
        <f t="shared" si="95"/>
        <v>0</v>
      </c>
      <c r="BJ309" s="53">
        <f t="shared" si="95"/>
        <v>0</v>
      </c>
      <c r="BK309" s="53">
        <f t="shared" si="95"/>
        <v>0</v>
      </c>
      <c r="BL309" s="53">
        <f t="shared" si="95"/>
        <v>0</v>
      </c>
      <c r="BM309" s="53">
        <f t="shared" si="95"/>
        <v>0</v>
      </c>
      <c r="BN309" s="53">
        <f t="shared" si="95"/>
        <v>0</v>
      </c>
      <c r="BO309" s="53">
        <f t="shared" ref="BO309:CX309" si="96">IFERROR(IF(BO$262=0,0,(BO50-BO51)/BO51),0)</f>
        <v>0</v>
      </c>
      <c r="BP309" s="53">
        <f t="shared" si="96"/>
        <v>0</v>
      </c>
      <c r="BQ309" s="53">
        <f t="shared" si="96"/>
        <v>0</v>
      </c>
      <c r="BR309" s="53">
        <f t="shared" si="96"/>
        <v>0</v>
      </c>
      <c r="BS309" s="53">
        <f t="shared" si="96"/>
        <v>0</v>
      </c>
      <c r="BT309" s="53">
        <f t="shared" si="96"/>
        <v>0</v>
      </c>
      <c r="BU309" s="53">
        <f t="shared" si="96"/>
        <v>0</v>
      </c>
      <c r="BV309" s="53">
        <f t="shared" si="96"/>
        <v>0</v>
      </c>
      <c r="BW309" s="53">
        <f t="shared" si="96"/>
        <v>0</v>
      </c>
      <c r="BX309" s="53">
        <f t="shared" si="96"/>
        <v>0</v>
      </c>
      <c r="BY309" s="53">
        <f t="shared" si="96"/>
        <v>0</v>
      </c>
      <c r="BZ309" s="53">
        <f t="shared" si="96"/>
        <v>0</v>
      </c>
      <c r="CA309" s="53">
        <f t="shared" si="96"/>
        <v>0</v>
      </c>
      <c r="CB309" s="53">
        <f t="shared" si="96"/>
        <v>0</v>
      </c>
      <c r="CC309" s="53">
        <f t="shared" si="96"/>
        <v>0</v>
      </c>
      <c r="CD309" s="53">
        <f t="shared" si="96"/>
        <v>0</v>
      </c>
      <c r="CE309" s="53">
        <f t="shared" si="96"/>
        <v>0</v>
      </c>
      <c r="CF309" s="53">
        <f t="shared" si="96"/>
        <v>0</v>
      </c>
      <c r="CG309" s="53">
        <f t="shared" si="96"/>
        <v>0</v>
      </c>
      <c r="CH309" s="53">
        <f t="shared" si="96"/>
        <v>0</v>
      </c>
      <c r="CI309" s="53">
        <f t="shared" si="96"/>
        <v>0</v>
      </c>
      <c r="CJ309" s="53">
        <f t="shared" si="96"/>
        <v>0</v>
      </c>
      <c r="CK309" s="53">
        <f t="shared" si="96"/>
        <v>0</v>
      </c>
      <c r="CL309" s="53">
        <f t="shared" si="96"/>
        <v>0</v>
      </c>
      <c r="CM309" s="53">
        <f t="shared" si="96"/>
        <v>0</v>
      </c>
      <c r="CN309" s="53">
        <f t="shared" si="96"/>
        <v>0</v>
      </c>
      <c r="CO309" s="53">
        <f t="shared" si="96"/>
        <v>0</v>
      </c>
      <c r="CP309" s="53">
        <f t="shared" si="96"/>
        <v>0</v>
      </c>
      <c r="CQ309" s="53">
        <f t="shared" si="96"/>
        <v>0</v>
      </c>
      <c r="CR309" s="53">
        <f t="shared" si="96"/>
        <v>0</v>
      </c>
      <c r="CS309" s="53">
        <f t="shared" si="96"/>
        <v>0</v>
      </c>
      <c r="CT309" s="53">
        <f t="shared" si="96"/>
        <v>0</v>
      </c>
      <c r="CU309" s="53">
        <f t="shared" si="96"/>
        <v>0</v>
      </c>
      <c r="CV309" s="53">
        <f t="shared" si="96"/>
        <v>0</v>
      </c>
      <c r="CW309" s="53">
        <f t="shared" si="96"/>
        <v>0</v>
      </c>
      <c r="CX309" s="53">
        <f t="shared" si="96"/>
        <v>0</v>
      </c>
      <c r="DB309" s="2" vm="558">
        <f ca="1">IF(Returns!A313&lt;&gt;0,Returns!A313,"")</f>
        <v>42359</v>
      </c>
      <c r="DC309" s="11">
        <f ca="1">IF(Returns!B324&gt;0,Returns!B324/Returns!B323-1,"")</f>
        <v>-9.6150502486351819E-3</v>
      </c>
      <c r="DD309" s="11">
        <f ca="1">IF(Returns!D316&gt;0,Returns!D316/Returns!D315-1,"")</f>
        <v>-2.1923557361343216E-2</v>
      </c>
    </row>
    <row r="310" spans="2:108" x14ac:dyDescent="0.3">
      <c r="B310" s="57">
        <f t="shared" ca="1" si="6"/>
        <v>1.0312970281024894E-4</v>
      </c>
      <c r="C310" s="53">
        <f t="shared" ref="C310:BN310" si="97">IFERROR(IF(C$262=0,0,(C51-C52)/C52),0)</f>
        <v>0</v>
      </c>
      <c r="D310" s="53">
        <f t="shared" si="97"/>
        <v>0</v>
      </c>
      <c r="E310" s="53">
        <f t="shared" si="97"/>
        <v>0</v>
      </c>
      <c r="F310" s="53">
        <f t="shared" si="97"/>
        <v>0</v>
      </c>
      <c r="G310" s="53">
        <f t="shared" si="97"/>
        <v>0</v>
      </c>
      <c r="H310" s="53">
        <f t="shared" si="97"/>
        <v>0</v>
      </c>
      <c r="I310" s="53">
        <f t="shared" si="97"/>
        <v>0</v>
      </c>
      <c r="J310" s="53">
        <f t="shared" si="97"/>
        <v>0</v>
      </c>
      <c r="K310" s="53">
        <f t="shared" si="97"/>
        <v>0</v>
      </c>
      <c r="L310" s="53">
        <f t="shared" si="97"/>
        <v>0</v>
      </c>
      <c r="M310" s="53">
        <f t="shared" si="97"/>
        <v>0</v>
      </c>
      <c r="N310" s="53">
        <f t="shared" si="97"/>
        <v>0</v>
      </c>
      <c r="O310" s="53">
        <f t="shared" si="97"/>
        <v>0</v>
      </c>
      <c r="P310" s="53">
        <f t="shared" si="97"/>
        <v>0</v>
      </c>
      <c r="Q310" s="53">
        <f t="shared" si="97"/>
        <v>0</v>
      </c>
      <c r="R310" s="53">
        <f t="shared" si="97"/>
        <v>0</v>
      </c>
      <c r="S310" s="53">
        <f t="shared" si="97"/>
        <v>0</v>
      </c>
      <c r="T310" s="53">
        <f t="shared" si="97"/>
        <v>0</v>
      </c>
      <c r="U310" s="53">
        <f t="shared" si="97"/>
        <v>0</v>
      </c>
      <c r="V310" s="53">
        <f t="shared" si="97"/>
        <v>0</v>
      </c>
      <c r="W310" s="53">
        <f t="shared" si="97"/>
        <v>0</v>
      </c>
      <c r="X310" s="53">
        <f t="shared" si="97"/>
        <v>0</v>
      </c>
      <c r="Y310" s="53">
        <f t="shared" si="97"/>
        <v>0</v>
      </c>
      <c r="Z310" s="53">
        <f t="shared" si="97"/>
        <v>0</v>
      </c>
      <c r="AA310" s="53">
        <f t="shared" si="97"/>
        <v>0</v>
      </c>
      <c r="AB310" s="53">
        <f t="shared" si="97"/>
        <v>0</v>
      </c>
      <c r="AC310" s="53">
        <f t="shared" si="97"/>
        <v>0</v>
      </c>
      <c r="AD310" s="53">
        <f t="shared" si="97"/>
        <v>0</v>
      </c>
      <c r="AE310" s="53">
        <f t="shared" si="97"/>
        <v>0</v>
      </c>
      <c r="AF310" s="53">
        <f t="shared" si="97"/>
        <v>0</v>
      </c>
      <c r="AG310" s="53">
        <f t="shared" si="97"/>
        <v>0</v>
      </c>
      <c r="AH310" s="53">
        <f t="shared" si="97"/>
        <v>0</v>
      </c>
      <c r="AI310" s="53">
        <f t="shared" si="97"/>
        <v>0</v>
      </c>
      <c r="AJ310" s="53">
        <f t="shared" si="97"/>
        <v>0</v>
      </c>
      <c r="AK310" s="53">
        <f t="shared" si="97"/>
        <v>0</v>
      </c>
      <c r="AL310" s="53">
        <f t="shared" si="97"/>
        <v>0</v>
      </c>
      <c r="AM310" s="53">
        <f t="shared" si="97"/>
        <v>0</v>
      </c>
      <c r="AN310" s="53">
        <f t="shared" si="97"/>
        <v>0</v>
      </c>
      <c r="AO310" s="53">
        <f t="shared" si="97"/>
        <v>0</v>
      </c>
      <c r="AP310" s="53">
        <f t="shared" si="97"/>
        <v>0</v>
      </c>
      <c r="AQ310" s="53">
        <f t="shared" si="97"/>
        <v>0</v>
      </c>
      <c r="AR310" s="53">
        <f t="shared" si="97"/>
        <v>0</v>
      </c>
      <c r="AS310" s="53">
        <f t="shared" si="97"/>
        <v>0</v>
      </c>
      <c r="AT310" s="53">
        <f t="shared" si="97"/>
        <v>0</v>
      </c>
      <c r="AU310" s="53">
        <f t="shared" si="97"/>
        <v>0</v>
      </c>
      <c r="AV310" s="53">
        <f t="shared" si="97"/>
        <v>0</v>
      </c>
      <c r="AW310" s="53">
        <f t="shared" si="97"/>
        <v>0</v>
      </c>
      <c r="AX310" s="53">
        <f t="shared" si="97"/>
        <v>0</v>
      </c>
      <c r="AY310" s="53">
        <f t="shared" si="97"/>
        <v>0</v>
      </c>
      <c r="AZ310" s="53">
        <f t="shared" si="97"/>
        <v>0</v>
      </c>
      <c r="BA310" s="53">
        <f t="shared" si="97"/>
        <v>0</v>
      </c>
      <c r="BB310" s="53">
        <f t="shared" si="97"/>
        <v>0</v>
      </c>
      <c r="BC310" s="53">
        <f t="shared" si="97"/>
        <v>0</v>
      </c>
      <c r="BD310" s="53">
        <f t="shared" si="97"/>
        <v>0</v>
      </c>
      <c r="BE310" s="53">
        <f t="shared" si="97"/>
        <v>0</v>
      </c>
      <c r="BF310" s="53">
        <f t="shared" si="97"/>
        <v>0</v>
      </c>
      <c r="BG310" s="53">
        <f t="shared" si="97"/>
        <v>0</v>
      </c>
      <c r="BH310" s="53">
        <f t="shared" si="97"/>
        <v>0</v>
      </c>
      <c r="BI310" s="53">
        <f t="shared" si="97"/>
        <v>0</v>
      </c>
      <c r="BJ310" s="53">
        <f t="shared" si="97"/>
        <v>0</v>
      </c>
      <c r="BK310" s="53">
        <f t="shared" si="97"/>
        <v>0</v>
      </c>
      <c r="BL310" s="53">
        <f t="shared" si="97"/>
        <v>0</v>
      </c>
      <c r="BM310" s="53">
        <f t="shared" si="97"/>
        <v>0</v>
      </c>
      <c r="BN310" s="53">
        <f t="shared" si="97"/>
        <v>0</v>
      </c>
      <c r="BO310" s="53">
        <f t="shared" ref="BO310:CX310" si="98">IFERROR(IF(BO$262=0,0,(BO51-BO52)/BO52),0)</f>
        <v>0</v>
      </c>
      <c r="BP310" s="53">
        <f t="shared" si="98"/>
        <v>0</v>
      </c>
      <c r="BQ310" s="53">
        <f t="shared" si="98"/>
        <v>0</v>
      </c>
      <c r="BR310" s="53">
        <f t="shared" si="98"/>
        <v>0</v>
      </c>
      <c r="BS310" s="53">
        <f t="shared" si="98"/>
        <v>0</v>
      </c>
      <c r="BT310" s="53">
        <f t="shared" si="98"/>
        <v>0</v>
      </c>
      <c r="BU310" s="53">
        <f t="shared" si="98"/>
        <v>0</v>
      </c>
      <c r="BV310" s="53">
        <f t="shared" si="98"/>
        <v>0</v>
      </c>
      <c r="BW310" s="53">
        <f t="shared" si="98"/>
        <v>0</v>
      </c>
      <c r="BX310" s="53">
        <f t="shared" si="98"/>
        <v>0</v>
      </c>
      <c r="BY310" s="53">
        <f t="shared" si="98"/>
        <v>0</v>
      </c>
      <c r="BZ310" s="53">
        <f t="shared" si="98"/>
        <v>0</v>
      </c>
      <c r="CA310" s="53">
        <f t="shared" si="98"/>
        <v>0</v>
      </c>
      <c r="CB310" s="53">
        <f t="shared" si="98"/>
        <v>0</v>
      </c>
      <c r="CC310" s="53">
        <f t="shared" si="98"/>
        <v>0</v>
      </c>
      <c r="CD310" s="53">
        <f t="shared" si="98"/>
        <v>0</v>
      </c>
      <c r="CE310" s="53">
        <f t="shared" si="98"/>
        <v>0</v>
      </c>
      <c r="CF310" s="53">
        <f t="shared" si="98"/>
        <v>0</v>
      </c>
      <c r="CG310" s="53">
        <f t="shared" si="98"/>
        <v>0</v>
      </c>
      <c r="CH310" s="53">
        <f t="shared" si="98"/>
        <v>0</v>
      </c>
      <c r="CI310" s="53">
        <f t="shared" si="98"/>
        <v>0</v>
      </c>
      <c r="CJ310" s="53">
        <f t="shared" si="98"/>
        <v>0</v>
      </c>
      <c r="CK310" s="53">
        <f t="shared" si="98"/>
        <v>0</v>
      </c>
      <c r="CL310" s="53">
        <f t="shared" si="98"/>
        <v>0</v>
      </c>
      <c r="CM310" s="53">
        <f t="shared" si="98"/>
        <v>0</v>
      </c>
      <c r="CN310" s="53">
        <f t="shared" si="98"/>
        <v>0</v>
      </c>
      <c r="CO310" s="53">
        <f t="shared" si="98"/>
        <v>0</v>
      </c>
      <c r="CP310" s="53">
        <f t="shared" si="98"/>
        <v>0</v>
      </c>
      <c r="CQ310" s="53">
        <f t="shared" si="98"/>
        <v>0</v>
      </c>
      <c r="CR310" s="53">
        <f t="shared" si="98"/>
        <v>0</v>
      </c>
      <c r="CS310" s="53">
        <f t="shared" si="98"/>
        <v>0</v>
      </c>
      <c r="CT310" s="53">
        <f t="shared" si="98"/>
        <v>0</v>
      </c>
      <c r="CU310" s="53">
        <f t="shared" si="98"/>
        <v>0</v>
      </c>
      <c r="CV310" s="53">
        <f t="shared" si="98"/>
        <v>0</v>
      </c>
      <c r="CW310" s="53">
        <f t="shared" si="98"/>
        <v>0</v>
      </c>
      <c r="CX310" s="53">
        <f t="shared" si="98"/>
        <v>0</v>
      </c>
      <c r="DB310" s="2" vm="559">
        <f ca="1">IF(Returns!A314&lt;&gt;0,Returns!A314,"")</f>
        <v>42366</v>
      </c>
      <c r="DC310" s="11">
        <f ca="1">IF(Returns!B325&gt;0,Returns!B325/Returns!B324-1,"")</f>
        <v>-3.0775442846860179E-2</v>
      </c>
      <c r="DD310" s="11">
        <f ca="1">IF(Returns!D317&gt;0,Returns!D317/Returns!D316-1,"")</f>
        <v>6.5942749875804729E-3</v>
      </c>
    </row>
    <row r="311" spans="2:108" x14ac:dyDescent="0.3">
      <c r="B311" s="57">
        <f t="shared" ca="1" si="6"/>
        <v>4.4672248530671244E-4</v>
      </c>
      <c r="C311" s="53">
        <f t="shared" ref="C311:BN311" si="99">IFERROR(IF(C$262=0,0,(C52-C53)/C53),0)</f>
        <v>0</v>
      </c>
      <c r="D311" s="53">
        <f t="shared" si="99"/>
        <v>0</v>
      </c>
      <c r="E311" s="53">
        <f t="shared" si="99"/>
        <v>0</v>
      </c>
      <c r="F311" s="53">
        <f t="shared" si="99"/>
        <v>0</v>
      </c>
      <c r="G311" s="53">
        <f t="shared" si="99"/>
        <v>0</v>
      </c>
      <c r="H311" s="53">
        <f t="shared" si="99"/>
        <v>0</v>
      </c>
      <c r="I311" s="53">
        <f t="shared" si="99"/>
        <v>0</v>
      </c>
      <c r="J311" s="53">
        <f t="shared" si="99"/>
        <v>0</v>
      </c>
      <c r="K311" s="53">
        <f t="shared" si="99"/>
        <v>0</v>
      </c>
      <c r="L311" s="53">
        <f t="shared" si="99"/>
        <v>0</v>
      </c>
      <c r="M311" s="53">
        <f t="shared" si="99"/>
        <v>0</v>
      </c>
      <c r="N311" s="53">
        <f t="shared" si="99"/>
        <v>0</v>
      </c>
      <c r="O311" s="53">
        <f t="shared" si="99"/>
        <v>0</v>
      </c>
      <c r="P311" s="53">
        <f t="shared" si="99"/>
        <v>0</v>
      </c>
      <c r="Q311" s="53">
        <f t="shared" si="99"/>
        <v>0</v>
      </c>
      <c r="R311" s="53">
        <f t="shared" si="99"/>
        <v>0</v>
      </c>
      <c r="S311" s="53">
        <f t="shared" si="99"/>
        <v>0</v>
      </c>
      <c r="T311" s="53">
        <f t="shared" si="99"/>
        <v>0</v>
      </c>
      <c r="U311" s="53">
        <f t="shared" si="99"/>
        <v>0</v>
      </c>
      <c r="V311" s="53">
        <f t="shared" si="99"/>
        <v>0</v>
      </c>
      <c r="W311" s="53">
        <f t="shared" si="99"/>
        <v>0</v>
      </c>
      <c r="X311" s="53">
        <f t="shared" si="99"/>
        <v>0</v>
      </c>
      <c r="Y311" s="53">
        <f t="shared" si="99"/>
        <v>0</v>
      </c>
      <c r="Z311" s="53">
        <f t="shared" si="99"/>
        <v>0</v>
      </c>
      <c r="AA311" s="53">
        <f t="shared" si="99"/>
        <v>0</v>
      </c>
      <c r="AB311" s="53">
        <f t="shared" si="99"/>
        <v>0</v>
      </c>
      <c r="AC311" s="53">
        <f t="shared" si="99"/>
        <v>0</v>
      </c>
      <c r="AD311" s="53">
        <f t="shared" si="99"/>
        <v>0</v>
      </c>
      <c r="AE311" s="53">
        <f t="shared" si="99"/>
        <v>0</v>
      </c>
      <c r="AF311" s="53">
        <f t="shared" si="99"/>
        <v>0</v>
      </c>
      <c r="AG311" s="53">
        <f t="shared" si="99"/>
        <v>0</v>
      </c>
      <c r="AH311" s="53">
        <f t="shared" si="99"/>
        <v>0</v>
      </c>
      <c r="AI311" s="53">
        <f t="shared" si="99"/>
        <v>0</v>
      </c>
      <c r="AJ311" s="53">
        <f t="shared" si="99"/>
        <v>0</v>
      </c>
      <c r="AK311" s="53">
        <f t="shared" si="99"/>
        <v>0</v>
      </c>
      <c r="AL311" s="53">
        <f t="shared" si="99"/>
        <v>0</v>
      </c>
      <c r="AM311" s="53">
        <f t="shared" si="99"/>
        <v>0</v>
      </c>
      <c r="AN311" s="53">
        <f t="shared" si="99"/>
        <v>0</v>
      </c>
      <c r="AO311" s="53">
        <f t="shared" si="99"/>
        <v>0</v>
      </c>
      <c r="AP311" s="53">
        <f t="shared" si="99"/>
        <v>0</v>
      </c>
      <c r="AQ311" s="53">
        <f t="shared" si="99"/>
        <v>0</v>
      </c>
      <c r="AR311" s="53">
        <f t="shared" si="99"/>
        <v>0</v>
      </c>
      <c r="AS311" s="53">
        <f t="shared" si="99"/>
        <v>0</v>
      </c>
      <c r="AT311" s="53">
        <f t="shared" si="99"/>
        <v>0</v>
      </c>
      <c r="AU311" s="53">
        <f t="shared" si="99"/>
        <v>0</v>
      </c>
      <c r="AV311" s="53">
        <f t="shared" si="99"/>
        <v>0</v>
      </c>
      <c r="AW311" s="53">
        <f t="shared" si="99"/>
        <v>0</v>
      </c>
      <c r="AX311" s="53">
        <f t="shared" si="99"/>
        <v>0</v>
      </c>
      <c r="AY311" s="53">
        <f t="shared" si="99"/>
        <v>0</v>
      </c>
      <c r="AZ311" s="53">
        <f t="shared" si="99"/>
        <v>0</v>
      </c>
      <c r="BA311" s="53">
        <f t="shared" si="99"/>
        <v>0</v>
      </c>
      <c r="BB311" s="53">
        <f t="shared" si="99"/>
        <v>0</v>
      </c>
      <c r="BC311" s="53">
        <f t="shared" si="99"/>
        <v>0</v>
      </c>
      <c r="BD311" s="53">
        <f t="shared" si="99"/>
        <v>0</v>
      </c>
      <c r="BE311" s="53">
        <f t="shared" si="99"/>
        <v>0</v>
      </c>
      <c r="BF311" s="53">
        <f t="shared" si="99"/>
        <v>0</v>
      </c>
      <c r="BG311" s="53">
        <f t="shared" si="99"/>
        <v>0</v>
      </c>
      <c r="BH311" s="53">
        <f t="shared" si="99"/>
        <v>0</v>
      </c>
      <c r="BI311" s="53">
        <f t="shared" si="99"/>
        <v>0</v>
      </c>
      <c r="BJ311" s="53">
        <f t="shared" si="99"/>
        <v>0</v>
      </c>
      <c r="BK311" s="53">
        <f t="shared" si="99"/>
        <v>0</v>
      </c>
      <c r="BL311" s="53">
        <f t="shared" si="99"/>
        <v>0</v>
      </c>
      <c r="BM311" s="53">
        <f t="shared" si="99"/>
        <v>0</v>
      </c>
      <c r="BN311" s="53">
        <f t="shared" si="99"/>
        <v>0</v>
      </c>
      <c r="BO311" s="53">
        <f t="shared" ref="BO311:CX311" si="100">IFERROR(IF(BO$262=0,0,(BO52-BO53)/BO53),0)</f>
        <v>0</v>
      </c>
      <c r="BP311" s="53">
        <f t="shared" si="100"/>
        <v>0</v>
      </c>
      <c r="BQ311" s="53">
        <f t="shared" si="100"/>
        <v>0</v>
      </c>
      <c r="BR311" s="53">
        <f t="shared" si="100"/>
        <v>0</v>
      </c>
      <c r="BS311" s="53">
        <f t="shared" si="100"/>
        <v>0</v>
      </c>
      <c r="BT311" s="53">
        <f t="shared" si="100"/>
        <v>0</v>
      </c>
      <c r="BU311" s="53">
        <f t="shared" si="100"/>
        <v>0</v>
      </c>
      <c r="BV311" s="53">
        <f t="shared" si="100"/>
        <v>0</v>
      </c>
      <c r="BW311" s="53">
        <f t="shared" si="100"/>
        <v>0</v>
      </c>
      <c r="BX311" s="53">
        <f t="shared" si="100"/>
        <v>0</v>
      </c>
      <c r="BY311" s="53">
        <f t="shared" si="100"/>
        <v>0</v>
      </c>
      <c r="BZ311" s="53">
        <f t="shared" si="100"/>
        <v>0</v>
      </c>
      <c r="CA311" s="53">
        <f t="shared" si="100"/>
        <v>0</v>
      </c>
      <c r="CB311" s="53">
        <f t="shared" si="100"/>
        <v>0</v>
      </c>
      <c r="CC311" s="53">
        <f t="shared" si="100"/>
        <v>0</v>
      </c>
      <c r="CD311" s="53">
        <f t="shared" si="100"/>
        <v>0</v>
      </c>
      <c r="CE311" s="53">
        <f t="shared" si="100"/>
        <v>0</v>
      </c>
      <c r="CF311" s="53">
        <f t="shared" si="100"/>
        <v>0</v>
      </c>
      <c r="CG311" s="53">
        <f t="shared" si="100"/>
        <v>0</v>
      </c>
      <c r="CH311" s="53">
        <f t="shared" si="100"/>
        <v>0</v>
      </c>
      <c r="CI311" s="53">
        <f t="shared" si="100"/>
        <v>0</v>
      </c>
      <c r="CJ311" s="53">
        <f t="shared" si="100"/>
        <v>0</v>
      </c>
      <c r="CK311" s="53">
        <f t="shared" si="100"/>
        <v>0</v>
      </c>
      <c r="CL311" s="53">
        <f t="shared" si="100"/>
        <v>0</v>
      </c>
      <c r="CM311" s="53">
        <f t="shared" si="100"/>
        <v>0</v>
      </c>
      <c r="CN311" s="53">
        <f t="shared" si="100"/>
        <v>0</v>
      </c>
      <c r="CO311" s="53">
        <f t="shared" si="100"/>
        <v>0</v>
      </c>
      <c r="CP311" s="53">
        <f t="shared" si="100"/>
        <v>0</v>
      </c>
      <c r="CQ311" s="53">
        <f t="shared" si="100"/>
        <v>0</v>
      </c>
      <c r="CR311" s="53">
        <f t="shared" si="100"/>
        <v>0</v>
      </c>
      <c r="CS311" s="53">
        <f t="shared" si="100"/>
        <v>0</v>
      </c>
      <c r="CT311" s="53">
        <f t="shared" si="100"/>
        <v>0</v>
      </c>
      <c r="CU311" s="53">
        <f t="shared" si="100"/>
        <v>0</v>
      </c>
      <c r="CV311" s="53">
        <f t="shared" si="100"/>
        <v>0</v>
      </c>
      <c r="CW311" s="53">
        <f t="shared" si="100"/>
        <v>0</v>
      </c>
      <c r="CX311" s="53">
        <f t="shared" si="100"/>
        <v>0</v>
      </c>
      <c r="DB311" s="2" vm="560">
        <f ca="1">IF(Returns!A315&lt;&gt;0,Returns!A315,"")</f>
        <v>42373</v>
      </c>
      <c r="DC311" s="11">
        <f ca="1">IF(Returns!B326&gt;0,Returns!B326/Returns!B325-1,"")</f>
        <v>5.5915809302999664E-2</v>
      </c>
      <c r="DD311" s="11">
        <f ca="1">IF(Returns!D318&gt;0,Returns!D318/Returns!D317-1,"")</f>
        <v>2.3163883499276672E-2</v>
      </c>
    </row>
    <row r="312" spans="2:108" x14ac:dyDescent="0.3">
      <c r="B312" s="57">
        <f t="shared" ca="1" si="6"/>
        <v>6.841903256674908E-4</v>
      </c>
      <c r="C312" s="53">
        <f t="shared" ref="C312:BN312" si="101">IFERROR(IF(C$262=0,0,(C53-C54)/C54),0)</f>
        <v>0</v>
      </c>
      <c r="D312" s="53">
        <f t="shared" si="101"/>
        <v>0</v>
      </c>
      <c r="E312" s="53">
        <f t="shared" si="101"/>
        <v>0</v>
      </c>
      <c r="F312" s="53">
        <f t="shared" si="101"/>
        <v>0</v>
      </c>
      <c r="G312" s="53">
        <f t="shared" si="101"/>
        <v>0</v>
      </c>
      <c r="H312" s="53">
        <f t="shared" si="101"/>
        <v>0</v>
      </c>
      <c r="I312" s="53">
        <f t="shared" si="101"/>
        <v>0</v>
      </c>
      <c r="J312" s="53">
        <f t="shared" si="101"/>
        <v>0</v>
      </c>
      <c r="K312" s="53">
        <f t="shared" si="101"/>
        <v>0</v>
      </c>
      <c r="L312" s="53">
        <f t="shared" si="101"/>
        <v>0</v>
      </c>
      <c r="M312" s="53">
        <f t="shared" si="101"/>
        <v>0</v>
      </c>
      <c r="N312" s="53">
        <f t="shared" si="101"/>
        <v>0</v>
      </c>
      <c r="O312" s="53">
        <f t="shared" si="101"/>
        <v>0</v>
      </c>
      <c r="P312" s="53">
        <f t="shared" si="101"/>
        <v>0</v>
      </c>
      <c r="Q312" s="53">
        <f t="shared" si="101"/>
        <v>0</v>
      </c>
      <c r="R312" s="53">
        <f t="shared" si="101"/>
        <v>0</v>
      </c>
      <c r="S312" s="53">
        <f t="shared" si="101"/>
        <v>0</v>
      </c>
      <c r="T312" s="53">
        <f t="shared" si="101"/>
        <v>0</v>
      </c>
      <c r="U312" s="53">
        <f t="shared" si="101"/>
        <v>0</v>
      </c>
      <c r="V312" s="53">
        <f t="shared" si="101"/>
        <v>0</v>
      </c>
      <c r="W312" s="53">
        <f t="shared" si="101"/>
        <v>0</v>
      </c>
      <c r="X312" s="53">
        <f t="shared" si="101"/>
        <v>0</v>
      </c>
      <c r="Y312" s="53">
        <f t="shared" si="101"/>
        <v>0</v>
      </c>
      <c r="Z312" s="53">
        <f t="shared" si="101"/>
        <v>0</v>
      </c>
      <c r="AA312" s="53">
        <f t="shared" si="101"/>
        <v>0</v>
      </c>
      <c r="AB312" s="53">
        <f t="shared" si="101"/>
        <v>0</v>
      </c>
      <c r="AC312" s="53">
        <f t="shared" si="101"/>
        <v>0</v>
      </c>
      <c r="AD312" s="53">
        <f t="shared" si="101"/>
        <v>0</v>
      </c>
      <c r="AE312" s="53">
        <f t="shared" si="101"/>
        <v>0</v>
      </c>
      <c r="AF312" s="53">
        <f t="shared" si="101"/>
        <v>0</v>
      </c>
      <c r="AG312" s="53">
        <f t="shared" si="101"/>
        <v>0</v>
      </c>
      <c r="AH312" s="53">
        <f t="shared" si="101"/>
        <v>0</v>
      </c>
      <c r="AI312" s="53">
        <f t="shared" si="101"/>
        <v>0</v>
      </c>
      <c r="AJ312" s="53">
        <f t="shared" si="101"/>
        <v>0</v>
      </c>
      <c r="AK312" s="53">
        <f t="shared" si="101"/>
        <v>0</v>
      </c>
      <c r="AL312" s="53">
        <f t="shared" si="101"/>
        <v>0</v>
      </c>
      <c r="AM312" s="53">
        <f t="shared" si="101"/>
        <v>0</v>
      </c>
      <c r="AN312" s="53">
        <f t="shared" si="101"/>
        <v>0</v>
      </c>
      <c r="AO312" s="53">
        <f t="shared" si="101"/>
        <v>0</v>
      </c>
      <c r="AP312" s="53">
        <f t="shared" si="101"/>
        <v>0</v>
      </c>
      <c r="AQ312" s="53">
        <f t="shared" si="101"/>
        <v>0</v>
      </c>
      <c r="AR312" s="53">
        <f t="shared" si="101"/>
        <v>0</v>
      </c>
      <c r="AS312" s="53">
        <f t="shared" si="101"/>
        <v>0</v>
      </c>
      <c r="AT312" s="53">
        <f t="shared" si="101"/>
        <v>0</v>
      </c>
      <c r="AU312" s="53">
        <f t="shared" si="101"/>
        <v>0</v>
      </c>
      <c r="AV312" s="53">
        <f t="shared" si="101"/>
        <v>0</v>
      </c>
      <c r="AW312" s="53">
        <f t="shared" si="101"/>
        <v>0</v>
      </c>
      <c r="AX312" s="53">
        <f t="shared" si="101"/>
        <v>0</v>
      </c>
      <c r="AY312" s="53">
        <f t="shared" si="101"/>
        <v>0</v>
      </c>
      <c r="AZ312" s="53">
        <f t="shared" si="101"/>
        <v>0</v>
      </c>
      <c r="BA312" s="53">
        <f t="shared" si="101"/>
        <v>0</v>
      </c>
      <c r="BB312" s="53">
        <f t="shared" si="101"/>
        <v>0</v>
      </c>
      <c r="BC312" s="53">
        <f t="shared" si="101"/>
        <v>0</v>
      </c>
      <c r="BD312" s="53">
        <f t="shared" si="101"/>
        <v>0</v>
      </c>
      <c r="BE312" s="53">
        <f t="shared" si="101"/>
        <v>0</v>
      </c>
      <c r="BF312" s="53">
        <f t="shared" si="101"/>
        <v>0</v>
      </c>
      <c r="BG312" s="53">
        <f t="shared" si="101"/>
        <v>0</v>
      </c>
      <c r="BH312" s="53">
        <f t="shared" si="101"/>
        <v>0</v>
      </c>
      <c r="BI312" s="53">
        <f t="shared" si="101"/>
        <v>0</v>
      </c>
      <c r="BJ312" s="53">
        <f t="shared" si="101"/>
        <v>0</v>
      </c>
      <c r="BK312" s="53">
        <f t="shared" si="101"/>
        <v>0</v>
      </c>
      <c r="BL312" s="53">
        <f t="shared" si="101"/>
        <v>0</v>
      </c>
      <c r="BM312" s="53">
        <f t="shared" si="101"/>
        <v>0</v>
      </c>
      <c r="BN312" s="53">
        <f t="shared" si="101"/>
        <v>0</v>
      </c>
      <c r="BO312" s="53">
        <f t="shared" ref="BO312:CX312" si="102">IFERROR(IF(BO$262=0,0,(BO53-BO54)/BO54),0)</f>
        <v>0</v>
      </c>
      <c r="BP312" s="53">
        <f t="shared" si="102"/>
        <v>0</v>
      </c>
      <c r="BQ312" s="53">
        <f t="shared" si="102"/>
        <v>0</v>
      </c>
      <c r="BR312" s="53">
        <f t="shared" si="102"/>
        <v>0</v>
      </c>
      <c r="BS312" s="53">
        <f t="shared" si="102"/>
        <v>0</v>
      </c>
      <c r="BT312" s="53">
        <f t="shared" si="102"/>
        <v>0</v>
      </c>
      <c r="BU312" s="53">
        <f t="shared" si="102"/>
        <v>0</v>
      </c>
      <c r="BV312" s="53">
        <f t="shared" si="102"/>
        <v>0</v>
      </c>
      <c r="BW312" s="53">
        <f t="shared" si="102"/>
        <v>0</v>
      </c>
      <c r="BX312" s="53">
        <f t="shared" si="102"/>
        <v>0</v>
      </c>
      <c r="BY312" s="53">
        <f t="shared" si="102"/>
        <v>0</v>
      </c>
      <c r="BZ312" s="53">
        <f t="shared" si="102"/>
        <v>0</v>
      </c>
      <c r="CA312" s="53">
        <f t="shared" si="102"/>
        <v>0</v>
      </c>
      <c r="CB312" s="53">
        <f t="shared" si="102"/>
        <v>0</v>
      </c>
      <c r="CC312" s="53">
        <f t="shared" si="102"/>
        <v>0</v>
      </c>
      <c r="CD312" s="53">
        <f t="shared" si="102"/>
        <v>0</v>
      </c>
      <c r="CE312" s="53">
        <f t="shared" si="102"/>
        <v>0</v>
      </c>
      <c r="CF312" s="53">
        <f t="shared" si="102"/>
        <v>0</v>
      </c>
      <c r="CG312" s="53">
        <f t="shared" si="102"/>
        <v>0</v>
      </c>
      <c r="CH312" s="53">
        <f t="shared" si="102"/>
        <v>0</v>
      </c>
      <c r="CI312" s="53">
        <f t="shared" si="102"/>
        <v>0</v>
      </c>
      <c r="CJ312" s="53">
        <f t="shared" si="102"/>
        <v>0</v>
      </c>
      <c r="CK312" s="53">
        <f t="shared" si="102"/>
        <v>0</v>
      </c>
      <c r="CL312" s="53">
        <f t="shared" si="102"/>
        <v>0</v>
      </c>
      <c r="CM312" s="53">
        <f t="shared" si="102"/>
        <v>0</v>
      </c>
      <c r="CN312" s="53">
        <f t="shared" si="102"/>
        <v>0</v>
      </c>
      <c r="CO312" s="53">
        <f t="shared" si="102"/>
        <v>0</v>
      </c>
      <c r="CP312" s="53">
        <f t="shared" si="102"/>
        <v>0</v>
      </c>
      <c r="CQ312" s="53">
        <f t="shared" si="102"/>
        <v>0</v>
      </c>
      <c r="CR312" s="53">
        <f t="shared" si="102"/>
        <v>0</v>
      </c>
      <c r="CS312" s="53">
        <f t="shared" si="102"/>
        <v>0</v>
      </c>
      <c r="CT312" s="53">
        <f t="shared" si="102"/>
        <v>0</v>
      </c>
      <c r="CU312" s="53">
        <f t="shared" si="102"/>
        <v>0</v>
      </c>
      <c r="CV312" s="53">
        <f t="shared" si="102"/>
        <v>0</v>
      </c>
      <c r="CW312" s="53">
        <f t="shared" si="102"/>
        <v>0</v>
      </c>
      <c r="CX312" s="53">
        <f t="shared" si="102"/>
        <v>0</v>
      </c>
      <c r="DB312" s="2" vm="561">
        <f ca="1">IF(Returns!A316&lt;&gt;0,Returns!A316,"")</f>
        <v>42380</v>
      </c>
      <c r="DC312" s="11">
        <f ca="1">IF(Returns!B327&gt;0,Returns!B327/Returns!B326-1,"")</f>
        <v>2.667467192726658E-2</v>
      </c>
      <c r="DD312" s="11">
        <f ca="1">IF(Returns!D319&gt;0,Returns!D319/Returns!D318-1,"")</f>
        <v>-1.5870706972361037E-2</v>
      </c>
    </row>
    <row r="313" spans="2:108" x14ac:dyDescent="0.3">
      <c r="B313" s="57">
        <f t="shared" ca="1" si="6"/>
        <v>1.006414817409744E-3</v>
      </c>
      <c r="C313" s="53">
        <f t="shared" ref="C313:BN313" si="103">IFERROR(IF(C$262=0,0,(C54-C55)/C55),0)</f>
        <v>0</v>
      </c>
      <c r="D313" s="53">
        <f t="shared" si="103"/>
        <v>0</v>
      </c>
      <c r="E313" s="53">
        <f t="shared" si="103"/>
        <v>0</v>
      </c>
      <c r="F313" s="53">
        <f t="shared" si="103"/>
        <v>0</v>
      </c>
      <c r="G313" s="53">
        <f t="shared" si="103"/>
        <v>0</v>
      </c>
      <c r="H313" s="53">
        <f t="shared" si="103"/>
        <v>0</v>
      </c>
      <c r="I313" s="53">
        <f t="shared" si="103"/>
        <v>0</v>
      </c>
      <c r="J313" s="53">
        <f t="shared" si="103"/>
        <v>0</v>
      </c>
      <c r="K313" s="53">
        <f t="shared" si="103"/>
        <v>0</v>
      </c>
      <c r="L313" s="53">
        <f t="shared" si="103"/>
        <v>0</v>
      </c>
      <c r="M313" s="53">
        <f t="shared" si="103"/>
        <v>0</v>
      </c>
      <c r="N313" s="53">
        <f t="shared" si="103"/>
        <v>0</v>
      </c>
      <c r="O313" s="53">
        <f t="shared" si="103"/>
        <v>0</v>
      </c>
      <c r="P313" s="53">
        <f t="shared" si="103"/>
        <v>0</v>
      </c>
      <c r="Q313" s="53">
        <f t="shared" si="103"/>
        <v>0</v>
      </c>
      <c r="R313" s="53">
        <f t="shared" si="103"/>
        <v>0</v>
      </c>
      <c r="S313" s="53">
        <f t="shared" si="103"/>
        <v>0</v>
      </c>
      <c r="T313" s="53">
        <f t="shared" si="103"/>
        <v>0</v>
      </c>
      <c r="U313" s="53">
        <f t="shared" si="103"/>
        <v>0</v>
      </c>
      <c r="V313" s="53">
        <f t="shared" si="103"/>
        <v>0</v>
      </c>
      <c r="W313" s="53">
        <f t="shared" si="103"/>
        <v>0</v>
      </c>
      <c r="X313" s="53">
        <f t="shared" si="103"/>
        <v>0</v>
      </c>
      <c r="Y313" s="53">
        <f t="shared" si="103"/>
        <v>0</v>
      </c>
      <c r="Z313" s="53">
        <f t="shared" si="103"/>
        <v>0</v>
      </c>
      <c r="AA313" s="53">
        <f t="shared" si="103"/>
        <v>0</v>
      </c>
      <c r="AB313" s="53">
        <f t="shared" si="103"/>
        <v>0</v>
      </c>
      <c r="AC313" s="53">
        <f t="shared" si="103"/>
        <v>0</v>
      </c>
      <c r="AD313" s="53">
        <f t="shared" si="103"/>
        <v>0</v>
      </c>
      <c r="AE313" s="53">
        <f t="shared" si="103"/>
        <v>0</v>
      </c>
      <c r="AF313" s="53">
        <f t="shared" si="103"/>
        <v>0</v>
      </c>
      <c r="AG313" s="53">
        <f t="shared" si="103"/>
        <v>0</v>
      </c>
      <c r="AH313" s="53">
        <f t="shared" si="103"/>
        <v>0</v>
      </c>
      <c r="AI313" s="53">
        <f t="shared" si="103"/>
        <v>0</v>
      </c>
      <c r="AJ313" s="53">
        <f t="shared" si="103"/>
        <v>0</v>
      </c>
      <c r="AK313" s="53">
        <f t="shared" si="103"/>
        <v>0</v>
      </c>
      <c r="AL313" s="53">
        <f t="shared" si="103"/>
        <v>0</v>
      </c>
      <c r="AM313" s="53">
        <f t="shared" si="103"/>
        <v>0</v>
      </c>
      <c r="AN313" s="53">
        <f t="shared" si="103"/>
        <v>0</v>
      </c>
      <c r="AO313" s="53">
        <f t="shared" si="103"/>
        <v>0</v>
      </c>
      <c r="AP313" s="53">
        <f t="shared" si="103"/>
        <v>0</v>
      </c>
      <c r="AQ313" s="53">
        <f t="shared" si="103"/>
        <v>0</v>
      </c>
      <c r="AR313" s="53">
        <f t="shared" si="103"/>
        <v>0</v>
      </c>
      <c r="AS313" s="53">
        <f t="shared" si="103"/>
        <v>0</v>
      </c>
      <c r="AT313" s="53">
        <f t="shared" si="103"/>
        <v>0</v>
      </c>
      <c r="AU313" s="53">
        <f t="shared" si="103"/>
        <v>0</v>
      </c>
      <c r="AV313" s="53">
        <f t="shared" si="103"/>
        <v>0</v>
      </c>
      <c r="AW313" s="53">
        <f t="shared" si="103"/>
        <v>0</v>
      </c>
      <c r="AX313" s="53">
        <f t="shared" si="103"/>
        <v>0</v>
      </c>
      <c r="AY313" s="53">
        <f t="shared" si="103"/>
        <v>0</v>
      </c>
      <c r="AZ313" s="53">
        <f t="shared" si="103"/>
        <v>0</v>
      </c>
      <c r="BA313" s="53">
        <f t="shared" si="103"/>
        <v>0</v>
      </c>
      <c r="BB313" s="53">
        <f t="shared" si="103"/>
        <v>0</v>
      </c>
      <c r="BC313" s="53">
        <f t="shared" si="103"/>
        <v>0</v>
      </c>
      <c r="BD313" s="53">
        <f t="shared" si="103"/>
        <v>0</v>
      </c>
      <c r="BE313" s="53">
        <f t="shared" si="103"/>
        <v>0</v>
      </c>
      <c r="BF313" s="53">
        <f t="shared" si="103"/>
        <v>0</v>
      </c>
      <c r="BG313" s="53">
        <f t="shared" si="103"/>
        <v>0</v>
      </c>
      <c r="BH313" s="53">
        <f t="shared" si="103"/>
        <v>0</v>
      </c>
      <c r="BI313" s="53">
        <f t="shared" si="103"/>
        <v>0</v>
      </c>
      <c r="BJ313" s="53">
        <f t="shared" si="103"/>
        <v>0</v>
      </c>
      <c r="BK313" s="53">
        <f t="shared" si="103"/>
        <v>0</v>
      </c>
      <c r="BL313" s="53">
        <f t="shared" si="103"/>
        <v>0</v>
      </c>
      <c r="BM313" s="53">
        <f t="shared" si="103"/>
        <v>0</v>
      </c>
      <c r="BN313" s="53">
        <f t="shared" si="103"/>
        <v>0</v>
      </c>
      <c r="BO313" s="53">
        <f t="shared" ref="BO313:CX313" si="104">IFERROR(IF(BO$262=0,0,(BO54-BO55)/BO55),0)</f>
        <v>0</v>
      </c>
      <c r="BP313" s="53">
        <f t="shared" si="104"/>
        <v>0</v>
      </c>
      <c r="BQ313" s="53">
        <f t="shared" si="104"/>
        <v>0</v>
      </c>
      <c r="BR313" s="53">
        <f t="shared" si="104"/>
        <v>0</v>
      </c>
      <c r="BS313" s="53">
        <f t="shared" si="104"/>
        <v>0</v>
      </c>
      <c r="BT313" s="53">
        <f t="shared" si="104"/>
        <v>0</v>
      </c>
      <c r="BU313" s="53">
        <f t="shared" si="104"/>
        <v>0</v>
      </c>
      <c r="BV313" s="53">
        <f t="shared" si="104"/>
        <v>0</v>
      </c>
      <c r="BW313" s="53">
        <f t="shared" si="104"/>
        <v>0</v>
      </c>
      <c r="BX313" s="53">
        <f t="shared" si="104"/>
        <v>0</v>
      </c>
      <c r="BY313" s="53">
        <f t="shared" si="104"/>
        <v>0</v>
      </c>
      <c r="BZ313" s="53">
        <f t="shared" si="104"/>
        <v>0</v>
      </c>
      <c r="CA313" s="53">
        <f t="shared" si="104"/>
        <v>0</v>
      </c>
      <c r="CB313" s="53">
        <f t="shared" si="104"/>
        <v>0</v>
      </c>
      <c r="CC313" s="53">
        <f t="shared" si="104"/>
        <v>0</v>
      </c>
      <c r="CD313" s="53">
        <f t="shared" si="104"/>
        <v>0</v>
      </c>
      <c r="CE313" s="53">
        <f t="shared" si="104"/>
        <v>0</v>
      </c>
      <c r="CF313" s="53">
        <f t="shared" si="104"/>
        <v>0</v>
      </c>
      <c r="CG313" s="53">
        <f t="shared" si="104"/>
        <v>0</v>
      </c>
      <c r="CH313" s="53">
        <f t="shared" si="104"/>
        <v>0</v>
      </c>
      <c r="CI313" s="53">
        <f t="shared" si="104"/>
        <v>0</v>
      </c>
      <c r="CJ313" s="53">
        <f t="shared" si="104"/>
        <v>0</v>
      </c>
      <c r="CK313" s="53">
        <f t="shared" si="104"/>
        <v>0</v>
      </c>
      <c r="CL313" s="53">
        <f t="shared" si="104"/>
        <v>0</v>
      </c>
      <c r="CM313" s="53">
        <f t="shared" si="104"/>
        <v>0</v>
      </c>
      <c r="CN313" s="53">
        <f t="shared" si="104"/>
        <v>0</v>
      </c>
      <c r="CO313" s="53">
        <f t="shared" si="104"/>
        <v>0</v>
      </c>
      <c r="CP313" s="53">
        <f t="shared" si="104"/>
        <v>0</v>
      </c>
      <c r="CQ313" s="53">
        <f t="shared" si="104"/>
        <v>0</v>
      </c>
      <c r="CR313" s="53">
        <f t="shared" si="104"/>
        <v>0</v>
      </c>
      <c r="CS313" s="53">
        <f t="shared" si="104"/>
        <v>0</v>
      </c>
      <c r="CT313" s="53">
        <f t="shared" si="104"/>
        <v>0</v>
      </c>
      <c r="CU313" s="53">
        <f t="shared" si="104"/>
        <v>0</v>
      </c>
      <c r="CV313" s="53">
        <f t="shared" si="104"/>
        <v>0</v>
      </c>
      <c r="CW313" s="53">
        <f t="shared" si="104"/>
        <v>0</v>
      </c>
      <c r="CX313" s="53">
        <f t="shared" si="104"/>
        <v>0</v>
      </c>
      <c r="DB313" s="2" vm="562">
        <f ca="1">IF(Returns!A317&lt;&gt;0,Returns!A317,"")</f>
        <v>42388</v>
      </c>
      <c r="DC313" s="11">
        <f ca="1">IF(Returns!B328&gt;0,Returns!B328/Returns!B327-1,"")</f>
        <v>-6.5162907268170311E-3</v>
      </c>
      <c r="DD313" s="11">
        <f ca="1">IF(Returns!D320&gt;0,Returns!D320/Returns!D319-1,"")</f>
        <v>-1.426295424437396E-2</v>
      </c>
    </row>
    <row r="314" spans="2:108" x14ac:dyDescent="0.3">
      <c r="B314" s="57">
        <f t="shared" ca="1" si="6"/>
        <v>9.1397948020189995E-3</v>
      </c>
      <c r="C314" s="53">
        <f t="shared" ref="C314:BN314" si="105">IFERROR(IF(C$262=0,0,(C55-C56)/C56),0)</f>
        <v>0</v>
      </c>
      <c r="D314" s="53">
        <f t="shared" si="105"/>
        <v>0</v>
      </c>
      <c r="E314" s="53">
        <f t="shared" si="105"/>
        <v>0</v>
      </c>
      <c r="F314" s="53">
        <f t="shared" si="105"/>
        <v>0</v>
      </c>
      <c r="G314" s="53">
        <f t="shared" si="105"/>
        <v>0</v>
      </c>
      <c r="H314" s="53">
        <f t="shared" si="105"/>
        <v>0</v>
      </c>
      <c r="I314" s="53">
        <f t="shared" si="105"/>
        <v>0</v>
      </c>
      <c r="J314" s="53">
        <f t="shared" si="105"/>
        <v>0</v>
      </c>
      <c r="K314" s="53">
        <f t="shared" si="105"/>
        <v>0</v>
      </c>
      <c r="L314" s="53">
        <f t="shared" si="105"/>
        <v>0</v>
      </c>
      <c r="M314" s="53">
        <f t="shared" si="105"/>
        <v>0</v>
      </c>
      <c r="N314" s="53">
        <f t="shared" si="105"/>
        <v>0</v>
      </c>
      <c r="O314" s="53">
        <f t="shared" si="105"/>
        <v>0</v>
      </c>
      <c r="P314" s="53">
        <f t="shared" si="105"/>
        <v>0</v>
      </c>
      <c r="Q314" s="53">
        <f t="shared" si="105"/>
        <v>0</v>
      </c>
      <c r="R314" s="53">
        <f t="shared" si="105"/>
        <v>0</v>
      </c>
      <c r="S314" s="53">
        <f t="shared" si="105"/>
        <v>0</v>
      </c>
      <c r="T314" s="53">
        <f t="shared" si="105"/>
        <v>0</v>
      </c>
      <c r="U314" s="53">
        <f t="shared" si="105"/>
        <v>0</v>
      </c>
      <c r="V314" s="53">
        <f t="shared" si="105"/>
        <v>0</v>
      </c>
      <c r="W314" s="53">
        <f t="shared" si="105"/>
        <v>0</v>
      </c>
      <c r="X314" s="53">
        <f t="shared" si="105"/>
        <v>0</v>
      </c>
      <c r="Y314" s="53">
        <f t="shared" si="105"/>
        <v>0</v>
      </c>
      <c r="Z314" s="53">
        <f t="shared" si="105"/>
        <v>0</v>
      </c>
      <c r="AA314" s="53">
        <f t="shared" si="105"/>
        <v>0</v>
      </c>
      <c r="AB314" s="53">
        <f t="shared" si="105"/>
        <v>0</v>
      </c>
      <c r="AC314" s="53">
        <f t="shared" si="105"/>
        <v>0</v>
      </c>
      <c r="AD314" s="53">
        <f t="shared" si="105"/>
        <v>0</v>
      </c>
      <c r="AE314" s="53">
        <f t="shared" si="105"/>
        <v>0</v>
      </c>
      <c r="AF314" s="53">
        <f t="shared" si="105"/>
        <v>0</v>
      </c>
      <c r="AG314" s="53">
        <f t="shared" si="105"/>
        <v>0</v>
      </c>
      <c r="AH314" s="53">
        <f t="shared" si="105"/>
        <v>0</v>
      </c>
      <c r="AI314" s="53">
        <f t="shared" si="105"/>
        <v>0</v>
      </c>
      <c r="AJ314" s="53">
        <f t="shared" si="105"/>
        <v>0</v>
      </c>
      <c r="AK314" s="53">
        <f t="shared" si="105"/>
        <v>0</v>
      </c>
      <c r="AL314" s="53">
        <f t="shared" si="105"/>
        <v>0</v>
      </c>
      <c r="AM314" s="53">
        <f t="shared" si="105"/>
        <v>0</v>
      </c>
      <c r="AN314" s="53">
        <f t="shared" si="105"/>
        <v>0</v>
      </c>
      <c r="AO314" s="53">
        <f t="shared" si="105"/>
        <v>0</v>
      </c>
      <c r="AP314" s="53">
        <f t="shared" si="105"/>
        <v>0</v>
      </c>
      <c r="AQ314" s="53">
        <f t="shared" si="105"/>
        <v>0</v>
      </c>
      <c r="AR314" s="53">
        <f t="shared" si="105"/>
        <v>0</v>
      </c>
      <c r="AS314" s="53">
        <f t="shared" si="105"/>
        <v>0</v>
      </c>
      <c r="AT314" s="53">
        <f t="shared" si="105"/>
        <v>0</v>
      </c>
      <c r="AU314" s="53">
        <f t="shared" si="105"/>
        <v>0</v>
      </c>
      <c r="AV314" s="53">
        <f t="shared" si="105"/>
        <v>0</v>
      </c>
      <c r="AW314" s="53">
        <f t="shared" si="105"/>
        <v>0</v>
      </c>
      <c r="AX314" s="53">
        <f t="shared" si="105"/>
        <v>0</v>
      </c>
      <c r="AY314" s="53">
        <f t="shared" si="105"/>
        <v>0</v>
      </c>
      <c r="AZ314" s="53">
        <f t="shared" si="105"/>
        <v>0</v>
      </c>
      <c r="BA314" s="53">
        <f t="shared" si="105"/>
        <v>0</v>
      </c>
      <c r="BB314" s="53">
        <f t="shared" si="105"/>
        <v>0</v>
      </c>
      <c r="BC314" s="53">
        <f t="shared" si="105"/>
        <v>0</v>
      </c>
      <c r="BD314" s="53">
        <f t="shared" si="105"/>
        <v>0</v>
      </c>
      <c r="BE314" s="53">
        <f t="shared" si="105"/>
        <v>0</v>
      </c>
      <c r="BF314" s="53">
        <f t="shared" si="105"/>
        <v>0</v>
      </c>
      <c r="BG314" s="53">
        <f t="shared" si="105"/>
        <v>0</v>
      </c>
      <c r="BH314" s="53">
        <f t="shared" si="105"/>
        <v>0</v>
      </c>
      <c r="BI314" s="53">
        <f t="shared" si="105"/>
        <v>0</v>
      </c>
      <c r="BJ314" s="53">
        <f t="shared" si="105"/>
        <v>0</v>
      </c>
      <c r="BK314" s="53">
        <f t="shared" si="105"/>
        <v>0</v>
      </c>
      <c r="BL314" s="53">
        <f t="shared" si="105"/>
        <v>0</v>
      </c>
      <c r="BM314" s="53">
        <f t="shared" si="105"/>
        <v>0</v>
      </c>
      <c r="BN314" s="53">
        <f t="shared" si="105"/>
        <v>0</v>
      </c>
      <c r="BO314" s="53">
        <f t="shared" ref="BO314:CX314" si="106">IFERROR(IF(BO$262=0,0,(BO55-BO56)/BO56),0)</f>
        <v>0</v>
      </c>
      <c r="BP314" s="53">
        <f t="shared" si="106"/>
        <v>0</v>
      </c>
      <c r="BQ314" s="53">
        <f t="shared" si="106"/>
        <v>0</v>
      </c>
      <c r="BR314" s="53">
        <f t="shared" si="106"/>
        <v>0</v>
      </c>
      <c r="BS314" s="53">
        <f t="shared" si="106"/>
        <v>0</v>
      </c>
      <c r="BT314" s="53">
        <f t="shared" si="106"/>
        <v>0</v>
      </c>
      <c r="BU314" s="53">
        <f t="shared" si="106"/>
        <v>0</v>
      </c>
      <c r="BV314" s="53">
        <f t="shared" si="106"/>
        <v>0</v>
      </c>
      <c r="BW314" s="53">
        <f t="shared" si="106"/>
        <v>0</v>
      </c>
      <c r="BX314" s="53">
        <f t="shared" si="106"/>
        <v>0</v>
      </c>
      <c r="BY314" s="53">
        <f t="shared" si="106"/>
        <v>0</v>
      </c>
      <c r="BZ314" s="53">
        <f t="shared" si="106"/>
        <v>0</v>
      </c>
      <c r="CA314" s="53">
        <f t="shared" si="106"/>
        <v>0</v>
      </c>
      <c r="CB314" s="53">
        <f t="shared" si="106"/>
        <v>0</v>
      </c>
      <c r="CC314" s="53">
        <f t="shared" si="106"/>
        <v>0</v>
      </c>
      <c r="CD314" s="53">
        <f t="shared" si="106"/>
        <v>0</v>
      </c>
      <c r="CE314" s="53">
        <f t="shared" si="106"/>
        <v>0</v>
      </c>
      <c r="CF314" s="53">
        <f t="shared" si="106"/>
        <v>0</v>
      </c>
      <c r="CG314" s="53">
        <f t="shared" si="106"/>
        <v>0</v>
      </c>
      <c r="CH314" s="53">
        <f t="shared" si="106"/>
        <v>0</v>
      </c>
      <c r="CI314" s="53">
        <f t="shared" si="106"/>
        <v>0</v>
      </c>
      <c r="CJ314" s="53">
        <f t="shared" si="106"/>
        <v>0</v>
      </c>
      <c r="CK314" s="53">
        <f t="shared" si="106"/>
        <v>0</v>
      </c>
      <c r="CL314" s="53">
        <f t="shared" si="106"/>
        <v>0</v>
      </c>
      <c r="CM314" s="53">
        <f t="shared" si="106"/>
        <v>0</v>
      </c>
      <c r="CN314" s="53">
        <f t="shared" si="106"/>
        <v>0</v>
      </c>
      <c r="CO314" s="53">
        <f t="shared" si="106"/>
        <v>0</v>
      </c>
      <c r="CP314" s="53">
        <f t="shared" si="106"/>
        <v>0</v>
      </c>
      <c r="CQ314" s="53">
        <f t="shared" si="106"/>
        <v>0</v>
      </c>
      <c r="CR314" s="53">
        <f t="shared" si="106"/>
        <v>0</v>
      </c>
      <c r="CS314" s="53">
        <f t="shared" si="106"/>
        <v>0</v>
      </c>
      <c r="CT314" s="53">
        <f t="shared" si="106"/>
        <v>0</v>
      </c>
      <c r="CU314" s="53">
        <f t="shared" si="106"/>
        <v>0</v>
      </c>
      <c r="CV314" s="53">
        <f t="shared" si="106"/>
        <v>0</v>
      </c>
      <c r="CW314" s="53">
        <f t="shared" si="106"/>
        <v>0</v>
      </c>
      <c r="CX314" s="53">
        <f t="shared" si="106"/>
        <v>0</v>
      </c>
      <c r="DB314" s="2" vm="563">
        <f ca="1">IF(Returns!A318&lt;&gt;0,Returns!A318,"")</f>
        <v>42394</v>
      </c>
      <c r="DC314" s="11">
        <f ca="1">IF(Returns!B329&gt;0,Returns!B329/Returns!B328-1,"")</f>
        <v>5.2623612512613382E-2</v>
      </c>
      <c r="DD314" s="11">
        <f ca="1">IF(Returns!D321&gt;0,Returns!D321/Returns!D320-1,"")</f>
        <v>2.6177694411175123E-2</v>
      </c>
    </row>
    <row r="315" spans="2:108" x14ac:dyDescent="0.3">
      <c r="B315" s="57">
        <f t="shared" ca="1" si="6"/>
        <v>3.4170516170705465E-3</v>
      </c>
      <c r="C315" s="53">
        <f t="shared" ref="C315:BN315" si="107">IFERROR(IF(C$262=0,0,(C56-C57)/C57),0)</f>
        <v>0</v>
      </c>
      <c r="D315" s="53">
        <f t="shared" si="107"/>
        <v>0</v>
      </c>
      <c r="E315" s="53">
        <f t="shared" si="107"/>
        <v>0</v>
      </c>
      <c r="F315" s="53">
        <f t="shared" si="107"/>
        <v>0</v>
      </c>
      <c r="G315" s="53">
        <f t="shared" si="107"/>
        <v>0</v>
      </c>
      <c r="H315" s="53">
        <f t="shared" si="107"/>
        <v>0</v>
      </c>
      <c r="I315" s="53">
        <f t="shared" si="107"/>
        <v>0</v>
      </c>
      <c r="J315" s="53">
        <f t="shared" si="107"/>
        <v>0</v>
      </c>
      <c r="K315" s="53">
        <f t="shared" si="107"/>
        <v>0</v>
      </c>
      <c r="L315" s="53">
        <f t="shared" si="107"/>
        <v>0</v>
      </c>
      <c r="M315" s="53">
        <f t="shared" si="107"/>
        <v>0</v>
      </c>
      <c r="N315" s="53">
        <f t="shared" si="107"/>
        <v>0</v>
      </c>
      <c r="O315" s="53">
        <f t="shared" si="107"/>
        <v>0</v>
      </c>
      <c r="P315" s="53">
        <f t="shared" si="107"/>
        <v>0</v>
      </c>
      <c r="Q315" s="53">
        <f t="shared" si="107"/>
        <v>0</v>
      </c>
      <c r="R315" s="53">
        <f t="shared" si="107"/>
        <v>0</v>
      </c>
      <c r="S315" s="53">
        <f t="shared" si="107"/>
        <v>0</v>
      </c>
      <c r="T315" s="53">
        <f t="shared" si="107"/>
        <v>0</v>
      </c>
      <c r="U315" s="53">
        <f t="shared" si="107"/>
        <v>0</v>
      </c>
      <c r="V315" s="53">
        <f t="shared" si="107"/>
        <v>0</v>
      </c>
      <c r="W315" s="53">
        <f t="shared" si="107"/>
        <v>0</v>
      </c>
      <c r="X315" s="53">
        <f t="shared" si="107"/>
        <v>0</v>
      </c>
      <c r="Y315" s="53">
        <f t="shared" si="107"/>
        <v>0</v>
      </c>
      <c r="Z315" s="53">
        <f t="shared" si="107"/>
        <v>0</v>
      </c>
      <c r="AA315" s="53">
        <f t="shared" si="107"/>
        <v>0</v>
      </c>
      <c r="AB315" s="53">
        <f t="shared" si="107"/>
        <v>0</v>
      </c>
      <c r="AC315" s="53">
        <f t="shared" si="107"/>
        <v>0</v>
      </c>
      <c r="AD315" s="53">
        <f t="shared" si="107"/>
        <v>0</v>
      </c>
      <c r="AE315" s="53">
        <f t="shared" si="107"/>
        <v>0</v>
      </c>
      <c r="AF315" s="53">
        <f t="shared" si="107"/>
        <v>0</v>
      </c>
      <c r="AG315" s="53">
        <f t="shared" si="107"/>
        <v>0</v>
      </c>
      <c r="AH315" s="53">
        <f t="shared" si="107"/>
        <v>0</v>
      </c>
      <c r="AI315" s="53">
        <f t="shared" si="107"/>
        <v>0</v>
      </c>
      <c r="AJ315" s="53">
        <f t="shared" si="107"/>
        <v>0</v>
      </c>
      <c r="AK315" s="53">
        <f t="shared" si="107"/>
        <v>0</v>
      </c>
      <c r="AL315" s="53">
        <f t="shared" si="107"/>
        <v>0</v>
      </c>
      <c r="AM315" s="53">
        <f t="shared" si="107"/>
        <v>0</v>
      </c>
      <c r="AN315" s="53">
        <f t="shared" si="107"/>
        <v>0</v>
      </c>
      <c r="AO315" s="53">
        <f t="shared" si="107"/>
        <v>0</v>
      </c>
      <c r="AP315" s="53">
        <f t="shared" si="107"/>
        <v>0</v>
      </c>
      <c r="AQ315" s="53">
        <f t="shared" si="107"/>
        <v>0</v>
      </c>
      <c r="AR315" s="53">
        <f t="shared" si="107"/>
        <v>0</v>
      </c>
      <c r="AS315" s="53">
        <f t="shared" si="107"/>
        <v>0</v>
      </c>
      <c r="AT315" s="53">
        <f t="shared" si="107"/>
        <v>0</v>
      </c>
      <c r="AU315" s="53">
        <f t="shared" si="107"/>
        <v>0</v>
      </c>
      <c r="AV315" s="53">
        <f t="shared" si="107"/>
        <v>0</v>
      </c>
      <c r="AW315" s="53">
        <f t="shared" si="107"/>
        <v>0</v>
      </c>
      <c r="AX315" s="53">
        <f t="shared" si="107"/>
        <v>0</v>
      </c>
      <c r="AY315" s="53">
        <f t="shared" si="107"/>
        <v>0</v>
      </c>
      <c r="AZ315" s="53">
        <f t="shared" si="107"/>
        <v>0</v>
      </c>
      <c r="BA315" s="53">
        <f t="shared" si="107"/>
        <v>0</v>
      </c>
      <c r="BB315" s="53">
        <f t="shared" si="107"/>
        <v>0</v>
      </c>
      <c r="BC315" s="53">
        <f t="shared" si="107"/>
        <v>0</v>
      </c>
      <c r="BD315" s="53">
        <f t="shared" si="107"/>
        <v>0</v>
      </c>
      <c r="BE315" s="53">
        <f t="shared" si="107"/>
        <v>0</v>
      </c>
      <c r="BF315" s="53">
        <f t="shared" si="107"/>
        <v>0</v>
      </c>
      <c r="BG315" s="53">
        <f t="shared" si="107"/>
        <v>0</v>
      </c>
      <c r="BH315" s="53">
        <f t="shared" si="107"/>
        <v>0</v>
      </c>
      <c r="BI315" s="53">
        <f t="shared" si="107"/>
        <v>0</v>
      </c>
      <c r="BJ315" s="53">
        <f t="shared" si="107"/>
        <v>0</v>
      </c>
      <c r="BK315" s="53">
        <f t="shared" si="107"/>
        <v>0</v>
      </c>
      <c r="BL315" s="53">
        <f t="shared" si="107"/>
        <v>0</v>
      </c>
      <c r="BM315" s="53">
        <f t="shared" si="107"/>
        <v>0</v>
      </c>
      <c r="BN315" s="53">
        <f t="shared" si="107"/>
        <v>0</v>
      </c>
      <c r="BO315" s="53">
        <f t="shared" ref="BO315:CX315" si="108">IFERROR(IF(BO$262=0,0,(BO56-BO57)/BO57),0)</f>
        <v>0</v>
      </c>
      <c r="BP315" s="53">
        <f t="shared" si="108"/>
        <v>0</v>
      </c>
      <c r="BQ315" s="53">
        <f t="shared" si="108"/>
        <v>0</v>
      </c>
      <c r="BR315" s="53">
        <f t="shared" si="108"/>
        <v>0</v>
      </c>
      <c r="BS315" s="53">
        <f t="shared" si="108"/>
        <v>0</v>
      </c>
      <c r="BT315" s="53">
        <f t="shared" si="108"/>
        <v>0</v>
      </c>
      <c r="BU315" s="53">
        <f t="shared" si="108"/>
        <v>0</v>
      </c>
      <c r="BV315" s="53">
        <f t="shared" si="108"/>
        <v>0</v>
      </c>
      <c r="BW315" s="53">
        <f t="shared" si="108"/>
        <v>0</v>
      </c>
      <c r="BX315" s="53">
        <f t="shared" si="108"/>
        <v>0</v>
      </c>
      <c r="BY315" s="53">
        <f t="shared" si="108"/>
        <v>0</v>
      </c>
      <c r="BZ315" s="53">
        <f t="shared" si="108"/>
        <v>0</v>
      </c>
      <c r="CA315" s="53">
        <f t="shared" si="108"/>
        <v>0</v>
      </c>
      <c r="CB315" s="53">
        <f t="shared" si="108"/>
        <v>0</v>
      </c>
      <c r="CC315" s="53">
        <f t="shared" si="108"/>
        <v>0</v>
      </c>
      <c r="CD315" s="53">
        <f t="shared" si="108"/>
        <v>0</v>
      </c>
      <c r="CE315" s="53">
        <f t="shared" si="108"/>
        <v>0</v>
      </c>
      <c r="CF315" s="53">
        <f t="shared" si="108"/>
        <v>0</v>
      </c>
      <c r="CG315" s="53">
        <f t="shared" si="108"/>
        <v>0</v>
      </c>
      <c r="CH315" s="53">
        <f t="shared" si="108"/>
        <v>0</v>
      </c>
      <c r="CI315" s="53">
        <f t="shared" si="108"/>
        <v>0</v>
      </c>
      <c r="CJ315" s="53">
        <f t="shared" si="108"/>
        <v>0</v>
      </c>
      <c r="CK315" s="53">
        <f t="shared" si="108"/>
        <v>0</v>
      </c>
      <c r="CL315" s="53">
        <f t="shared" si="108"/>
        <v>0</v>
      </c>
      <c r="CM315" s="53">
        <f t="shared" si="108"/>
        <v>0</v>
      </c>
      <c r="CN315" s="53">
        <f t="shared" si="108"/>
        <v>0</v>
      </c>
      <c r="CO315" s="53">
        <f t="shared" si="108"/>
        <v>0</v>
      </c>
      <c r="CP315" s="53">
        <f t="shared" si="108"/>
        <v>0</v>
      </c>
      <c r="CQ315" s="53">
        <f t="shared" si="108"/>
        <v>0</v>
      </c>
      <c r="CR315" s="53">
        <f t="shared" si="108"/>
        <v>0</v>
      </c>
      <c r="CS315" s="53">
        <f t="shared" si="108"/>
        <v>0</v>
      </c>
      <c r="CT315" s="53">
        <f t="shared" si="108"/>
        <v>0</v>
      </c>
      <c r="CU315" s="53">
        <f t="shared" si="108"/>
        <v>0</v>
      </c>
      <c r="CV315" s="53">
        <f t="shared" si="108"/>
        <v>0</v>
      </c>
      <c r="CW315" s="53">
        <f t="shared" si="108"/>
        <v>0</v>
      </c>
      <c r="CX315" s="53">
        <f t="shared" si="108"/>
        <v>0</v>
      </c>
      <c r="DB315" s="2" vm="564">
        <f ca="1">IF(Returns!A319&lt;&gt;0,Returns!A319,"")</f>
        <v>42401</v>
      </c>
      <c r="DC315" s="11">
        <f ca="1">IF(Returns!B330&gt;0,Returns!B330/Returns!B329-1,"")</f>
        <v>-8.6117368866733823E-3</v>
      </c>
      <c r="DD315" s="11">
        <f ca="1">IF(Returns!D322&gt;0,Returns!D322/Returns!D321-1,"")</f>
        <v>1.5127970121366019E-2</v>
      </c>
    </row>
    <row r="316" spans="2:108" x14ac:dyDescent="0.3">
      <c r="B316" s="57">
        <f t="shared" ca="1" si="6"/>
        <v>3.2389515646878753E-3</v>
      </c>
      <c r="C316" s="53">
        <f t="shared" ref="C316:BN316" si="109">IFERROR(IF(C$262=0,0,(C57-C58)/C58),0)</f>
        <v>0</v>
      </c>
      <c r="D316" s="53">
        <f t="shared" si="109"/>
        <v>0</v>
      </c>
      <c r="E316" s="53">
        <f t="shared" si="109"/>
        <v>0</v>
      </c>
      <c r="F316" s="53">
        <f t="shared" si="109"/>
        <v>0</v>
      </c>
      <c r="G316" s="53">
        <f t="shared" si="109"/>
        <v>0</v>
      </c>
      <c r="H316" s="53">
        <f t="shared" si="109"/>
        <v>0</v>
      </c>
      <c r="I316" s="53">
        <f t="shared" si="109"/>
        <v>0</v>
      </c>
      <c r="J316" s="53">
        <f t="shared" si="109"/>
        <v>0</v>
      </c>
      <c r="K316" s="53">
        <f t="shared" si="109"/>
        <v>0</v>
      </c>
      <c r="L316" s="53">
        <f t="shared" si="109"/>
        <v>0</v>
      </c>
      <c r="M316" s="53">
        <f t="shared" si="109"/>
        <v>0</v>
      </c>
      <c r="N316" s="53">
        <f t="shared" si="109"/>
        <v>0</v>
      </c>
      <c r="O316" s="53">
        <f t="shared" si="109"/>
        <v>0</v>
      </c>
      <c r="P316" s="53">
        <f t="shared" si="109"/>
        <v>0</v>
      </c>
      <c r="Q316" s="53">
        <f t="shared" si="109"/>
        <v>0</v>
      </c>
      <c r="R316" s="53">
        <f t="shared" si="109"/>
        <v>0</v>
      </c>
      <c r="S316" s="53">
        <f t="shared" si="109"/>
        <v>0</v>
      </c>
      <c r="T316" s="53">
        <f t="shared" si="109"/>
        <v>0</v>
      </c>
      <c r="U316" s="53">
        <f t="shared" si="109"/>
        <v>0</v>
      </c>
      <c r="V316" s="53">
        <f t="shared" si="109"/>
        <v>0</v>
      </c>
      <c r="W316" s="53">
        <f t="shared" si="109"/>
        <v>0</v>
      </c>
      <c r="X316" s="53">
        <f t="shared" si="109"/>
        <v>0</v>
      </c>
      <c r="Y316" s="53">
        <f t="shared" si="109"/>
        <v>0</v>
      </c>
      <c r="Z316" s="53">
        <f t="shared" si="109"/>
        <v>0</v>
      </c>
      <c r="AA316" s="53">
        <f t="shared" si="109"/>
        <v>0</v>
      </c>
      <c r="AB316" s="53">
        <f t="shared" si="109"/>
        <v>0</v>
      </c>
      <c r="AC316" s="53">
        <f t="shared" si="109"/>
        <v>0</v>
      </c>
      <c r="AD316" s="53">
        <f t="shared" si="109"/>
        <v>0</v>
      </c>
      <c r="AE316" s="53">
        <f t="shared" si="109"/>
        <v>0</v>
      </c>
      <c r="AF316" s="53">
        <f t="shared" si="109"/>
        <v>0</v>
      </c>
      <c r="AG316" s="53">
        <f t="shared" si="109"/>
        <v>0</v>
      </c>
      <c r="AH316" s="53">
        <f t="shared" si="109"/>
        <v>0</v>
      </c>
      <c r="AI316" s="53">
        <f t="shared" si="109"/>
        <v>0</v>
      </c>
      <c r="AJ316" s="53">
        <f t="shared" si="109"/>
        <v>0</v>
      </c>
      <c r="AK316" s="53">
        <f t="shared" si="109"/>
        <v>0</v>
      </c>
      <c r="AL316" s="53">
        <f t="shared" si="109"/>
        <v>0</v>
      </c>
      <c r="AM316" s="53">
        <f t="shared" si="109"/>
        <v>0</v>
      </c>
      <c r="AN316" s="53">
        <f t="shared" si="109"/>
        <v>0</v>
      </c>
      <c r="AO316" s="53">
        <f t="shared" si="109"/>
        <v>0</v>
      </c>
      <c r="AP316" s="53">
        <f t="shared" si="109"/>
        <v>0</v>
      </c>
      <c r="AQ316" s="53">
        <f t="shared" si="109"/>
        <v>0</v>
      </c>
      <c r="AR316" s="53">
        <f t="shared" si="109"/>
        <v>0</v>
      </c>
      <c r="AS316" s="53">
        <f t="shared" si="109"/>
        <v>0</v>
      </c>
      <c r="AT316" s="53">
        <f t="shared" si="109"/>
        <v>0</v>
      </c>
      <c r="AU316" s="53">
        <f t="shared" si="109"/>
        <v>0</v>
      </c>
      <c r="AV316" s="53">
        <f t="shared" si="109"/>
        <v>0</v>
      </c>
      <c r="AW316" s="53">
        <f t="shared" si="109"/>
        <v>0</v>
      </c>
      <c r="AX316" s="53">
        <f t="shared" si="109"/>
        <v>0</v>
      </c>
      <c r="AY316" s="53">
        <f t="shared" si="109"/>
        <v>0</v>
      </c>
      <c r="AZ316" s="53">
        <f t="shared" si="109"/>
        <v>0</v>
      </c>
      <c r="BA316" s="53">
        <f t="shared" si="109"/>
        <v>0</v>
      </c>
      <c r="BB316" s="53">
        <f t="shared" si="109"/>
        <v>0</v>
      </c>
      <c r="BC316" s="53">
        <f t="shared" si="109"/>
        <v>0</v>
      </c>
      <c r="BD316" s="53">
        <f t="shared" si="109"/>
        <v>0</v>
      </c>
      <c r="BE316" s="53">
        <f t="shared" si="109"/>
        <v>0</v>
      </c>
      <c r="BF316" s="53">
        <f t="shared" si="109"/>
        <v>0</v>
      </c>
      <c r="BG316" s="53">
        <f t="shared" si="109"/>
        <v>0</v>
      </c>
      <c r="BH316" s="53">
        <f t="shared" si="109"/>
        <v>0</v>
      </c>
      <c r="BI316" s="53">
        <f t="shared" si="109"/>
        <v>0</v>
      </c>
      <c r="BJ316" s="53">
        <f t="shared" si="109"/>
        <v>0</v>
      </c>
      <c r="BK316" s="53">
        <f t="shared" si="109"/>
        <v>0</v>
      </c>
      <c r="BL316" s="53">
        <f t="shared" si="109"/>
        <v>0</v>
      </c>
      <c r="BM316" s="53">
        <f t="shared" si="109"/>
        <v>0</v>
      </c>
      <c r="BN316" s="53">
        <f t="shared" si="109"/>
        <v>0</v>
      </c>
      <c r="BO316" s="53">
        <f t="shared" ref="BO316:CX316" si="110">IFERROR(IF(BO$262=0,0,(BO57-BO58)/BO58),0)</f>
        <v>0</v>
      </c>
      <c r="BP316" s="53">
        <f t="shared" si="110"/>
        <v>0</v>
      </c>
      <c r="BQ316" s="53">
        <f t="shared" si="110"/>
        <v>0</v>
      </c>
      <c r="BR316" s="53">
        <f t="shared" si="110"/>
        <v>0</v>
      </c>
      <c r="BS316" s="53">
        <f t="shared" si="110"/>
        <v>0</v>
      </c>
      <c r="BT316" s="53">
        <f t="shared" si="110"/>
        <v>0</v>
      </c>
      <c r="BU316" s="53">
        <f t="shared" si="110"/>
        <v>0</v>
      </c>
      <c r="BV316" s="53">
        <f t="shared" si="110"/>
        <v>0</v>
      </c>
      <c r="BW316" s="53">
        <f t="shared" si="110"/>
        <v>0</v>
      </c>
      <c r="BX316" s="53">
        <f t="shared" si="110"/>
        <v>0</v>
      </c>
      <c r="BY316" s="53">
        <f t="shared" si="110"/>
        <v>0</v>
      </c>
      <c r="BZ316" s="53">
        <f t="shared" si="110"/>
        <v>0</v>
      </c>
      <c r="CA316" s="53">
        <f t="shared" si="110"/>
        <v>0</v>
      </c>
      <c r="CB316" s="53">
        <f t="shared" si="110"/>
        <v>0</v>
      </c>
      <c r="CC316" s="53">
        <f t="shared" si="110"/>
        <v>0</v>
      </c>
      <c r="CD316" s="53">
        <f t="shared" si="110"/>
        <v>0</v>
      </c>
      <c r="CE316" s="53">
        <f t="shared" si="110"/>
        <v>0</v>
      </c>
      <c r="CF316" s="53">
        <f t="shared" si="110"/>
        <v>0</v>
      </c>
      <c r="CG316" s="53">
        <f t="shared" si="110"/>
        <v>0</v>
      </c>
      <c r="CH316" s="53">
        <f t="shared" si="110"/>
        <v>0</v>
      </c>
      <c r="CI316" s="53">
        <f t="shared" si="110"/>
        <v>0</v>
      </c>
      <c r="CJ316" s="53">
        <f t="shared" si="110"/>
        <v>0</v>
      </c>
      <c r="CK316" s="53">
        <f t="shared" si="110"/>
        <v>0</v>
      </c>
      <c r="CL316" s="53">
        <f t="shared" si="110"/>
        <v>0</v>
      </c>
      <c r="CM316" s="53">
        <f t="shared" si="110"/>
        <v>0</v>
      </c>
      <c r="CN316" s="53">
        <f t="shared" si="110"/>
        <v>0</v>
      </c>
      <c r="CO316" s="53">
        <f t="shared" si="110"/>
        <v>0</v>
      </c>
      <c r="CP316" s="53">
        <f t="shared" si="110"/>
        <v>0</v>
      </c>
      <c r="CQ316" s="53">
        <f t="shared" si="110"/>
        <v>0</v>
      </c>
      <c r="CR316" s="53">
        <f t="shared" si="110"/>
        <v>0</v>
      </c>
      <c r="CS316" s="53">
        <f t="shared" si="110"/>
        <v>0</v>
      </c>
      <c r="CT316" s="53">
        <f t="shared" si="110"/>
        <v>0</v>
      </c>
      <c r="CU316" s="53">
        <f t="shared" si="110"/>
        <v>0</v>
      </c>
      <c r="CV316" s="53">
        <f t="shared" si="110"/>
        <v>0</v>
      </c>
      <c r="CW316" s="53">
        <f t="shared" si="110"/>
        <v>0</v>
      </c>
      <c r="CX316" s="53">
        <f t="shared" si="110"/>
        <v>0</v>
      </c>
      <c r="DB316" s="2" vm="565">
        <f ca="1">IF(Returns!A320&lt;&gt;0,Returns!A320,"")</f>
        <v>42408</v>
      </c>
      <c r="DC316" s="11">
        <f ca="1">IF(Returns!B331&gt;0,Returns!B331/Returns!B330-1,"")</f>
        <v>6.29975825946818E-2</v>
      </c>
      <c r="DD316" s="11">
        <f ca="1">IF(Returns!D323&gt;0,Returns!D323/Returns!D322-1,"")</f>
        <v>2.2043054051070765E-2</v>
      </c>
    </row>
    <row r="317" spans="2:108" x14ac:dyDescent="0.3">
      <c r="B317" s="57">
        <f t="shared" ca="1" si="6"/>
        <v>8.3020819211858968E-5</v>
      </c>
      <c r="C317" s="53">
        <f t="shared" ref="C317:BN317" si="111">IFERROR(IF(C$262=0,0,(C58-C59)/C59),0)</f>
        <v>0</v>
      </c>
      <c r="D317" s="53">
        <f t="shared" si="111"/>
        <v>0</v>
      </c>
      <c r="E317" s="53">
        <f t="shared" si="111"/>
        <v>0</v>
      </c>
      <c r="F317" s="53">
        <f t="shared" si="111"/>
        <v>0</v>
      </c>
      <c r="G317" s="53">
        <f t="shared" si="111"/>
        <v>0</v>
      </c>
      <c r="H317" s="53">
        <f t="shared" si="111"/>
        <v>0</v>
      </c>
      <c r="I317" s="53">
        <f t="shared" si="111"/>
        <v>0</v>
      </c>
      <c r="J317" s="53">
        <f t="shared" si="111"/>
        <v>0</v>
      </c>
      <c r="K317" s="53">
        <f t="shared" si="111"/>
        <v>0</v>
      </c>
      <c r="L317" s="53">
        <f t="shared" si="111"/>
        <v>0</v>
      </c>
      <c r="M317" s="53">
        <f t="shared" si="111"/>
        <v>0</v>
      </c>
      <c r="N317" s="53">
        <f t="shared" si="111"/>
        <v>0</v>
      </c>
      <c r="O317" s="53">
        <f t="shared" si="111"/>
        <v>0</v>
      </c>
      <c r="P317" s="53">
        <f t="shared" si="111"/>
        <v>0</v>
      </c>
      <c r="Q317" s="53">
        <f t="shared" si="111"/>
        <v>0</v>
      </c>
      <c r="R317" s="53">
        <f t="shared" si="111"/>
        <v>0</v>
      </c>
      <c r="S317" s="53">
        <f t="shared" si="111"/>
        <v>0</v>
      </c>
      <c r="T317" s="53">
        <f t="shared" si="111"/>
        <v>0</v>
      </c>
      <c r="U317" s="53">
        <f t="shared" si="111"/>
        <v>0</v>
      </c>
      <c r="V317" s="53">
        <f t="shared" si="111"/>
        <v>0</v>
      </c>
      <c r="W317" s="53">
        <f t="shared" si="111"/>
        <v>0</v>
      </c>
      <c r="X317" s="53">
        <f t="shared" si="111"/>
        <v>0</v>
      </c>
      <c r="Y317" s="53">
        <f t="shared" si="111"/>
        <v>0</v>
      </c>
      <c r="Z317" s="53">
        <f t="shared" si="111"/>
        <v>0</v>
      </c>
      <c r="AA317" s="53">
        <f t="shared" si="111"/>
        <v>0</v>
      </c>
      <c r="AB317" s="53">
        <f t="shared" si="111"/>
        <v>0</v>
      </c>
      <c r="AC317" s="53">
        <f t="shared" si="111"/>
        <v>0</v>
      </c>
      <c r="AD317" s="53">
        <f t="shared" si="111"/>
        <v>0</v>
      </c>
      <c r="AE317" s="53">
        <f t="shared" si="111"/>
        <v>0</v>
      </c>
      <c r="AF317" s="53">
        <f t="shared" si="111"/>
        <v>0</v>
      </c>
      <c r="AG317" s="53">
        <f t="shared" si="111"/>
        <v>0</v>
      </c>
      <c r="AH317" s="53">
        <f t="shared" si="111"/>
        <v>0</v>
      </c>
      <c r="AI317" s="53">
        <f t="shared" si="111"/>
        <v>0</v>
      </c>
      <c r="AJ317" s="53">
        <f t="shared" si="111"/>
        <v>0</v>
      </c>
      <c r="AK317" s="53">
        <f t="shared" si="111"/>
        <v>0</v>
      </c>
      <c r="AL317" s="53">
        <f t="shared" si="111"/>
        <v>0</v>
      </c>
      <c r="AM317" s="53">
        <f t="shared" si="111"/>
        <v>0</v>
      </c>
      <c r="AN317" s="53">
        <f t="shared" si="111"/>
        <v>0</v>
      </c>
      <c r="AO317" s="53">
        <f t="shared" si="111"/>
        <v>0</v>
      </c>
      <c r="AP317" s="53">
        <f t="shared" si="111"/>
        <v>0</v>
      </c>
      <c r="AQ317" s="53">
        <f t="shared" si="111"/>
        <v>0</v>
      </c>
      <c r="AR317" s="53">
        <f t="shared" si="111"/>
        <v>0</v>
      </c>
      <c r="AS317" s="53">
        <f t="shared" si="111"/>
        <v>0</v>
      </c>
      <c r="AT317" s="53">
        <f t="shared" si="111"/>
        <v>0</v>
      </c>
      <c r="AU317" s="53">
        <f t="shared" si="111"/>
        <v>0</v>
      </c>
      <c r="AV317" s="53">
        <f t="shared" si="111"/>
        <v>0</v>
      </c>
      <c r="AW317" s="53">
        <f t="shared" si="111"/>
        <v>0</v>
      </c>
      <c r="AX317" s="53">
        <f t="shared" si="111"/>
        <v>0</v>
      </c>
      <c r="AY317" s="53">
        <f t="shared" si="111"/>
        <v>0</v>
      </c>
      <c r="AZ317" s="53">
        <f t="shared" si="111"/>
        <v>0</v>
      </c>
      <c r="BA317" s="53">
        <f t="shared" si="111"/>
        <v>0</v>
      </c>
      <c r="BB317" s="53">
        <f t="shared" si="111"/>
        <v>0</v>
      </c>
      <c r="BC317" s="53">
        <f t="shared" si="111"/>
        <v>0</v>
      </c>
      <c r="BD317" s="53">
        <f t="shared" si="111"/>
        <v>0</v>
      </c>
      <c r="BE317" s="53">
        <f t="shared" si="111"/>
        <v>0</v>
      </c>
      <c r="BF317" s="53">
        <f t="shared" si="111"/>
        <v>0</v>
      </c>
      <c r="BG317" s="53">
        <f t="shared" si="111"/>
        <v>0</v>
      </c>
      <c r="BH317" s="53">
        <f t="shared" si="111"/>
        <v>0</v>
      </c>
      <c r="BI317" s="53">
        <f t="shared" si="111"/>
        <v>0</v>
      </c>
      <c r="BJ317" s="53">
        <f t="shared" si="111"/>
        <v>0</v>
      </c>
      <c r="BK317" s="53">
        <f t="shared" si="111"/>
        <v>0</v>
      </c>
      <c r="BL317" s="53">
        <f t="shared" si="111"/>
        <v>0</v>
      </c>
      <c r="BM317" s="53">
        <f t="shared" si="111"/>
        <v>0</v>
      </c>
      <c r="BN317" s="53">
        <f t="shared" si="111"/>
        <v>0</v>
      </c>
      <c r="BO317" s="53">
        <f t="shared" ref="BO317:CX317" si="112">IFERROR(IF(BO$262=0,0,(BO58-BO59)/BO59),0)</f>
        <v>0</v>
      </c>
      <c r="BP317" s="53">
        <f t="shared" si="112"/>
        <v>0</v>
      </c>
      <c r="BQ317" s="53">
        <f t="shared" si="112"/>
        <v>0</v>
      </c>
      <c r="BR317" s="53">
        <f t="shared" si="112"/>
        <v>0</v>
      </c>
      <c r="BS317" s="53">
        <f t="shared" si="112"/>
        <v>0</v>
      </c>
      <c r="BT317" s="53">
        <f t="shared" si="112"/>
        <v>0</v>
      </c>
      <c r="BU317" s="53">
        <f t="shared" si="112"/>
        <v>0</v>
      </c>
      <c r="BV317" s="53">
        <f t="shared" si="112"/>
        <v>0</v>
      </c>
      <c r="BW317" s="53">
        <f t="shared" si="112"/>
        <v>0</v>
      </c>
      <c r="BX317" s="53">
        <f t="shared" si="112"/>
        <v>0</v>
      </c>
      <c r="BY317" s="53">
        <f t="shared" si="112"/>
        <v>0</v>
      </c>
      <c r="BZ317" s="53">
        <f t="shared" si="112"/>
        <v>0</v>
      </c>
      <c r="CA317" s="53">
        <f t="shared" si="112"/>
        <v>0</v>
      </c>
      <c r="CB317" s="53">
        <f t="shared" si="112"/>
        <v>0</v>
      </c>
      <c r="CC317" s="53">
        <f t="shared" si="112"/>
        <v>0</v>
      </c>
      <c r="CD317" s="53">
        <f t="shared" si="112"/>
        <v>0</v>
      </c>
      <c r="CE317" s="53">
        <f t="shared" si="112"/>
        <v>0</v>
      </c>
      <c r="CF317" s="53">
        <f t="shared" si="112"/>
        <v>0</v>
      </c>
      <c r="CG317" s="53">
        <f t="shared" si="112"/>
        <v>0</v>
      </c>
      <c r="CH317" s="53">
        <f t="shared" si="112"/>
        <v>0</v>
      </c>
      <c r="CI317" s="53">
        <f t="shared" si="112"/>
        <v>0</v>
      </c>
      <c r="CJ317" s="53">
        <f t="shared" si="112"/>
        <v>0</v>
      </c>
      <c r="CK317" s="53">
        <f t="shared" si="112"/>
        <v>0</v>
      </c>
      <c r="CL317" s="53">
        <f t="shared" si="112"/>
        <v>0</v>
      </c>
      <c r="CM317" s="53">
        <f t="shared" si="112"/>
        <v>0</v>
      </c>
      <c r="CN317" s="53">
        <f t="shared" si="112"/>
        <v>0</v>
      </c>
      <c r="CO317" s="53">
        <f t="shared" si="112"/>
        <v>0</v>
      </c>
      <c r="CP317" s="53">
        <f t="shared" si="112"/>
        <v>0</v>
      </c>
      <c r="CQ317" s="53">
        <f t="shared" si="112"/>
        <v>0</v>
      </c>
      <c r="CR317" s="53">
        <f t="shared" si="112"/>
        <v>0</v>
      </c>
      <c r="CS317" s="53">
        <f t="shared" si="112"/>
        <v>0</v>
      </c>
      <c r="CT317" s="53">
        <f t="shared" si="112"/>
        <v>0</v>
      </c>
      <c r="CU317" s="53">
        <f t="shared" si="112"/>
        <v>0</v>
      </c>
      <c r="CV317" s="53">
        <f t="shared" si="112"/>
        <v>0</v>
      </c>
      <c r="CW317" s="53">
        <f t="shared" si="112"/>
        <v>0</v>
      </c>
      <c r="CX317" s="53">
        <f t="shared" si="112"/>
        <v>0</v>
      </c>
      <c r="DB317" s="2" vm="566">
        <f ca="1">IF(Returns!A321&lt;&gt;0,Returns!A321,"")</f>
        <v>42416</v>
      </c>
      <c r="DC317" s="11">
        <f ca="1">IF(Returns!B332&gt;0,Returns!B332/Returns!B331-1,"")</f>
        <v>2.1771100228930029E-2</v>
      </c>
      <c r="DD317" s="11">
        <f ca="1">IF(Returns!D324&gt;0,Returns!D324/Returns!D323-1,"")</f>
        <v>1.2144888649240348E-2</v>
      </c>
    </row>
    <row r="318" spans="2:108" x14ac:dyDescent="0.3">
      <c r="B318" s="57">
        <f t="shared" ca="1" si="6"/>
        <v>3.1546811073249908E-3</v>
      </c>
      <c r="C318" s="53">
        <f t="shared" ref="C318:BN318" si="113">IFERROR(IF(C$262=0,0,(C59-C60)/C60),0)</f>
        <v>0</v>
      </c>
      <c r="D318" s="53">
        <f t="shared" si="113"/>
        <v>0</v>
      </c>
      <c r="E318" s="53">
        <f t="shared" si="113"/>
        <v>0</v>
      </c>
      <c r="F318" s="53">
        <f t="shared" si="113"/>
        <v>0</v>
      </c>
      <c r="G318" s="53">
        <f t="shared" si="113"/>
        <v>0</v>
      </c>
      <c r="H318" s="53">
        <f t="shared" si="113"/>
        <v>0</v>
      </c>
      <c r="I318" s="53">
        <f t="shared" si="113"/>
        <v>0</v>
      </c>
      <c r="J318" s="53">
        <f t="shared" si="113"/>
        <v>0</v>
      </c>
      <c r="K318" s="53">
        <f t="shared" si="113"/>
        <v>0</v>
      </c>
      <c r="L318" s="53">
        <f t="shared" si="113"/>
        <v>0</v>
      </c>
      <c r="M318" s="53">
        <f t="shared" si="113"/>
        <v>0</v>
      </c>
      <c r="N318" s="53">
        <f t="shared" si="113"/>
        <v>0</v>
      </c>
      <c r="O318" s="53">
        <f t="shared" si="113"/>
        <v>0</v>
      </c>
      <c r="P318" s="53">
        <f t="shared" si="113"/>
        <v>0</v>
      </c>
      <c r="Q318" s="53">
        <f t="shared" si="113"/>
        <v>0</v>
      </c>
      <c r="R318" s="53">
        <f t="shared" si="113"/>
        <v>0</v>
      </c>
      <c r="S318" s="53">
        <f t="shared" si="113"/>
        <v>0</v>
      </c>
      <c r="T318" s="53">
        <f t="shared" si="113"/>
        <v>0</v>
      </c>
      <c r="U318" s="53">
        <f t="shared" si="113"/>
        <v>0</v>
      </c>
      <c r="V318" s="53">
        <f t="shared" si="113"/>
        <v>0</v>
      </c>
      <c r="W318" s="53">
        <f t="shared" si="113"/>
        <v>0</v>
      </c>
      <c r="X318" s="53">
        <f t="shared" si="113"/>
        <v>0</v>
      </c>
      <c r="Y318" s="53">
        <f t="shared" si="113"/>
        <v>0</v>
      </c>
      <c r="Z318" s="53">
        <f t="shared" si="113"/>
        <v>0</v>
      </c>
      <c r="AA318" s="53">
        <f t="shared" si="113"/>
        <v>0</v>
      </c>
      <c r="AB318" s="53">
        <f t="shared" si="113"/>
        <v>0</v>
      </c>
      <c r="AC318" s="53">
        <f t="shared" si="113"/>
        <v>0</v>
      </c>
      <c r="AD318" s="53">
        <f t="shared" si="113"/>
        <v>0</v>
      </c>
      <c r="AE318" s="53">
        <f t="shared" si="113"/>
        <v>0</v>
      </c>
      <c r="AF318" s="53">
        <f t="shared" si="113"/>
        <v>0</v>
      </c>
      <c r="AG318" s="53">
        <f t="shared" si="113"/>
        <v>0</v>
      </c>
      <c r="AH318" s="53">
        <f t="shared" si="113"/>
        <v>0</v>
      </c>
      <c r="AI318" s="53">
        <f t="shared" si="113"/>
        <v>0</v>
      </c>
      <c r="AJ318" s="53">
        <f t="shared" si="113"/>
        <v>0</v>
      </c>
      <c r="AK318" s="53">
        <f t="shared" si="113"/>
        <v>0</v>
      </c>
      <c r="AL318" s="53">
        <f t="shared" si="113"/>
        <v>0</v>
      </c>
      <c r="AM318" s="53">
        <f t="shared" si="113"/>
        <v>0</v>
      </c>
      <c r="AN318" s="53">
        <f t="shared" si="113"/>
        <v>0</v>
      </c>
      <c r="AO318" s="53">
        <f t="shared" si="113"/>
        <v>0</v>
      </c>
      <c r="AP318" s="53">
        <f t="shared" si="113"/>
        <v>0</v>
      </c>
      <c r="AQ318" s="53">
        <f t="shared" si="113"/>
        <v>0</v>
      </c>
      <c r="AR318" s="53">
        <f t="shared" si="113"/>
        <v>0</v>
      </c>
      <c r="AS318" s="53">
        <f t="shared" si="113"/>
        <v>0</v>
      </c>
      <c r="AT318" s="53">
        <f t="shared" si="113"/>
        <v>0</v>
      </c>
      <c r="AU318" s="53">
        <f t="shared" si="113"/>
        <v>0</v>
      </c>
      <c r="AV318" s="53">
        <f t="shared" si="113"/>
        <v>0</v>
      </c>
      <c r="AW318" s="53">
        <f t="shared" si="113"/>
        <v>0</v>
      </c>
      <c r="AX318" s="53">
        <f t="shared" si="113"/>
        <v>0</v>
      </c>
      <c r="AY318" s="53">
        <f t="shared" si="113"/>
        <v>0</v>
      </c>
      <c r="AZ318" s="53">
        <f t="shared" si="113"/>
        <v>0</v>
      </c>
      <c r="BA318" s="53">
        <f t="shared" si="113"/>
        <v>0</v>
      </c>
      <c r="BB318" s="53">
        <f t="shared" si="113"/>
        <v>0</v>
      </c>
      <c r="BC318" s="53">
        <f t="shared" si="113"/>
        <v>0</v>
      </c>
      <c r="BD318" s="53">
        <f t="shared" si="113"/>
        <v>0</v>
      </c>
      <c r="BE318" s="53">
        <f t="shared" si="113"/>
        <v>0</v>
      </c>
      <c r="BF318" s="53">
        <f t="shared" si="113"/>
        <v>0</v>
      </c>
      <c r="BG318" s="53">
        <f t="shared" si="113"/>
        <v>0</v>
      </c>
      <c r="BH318" s="53">
        <f t="shared" si="113"/>
        <v>0</v>
      </c>
      <c r="BI318" s="53">
        <f t="shared" si="113"/>
        <v>0</v>
      </c>
      <c r="BJ318" s="53">
        <f t="shared" si="113"/>
        <v>0</v>
      </c>
      <c r="BK318" s="53">
        <f t="shared" si="113"/>
        <v>0</v>
      </c>
      <c r="BL318" s="53">
        <f t="shared" si="113"/>
        <v>0</v>
      </c>
      <c r="BM318" s="53">
        <f t="shared" si="113"/>
        <v>0</v>
      </c>
      <c r="BN318" s="53">
        <f t="shared" si="113"/>
        <v>0</v>
      </c>
      <c r="BO318" s="53">
        <f t="shared" ref="BO318:CX318" si="114">IFERROR(IF(BO$262=0,0,(BO59-BO60)/BO60),0)</f>
        <v>0</v>
      </c>
      <c r="BP318" s="53">
        <f t="shared" si="114"/>
        <v>0</v>
      </c>
      <c r="BQ318" s="53">
        <f t="shared" si="114"/>
        <v>0</v>
      </c>
      <c r="BR318" s="53">
        <f t="shared" si="114"/>
        <v>0</v>
      </c>
      <c r="BS318" s="53">
        <f t="shared" si="114"/>
        <v>0</v>
      </c>
      <c r="BT318" s="53">
        <f t="shared" si="114"/>
        <v>0</v>
      </c>
      <c r="BU318" s="53">
        <f t="shared" si="114"/>
        <v>0</v>
      </c>
      <c r="BV318" s="53">
        <f t="shared" si="114"/>
        <v>0</v>
      </c>
      <c r="BW318" s="53">
        <f t="shared" si="114"/>
        <v>0</v>
      </c>
      <c r="BX318" s="53">
        <f t="shared" si="114"/>
        <v>0</v>
      </c>
      <c r="BY318" s="53">
        <f t="shared" si="114"/>
        <v>0</v>
      </c>
      <c r="BZ318" s="53">
        <f t="shared" si="114"/>
        <v>0</v>
      </c>
      <c r="CA318" s="53">
        <f t="shared" si="114"/>
        <v>0</v>
      </c>
      <c r="CB318" s="53">
        <f t="shared" si="114"/>
        <v>0</v>
      </c>
      <c r="CC318" s="53">
        <f t="shared" si="114"/>
        <v>0</v>
      </c>
      <c r="CD318" s="53">
        <f t="shared" si="114"/>
        <v>0</v>
      </c>
      <c r="CE318" s="53">
        <f t="shared" si="114"/>
        <v>0</v>
      </c>
      <c r="CF318" s="53">
        <f t="shared" si="114"/>
        <v>0</v>
      </c>
      <c r="CG318" s="53">
        <f t="shared" si="114"/>
        <v>0</v>
      </c>
      <c r="CH318" s="53">
        <f t="shared" si="114"/>
        <v>0</v>
      </c>
      <c r="CI318" s="53">
        <f t="shared" si="114"/>
        <v>0</v>
      </c>
      <c r="CJ318" s="53">
        <f t="shared" si="114"/>
        <v>0</v>
      </c>
      <c r="CK318" s="53">
        <f t="shared" si="114"/>
        <v>0</v>
      </c>
      <c r="CL318" s="53">
        <f t="shared" si="114"/>
        <v>0</v>
      </c>
      <c r="CM318" s="53">
        <f t="shared" si="114"/>
        <v>0</v>
      </c>
      <c r="CN318" s="53">
        <f t="shared" si="114"/>
        <v>0</v>
      </c>
      <c r="CO318" s="53">
        <f t="shared" si="114"/>
        <v>0</v>
      </c>
      <c r="CP318" s="53">
        <f t="shared" si="114"/>
        <v>0</v>
      </c>
      <c r="CQ318" s="53">
        <f t="shared" si="114"/>
        <v>0</v>
      </c>
      <c r="CR318" s="53">
        <f t="shared" si="114"/>
        <v>0</v>
      </c>
      <c r="CS318" s="53">
        <f t="shared" si="114"/>
        <v>0</v>
      </c>
      <c r="CT318" s="53">
        <f t="shared" si="114"/>
        <v>0</v>
      </c>
      <c r="CU318" s="53">
        <f t="shared" si="114"/>
        <v>0</v>
      </c>
      <c r="CV318" s="53">
        <f t="shared" si="114"/>
        <v>0</v>
      </c>
      <c r="CW318" s="53">
        <f t="shared" si="114"/>
        <v>0</v>
      </c>
      <c r="CX318" s="53">
        <f t="shared" si="114"/>
        <v>0</v>
      </c>
      <c r="DB318" s="2" vm="567">
        <f ca="1">IF(Returns!A322&lt;&gt;0,Returns!A322,"")</f>
        <v>42422</v>
      </c>
      <c r="DC318" s="11">
        <f ca="1">IF(Returns!B333&gt;0,Returns!B333/Returns!B332-1,"")</f>
        <v>5.3371911862897914E-2</v>
      </c>
      <c r="DD318" s="11">
        <f ca="1">IF(Returns!D325&gt;0,Returns!D325/Returns!D324-1,"")</f>
        <v>2.2597881070308912E-2</v>
      </c>
    </row>
    <row r="319" spans="2:108" x14ac:dyDescent="0.3">
      <c r="B319" s="57">
        <f t="shared" ca="1" si="6"/>
        <v>4.6235565592282514E-3</v>
      </c>
      <c r="C319" s="53">
        <f t="shared" ref="C319:BN319" si="115">IFERROR(IF(C$262=0,0,(C60-C61)/C61),0)</f>
        <v>0</v>
      </c>
      <c r="D319" s="53">
        <f t="shared" si="115"/>
        <v>0</v>
      </c>
      <c r="E319" s="53">
        <f t="shared" si="115"/>
        <v>0</v>
      </c>
      <c r="F319" s="53">
        <f t="shared" si="115"/>
        <v>0</v>
      </c>
      <c r="G319" s="53">
        <f t="shared" si="115"/>
        <v>0</v>
      </c>
      <c r="H319" s="53">
        <f t="shared" si="115"/>
        <v>0</v>
      </c>
      <c r="I319" s="53">
        <f t="shared" si="115"/>
        <v>0</v>
      </c>
      <c r="J319" s="53">
        <f t="shared" si="115"/>
        <v>0</v>
      </c>
      <c r="K319" s="53">
        <f t="shared" si="115"/>
        <v>0</v>
      </c>
      <c r="L319" s="53">
        <f t="shared" si="115"/>
        <v>0</v>
      </c>
      <c r="M319" s="53">
        <f t="shared" si="115"/>
        <v>0</v>
      </c>
      <c r="N319" s="53">
        <f t="shared" si="115"/>
        <v>0</v>
      </c>
      <c r="O319" s="53">
        <f t="shared" si="115"/>
        <v>0</v>
      </c>
      <c r="P319" s="53">
        <f t="shared" si="115"/>
        <v>0</v>
      </c>
      <c r="Q319" s="53">
        <f t="shared" si="115"/>
        <v>0</v>
      </c>
      <c r="R319" s="53">
        <f t="shared" si="115"/>
        <v>0</v>
      </c>
      <c r="S319" s="53">
        <f t="shared" si="115"/>
        <v>0</v>
      </c>
      <c r="T319" s="53">
        <f t="shared" si="115"/>
        <v>0</v>
      </c>
      <c r="U319" s="53">
        <f t="shared" si="115"/>
        <v>0</v>
      </c>
      <c r="V319" s="53">
        <f t="shared" si="115"/>
        <v>0</v>
      </c>
      <c r="W319" s="53">
        <f t="shared" si="115"/>
        <v>0</v>
      </c>
      <c r="X319" s="53">
        <f t="shared" si="115"/>
        <v>0</v>
      </c>
      <c r="Y319" s="53">
        <f t="shared" si="115"/>
        <v>0</v>
      </c>
      <c r="Z319" s="53">
        <f t="shared" si="115"/>
        <v>0</v>
      </c>
      <c r="AA319" s="53">
        <f t="shared" si="115"/>
        <v>0</v>
      </c>
      <c r="AB319" s="53">
        <f t="shared" si="115"/>
        <v>0</v>
      </c>
      <c r="AC319" s="53">
        <f t="shared" si="115"/>
        <v>0</v>
      </c>
      <c r="AD319" s="53">
        <f t="shared" si="115"/>
        <v>0</v>
      </c>
      <c r="AE319" s="53">
        <f t="shared" si="115"/>
        <v>0</v>
      </c>
      <c r="AF319" s="53">
        <f t="shared" si="115"/>
        <v>0</v>
      </c>
      <c r="AG319" s="53">
        <f t="shared" si="115"/>
        <v>0</v>
      </c>
      <c r="AH319" s="53">
        <f t="shared" si="115"/>
        <v>0</v>
      </c>
      <c r="AI319" s="53">
        <f t="shared" si="115"/>
        <v>0</v>
      </c>
      <c r="AJ319" s="53">
        <f t="shared" si="115"/>
        <v>0</v>
      </c>
      <c r="AK319" s="53">
        <f t="shared" si="115"/>
        <v>0</v>
      </c>
      <c r="AL319" s="53">
        <f t="shared" si="115"/>
        <v>0</v>
      </c>
      <c r="AM319" s="53">
        <f t="shared" si="115"/>
        <v>0</v>
      </c>
      <c r="AN319" s="53">
        <f t="shared" si="115"/>
        <v>0</v>
      </c>
      <c r="AO319" s="53">
        <f t="shared" si="115"/>
        <v>0</v>
      </c>
      <c r="AP319" s="53">
        <f t="shared" si="115"/>
        <v>0</v>
      </c>
      <c r="AQ319" s="53">
        <f t="shared" si="115"/>
        <v>0</v>
      </c>
      <c r="AR319" s="53">
        <f t="shared" si="115"/>
        <v>0</v>
      </c>
      <c r="AS319" s="53">
        <f t="shared" si="115"/>
        <v>0</v>
      </c>
      <c r="AT319" s="53">
        <f t="shared" si="115"/>
        <v>0</v>
      </c>
      <c r="AU319" s="53">
        <f t="shared" si="115"/>
        <v>0</v>
      </c>
      <c r="AV319" s="53">
        <f t="shared" si="115"/>
        <v>0</v>
      </c>
      <c r="AW319" s="53">
        <f t="shared" si="115"/>
        <v>0</v>
      </c>
      <c r="AX319" s="53">
        <f t="shared" si="115"/>
        <v>0</v>
      </c>
      <c r="AY319" s="53">
        <f t="shared" si="115"/>
        <v>0</v>
      </c>
      <c r="AZ319" s="53">
        <f t="shared" si="115"/>
        <v>0</v>
      </c>
      <c r="BA319" s="53">
        <f t="shared" si="115"/>
        <v>0</v>
      </c>
      <c r="BB319" s="53">
        <f t="shared" si="115"/>
        <v>0</v>
      </c>
      <c r="BC319" s="53">
        <f t="shared" si="115"/>
        <v>0</v>
      </c>
      <c r="BD319" s="53">
        <f t="shared" si="115"/>
        <v>0</v>
      </c>
      <c r="BE319" s="53">
        <f t="shared" si="115"/>
        <v>0</v>
      </c>
      <c r="BF319" s="53">
        <f t="shared" si="115"/>
        <v>0</v>
      </c>
      <c r="BG319" s="53">
        <f t="shared" si="115"/>
        <v>0</v>
      </c>
      <c r="BH319" s="53">
        <f t="shared" si="115"/>
        <v>0</v>
      </c>
      <c r="BI319" s="53">
        <f t="shared" si="115"/>
        <v>0</v>
      </c>
      <c r="BJ319" s="53">
        <f t="shared" si="115"/>
        <v>0</v>
      </c>
      <c r="BK319" s="53">
        <f t="shared" si="115"/>
        <v>0</v>
      </c>
      <c r="BL319" s="53">
        <f t="shared" si="115"/>
        <v>0</v>
      </c>
      <c r="BM319" s="53">
        <f t="shared" si="115"/>
        <v>0</v>
      </c>
      <c r="BN319" s="53">
        <f t="shared" si="115"/>
        <v>0</v>
      </c>
      <c r="BO319" s="53">
        <f t="shared" ref="BO319:CX319" si="116">IFERROR(IF(BO$262=0,0,(BO60-BO61)/BO61),0)</f>
        <v>0</v>
      </c>
      <c r="BP319" s="53">
        <f t="shared" si="116"/>
        <v>0</v>
      </c>
      <c r="BQ319" s="53">
        <f t="shared" si="116"/>
        <v>0</v>
      </c>
      <c r="BR319" s="53">
        <f t="shared" si="116"/>
        <v>0</v>
      </c>
      <c r="BS319" s="53">
        <f t="shared" si="116"/>
        <v>0</v>
      </c>
      <c r="BT319" s="53">
        <f t="shared" si="116"/>
        <v>0</v>
      </c>
      <c r="BU319" s="53">
        <f t="shared" si="116"/>
        <v>0</v>
      </c>
      <c r="BV319" s="53">
        <f t="shared" si="116"/>
        <v>0</v>
      </c>
      <c r="BW319" s="53">
        <f t="shared" si="116"/>
        <v>0</v>
      </c>
      <c r="BX319" s="53">
        <f t="shared" si="116"/>
        <v>0</v>
      </c>
      <c r="BY319" s="53">
        <f t="shared" si="116"/>
        <v>0</v>
      </c>
      <c r="BZ319" s="53">
        <f t="shared" si="116"/>
        <v>0</v>
      </c>
      <c r="CA319" s="53">
        <f t="shared" si="116"/>
        <v>0</v>
      </c>
      <c r="CB319" s="53">
        <f t="shared" si="116"/>
        <v>0</v>
      </c>
      <c r="CC319" s="53">
        <f t="shared" si="116"/>
        <v>0</v>
      </c>
      <c r="CD319" s="53">
        <f t="shared" si="116"/>
        <v>0</v>
      </c>
      <c r="CE319" s="53">
        <f t="shared" si="116"/>
        <v>0</v>
      </c>
      <c r="CF319" s="53">
        <f t="shared" si="116"/>
        <v>0</v>
      </c>
      <c r="CG319" s="53">
        <f t="shared" si="116"/>
        <v>0</v>
      </c>
      <c r="CH319" s="53">
        <f t="shared" si="116"/>
        <v>0</v>
      </c>
      <c r="CI319" s="53">
        <f t="shared" si="116"/>
        <v>0</v>
      </c>
      <c r="CJ319" s="53">
        <f t="shared" si="116"/>
        <v>0</v>
      </c>
      <c r="CK319" s="53">
        <f t="shared" si="116"/>
        <v>0</v>
      </c>
      <c r="CL319" s="53">
        <f t="shared" si="116"/>
        <v>0</v>
      </c>
      <c r="CM319" s="53">
        <f t="shared" si="116"/>
        <v>0</v>
      </c>
      <c r="CN319" s="53">
        <f t="shared" si="116"/>
        <v>0</v>
      </c>
      <c r="CO319" s="53">
        <f t="shared" si="116"/>
        <v>0</v>
      </c>
      <c r="CP319" s="53">
        <f t="shared" si="116"/>
        <v>0</v>
      </c>
      <c r="CQ319" s="53">
        <f t="shared" si="116"/>
        <v>0</v>
      </c>
      <c r="CR319" s="53">
        <f t="shared" si="116"/>
        <v>0</v>
      </c>
      <c r="CS319" s="53">
        <f t="shared" si="116"/>
        <v>0</v>
      </c>
      <c r="CT319" s="53">
        <f t="shared" si="116"/>
        <v>0</v>
      </c>
      <c r="CU319" s="53">
        <f t="shared" si="116"/>
        <v>0</v>
      </c>
      <c r="CV319" s="53">
        <f t="shared" si="116"/>
        <v>0</v>
      </c>
      <c r="CW319" s="53">
        <f t="shared" si="116"/>
        <v>0</v>
      </c>
      <c r="CX319" s="53">
        <f t="shared" si="116"/>
        <v>0</v>
      </c>
      <c r="DB319" s="2" vm="568">
        <f ca="1">IF(Returns!A323&lt;&gt;0,Returns!A323,"")</f>
        <v>42429</v>
      </c>
      <c r="DC319" s="11">
        <f ca="1">IF(Returns!B334&gt;0,Returns!B334/Returns!B333-1,"")</f>
        <v>-1.0029299075952292E-2</v>
      </c>
      <c r="DD319" s="11">
        <f ca="1">IF(Returns!D326&gt;0,Returns!D326/Returns!D325-1,"")</f>
        <v>-4.9176989817248939E-3</v>
      </c>
    </row>
    <row r="320" spans="2:108" x14ac:dyDescent="0.3">
      <c r="B320" s="57">
        <f t="shared" ca="1" si="6"/>
        <v>2.5684236107799113E-3</v>
      </c>
      <c r="C320" s="53">
        <f t="shared" ref="C320:BN320" si="117">IFERROR(IF(C$262=0,0,(C61-C62)/C62),0)</f>
        <v>0</v>
      </c>
      <c r="D320" s="53">
        <f t="shared" si="117"/>
        <v>0</v>
      </c>
      <c r="E320" s="53">
        <f t="shared" si="117"/>
        <v>0</v>
      </c>
      <c r="F320" s="53">
        <f t="shared" si="117"/>
        <v>0</v>
      </c>
      <c r="G320" s="53">
        <f t="shared" si="117"/>
        <v>0</v>
      </c>
      <c r="H320" s="53">
        <f t="shared" si="117"/>
        <v>0</v>
      </c>
      <c r="I320" s="53">
        <f t="shared" si="117"/>
        <v>0</v>
      </c>
      <c r="J320" s="53">
        <f t="shared" si="117"/>
        <v>0</v>
      </c>
      <c r="K320" s="53">
        <f t="shared" si="117"/>
        <v>0</v>
      </c>
      <c r="L320" s="53">
        <f t="shared" si="117"/>
        <v>0</v>
      </c>
      <c r="M320" s="53">
        <f t="shared" si="117"/>
        <v>0</v>
      </c>
      <c r="N320" s="53">
        <f t="shared" si="117"/>
        <v>0</v>
      </c>
      <c r="O320" s="53">
        <f t="shared" si="117"/>
        <v>0</v>
      </c>
      <c r="P320" s="53">
        <f t="shared" si="117"/>
        <v>0</v>
      </c>
      <c r="Q320" s="53">
        <f t="shared" si="117"/>
        <v>0</v>
      </c>
      <c r="R320" s="53">
        <f t="shared" si="117"/>
        <v>0</v>
      </c>
      <c r="S320" s="53">
        <f t="shared" si="117"/>
        <v>0</v>
      </c>
      <c r="T320" s="53">
        <f t="shared" si="117"/>
        <v>0</v>
      </c>
      <c r="U320" s="53">
        <f t="shared" si="117"/>
        <v>0</v>
      </c>
      <c r="V320" s="53">
        <f t="shared" si="117"/>
        <v>0</v>
      </c>
      <c r="W320" s="53">
        <f t="shared" si="117"/>
        <v>0</v>
      </c>
      <c r="X320" s="53">
        <f t="shared" si="117"/>
        <v>0</v>
      </c>
      <c r="Y320" s="53">
        <f t="shared" si="117"/>
        <v>0</v>
      </c>
      <c r="Z320" s="53">
        <f t="shared" si="117"/>
        <v>0</v>
      </c>
      <c r="AA320" s="53">
        <f t="shared" si="117"/>
        <v>0</v>
      </c>
      <c r="AB320" s="53">
        <f t="shared" si="117"/>
        <v>0</v>
      </c>
      <c r="AC320" s="53">
        <f t="shared" si="117"/>
        <v>0</v>
      </c>
      <c r="AD320" s="53">
        <f t="shared" si="117"/>
        <v>0</v>
      </c>
      <c r="AE320" s="53">
        <f t="shared" si="117"/>
        <v>0</v>
      </c>
      <c r="AF320" s="53">
        <f t="shared" si="117"/>
        <v>0</v>
      </c>
      <c r="AG320" s="53">
        <f t="shared" si="117"/>
        <v>0</v>
      </c>
      <c r="AH320" s="53">
        <f t="shared" si="117"/>
        <v>0</v>
      </c>
      <c r="AI320" s="53">
        <f t="shared" si="117"/>
        <v>0</v>
      </c>
      <c r="AJ320" s="53">
        <f t="shared" si="117"/>
        <v>0</v>
      </c>
      <c r="AK320" s="53">
        <f t="shared" si="117"/>
        <v>0</v>
      </c>
      <c r="AL320" s="53">
        <f t="shared" si="117"/>
        <v>0</v>
      </c>
      <c r="AM320" s="53">
        <f t="shared" si="117"/>
        <v>0</v>
      </c>
      <c r="AN320" s="53">
        <f t="shared" si="117"/>
        <v>0</v>
      </c>
      <c r="AO320" s="53">
        <f t="shared" si="117"/>
        <v>0</v>
      </c>
      <c r="AP320" s="53">
        <f t="shared" si="117"/>
        <v>0</v>
      </c>
      <c r="AQ320" s="53">
        <f t="shared" si="117"/>
        <v>0</v>
      </c>
      <c r="AR320" s="53">
        <f t="shared" si="117"/>
        <v>0</v>
      </c>
      <c r="AS320" s="53">
        <f t="shared" si="117"/>
        <v>0</v>
      </c>
      <c r="AT320" s="53">
        <f t="shared" si="117"/>
        <v>0</v>
      </c>
      <c r="AU320" s="53">
        <f t="shared" si="117"/>
        <v>0</v>
      </c>
      <c r="AV320" s="53">
        <f t="shared" si="117"/>
        <v>0</v>
      </c>
      <c r="AW320" s="53">
        <f t="shared" si="117"/>
        <v>0</v>
      </c>
      <c r="AX320" s="53">
        <f t="shared" si="117"/>
        <v>0</v>
      </c>
      <c r="AY320" s="53">
        <f t="shared" si="117"/>
        <v>0</v>
      </c>
      <c r="AZ320" s="53">
        <f t="shared" si="117"/>
        <v>0</v>
      </c>
      <c r="BA320" s="53">
        <f t="shared" si="117"/>
        <v>0</v>
      </c>
      <c r="BB320" s="53">
        <f t="shared" si="117"/>
        <v>0</v>
      </c>
      <c r="BC320" s="53">
        <f t="shared" si="117"/>
        <v>0</v>
      </c>
      <c r="BD320" s="53">
        <f t="shared" si="117"/>
        <v>0</v>
      </c>
      <c r="BE320" s="53">
        <f t="shared" si="117"/>
        <v>0</v>
      </c>
      <c r="BF320" s="53">
        <f t="shared" si="117"/>
        <v>0</v>
      </c>
      <c r="BG320" s="53">
        <f t="shared" si="117"/>
        <v>0</v>
      </c>
      <c r="BH320" s="53">
        <f t="shared" si="117"/>
        <v>0</v>
      </c>
      <c r="BI320" s="53">
        <f t="shared" si="117"/>
        <v>0</v>
      </c>
      <c r="BJ320" s="53">
        <f t="shared" si="117"/>
        <v>0</v>
      </c>
      <c r="BK320" s="53">
        <f t="shared" si="117"/>
        <v>0</v>
      </c>
      <c r="BL320" s="53">
        <f t="shared" si="117"/>
        <v>0</v>
      </c>
      <c r="BM320" s="53">
        <f t="shared" si="117"/>
        <v>0</v>
      </c>
      <c r="BN320" s="53">
        <f t="shared" si="117"/>
        <v>0</v>
      </c>
      <c r="BO320" s="53">
        <f t="shared" ref="BO320:CX320" si="118">IFERROR(IF(BO$262=0,0,(BO61-BO62)/BO62),0)</f>
        <v>0</v>
      </c>
      <c r="BP320" s="53">
        <f t="shared" si="118"/>
        <v>0</v>
      </c>
      <c r="BQ320" s="53">
        <f t="shared" si="118"/>
        <v>0</v>
      </c>
      <c r="BR320" s="53">
        <f t="shared" si="118"/>
        <v>0</v>
      </c>
      <c r="BS320" s="53">
        <f t="shared" si="118"/>
        <v>0</v>
      </c>
      <c r="BT320" s="53">
        <f t="shared" si="118"/>
        <v>0</v>
      </c>
      <c r="BU320" s="53">
        <f t="shared" si="118"/>
        <v>0</v>
      </c>
      <c r="BV320" s="53">
        <f t="shared" si="118"/>
        <v>0</v>
      </c>
      <c r="BW320" s="53">
        <f t="shared" si="118"/>
        <v>0</v>
      </c>
      <c r="BX320" s="53">
        <f t="shared" si="118"/>
        <v>0</v>
      </c>
      <c r="BY320" s="53">
        <f t="shared" si="118"/>
        <v>0</v>
      </c>
      <c r="BZ320" s="53">
        <f t="shared" si="118"/>
        <v>0</v>
      </c>
      <c r="CA320" s="53">
        <f t="shared" si="118"/>
        <v>0</v>
      </c>
      <c r="CB320" s="53">
        <f t="shared" si="118"/>
        <v>0</v>
      </c>
      <c r="CC320" s="53">
        <f t="shared" si="118"/>
        <v>0</v>
      </c>
      <c r="CD320" s="53">
        <f t="shared" si="118"/>
        <v>0</v>
      </c>
      <c r="CE320" s="53">
        <f t="shared" si="118"/>
        <v>0</v>
      </c>
      <c r="CF320" s="53">
        <f t="shared" si="118"/>
        <v>0</v>
      </c>
      <c r="CG320" s="53">
        <f t="shared" si="118"/>
        <v>0</v>
      </c>
      <c r="CH320" s="53">
        <f t="shared" si="118"/>
        <v>0</v>
      </c>
      <c r="CI320" s="53">
        <f t="shared" si="118"/>
        <v>0</v>
      </c>
      <c r="CJ320" s="53">
        <f t="shared" si="118"/>
        <v>0</v>
      </c>
      <c r="CK320" s="53">
        <f t="shared" si="118"/>
        <v>0</v>
      </c>
      <c r="CL320" s="53">
        <f t="shared" si="118"/>
        <v>0</v>
      </c>
      <c r="CM320" s="53">
        <f t="shared" si="118"/>
        <v>0</v>
      </c>
      <c r="CN320" s="53">
        <f t="shared" si="118"/>
        <v>0</v>
      </c>
      <c r="CO320" s="53">
        <f t="shared" si="118"/>
        <v>0</v>
      </c>
      <c r="CP320" s="53">
        <f t="shared" si="118"/>
        <v>0</v>
      </c>
      <c r="CQ320" s="53">
        <f t="shared" si="118"/>
        <v>0</v>
      </c>
      <c r="CR320" s="53">
        <f t="shared" si="118"/>
        <v>0</v>
      </c>
      <c r="CS320" s="53">
        <f t="shared" si="118"/>
        <v>0</v>
      </c>
      <c r="CT320" s="53">
        <f t="shared" si="118"/>
        <v>0</v>
      </c>
      <c r="CU320" s="53">
        <f t="shared" si="118"/>
        <v>0</v>
      </c>
      <c r="CV320" s="53">
        <f t="shared" si="118"/>
        <v>0</v>
      </c>
      <c r="CW320" s="53">
        <f t="shared" si="118"/>
        <v>0</v>
      </c>
      <c r="CX320" s="53">
        <f t="shared" si="118"/>
        <v>0</v>
      </c>
      <c r="DB320" s="2" vm="569">
        <f ca="1">IF(Returns!A324&lt;&gt;0,Returns!A324,"")</f>
        <v>42436</v>
      </c>
      <c r="DC320" s="11">
        <f ca="1">IF(Returns!B335&gt;0,Returns!B335/Returns!B334-1,"")</f>
        <v>1.3431986340352919E-2</v>
      </c>
      <c r="DD320" s="11">
        <f ca="1">IF(Returns!D327&gt;0,Returns!D327/Returns!D326-1,"")</f>
        <v>1.5815174545976474E-2</v>
      </c>
    </row>
    <row r="321" spans="2:108" x14ac:dyDescent="0.3">
      <c r="B321" s="57">
        <f t="shared" ca="1" si="6"/>
        <v>3.3863191044808468E-3</v>
      </c>
      <c r="C321" s="53">
        <f t="shared" ref="C321:BN321" si="119">IFERROR(IF(C$262=0,0,(C62-C63)/C63),0)</f>
        <v>0</v>
      </c>
      <c r="D321" s="53">
        <f t="shared" si="119"/>
        <v>0</v>
      </c>
      <c r="E321" s="53">
        <f t="shared" si="119"/>
        <v>0</v>
      </c>
      <c r="F321" s="53">
        <f t="shared" si="119"/>
        <v>0</v>
      </c>
      <c r="G321" s="53">
        <f t="shared" si="119"/>
        <v>0</v>
      </c>
      <c r="H321" s="53">
        <f t="shared" si="119"/>
        <v>0</v>
      </c>
      <c r="I321" s="53">
        <f t="shared" si="119"/>
        <v>0</v>
      </c>
      <c r="J321" s="53">
        <f t="shared" si="119"/>
        <v>0</v>
      </c>
      <c r="K321" s="53">
        <f t="shared" si="119"/>
        <v>0</v>
      </c>
      <c r="L321" s="53">
        <f t="shared" si="119"/>
        <v>0</v>
      </c>
      <c r="M321" s="53">
        <f t="shared" si="119"/>
        <v>0</v>
      </c>
      <c r="N321" s="53">
        <f t="shared" si="119"/>
        <v>0</v>
      </c>
      <c r="O321" s="53">
        <f t="shared" si="119"/>
        <v>0</v>
      </c>
      <c r="P321" s="53">
        <f t="shared" si="119"/>
        <v>0</v>
      </c>
      <c r="Q321" s="53">
        <f t="shared" si="119"/>
        <v>0</v>
      </c>
      <c r="R321" s="53">
        <f t="shared" si="119"/>
        <v>0</v>
      </c>
      <c r="S321" s="53">
        <f t="shared" si="119"/>
        <v>0</v>
      </c>
      <c r="T321" s="53">
        <f t="shared" si="119"/>
        <v>0</v>
      </c>
      <c r="U321" s="53">
        <f t="shared" si="119"/>
        <v>0</v>
      </c>
      <c r="V321" s="53">
        <f t="shared" si="119"/>
        <v>0</v>
      </c>
      <c r="W321" s="53">
        <f t="shared" si="119"/>
        <v>0</v>
      </c>
      <c r="X321" s="53">
        <f t="shared" si="119"/>
        <v>0</v>
      </c>
      <c r="Y321" s="53">
        <f t="shared" si="119"/>
        <v>0</v>
      </c>
      <c r="Z321" s="53">
        <f t="shared" si="119"/>
        <v>0</v>
      </c>
      <c r="AA321" s="53">
        <f t="shared" si="119"/>
        <v>0</v>
      </c>
      <c r="AB321" s="53">
        <f t="shared" si="119"/>
        <v>0</v>
      </c>
      <c r="AC321" s="53">
        <f t="shared" si="119"/>
        <v>0</v>
      </c>
      <c r="AD321" s="53">
        <f t="shared" si="119"/>
        <v>0</v>
      </c>
      <c r="AE321" s="53">
        <f t="shared" si="119"/>
        <v>0</v>
      </c>
      <c r="AF321" s="53">
        <f t="shared" si="119"/>
        <v>0</v>
      </c>
      <c r="AG321" s="53">
        <f t="shared" si="119"/>
        <v>0</v>
      </c>
      <c r="AH321" s="53">
        <f t="shared" si="119"/>
        <v>0</v>
      </c>
      <c r="AI321" s="53">
        <f t="shared" si="119"/>
        <v>0</v>
      </c>
      <c r="AJ321" s="53">
        <f t="shared" si="119"/>
        <v>0</v>
      </c>
      <c r="AK321" s="53">
        <f t="shared" si="119"/>
        <v>0</v>
      </c>
      <c r="AL321" s="53">
        <f t="shared" si="119"/>
        <v>0</v>
      </c>
      <c r="AM321" s="53">
        <f t="shared" si="119"/>
        <v>0</v>
      </c>
      <c r="AN321" s="53">
        <f t="shared" si="119"/>
        <v>0</v>
      </c>
      <c r="AO321" s="53">
        <f t="shared" si="119"/>
        <v>0</v>
      </c>
      <c r="AP321" s="53">
        <f t="shared" si="119"/>
        <v>0</v>
      </c>
      <c r="AQ321" s="53">
        <f t="shared" si="119"/>
        <v>0</v>
      </c>
      <c r="AR321" s="53">
        <f t="shared" si="119"/>
        <v>0</v>
      </c>
      <c r="AS321" s="53">
        <f t="shared" si="119"/>
        <v>0</v>
      </c>
      <c r="AT321" s="53">
        <f t="shared" si="119"/>
        <v>0</v>
      </c>
      <c r="AU321" s="53">
        <f t="shared" si="119"/>
        <v>0</v>
      </c>
      <c r="AV321" s="53">
        <f t="shared" si="119"/>
        <v>0</v>
      </c>
      <c r="AW321" s="53">
        <f t="shared" si="119"/>
        <v>0</v>
      </c>
      <c r="AX321" s="53">
        <f t="shared" si="119"/>
        <v>0</v>
      </c>
      <c r="AY321" s="53">
        <f t="shared" si="119"/>
        <v>0</v>
      </c>
      <c r="AZ321" s="53">
        <f t="shared" si="119"/>
        <v>0</v>
      </c>
      <c r="BA321" s="53">
        <f t="shared" si="119"/>
        <v>0</v>
      </c>
      <c r="BB321" s="53">
        <f t="shared" si="119"/>
        <v>0</v>
      </c>
      <c r="BC321" s="53">
        <f t="shared" si="119"/>
        <v>0</v>
      </c>
      <c r="BD321" s="53">
        <f t="shared" si="119"/>
        <v>0</v>
      </c>
      <c r="BE321" s="53">
        <f t="shared" si="119"/>
        <v>0</v>
      </c>
      <c r="BF321" s="53">
        <f t="shared" si="119"/>
        <v>0</v>
      </c>
      <c r="BG321" s="53">
        <f t="shared" si="119"/>
        <v>0</v>
      </c>
      <c r="BH321" s="53">
        <f t="shared" si="119"/>
        <v>0</v>
      </c>
      <c r="BI321" s="53">
        <f t="shared" si="119"/>
        <v>0</v>
      </c>
      <c r="BJ321" s="53">
        <f t="shared" si="119"/>
        <v>0</v>
      </c>
      <c r="BK321" s="53">
        <f t="shared" si="119"/>
        <v>0</v>
      </c>
      <c r="BL321" s="53">
        <f t="shared" si="119"/>
        <v>0</v>
      </c>
      <c r="BM321" s="53">
        <f t="shared" si="119"/>
        <v>0</v>
      </c>
      <c r="BN321" s="53">
        <f t="shared" si="119"/>
        <v>0</v>
      </c>
      <c r="BO321" s="53">
        <f t="shared" ref="BO321:CX321" si="120">IFERROR(IF(BO$262=0,0,(BO62-BO63)/BO63),0)</f>
        <v>0</v>
      </c>
      <c r="BP321" s="53">
        <f t="shared" si="120"/>
        <v>0</v>
      </c>
      <c r="BQ321" s="53">
        <f t="shared" si="120"/>
        <v>0</v>
      </c>
      <c r="BR321" s="53">
        <f t="shared" si="120"/>
        <v>0</v>
      </c>
      <c r="BS321" s="53">
        <f t="shared" si="120"/>
        <v>0</v>
      </c>
      <c r="BT321" s="53">
        <f t="shared" si="120"/>
        <v>0</v>
      </c>
      <c r="BU321" s="53">
        <f t="shared" si="120"/>
        <v>0</v>
      </c>
      <c r="BV321" s="53">
        <f t="shared" si="120"/>
        <v>0</v>
      </c>
      <c r="BW321" s="53">
        <f t="shared" si="120"/>
        <v>0</v>
      </c>
      <c r="BX321" s="53">
        <f t="shared" si="120"/>
        <v>0</v>
      </c>
      <c r="BY321" s="53">
        <f t="shared" si="120"/>
        <v>0</v>
      </c>
      <c r="BZ321" s="53">
        <f t="shared" si="120"/>
        <v>0</v>
      </c>
      <c r="CA321" s="53">
        <f t="shared" si="120"/>
        <v>0</v>
      </c>
      <c r="CB321" s="53">
        <f t="shared" si="120"/>
        <v>0</v>
      </c>
      <c r="CC321" s="53">
        <f t="shared" si="120"/>
        <v>0</v>
      </c>
      <c r="CD321" s="53">
        <f t="shared" si="120"/>
        <v>0</v>
      </c>
      <c r="CE321" s="53">
        <f t="shared" si="120"/>
        <v>0</v>
      </c>
      <c r="CF321" s="53">
        <f t="shared" si="120"/>
        <v>0</v>
      </c>
      <c r="CG321" s="53">
        <f t="shared" si="120"/>
        <v>0</v>
      </c>
      <c r="CH321" s="53">
        <f t="shared" si="120"/>
        <v>0</v>
      </c>
      <c r="CI321" s="53">
        <f t="shared" si="120"/>
        <v>0</v>
      </c>
      <c r="CJ321" s="53">
        <f t="shared" si="120"/>
        <v>0</v>
      </c>
      <c r="CK321" s="53">
        <f t="shared" si="120"/>
        <v>0</v>
      </c>
      <c r="CL321" s="53">
        <f t="shared" si="120"/>
        <v>0</v>
      </c>
      <c r="CM321" s="53">
        <f t="shared" si="120"/>
        <v>0</v>
      </c>
      <c r="CN321" s="53">
        <f t="shared" si="120"/>
        <v>0</v>
      </c>
      <c r="CO321" s="53">
        <f t="shared" si="120"/>
        <v>0</v>
      </c>
      <c r="CP321" s="53">
        <f t="shared" si="120"/>
        <v>0</v>
      </c>
      <c r="CQ321" s="53">
        <f t="shared" si="120"/>
        <v>0</v>
      </c>
      <c r="CR321" s="53">
        <f t="shared" si="120"/>
        <v>0</v>
      </c>
      <c r="CS321" s="53">
        <f t="shared" si="120"/>
        <v>0</v>
      </c>
      <c r="CT321" s="53">
        <f t="shared" si="120"/>
        <v>0</v>
      </c>
      <c r="CU321" s="53">
        <f t="shared" si="120"/>
        <v>0</v>
      </c>
      <c r="CV321" s="53">
        <f t="shared" si="120"/>
        <v>0</v>
      </c>
      <c r="CW321" s="53">
        <f t="shared" si="120"/>
        <v>0</v>
      </c>
      <c r="CX321" s="53">
        <f t="shared" si="120"/>
        <v>0</v>
      </c>
      <c r="DB321" s="2" vm="570">
        <f ca="1">IF(Returns!A325&lt;&gt;0,Returns!A325,"")</f>
        <v>42443</v>
      </c>
      <c r="DC321" s="11">
        <f ca="1">IF(Returns!B336&gt;0,Returns!B336/Returns!B335-1,"")</f>
        <v>1.8673480849151991E-2</v>
      </c>
      <c r="DD321" s="11">
        <f ca="1">IF(Returns!D328&gt;0,Returns!D328/Returns!D327-1,"")</f>
        <v>-1.2127996635033611E-2</v>
      </c>
    </row>
    <row r="322" spans="2:108" x14ac:dyDescent="0.3">
      <c r="B322" s="57">
        <f t="shared" ca="1" si="6"/>
        <v>2.1436814476038474E-3</v>
      </c>
      <c r="C322" s="53">
        <f t="shared" ref="C322:BN322" si="121">IFERROR(IF(C$262=0,0,(C63-C64)/C64),0)</f>
        <v>0</v>
      </c>
      <c r="D322" s="53">
        <f t="shared" si="121"/>
        <v>0</v>
      </c>
      <c r="E322" s="53">
        <f t="shared" si="121"/>
        <v>0</v>
      </c>
      <c r="F322" s="53">
        <f t="shared" si="121"/>
        <v>0</v>
      </c>
      <c r="G322" s="53">
        <f t="shared" si="121"/>
        <v>0</v>
      </c>
      <c r="H322" s="53">
        <f t="shared" si="121"/>
        <v>0</v>
      </c>
      <c r="I322" s="53">
        <f t="shared" si="121"/>
        <v>0</v>
      </c>
      <c r="J322" s="53">
        <f t="shared" si="121"/>
        <v>0</v>
      </c>
      <c r="K322" s="53">
        <f t="shared" si="121"/>
        <v>0</v>
      </c>
      <c r="L322" s="53">
        <f t="shared" si="121"/>
        <v>0</v>
      </c>
      <c r="M322" s="53">
        <f t="shared" si="121"/>
        <v>0</v>
      </c>
      <c r="N322" s="53">
        <f t="shared" si="121"/>
        <v>0</v>
      </c>
      <c r="O322" s="53">
        <f t="shared" si="121"/>
        <v>0</v>
      </c>
      <c r="P322" s="53">
        <f t="shared" si="121"/>
        <v>0</v>
      </c>
      <c r="Q322" s="53">
        <f t="shared" si="121"/>
        <v>0</v>
      </c>
      <c r="R322" s="53">
        <f t="shared" si="121"/>
        <v>0</v>
      </c>
      <c r="S322" s="53">
        <f t="shared" si="121"/>
        <v>0</v>
      </c>
      <c r="T322" s="53">
        <f t="shared" si="121"/>
        <v>0</v>
      </c>
      <c r="U322" s="53">
        <f t="shared" si="121"/>
        <v>0</v>
      </c>
      <c r="V322" s="53">
        <f t="shared" si="121"/>
        <v>0</v>
      </c>
      <c r="W322" s="53">
        <f t="shared" si="121"/>
        <v>0</v>
      </c>
      <c r="X322" s="53">
        <f t="shared" si="121"/>
        <v>0</v>
      </c>
      <c r="Y322" s="53">
        <f t="shared" si="121"/>
        <v>0</v>
      </c>
      <c r="Z322" s="53">
        <f t="shared" si="121"/>
        <v>0</v>
      </c>
      <c r="AA322" s="53">
        <f t="shared" si="121"/>
        <v>0</v>
      </c>
      <c r="AB322" s="53">
        <f t="shared" si="121"/>
        <v>0</v>
      </c>
      <c r="AC322" s="53">
        <f t="shared" si="121"/>
        <v>0</v>
      </c>
      <c r="AD322" s="53">
        <f t="shared" si="121"/>
        <v>0</v>
      </c>
      <c r="AE322" s="53">
        <f t="shared" si="121"/>
        <v>0</v>
      </c>
      <c r="AF322" s="53">
        <f t="shared" si="121"/>
        <v>0</v>
      </c>
      <c r="AG322" s="53">
        <f t="shared" si="121"/>
        <v>0</v>
      </c>
      <c r="AH322" s="53">
        <f t="shared" si="121"/>
        <v>0</v>
      </c>
      <c r="AI322" s="53">
        <f t="shared" si="121"/>
        <v>0</v>
      </c>
      <c r="AJ322" s="53">
        <f t="shared" si="121"/>
        <v>0</v>
      </c>
      <c r="AK322" s="53">
        <f t="shared" si="121"/>
        <v>0</v>
      </c>
      <c r="AL322" s="53">
        <f t="shared" si="121"/>
        <v>0</v>
      </c>
      <c r="AM322" s="53">
        <f t="shared" si="121"/>
        <v>0</v>
      </c>
      <c r="AN322" s="53">
        <f t="shared" si="121"/>
        <v>0</v>
      </c>
      <c r="AO322" s="53">
        <f t="shared" si="121"/>
        <v>0</v>
      </c>
      <c r="AP322" s="53">
        <f t="shared" si="121"/>
        <v>0</v>
      </c>
      <c r="AQ322" s="53">
        <f t="shared" si="121"/>
        <v>0</v>
      </c>
      <c r="AR322" s="53">
        <f t="shared" si="121"/>
        <v>0</v>
      </c>
      <c r="AS322" s="53">
        <f t="shared" si="121"/>
        <v>0</v>
      </c>
      <c r="AT322" s="53">
        <f t="shared" si="121"/>
        <v>0</v>
      </c>
      <c r="AU322" s="53">
        <f t="shared" si="121"/>
        <v>0</v>
      </c>
      <c r="AV322" s="53">
        <f t="shared" si="121"/>
        <v>0</v>
      </c>
      <c r="AW322" s="53">
        <f t="shared" si="121"/>
        <v>0</v>
      </c>
      <c r="AX322" s="53">
        <f t="shared" si="121"/>
        <v>0</v>
      </c>
      <c r="AY322" s="53">
        <f t="shared" si="121"/>
        <v>0</v>
      </c>
      <c r="AZ322" s="53">
        <f t="shared" si="121"/>
        <v>0</v>
      </c>
      <c r="BA322" s="53">
        <f t="shared" si="121"/>
        <v>0</v>
      </c>
      <c r="BB322" s="53">
        <f t="shared" si="121"/>
        <v>0</v>
      </c>
      <c r="BC322" s="53">
        <f t="shared" si="121"/>
        <v>0</v>
      </c>
      <c r="BD322" s="53">
        <f t="shared" si="121"/>
        <v>0</v>
      </c>
      <c r="BE322" s="53">
        <f t="shared" si="121"/>
        <v>0</v>
      </c>
      <c r="BF322" s="53">
        <f t="shared" si="121"/>
        <v>0</v>
      </c>
      <c r="BG322" s="53">
        <f t="shared" si="121"/>
        <v>0</v>
      </c>
      <c r="BH322" s="53">
        <f t="shared" si="121"/>
        <v>0</v>
      </c>
      <c r="BI322" s="53">
        <f t="shared" si="121"/>
        <v>0</v>
      </c>
      <c r="BJ322" s="53">
        <f t="shared" si="121"/>
        <v>0</v>
      </c>
      <c r="BK322" s="53">
        <f t="shared" si="121"/>
        <v>0</v>
      </c>
      <c r="BL322" s="53">
        <f t="shared" si="121"/>
        <v>0</v>
      </c>
      <c r="BM322" s="53">
        <f t="shared" si="121"/>
        <v>0</v>
      </c>
      <c r="BN322" s="53">
        <f t="shared" si="121"/>
        <v>0</v>
      </c>
      <c r="BO322" s="53">
        <f t="shared" ref="BO322:CX322" si="122">IFERROR(IF(BO$262=0,0,(BO63-BO64)/BO64),0)</f>
        <v>0</v>
      </c>
      <c r="BP322" s="53">
        <f t="shared" si="122"/>
        <v>0</v>
      </c>
      <c r="BQ322" s="53">
        <f t="shared" si="122"/>
        <v>0</v>
      </c>
      <c r="BR322" s="53">
        <f t="shared" si="122"/>
        <v>0</v>
      </c>
      <c r="BS322" s="53">
        <f t="shared" si="122"/>
        <v>0</v>
      </c>
      <c r="BT322" s="53">
        <f t="shared" si="122"/>
        <v>0</v>
      </c>
      <c r="BU322" s="53">
        <f t="shared" si="122"/>
        <v>0</v>
      </c>
      <c r="BV322" s="53">
        <f t="shared" si="122"/>
        <v>0</v>
      </c>
      <c r="BW322" s="53">
        <f t="shared" si="122"/>
        <v>0</v>
      </c>
      <c r="BX322" s="53">
        <f t="shared" si="122"/>
        <v>0</v>
      </c>
      <c r="BY322" s="53">
        <f t="shared" si="122"/>
        <v>0</v>
      </c>
      <c r="BZ322" s="53">
        <f t="shared" si="122"/>
        <v>0</v>
      </c>
      <c r="CA322" s="53">
        <f t="shared" si="122"/>
        <v>0</v>
      </c>
      <c r="CB322" s="53">
        <f t="shared" si="122"/>
        <v>0</v>
      </c>
      <c r="CC322" s="53">
        <f t="shared" si="122"/>
        <v>0</v>
      </c>
      <c r="CD322" s="53">
        <f t="shared" si="122"/>
        <v>0</v>
      </c>
      <c r="CE322" s="53">
        <f t="shared" si="122"/>
        <v>0</v>
      </c>
      <c r="CF322" s="53">
        <f t="shared" si="122"/>
        <v>0</v>
      </c>
      <c r="CG322" s="53">
        <f t="shared" si="122"/>
        <v>0</v>
      </c>
      <c r="CH322" s="53">
        <f t="shared" si="122"/>
        <v>0</v>
      </c>
      <c r="CI322" s="53">
        <f t="shared" si="122"/>
        <v>0</v>
      </c>
      <c r="CJ322" s="53">
        <f t="shared" si="122"/>
        <v>0</v>
      </c>
      <c r="CK322" s="53">
        <f t="shared" si="122"/>
        <v>0</v>
      </c>
      <c r="CL322" s="53">
        <f t="shared" si="122"/>
        <v>0</v>
      </c>
      <c r="CM322" s="53">
        <f t="shared" si="122"/>
        <v>0</v>
      </c>
      <c r="CN322" s="53">
        <f t="shared" si="122"/>
        <v>0</v>
      </c>
      <c r="CO322" s="53">
        <f t="shared" si="122"/>
        <v>0</v>
      </c>
      <c r="CP322" s="53">
        <f t="shared" si="122"/>
        <v>0</v>
      </c>
      <c r="CQ322" s="53">
        <f t="shared" si="122"/>
        <v>0</v>
      </c>
      <c r="CR322" s="53">
        <f t="shared" si="122"/>
        <v>0</v>
      </c>
      <c r="CS322" s="53">
        <f t="shared" si="122"/>
        <v>0</v>
      </c>
      <c r="CT322" s="53">
        <f t="shared" si="122"/>
        <v>0</v>
      </c>
      <c r="CU322" s="53">
        <f t="shared" si="122"/>
        <v>0</v>
      </c>
      <c r="CV322" s="53">
        <f t="shared" si="122"/>
        <v>0</v>
      </c>
      <c r="CW322" s="53">
        <f t="shared" si="122"/>
        <v>0</v>
      </c>
      <c r="CX322" s="53">
        <f t="shared" si="122"/>
        <v>0</v>
      </c>
      <c r="DB322" s="2" vm="571">
        <f ca="1">IF(Returns!A326&lt;&gt;0,Returns!A326,"")</f>
        <v>42450</v>
      </c>
      <c r="DC322" s="11">
        <f ca="1">IF(Returns!B337&gt;0,Returns!B337/Returns!B336-1,"")</f>
        <v>-1.0516305096893386E-2</v>
      </c>
      <c r="DD322" s="11">
        <f ca="1">IF(Returns!D329&gt;0,Returns!D329/Returns!D328-1,"")</f>
        <v>1.8234167087359365E-2</v>
      </c>
    </row>
    <row r="323" spans="2:108" x14ac:dyDescent="0.3">
      <c r="B323" s="57">
        <f t="shared" ca="1" si="6"/>
        <v>2.1659951277949044E-3</v>
      </c>
      <c r="C323" s="53">
        <f t="shared" ref="C323:BN323" si="123">IFERROR(IF(C$262=0,0,(C64-C65)/C65),0)</f>
        <v>0</v>
      </c>
      <c r="D323" s="53">
        <f t="shared" si="123"/>
        <v>0</v>
      </c>
      <c r="E323" s="53">
        <f t="shared" si="123"/>
        <v>0</v>
      </c>
      <c r="F323" s="53">
        <f t="shared" si="123"/>
        <v>0</v>
      </c>
      <c r="G323" s="53">
        <f t="shared" si="123"/>
        <v>0</v>
      </c>
      <c r="H323" s="53">
        <f t="shared" si="123"/>
        <v>0</v>
      </c>
      <c r="I323" s="53">
        <f t="shared" si="123"/>
        <v>0</v>
      </c>
      <c r="J323" s="53">
        <f t="shared" si="123"/>
        <v>0</v>
      </c>
      <c r="K323" s="53">
        <f t="shared" si="123"/>
        <v>0</v>
      </c>
      <c r="L323" s="53">
        <f t="shared" si="123"/>
        <v>0</v>
      </c>
      <c r="M323" s="53">
        <f t="shared" si="123"/>
        <v>0</v>
      </c>
      <c r="N323" s="53">
        <f t="shared" si="123"/>
        <v>0</v>
      </c>
      <c r="O323" s="53">
        <f t="shared" si="123"/>
        <v>0</v>
      </c>
      <c r="P323" s="53">
        <f t="shared" si="123"/>
        <v>0</v>
      </c>
      <c r="Q323" s="53">
        <f t="shared" si="123"/>
        <v>0</v>
      </c>
      <c r="R323" s="53">
        <f t="shared" si="123"/>
        <v>0</v>
      </c>
      <c r="S323" s="53">
        <f t="shared" si="123"/>
        <v>0</v>
      </c>
      <c r="T323" s="53">
        <f t="shared" si="123"/>
        <v>0</v>
      </c>
      <c r="U323" s="53">
        <f t="shared" si="123"/>
        <v>0</v>
      </c>
      <c r="V323" s="53">
        <f t="shared" si="123"/>
        <v>0</v>
      </c>
      <c r="W323" s="53">
        <f t="shared" si="123"/>
        <v>0</v>
      </c>
      <c r="X323" s="53">
        <f t="shared" si="123"/>
        <v>0</v>
      </c>
      <c r="Y323" s="53">
        <f t="shared" si="123"/>
        <v>0</v>
      </c>
      <c r="Z323" s="53">
        <f t="shared" si="123"/>
        <v>0</v>
      </c>
      <c r="AA323" s="53">
        <f t="shared" si="123"/>
        <v>0</v>
      </c>
      <c r="AB323" s="53">
        <f t="shared" si="123"/>
        <v>0</v>
      </c>
      <c r="AC323" s="53">
        <f t="shared" si="123"/>
        <v>0</v>
      </c>
      <c r="AD323" s="53">
        <f t="shared" si="123"/>
        <v>0</v>
      </c>
      <c r="AE323" s="53">
        <f t="shared" si="123"/>
        <v>0</v>
      </c>
      <c r="AF323" s="53">
        <f t="shared" si="123"/>
        <v>0</v>
      </c>
      <c r="AG323" s="53">
        <f t="shared" si="123"/>
        <v>0</v>
      </c>
      <c r="AH323" s="53">
        <f t="shared" si="123"/>
        <v>0</v>
      </c>
      <c r="AI323" s="53">
        <f t="shared" si="123"/>
        <v>0</v>
      </c>
      <c r="AJ323" s="53">
        <f t="shared" si="123"/>
        <v>0</v>
      </c>
      <c r="AK323" s="53">
        <f t="shared" si="123"/>
        <v>0</v>
      </c>
      <c r="AL323" s="53">
        <f t="shared" si="123"/>
        <v>0</v>
      </c>
      <c r="AM323" s="53">
        <f t="shared" si="123"/>
        <v>0</v>
      </c>
      <c r="AN323" s="53">
        <f t="shared" si="123"/>
        <v>0</v>
      </c>
      <c r="AO323" s="53">
        <f t="shared" si="123"/>
        <v>0</v>
      </c>
      <c r="AP323" s="53">
        <f t="shared" si="123"/>
        <v>0</v>
      </c>
      <c r="AQ323" s="53">
        <f t="shared" si="123"/>
        <v>0</v>
      </c>
      <c r="AR323" s="53">
        <f t="shared" si="123"/>
        <v>0</v>
      </c>
      <c r="AS323" s="53">
        <f t="shared" si="123"/>
        <v>0</v>
      </c>
      <c r="AT323" s="53">
        <f t="shared" si="123"/>
        <v>0</v>
      </c>
      <c r="AU323" s="53">
        <f t="shared" si="123"/>
        <v>0</v>
      </c>
      <c r="AV323" s="53">
        <f t="shared" si="123"/>
        <v>0</v>
      </c>
      <c r="AW323" s="53">
        <f t="shared" si="123"/>
        <v>0</v>
      </c>
      <c r="AX323" s="53">
        <f t="shared" si="123"/>
        <v>0</v>
      </c>
      <c r="AY323" s="53">
        <f t="shared" si="123"/>
        <v>0</v>
      </c>
      <c r="AZ323" s="53">
        <f t="shared" si="123"/>
        <v>0</v>
      </c>
      <c r="BA323" s="53">
        <f t="shared" si="123"/>
        <v>0</v>
      </c>
      <c r="BB323" s="53">
        <f t="shared" si="123"/>
        <v>0</v>
      </c>
      <c r="BC323" s="53">
        <f t="shared" si="123"/>
        <v>0</v>
      </c>
      <c r="BD323" s="53">
        <f t="shared" si="123"/>
        <v>0</v>
      </c>
      <c r="BE323" s="53">
        <f t="shared" si="123"/>
        <v>0</v>
      </c>
      <c r="BF323" s="53">
        <f t="shared" si="123"/>
        <v>0</v>
      </c>
      <c r="BG323" s="53">
        <f t="shared" si="123"/>
        <v>0</v>
      </c>
      <c r="BH323" s="53">
        <f t="shared" si="123"/>
        <v>0</v>
      </c>
      <c r="BI323" s="53">
        <f t="shared" si="123"/>
        <v>0</v>
      </c>
      <c r="BJ323" s="53">
        <f t="shared" si="123"/>
        <v>0</v>
      </c>
      <c r="BK323" s="53">
        <f t="shared" si="123"/>
        <v>0</v>
      </c>
      <c r="BL323" s="53">
        <f t="shared" si="123"/>
        <v>0</v>
      </c>
      <c r="BM323" s="53">
        <f t="shared" si="123"/>
        <v>0</v>
      </c>
      <c r="BN323" s="53">
        <f t="shared" si="123"/>
        <v>0</v>
      </c>
      <c r="BO323" s="53">
        <f t="shared" ref="BO323:CX323" si="124">IFERROR(IF(BO$262=0,0,(BO64-BO65)/BO65),0)</f>
        <v>0</v>
      </c>
      <c r="BP323" s="53">
        <f t="shared" si="124"/>
        <v>0</v>
      </c>
      <c r="BQ323" s="53">
        <f t="shared" si="124"/>
        <v>0</v>
      </c>
      <c r="BR323" s="53">
        <f t="shared" si="124"/>
        <v>0</v>
      </c>
      <c r="BS323" s="53">
        <f t="shared" si="124"/>
        <v>0</v>
      </c>
      <c r="BT323" s="53">
        <f t="shared" si="124"/>
        <v>0</v>
      </c>
      <c r="BU323" s="53">
        <f t="shared" si="124"/>
        <v>0</v>
      </c>
      <c r="BV323" s="53">
        <f t="shared" si="124"/>
        <v>0</v>
      </c>
      <c r="BW323" s="53">
        <f t="shared" si="124"/>
        <v>0</v>
      </c>
      <c r="BX323" s="53">
        <f t="shared" si="124"/>
        <v>0</v>
      </c>
      <c r="BY323" s="53">
        <f t="shared" si="124"/>
        <v>0</v>
      </c>
      <c r="BZ323" s="53">
        <f t="shared" si="124"/>
        <v>0</v>
      </c>
      <c r="CA323" s="53">
        <f t="shared" si="124"/>
        <v>0</v>
      </c>
      <c r="CB323" s="53">
        <f t="shared" si="124"/>
        <v>0</v>
      </c>
      <c r="CC323" s="53">
        <f t="shared" si="124"/>
        <v>0</v>
      </c>
      <c r="CD323" s="53">
        <f t="shared" si="124"/>
        <v>0</v>
      </c>
      <c r="CE323" s="53">
        <f t="shared" si="124"/>
        <v>0</v>
      </c>
      <c r="CF323" s="53">
        <f t="shared" si="124"/>
        <v>0</v>
      </c>
      <c r="CG323" s="53">
        <f t="shared" si="124"/>
        <v>0</v>
      </c>
      <c r="CH323" s="53">
        <f t="shared" si="124"/>
        <v>0</v>
      </c>
      <c r="CI323" s="53">
        <f t="shared" si="124"/>
        <v>0</v>
      </c>
      <c r="CJ323" s="53">
        <f t="shared" si="124"/>
        <v>0</v>
      </c>
      <c r="CK323" s="53">
        <f t="shared" si="124"/>
        <v>0</v>
      </c>
      <c r="CL323" s="53">
        <f t="shared" si="124"/>
        <v>0</v>
      </c>
      <c r="CM323" s="53">
        <f t="shared" si="124"/>
        <v>0</v>
      </c>
      <c r="CN323" s="53">
        <f t="shared" si="124"/>
        <v>0</v>
      </c>
      <c r="CO323" s="53">
        <f t="shared" si="124"/>
        <v>0</v>
      </c>
      <c r="CP323" s="53">
        <f t="shared" si="124"/>
        <v>0</v>
      </c>
      <c r="CQ323" s="53">
        <f t="shared" si="124"/>
        <v>0</v>
      </c>
      <c r="CR323" s="53">
        <f t="shared" si="124"/>
        <v>0</v>
      </c>
      <c r="CS323" s="53">
        <f t="shared" si="124"/>
        <v>0</v>
      </c>
      <c r="CT323" s="53">
        <f t="shared" si="124"/>
        <v>0</v>
      </c>
      <c r="CU323" s="53">
        <f t="shared" si="124"/>
        <v>0</v>
      </c>
      <c r="CV323" s="53">
        <f t="shared" si="124"/>
        <v>0</v>
      </c>
      <c r="CW323" s="53">
        <f t="shared" si="124"/>
        <v>0</v>
      </c>
      <c r="CX323" s="53">
        <f t="shared" si="124"/>
        <v>0</v>
      </c>
      <c r="DB323" s="2" vm="572">
        <f ca="1">IF(Returns!A327&lt;&gt;0,Returns!A327,"")</f>
        <v>42457</v>
      </c>
      <c r="DC323" s="11">
        <f ca="1">IF(Returns!B338&gt;0,Returns!B338/Returns!B337-1,"")</f>
        <v>-1.6046579654831361E-2</v>
      </c>
      <c r="DD323" s="11">
        <f ca="1">IF(Returns!D330&gt;0,Returns!D330/Returns!D329-1,"")</f>
        <v>5.938602527270298E-3</v>
      </c>
    </row>
    <row r="324" spans="2:108" x14ac:dyDescent="0.3">
      <c r="B324" s="57">
        <f t="shared" ca="1" si="6"/>
        <v>2.6607319582832252E-2</v>
      </c>
      <c r="C324" s="53">
        <f t="shared" ref="C324:BN324" si="125">IFERROR(IF(C$262=0,0,(C65-C66)/C66),0)</f>
        <v>0</v>
      </c>
      <c r="D324" s="53">
        <f t="shared" si="125"/>
        <v>0</v>
      </c>
      <c r="E324" s="53">
        <f t="shared" si="125"/>
        <v>0</v>
      </c>
      <c r="F324" s="53">
        <f t="shared" si="125"/>
        <v>0</v>
      </c>
      <c r="G324" s="53">
        <f t="shared" si="125"/>
        <v>0</v>
      </c>
      <c r="H324" s="53">
        <f t="shared" si="125"/>
        <v>0</v>
      </c>
      <c r="I324" s="53">
        <f t="shared" si="125"/>
        <v>0</v>
      </c>
      <c r="J324" s="53">
        <f t="shared" si="125"/>
        <v>0</v>
      </c>
      <c r="K324" s="53">
        <f t="shared" si="125"/>
        <v>0</v>
      </c>
      <c r="L324" s="53">
        <f t="shared" si="125"/>
        <v>0</v>
      </c>
      <c r="M324" s="53">
        <f t="shared" si="125"/>
        <v>0</v>
      </c>
      <c r="N324" s="53">
        <f t="shared" si="125"/>
        <v>0</v>
      </c>
      <c r="O324" s="53">
        <f t="shared" si="125"/>
        <v>0</v>
      </c>
      <c r="P324" s="53">
        <f t="shared" si="125"/>
        <v>0</v>
      </c>
      <c r="Q324" s="53">
        <f t="shared" si="125"/>
        <v>0</v>
      </c>
      <c r="R324" s="53">
        <f t="shared" si="125"/>
        <v>0</v>
      </c>
      <c r="S324" s="53">
        <f t="shared" si="125"/>
        <v>0</v>
      </c>
      <c r="T324" s="53">
        <f t="shared" si="125"/>
        <v>0</v>
      </c>
      <c r="U324" s="53">
        <f t="shared" si="125"/>
        <v>0</v>
      </c>
      <c r="V324" s="53">
        <f t="shared" si="125"/>
        <v>0</v>
      </c>
      <c r="W324" s="53">
        <f t="shared" si="125"/>
        <v>0</v>
      </c>
      <c r="X324" s="53">
        <f t="shared" si="125"/>
        <v>0</v>
      </c>
      <c r="Y324" s="53">
        <f t="shared" si="125"/>
        <v>0</v>
      </c>
      <c r="Z324" s="53">
        <f t="shared" si="125"/>
        <v>0</v>
      </c>
      <c r="AA324" s="53">
        <f t="shared" si="125"/>
        <v>0</v>
      </c>
      <c r="AB324" s="53">
        <f t="shared" si="125"/>
        <v>0</v>
      </c>
      <c r="AC324" s="53">
        <f t="shared" si="125"/>
        <v>0</v>
      </c>
      <c r="AD324" s="53">
        <f t="shared" si="125"/>
        <v>0</v>
      </c>
      <c r="AE324" s="53">
        <f t="shared" si="125"/>
        <v>0</v>
      </c>
      <c r="AF324" s="53">
        <f t="shared" si="125"/>
        <v>0</v>
      </c>
      <c r="AG324" s="53">
        <f t="shared" si="125"/>
        <v>0</v>
      </c>
      <c r="AH324" s="53">
        <f t="shared" si="125"/>
        <v>0</v>
      </c>
      <c r="AI324" s="53">
        <f t="shared" si="125"/>
        <v>0</v>
      </c>
      <c r="AJ324" s="53">
        <f t="shared" si="125"/>
        <v>0</v>
      </c>
      <c r="AK324" s="53">
        <f t="shared" si="125"/>
        <v>0</v>
      </c>
      <c r="AL324" s="53">
        <f t="shared" si="125"/>
        <v>0</v>
      </c>
      <c r="AM324" s="53">
        <f t="shared" si="125"/>
        <v>0</v>
      </c>
      <c r="AN324" s="53">
        <f t="shared" si="125"/>
        <v>0</v>
      </c>
      <c r="AO324" s="53">
        <f t="shared" si="125"/>
        <v>0</v>
      </c>
      <c r="AP324" s="53">
        <f t="shared" si="125"/>
        <v>0</v>
      </c>
      <c r="AQ324" s="53">
        <f t="shared" si="125"/>
        <v>0</v>
      </c>
      <c r="AR324" s="53">
        <f t="shared" si="125"/>
        <v>0</v>
      </c>
      <c r="AS324" s="53">
        <f t="shared" si="125"/>
        <v>0</v>
      </c>
      <c r="AT324" s="53">
        <f t="shared" si="125"/>
        <v>0</v>
      </c>
      <c r="AU324" s="53">
        <f t="shared" si="125"/>
        <v>0</v>
      </c>
      <c r="AV324" s="53">
        <f t="shared" si="125"/>
        <v>0</v>
      </c>
      <c r="AW324" s="53">
        <f t="shared" si="125"/>
        <v>0</v>
      </c>
      <c r="AX324" s="53">
        <f t="shared" si="125"/>
        <v>0</v>
      </c>
      <c r="AY324" s="53">
        <f t="shared" si="125"/>
        <v>0</v>
      </c>
      <c r="AZ324" s="53">
        <f t="shared" si="125"/>
        <v>0</v>
      </c>
      <c r="BA324" s="53">
        <f t="shared" si="125"/>
        <v>0</v>
      </c>
      <c r="BB324" s="53">
        <f t="shared" si="125"/>
        <v>0</v>
      </c>
      <c r="BC324" s="53">
        <f t="shared" si="125"/>
        <v>0</v>
      </c>
      <c r="BD324" s="53">
        <f t="shared" si="125"/>
        <v>0</v>
      </c>
      <c r="BE324" s="53">
        <f t="shared" si="125"/>
        <v>0</v>
      </c>
      <c r="BF324" s="53">
        <f t="shared" si="125"/>
        <v>0</v>
      </c>
      <c r="BG324" s="53">
        <f t="shared" si="125"/>
        <v>0</v>
      </c>
      <c r="BH324" s="53">
        <f t="shared" si="125"/>
        <v>0</v>
      </c>
      <c r="BI324" s="53">
        <f t="shared" si="125"/>
        <v>0</v>
      </c>
      <c r="BJ324" s="53">
        <f t="shared" si="125"/>
        <v>0</v>
      </c>
      <c r="BK324" s="53">
        <f t="shared" si="125"/>
        <v>0</v>
      </c>
      <c r="BL324" s="53">
        <f t="shared" si="125"/>
        <v>0</v>
      </c>
      <c r="BM324" s="53">
        <f t="shared" si="125"/>
        <v>0</v>
      </c>
      <c r="BN324" s="53">
        <f t="shared" si="125"/>
        <v>0</v>
      </c>
      <c r="BO324" s="53">
        <f t="shared" ref="BO324:CX324" si="126">IFERROR(IF(BO$262=0,0,(BO65-BO66)/BO66),0)</f>
        <v>0</v>
      </c>
      <c r="BP324" s="53">
        <f t="shared" si="126"/>
        <v>0</v>
      </c>
      <c r="BQ324" s="53">
        <f t="shared" si="126"/>
        <v>0</v>
      </c>
      <c r="BR324" s="53">
        <f t="shared" si="126"/>
        <v>0</v>
      </c>
      <c r="BS324" s="53">
        <f t="shared" si="126"/>
        <v>0</v>
      </c>
      <c r="BT324" s="53">
        <f t="shared" si="126"/>
        <v>0</v>
      </c>
      <c r="BU324" s="53">
        <f t="shared" si="126"/>
        <v>0</v>
      </c>
      <c r="BV324" s="53">
        <f t="shared" si="126"/>
        <v>0</v>
      </c>
      <c r="BW324" s="53">
        <f t="shared" si="126"/>
        <v>0</v>
      </c>
      <c r="BX324" s="53">
        <f t="shared" si="126"/>
        <v>0</v>
      </c>
      <c r="BY324" s="53">
        <f t="shared" si="126"/>
        <v>0</v>
      </c>
      <c r="BZ324" s="53">
        <f t="shared" si="126"/>
        <v>0</v>
      </c>
      <c r="CA324" s="53">
        <f t="shared" si="126"/>
        <v>0</v>
      </c>
      <c r="CB324" s="53">
        <f t="shared" si="126"/>
        <v>0</v>
      </c>
      <c r="CC324" s="53">
        <f t="shared" si="126"/>
        <v>0</v>
      </c>
      <c r="CD324" s="53">
        <f t="shared" si="126"/>
        <v>0</v>
      </c>
      <c r="CE324" s="53">
        <f t="shared" si="126"/>
        <v>0</v>
      </c>
      <c r="CF324" s="53">
        <f t="shared" si="126"/>
        <v>0</v>
      </c>
      <c r="CG324" s="53">
        <f t="shared" si="126"/>
        <v>0</v>
      </c>
      <c r="CH324" s="53">
        <f t="shared" si="126"/>
        <v>0</v>
      </c>
      <c r="CI324" s="53">
        <f t="shared" si="126"/>
        <v>0</v>
      </c>
      <c r="CJ324" s="53">
        <f t="shared" si="126"/>
        <v>0</v>
      </c>
      <c r="CK324" s="53">
        <f t="shared" si="126"/>
        <v>0</v>
      </c>
      <c r="CL324" s="53">
        <f t="shared" si="126"/>
        <v>0</v>
      </c>
      <c r="CM324" s="53">
        <f t="shared" si="126"/>
        <v>0</v>
      </c>
      <c r="CN324" s="53">
        <f t="shared" si="126"/>
        <v>0</v>
      </c>
      <c r="CO324" s="53">
        <f t="shared" si="126"/>
        <v>0</v>
      </c>
      <c r="CP324" s="53">
        <f t="shared" si="126"/>
        <v>0</v>
      </c>
      <c r="CQ324" s="53">
        <f t="shared" si="126"/>
        <v>0</v>
      </c>
      <c r="CR324" s="53">
        <f t="shared" si="126"/>
        <v>0</v>
      </c>
      <c r="CS324" s="53">
        <f t="shared" si="126"/>
        <v>0</v>
      </c>
      <c r="CT324" s="53">
        <f t="shared" si="126"/>
        <v>0</v>
      </c>
      <c r="CU324" s="53">
        <f t="shared" si="126"/>
        <v>0</v>
      </c>
      <c r="CV324" s="53">
        <f t="shared" si="126"/>
        <v>0</v>
      </c>
      <c r="CW324" s="53">
        <f t="shared" si="126"/>
        <v>0</v>
      </c>
      <c r="CX324" s="53">
        <f t="shared" si="126"/>
        <v>0</v>
      </c>
      <c r="DB324" s="2" vm="573">
        <f ca="1">IF(Returns!A328&lt;&gt;0,Returns!A328,"")</f>
        <v>42464</v>
      </c>
      <c r="DC324" s="11">
        <f ca="1">IF(Returns!B339&gt;0,Returns!B339/Returns!B338-1,"")</f>
        <v>-1.0518268944917031E-2</v>
      </c>
      <c r="DD324" s="11">
        <f ca="1">IF(Returns!D331&gt;0,Returns!D331/Returns!D330-1,"")</f>
        <v>-1.2780868150120583E-2</v>
      </c>
    </row>
    <row r="325" spans="2:108" x14ac:dyDescent="0.3">
      <c r="B325" s="57">
        <f t="shared" ca="1" si="6"/>
        <v>2.848357791462589E-4</v>
      </c>
      <c r="C325" s="53">
        <f t="shared" ref="C325:BN325" si="127">IFERROR(IF(C$262=0,0,(C66-C67)/C67),0)</f>
        <v>0</v>
      </c>
      <c r="D325" s="53">
        <f t="shared" si="127"/>
        <v>0</v>
      </c>
      <c r="E325" s="53">
        <f t="shared" si="127"/>
        <v>0</v>
      </c>
      <c r="F325" s="53">
        <f t="shared" si="127"/>
        <v>0</v>
      </c>
      <c r="G325" s="53">
        <f t="shared" si="127"/>
        <v>0</v>
      </c>
      <c r="H325" s="53">
        <f t="shared" si="127"/>
        <v>0</v>
      </c>
      <c r="I325" s="53">
        <f t="shared" si="127"/>
        <v>0</v>
      </c>
      <c r="J325" s="53">
        <f t="shared" si="127"/>
        <v>0</v>
      </c>
      <c r="K325" s="53">
        <f t="shared" si="127"/>
        <v>0</v>
      </c>
      <c r="L325" s="53">
        <f t="shared" si="127"/>
        <v>0</v>
      </c>
      <c r="M325" s="53">
        <f t="shared" si="127"/>
        <v>0</v>
      </c>
      <c r="N325" s="53">
        <f t="shared" si="127"/>
        <v>0</v>
      </c>
      <c r="O325" s="53">
        <f t="shared" si="127"/>
        <v>0</v>
      </c>
      <c r="P325" s="53">
        <f t="shared" si="127"/>
        <v>0</v>
      </c>
      <c r="Q325" s="53">
        <f t="shared" si="127"/>
        <v>0</v>
      </c>
      <c r="R325" s="53">
        <f t="shared" si="127"/>
        <v>0</v>
      </c>
      <c r="S325" s="53">
        <f t="shared" si="127"/>
        <v>0</v>
      </c>
      <c r="T325" s="53">
        <f t="shared" si="127"/>
        <v>0</v>
      </c>
      <c r="U325" s="53">
        <f t="shared" si="127"/>
        <v>0</v>
      </c>
      <c r="V325" s="53">
        <f t="shared" si="127"/>
        <v>0</v>
      </c>
      <c r="W325" s="53">
        <f t="shared" si="127"/>
        <v>0</v>
      </c>
      <c r="X325" s="53">
        <f t="shared" si="127"/>
        <v>0</v>
      </c>
      <c r="Y325" s="53">
        <f t="shared" si="127"/>
        <v>0</v>
      </c>
      <c r="Z325" s="53">
        <f t="shared" si="127"/>
        <v>0</v>
      </c>
      <c r="AA325" s="53">
        <f t="shared" si="127"/>
        <v>0</v>
      </c>
      <c r="AB325" s="53">
        <f t="shared" si="127"/>
        <v>0</v>
      </c>
      <c r="AC325" s="53">
        <f t="shared" si="127"/>
        <v>0</v>
      </c>
      <c r="AD325" s="53">
        <f t="shared" si="127"/>
        <v>0</v>
      </c>
      <c r="AE325" s="53">
        <f t="shared" si="127"/>
        <v>0</v>
      </c>
      <c r="AF325" s="53">
        <f t="shared" si="127"/>
        <v>0</v>
      </c>
      <c r="AG325" s="53">
        <f t="shared" si="127"/>
        <v>0</v>
      </c>
      <c r="AH325" s="53">
        <f t="shared" si="127"/>
        <v>0</v>
      </c>
      <c r="AI325" s="53">
        <f t="shared" si="127"/>
        <v>0</v>
      </c>
      <c r="AJ325" s="53">
        <f t="shared" si="127"/>
        <v>0</v>
      </c>
      <c r="AK325" s="53">
        <f t="shared" si="127"/>
        <v>0</v>
      </c>
      <c r="AL325" s="53">
        <f t="shared" si="127"/>
        <v>0</v>
      </c>
      <c r="AM325" s="53">
        <f t="shared" si="127"/>
        <v>0</v>
      </c>
      <c r="AN325" s="53">
        <f t="shared" si="127"/>
        <v>0</v>
      </c>
      <c r="AO325" s="53">
        <f t="shared" si="127"/>
        <v>0</v>
      </c>
      <c r="AP325" s="53">
        <f t="shared" si="127"/>
        <v>0</v>
      </c>
      <c r="AQ325" s="53">
        <f t="shared" si="127"/>
        <v>0</v>
      </c>
      <c r="AR325" s="53">
        <f t="shared" si="127"/>
        <v>0</v>
      </c>
      <c r="AS325" s="53">
        <f t="shared" si="127"/>
        <v>0</v>
      </c>
      <c r="AT325" s="53">
        <f t="shared" si="127"/>
        <v>0</v>
      </c>
      <c r="AU325" s="53">
        <f t="shared" si="127"/>
        <v>0</v>
      </c>
      <c r="AV325" s="53">
        <f t="shared" si="127"/>
        <v>0</v>
      </c>
      <c r="AW325" s="53">
        <f t="shared" si="127"/>
        <v>0</v>
      </c>
      <c r="AX325" s="53">
        <f t="shared" si="127"/>
        <v>0</v>
      </c>
      <c r="AY325" s="53">
        <f t="shared" si="127"/>
        <v>0</v>
      </c>
      <c r="AZ325" s="53">
        <f t="shared" si="127"/>
        <v>0</v>
      </c>
      <c r="BA325" s="53">
        <f t="shared" si="127"/>
        <v>0</v>
      </c>
      <c r="BB325" s="53">
        <f t="shared" si="127"/>
        <v>0</v>
      </c>
      <c r="BC325" s="53">
        <f t="shared" si="127"/>
        <v>0</v>
      </c>
      <c r="BD325" s="53">
        <f t="shared" si="127"/>
        <v>0</v>
      </c>
      <c r="BE325" s="53">
        <f t="shared" si="127"/>
        <v>0</v>
      </c>
      <c r="BF325" s="53">
        <f t="shared" si="127"/>
        <v>0</v>
      </c>
      <c r="BG325" s="53">
        <f t="shared" si="127"/>
        <v>0</v>
      </c>
      <c r="BH325" s="53">
        <f t="shared" si="127"/>
        <v>0</v>
      </c>
      <c r="BI325" s="53">
        <f t="shared" si="127"/>
        <v>0</v>
      </c>
      <c r="BJ325" s="53">
        <f t="shared" si="127"/>
        <v>0</v>
      </c>
      <c r="BK325" s="53">
        <f t="shared" si="127"/>
        <v>0</v>
      </c>
      <c r="BL325" s="53">
        <f t="shared" si="127"/>
        <v>0</v>
      </c>
      <c r="BM325" s="53">
        <f t="shared" si="127"/>
        <v>0</v>
      </c>
      <c r="BN325" s="53">
        <f t="shared" si="127"/>
        <v>0</v>
      </c>
      <c r="BO325" s="53">
        <f t="shared" ref="BO325:CX325" si="128">IFERROR(IF(BO$262=0,0,(BO66-BO67)/BO67),0)</f>
        <v>0</v>
      </c>
      <c r="BP325" s="53">
        <f t="shared" si="128"/>
        <v>0</v>
      </c>
      <c r="BQ325" s="53">
        <f t="shared" si="128"/>
        <v>0</v>
      </c>
      <c r="BR325" s="53">
        <f t="shared" si="128"/>
        <v>0</v>
      </c>
      <c r="BS325" s="53">
        <f t="shared" si="128"/>
        <v>0</v>
      </c>
      <c r="BT325" s="53">
        <f t="shared" si="128"/>
        <v>0</v>
      </c>
      <c r="BU325" s="53">
        <f t="shared" si="128"/>
        <v>0</v>
      </c>
      <c r="BV325" s="53">
        <f t="shared" si="128"/>
        <v>0</v>
      </c>
      <c r="BW325" s="53">
        <f t="shared" si="128"/>
        <v>0</v>
      </c>
      <c r="BX325" s="53">
        <f t="shared" si="128"/>
        <v>0</v>
      </c>
      <c r="BY325" s="53">
        <f t="shared" si="128"/>
        <v>0</v>
      </c>
      <c r="BZ325" s="53">
        <f t="shared" si="128"/>
        <v>0</v>
      </c>
      <c r="CA325" s="53">
        <f t="shared" si="128"/>
        <v>0</v>
      </c>
      <c r="CB325" s="53">
        <f t="shared" si="128"/>
        <v>0</v>
      </c>
      <c r="CC325" s="53">
        <f t="shared" si="128"/>
        <v>0</v>
      </c>
      <c r="CD325" s="53">
        <f t="shared" si="128"/>
        <v>0</v>
      </c>
      <c r="CE325" s="53">
        <f t="shared" si="128"/>
        <v>0</v>
      </c>
      <c r="CF325" s="53">
        <f t="shared" si="128"/>
        <v>0</v>
      </c>
      <c r="CG325" s="53">
        <f t="shared" si="128"/>
        <v>0</v>
      </c>
      <c r="CH325" s="53">
        <f t="shared" si="128"/>
        <v>0</v>
      </c>
      <c r="CI325" s="53">
        <f t="shared" si="128"/>
        <v>0</v>
      </c>
      <c r="CJ325" s="53">
        <f t="shared" si="128"/>
        <v>0</v>
      </c>
      <c r="CK325" s="53">
        <f t="shared" si="128"/>
        <v>0</v>
      </c>
      <c r="CL325" s="53">
        <f t="shared" si="128"/>
        <v>0</v>
      </c>
      <c r="CM325" s="53">
        <f t="shared" si="128"/>
        <v>0</v>
      </c>
      <c r="CN325" s="53">
        <f t="shared" si="128"/>
        <v>0</v>
      </c>
      <c r="CO325" s="53">
        <f t="shared" si="128"/>
        <v>0</v>
      </c>
      <c r="CP325" s="53">
        <f t="shared" si="128"/>
        <v>0</v>
      </c>
      <c r="CQ325" s="53">
        <f t="shared" si="128"/>
        <v>0</v>
      </c>
      <c r="CR325" s="53">
        <f t="shared" si="128"/>
        <v>0</v>
      </c>
      <c r="CS325" s="53">
        <f t="shared" si="128"/>
        <v>0</v>
      </c>
      <c r="CT325" s="53">
        <f t="shared" si="128"/>
        <v>0</v>
      </c>
      <c r="CU325" s="53">
        <f t="shared" si="128"/>
        <v>0</v>
      </c>
      <c r="CV325" s="53">
        <f t="shared" si="128"/>
        <v>0</v>
      </c>
      <c r="CW325" s="53">
        <f t="shared" si="128"/>
        <v>0</v>
      </c>
      <c r="CX325" s="53">
        <f t="shared" si="128"/>
        <v>0</v>
      </c>
      <c r="DB325" s="2" vm="574">
        <f ca="1">IF(Returns!A329&lt;&gt;0,Returns!A329,"")</f>
        <v>42471</v>
      </c>
      <c r="DC325" s="11">
        <f ca="1">IF(Returns!B340&gt;0,Returns!B340/Returns!B339-1,"")</f>
        <v>3.8228224791118093E-2</v>
      </c>
      <c r="DD325" s="11">
        <f ca="1">IF(Returns!D332&gt;0,Returns!D332/Returns!D331-1,"")</f>
        <v>-1.857177028127599E-3</v>
      </c>
    </row>
    <row r="326" spans="2:108" x14ac:dyDescent="0.3">
      <c r="B326" s="57">
        <f t="shared" ca="1" si="6"/>
        <v>2.2091724202824969E-3</v>
      </c>
      <c r="C326" s="53">
        <f t="shared" ref="C326:BN326" si="129">IFERROR(IF(C$262=0,0,(C67-C68)/C68),0)</f>
        <v>0</v>
      </c>
      <c r="D326" s="53">
        <f t="shared" si="129"/>
        <v>0</v>
      </c>
      <c r="E326" s="53">
        <f t="shared" si="129"/>
        <v>0</v>
      </c>
      <c r="F326" s="53">
        <f t="shared" si="129"/>
        <v>0</v>
      </c>
      <c r="G326" s="53">
        <f t="shared" si="129"/>
        <v>0</v>
      </c>
      <c r="H326" s="53">
        <f t="shared" si="129"/>
        <v>0</v>
      </c>
      <c r="I326" s="53">
        <f t="shared" si="129"/>
        <v>0</v>
      </c>
      <c r="J326" s="53">
        <f t="shared" si="129"/>
        <v>0</v>
      </c>
      <c r="K326" s="53">
        <f t="shared" si="129"/>
        <v>0</v>
      </c>
      <c r="L326" s="53">
        <f t="shared" si="129"/>
        <v>0</v>
      </c>
      <c r="M326" s="53">
        <f t="shared" si="129"/>
        <v>0</v>
      </c>
      <c r="N326" s="53">
        <f t="shared" si="129"/>
        <v>0</v>
      </c>
      <c r="O326" s="53">
        <f t="shared" si="129"/>
        <v>0</v>
      </c>
      <c r="P326" s="53">
        <f t="shared" si="129"/>
        <v>0</v>
      </c>
      <c r="Q326" s="53">
        <f t="shared" si="129"/>
        <v>0</v>
      </c>
      <c r="R326" s="53">
        <f t="shared" si="129"/>
        <v>0</v>
      </c>
      <c r="S326" s="53">
        <f t="shared" si="129"/>
        <v>0</v>
      </c>
      <c r="T326" s="53">
        <f t="shared" si="129"/>
        <v>0</v>
      </c>
      <c r="U326" s="53">
        <f t="shared" si="129"/>
        <v>0</v>
      </c>
      <c r="V326" s="53">
        <f t="shared" si="129"/>
        <v>0</v>
      </c>
      <c r="W326" s="53">
        <f t="shared" si="129"/>
        <v>0</v>
      </c>
      <c r="X326" s="53">
        <f t="shared" si="129"/>
        <v>0</v>
      </c>
      <c r="Y326" s="53">
        <f t="shared" si="129"/>
        <v>0</v>
      </c>
      <c r="Z326" s="53">
        <f t="shared" si="129"/>
        <v>0</v>
      </c>
      <c r="AA326" s="53">
        <f t="shared" si="129"/>
        <v>0</v>
      </c>
      <c r="AB326" s="53">
        <f t="shared" si="129"/>
        <v>0</v>
      </c>
      <c r="AC326" s="53">
        <f t="shared" si="129"/>
        <v>0</v>
      </c>
      <c r="AD326" s="53">
        <f t="shared" si="129"/>
        <v>0</v>
      </c>
      <c r="AE326" s="53">
        <f t="shared" si="129"/>
        <v>0</v>
      </c>
      <c r="AF326" s="53">
        <f t="shared" si="129"/>
        <v>0</v>
      </c>
      <c r="AG326" s="53">
        <f t="shared" si="129"/>
        <v>0</v>
      </c>
      <c r="AH326" s="53">
        <f t="shared" si="129"/>
        <v>0</v>
      </c>
      <c r="AI326" s="53">
        <f t="shared" si="129"/>
        <v>0</v>
      </c>
      <c r="AJ326" s="53">
        <f t="shared" si="129"/>
        <v>0</v>
      </c>
      <c r="AK326" s="53">
        <f t="shared" si="129"/>
        <v>0</v>
      </c>
      <c r="AL326" s="53">
        <f t="shared" si="129"/>
        <v>0</v>
      </c>
      <c r="AM326" s="53">
        <f t="shared" si="129"/>
        <v>0</v>
      </c>
      <c r="AN326" s="53">
        <f t="shared" si="129"/>
        <v>0</v>
      </c>
      <c r="AO326" s="53">
        <f t="shared" si="129"/>
        <v>0</v>
      </c>
      <c r="AP326" s="53">
        <f t="shared" si="129"/>
        <v>0</v>
      </c>
      <c r="AQ326" s="53">
        <f t="shared" si="129"/>
        <v>0</v>
      </c>
      <c r="AR326" s="53">
        <f t="shared" si="129"/>
        <v>0</v>
      </c>
      <c r="AS326" s="53">
        <f t="shared" si="129"/>
        <v>0</v>
      </c>
      <c r="AT326" s="53">
        <f t="shared" si="129"/>
        <v>0</v>
      </c>
      <c r="AU326" s="53">
        <f t="shared" si="129"/>
        <v>0</v>
      </c>
      <c r="AV326" s="53">
        <f t="shared" si="129"/>
        <v>0</v>
      </c>
      <c r="AW326" s="53">
        <f t="shared" si="129"/>
        <v>0</v>
      </c>
      <c r="AX326" s="53">
        <f t="shared" si="129"/>
        <v>0</v>
      </c>
      <c r="AY326" s="53">
        <f t="shared" si="129"/>
        <v>0</v>
      </c>
      <c r="AZ326" s="53">
        <f t="shared" si="129"/>
        <v>0</v>
      </c>
      <c r="BA326" s="53">
        <f t="shared" si="129"/>
        <v>0</v>
      </c>
      <c r="BB326" s="53">
        <f t="shared" si="129"/>
        <v>0</v>
      </c>
      <c r="BC326" s="53">
        <f t="shared" si="129"/>
        <v>0</v>
      </c>
      <c r="BD326" s="53">
        <f t="shared" si="129"/>
        <v>0</v>
      </c>
      <c r="BE326" s="53">
        <f t="shared" si="129"/>
        <v>0</v>
      </c>
      <c r="BF326" s="53">
        <f t="shared" si="129"/>
        <v>0</v>
      </c>
      <c r="BG326" s="53">
        <f t="shared" si="129"/>
        <v>0</v>
      </c>
      <c r="BH326" s="53">
        <f t="shared" si="129"/>
        <v>0</v>
      </c>
      <c r="BI326" s="53">
        <f t="shared" si="129"/>
        <v>0</v>
      </c>
      <c r="BJ326" s="53">
        <f t="shared" si="129"/>
        <v>0</v>
      </c>
      <c r="BK326" s="53">
        <f t="shared" si="129"/>
        <v>0</v>
      </c>
      <c r="BL326" s="53">
        <f t="shared" si="129"/>
        <v>0</v>
      </c>
      <c r="BM326" s="53">
        <f t="shared" si="129"/>
        <v>0</v>
      </c>
      <c r="BN326" s="53">
        <f t="shared" si="129"/>
        <v>0</v>
      </c>
      <c r="BO326" s="53">
        <f t="shared" ref="BO326:CX326" si="130">IFERROR(IF(BO$262=0,0,(BO67-BO68)/BO68),0)</f>
        <v>0</v>
      </c>
      <c r="BP326" s="53">
        <f t="shared" si="130"/>
        <v>0</v>
      </c>
      <c r="BQ326" s="53">
        <f t="shared" si="130"/>
        <v>0</v>
      </c>
      <c r="BR326" s="53">
        <f t="shared" si="130"/>
        <v>0</v>
      </c>
      <c r="BS326" s="53">
        <f t="shared" si="130"/>
        <v>0</v>
      </c>
      <c r="BT326" s="53">
        <f t="shared" si="130"/>
        <v>0</v>
      </c>
      <c r="BU326" s="53">
        <f t="shared" si="130"/>
        <v>0</v>
      </c>
      <c r="BV326" s="53">
        <f t="shared" si="130"/>
        <v>0</v>
      </c>
      <c r="BW326" s="53">
        <f t="shared" si="130"/>
        <v>0</v>
      </c>
      <c r="BX326" s="53">
        <f t="shared" si="130"/>
        <v>0</v>
      </c>
      <c r="BY326" s="53">
        <f t="shared" si="130"/>
        <v>0</v>
      </c>
      <c r="BZ326" s="53">
        <f t="shared" si="130"/>
        <v>0</v>
      </c>
      <c r="CA326" s="53">
        <f t="shared" si="130"/>
        <v>0</v>
      </c>
      <c r="CB326" s="53">
        <f t="shared" si="130"/>
        <v>0</v>
      </c>
      <c r="CC326" s="53">
        <f t="shared" si="130"/>
        <v>0</v>
      </c>
      <c r="CD326" s="53">
        <f t="shared" si="130"/>
        <v>0</v>
      </c>
      <c r="CE326" s="53">
        <f t="shared" si="130"/>
        <v>0</v>
      </c>
      <c r="CF326" s="53">
        <f t="shared" si="130"/>
        <v>0</v>
      </c>
      <c r="CG326" s="53">
        <f t="shared" si="130"/>
        <v>0</v>
      </c>
      <c r="CH326" s="53">
        <f t="shared" si="130"/>
        <v>0</v>
      </c>
      <c r="CI326" s="53">
        <f t="shared" si="130"/>
        <v>0</v>
      </c>
      <c r="CJ326" s="53">
        <f t="shared" si="130"/>
        <v>0</v>
      </c>
      <c r="CK326" s="53">
        <f t="shared" si="130"/>
        <v>0</v>
      </c>
      <c r="CL326" s="53">
        <f t="shared" si="130"/>
        <v>0</v>
      </c>
      <c r="CM326" s="53">
        <f t="shared" si="130"/>
        <v>0</v>
      </c>
      <c r="CN326" s="53">
        <f t="shared" si="130"/>
        <v>0</v>
      </c>
      <c r="CO326" s="53">
        <f t="shared" si="130"/>
        <v>0</v>
      </c>
      <c r="CP326" s="53">
        <f t="shared" si="130"/>
        <v>0</v>
      </c>
      <c r="CQ326" s="53">
        <f t="shared" si="130"/>
        <v>0</v>
      </c>
      <c r="CR326" s="53">
        <f t="shared" si="130"/>
        <v>0</v>
      </c>
      <c r="CS326" s="53">
        <f t="shared" si="130"/>
        <v>0</v>
      </c>
      <c r="CT326" s="53">
        <f t="shared" si="130"/>
        <v>0</v>
      </c>
      <c r="CU326" s="53">
        <f t="shared" si="130"/>
        <v>0</v>
      </c>
      <c r="CV326" s="53">
        <f t="shared" si="130"/>
        <v>0</v>
      </c>
      <c r="CW326" s="53">
        <f t="shared" si="130"/>
        <v>0</v>
      </c>
      <c r="CX326" s="53">
        <f t="shared" si="130"/>
        <v>0</v>
      </c>
      <c r="DB326" s="2" vm="575">
        <f ca="1">IF(Returns!A330&lt;&gt;0,Returns!A330,"")</f>
        <v>42478</v>
      </c>
      <c r="DC326" s="11">
        <f ca="1">IF(Returns!B341&gt;0,Returns!B341/Returns!B340-1,"")</f>
        <v>2.7739499503913745E-2</v>
      </c>
      <c r="DD326" s="11">
        <f ca="1">IF(Returns!D333&gt;0,Returns!D333/Returns!D332-1,"")</f>
        <v>-1.1573014072879584E-2</v>
      </c>
    </row>
    <row r="327" spans="2:108" x14ac:dyDescent="0.3">
      <c r="B327" s="57">
        <f t="shared" ca="1" si="6"/>
        <v>6.546191995250365E-5</v>
      </c>
      <c r="C327" s="53">
        <f t="shared" ref="C327:BN327" si="131">IFERROR(IF(C$262=0,0,(C68-C69)/C69),0)</f>
        <v>0</v>
      </c>
      <c r="D327" s="53">
        <f t="shared" si="131"/>
        <v>0</v>
      </c>
      <c r="E327" s="53">
        <f t="shared" si="131"/>
        <v>0</v>
      </c>
      <c r="F327" s="53">
        <f t="shared" si="131"/>
        <v>0</v>
      </c>
      <c r="G327" s="53">
        <f t="shared" si="131"/>
        <v>0</v>
      </c>
      <c r="H327" s="53">
        <f t="shared" si="131"/>
        <v>0</v>
      </c>
      <c r="I327" s="53">
        <f t="shared" si="131"/>
        <v>0</v>
      </c>
      <c r="J327" s="53">
        <f t="shared" si="131"/>
        <v>0</v>
      </c>
      <c r="K327" s="53">
        <f t="shared" si="131"/>
        <v>0</v>
      </c>
      <c r="L327" s="53">
        <f t="shared" si="131"/>
        <v>0</v>
      </c>
      <c r="M327" s="53">
        <f t="shared" si="131"/>
        <v>0</v>
      </c>
      <c r="N327" s="53">
        <f t="shared" si="131"/>
        <v>0</v>
      </c>
      <c r="O327" s="53">
        <f t="shared" si="131"/>
        <v>0</v>
      </c>
      <c r="P327" s="53">
        <f t="shared" si="131"/>
        <v>0</v>
      </c>
      <c r="Q327" s="53">
        <f t="shared" si="131"/>
        <v>0</v>
      </c>
      <c r="R327" s="53">
        <f t="shared" si="131"/>
        <v>0</v>
      </c>
      <c r="S327" s="53">
        <f t="shared" si="131"/>
        <v>0</v>
      </c>
      <c r="T327" s="53">
        <f t="shared" si="131"/>
        <v>0</v>
      </c>
      <c r="U327" s="53">
        <f t="shared" si="131"/>
        <v>0</v>
      </c>
      <c r="V327" s="53">
        <f t="shared" si="131"/>
        <v>0</v>
      </c>
      <c r="W327" s="53">
        <f t="shared" si="131"/>
        <v>0</v>
      </c>
      <c r="X327" s="53">
        <f t="shared" si="131"/>
        <v>0</v>
      </c>
      <c r="Y327" s="53">
        <f t="shared" si="131"/>
        <v>0</v>
      </c>
      <c r="Z327" s="53">
        <f t="shared" si="131"/>
        <v>0</v>
      </c>
      <c r="AA327" s="53">
        <f t="shared" si="131"/>
        <v>0</v>
      </c>
      <c r="AB327" s="53">
        <f t="shared" si="131"/>
        <v>0</v>
      </c>
      <c r="AC327" s="53">
        <f t="shared" si="131"/>
        <v>0</v>
      </c>
      <c r="AD327" s="53">
        <f t="shared" si="131"/>
        <v>0</v>
      </c>
      <c r="AE327" s="53">
        <f t="shared" si="131"/>
        <v>0</v>
      </c>
      <c r="AF327" s="53">
        <f t="shared" si="131"/>
        <v>0</v>
      </c>
      <c r="AG327" s="53">
        <f t="shared" si="131"/>
        <v>0</v>
      </c>
      <c r="AH327" s="53">
        <f t="shared" si="131"/>
        <v>0</v>
      </c>
      <c r="AI327" s="53">
        <f t="shared" si="131"/>
        <v>0</v>
      </c>
      <c r="AJ327" s="53">
        <f t="shared" si="131"/>
        <v>0</v>
      </c>
      <c r="AK327" s="53">
        <f t="shared" si="131"/>
        <v>0</v>
      </c>
      <c r="AL327" s="53">
        <f t="shared" si="131"/>
        <v>0</v>
      </c>
      <c r="AM327" s="53">
        <f t="shared" si="131"/>
        <v>0</v>
      </c>
      <c r="AN327" s="53">
        <f t="shared" si="131"/>
        <v>0</v>
      </c>
      <c r="AO327" s="53">
        <f t="shared" si="131"/>
        <v>0</v>
      </c>
      <c r="AP327" s="53">
        <f t="shared" si="131"/>
        <v>0</v>
      </c>
      <c r="AQ327" s="53">
        <f t="shared" si="131"/>
        <v>0</v>
      </c>
      <c r="AR327" s="53">
        <f t="shared" si="131"/>
        <v>0</v>
      </c>
      <c r="AS327" s="53">
        <f t="shared" si="131"/>
        <v>0</v>
      </c>
      <c r="AT327" s="53">
        <f t="shared" si="131"/>
        <v>0</v>
      </c>
      <c r="AU327" s="53">
        <f t="shared" si="131"/>
        <v>0</v>
      </c>
      <c r="AV327" s="53">
        <f t="shared" si="131"/>
        <v>0</v>
      </c>
      <c r="AW327" s="53">
        <f t="shared" si="131"/>
        <v>0</v>
      </c>
      <c r="AX327" s="53">
        <f t="shared" si="131"/>
        <v>0</v>
      </c>
      <c r="AY327" s="53">
        <f t="shared" si="131"/>
        <v>0</v>
      </c>
      <c r="AZ327" s="53">
        <f t="shared" si="131"/>
        <v>0</v>
      </c>
      <c r="BA327" s="53">
        <f t="shared" si="131"/>
        <v>0</v>
      </c>
      <c r="BB327" s="53">
        <f t="shared" si="131"/>
        <v>0</v>
      </c>
      <c r="BC327" s="53">
        <f t="shared" si="131"/>
        <v>0</v>
      </c>
      <c r="BD327" s="53">
        <f t="shared" si="131"/>
        <v>0</v>
      </c>
      <c r="BE327" s="53">
        <f t="shared" si="131"/>
        <v>0</v>
      </c>
      <c r="BF327" s="53">
        <f t="shared" si="131"/>
        <v>0</v>
      </c>
      <c r="BG327" s="53">
        <f t="shared" si="131"/>
        <v>0</v>
      </c>
      <c r="BH327" s="53">
        <f t="shared" si="131"/>
        <v>0</v>
      </c>
      <c r="BI327" s="53">
        <f t="shared" si="131"/>
        <v>0</v>
      </c>
      <c r="BJ327" s="53">
        <f t="shared" si="131"/>
        <v>0</v>
      </c>
      <c r="BK327" s="53">
        <f t="shared" si="131"/>
        <v>0</v>
      </c>
      <c r="BL327" s="53">
        <f t="shared" si="131"/>
        <v>0</v>
      </c>
      <c r="BM327" s="53">
        <f t="shared" si="131"/>
        <v>0</v>
      </c>
      <c r="BN327" s="53">
        <f t="shared" si="131"/>
        <v>0</v>
      </c>
      <c r="BO327" s="53">
        <f t="shared" ref="BO327:CX327" si="132">IFERROR(IF(BO$262=0,0,(BO68-BO69)/BO69),0)</f>
        <v>0</v>
      </c>
      <c r="BP327" s="53">
        <f t="shared" si="132"/>
        <v>0</v>
      </c>
      <c r="BQ327" s="53">
        <f t="shared" si="132"/>
        <v>0</v>
      </c>
      <c r="BR327" s="53">
        <f t="shared" si="132"/>
        <v>0</v>
      </c>
      <c r="BS327" s="53">
        <f t="shared" si="132"/>
        <v>0</v>
      </c>
      <c r="BT327" s="53">
        <f t="shared" si="132"/>
        <v>0</v>
      </c>
      <c r="BU327" s="53">
        <f t="shared" si="132"/>
        <v>0</v>
      </c>
      <c r="BV327" s="53">
        <f t="shared" si="132"/>
        <v>0</v>
      </c>
      <c r="BW327" s="53">
        <f t="shared" si="132"/>
        <v>0</v>
      </c>
      <c r="BX327" s="53">
        <f t="shared" si="132"/>
        <v>0</v>
      </c>
      <c r="BY327" s="53">
        <f t="shared" si="132"/>
        <v>0</v>
      </c>
      <c r="BZ327" s="53">
        <f t="shared" si="132"/>
        <v>0</v>
      </c>
      <c r="CA327" s="53">
        <f t="shared" si="132"/>
        <v>0</v>
      </c>
      <c r="CB327" s="53">
        <f t="shared" si="132"/>
        <v>0</v>
      </c>
      <c r="CC327" s="53">
        <f t="shared" si="132"/>
        <v>0</v>
      </c>
      <c r="CD327" s="53">
        <f t="shared" si="132"/>
        <v>0</v>
      </c>
      <c r="CE327" s="53">
        <f t="shared" si="132"/>
        <v>0</v>
      </c>
      <c r="CF327" s="53">
        <f t="shared" si="132"/>
        <v>0</v>
      </c>
      <c r="CG327" s="53">
        <f t="shared" si="132"/>
        <v>0</v>
      </c>
      <c r="CH327" s="53">
        <f t="shared" si="132"/>
        <v>0</v>
      </c>
      <c r="CI327" s="53">
        <f t="shared" si="132"/>
        <v>0</v>
      </c>
      <c r="CJ327" s="53">
        <f t="shared" si="132"/>
        <v>0</v>
      </c>
      <c r="CK327" s="53">
        <f t="shared" si="132"/>
        <v>0</v>
      </c>
      <c r="CL327" s="53">
        <f t="shared" si="132"/>
        <v>0</v>
      </c>
      <c r="CM327" s="53">
        <f t="shared" si="132"/>
        <v>0</v>
      </c>
      <c r="CN327" s="53">
        <f t="shared" si="132"/>
        <v>0</v>
      </c>
      <c r="CO327" s="53">
        <f t="shared" si="132"/>
        <v>0</v>
      </c>
      <c r="CP327" s="53">
        <f t="shared" si="132"/>
        <v>0</v>
      </c>
      <c r="CQ327" s="53">
        <f t="shared" si="132"/>
        <v>0</v>
      </c>
      <c r="CR327" s="53">
        <f t="shared" si="132"/>
        <v>0</v>
      </c>
      <c r="CS327" s="53">
        <f t="shared" si="132"/>
        <v>0</v>
      </c>
      <c r="CT327" s="53">
        <f t="shared" si="132"/>
        <v>0</v>
      </c>
      <c r="CU327" s="53">
        <f t="shared" si="132"/>
        <v>0</v>
      </c>
      <c r="CV327" s="53">
        <f t="shared" si="132"/>
        <v>0</v>
      </c>
      <c r="CW327" s="53">
        <f t="shared" si="132"/>
        <v>0</v>
      </c>
      <c r="CX327" s="53">
        <f t="shared" si="132"/>
        <v>0</v>
      </c>
      <c r="DB327" s="2" vm="576">
        <f ca="1">IF(Returns!A331&lt;&gt;0,Returns!A331,"")</f>
        <v>42485</v>
      </c>
      <c r="DC327" s="11">
        <f ca="1">IF(Returns!B342&gt;0,Returns!B342/Returns!B341-1,"")</f>
        <v>-1.3904345610812441E-2</v>
      </c>
      <c r="DD327" s="11">
        <f ca="1">IF(Returns!D334&gt;0,Returns!D334/Returns!D333-1,"")</f>
        <v>-1.960528717558585E-3</v>
      </c>
    </row>
    <row r="328" spans="2:108" x14ac:dyDescent="0.3">
      <c r="B328" s="57">
        <f t="shared" ca="1" si="6"/>
        <v>3.820029317951708E-4</v>
      </c>
      <c r="C328" s="53">
        <f t="shared" ref="C328:BN328" si="133">IFERROR(IF(C$262=0,0,(C69-C70)/C70),0)</f>
        <v>0</v>
      </c>
      <c r="D328" s="53">
        <f t="shared" si="133"/>
        <v>0</v>
      </c>
      <c r="E328" s="53">
        <f t="shared" si="133"/>
        <v>0</v>
      </c>
      <c r="F328" s="53">
        <f t="shared" si="133"/>
        <v>0</v>
      </c>
      <c r="G328" s="53">
        <f t="shared" si="133"/>
        <v>0</v>
      </c>
      <c r="H328" s="53">
        <f t="shared" si="133"/>
        <v>0</v>
      </c>
      <c r="I328" s="53">
        <f t="shared" si="133"/>
        <v>0</v>
      </c>
      <c r="J328" s="53">
        <f t="shared" si="133"/>
        <v>0</v>
      </c>
      <c r="K328" s="53">
        <f t="shared" si="133"/>
        <v>0</v>
      </c>
      <c r="L328" s="53">
        <f t="shared" si="133"/>
        <v>0</v>
      </c>
      <c r="M328" s="53">
        <f t="shared" si="133"/>
        <v>0</v>
      </c>
      <c r="N328" s="53">
        <f t="shared" si="133"/>
        <v>0</v>
      </c>
      <c r="O328" s="53">
        <f t="shared" si="133"/>
        <v>0</v>
      </c>
      <c r="P328" s="53">
        <f t="shared" si="133"/>
        <v>0</v>
      </c>
      <c r="Q328" s="53">
        <f t="shared" si="133"/>
        <v>0</v>
      </c>
      <c r="R328" s="53">
        <f t="shared" si="133"/>
        <v>0</v>
      </c>
      <c r="S328" s="53">
        <f t="shared" si="133"/>
        <v>0</v>
      </c>
      <c r="T328" s="53">
        <f t="shared" si="133"/>
        <v>0</v>
      </c>
      <c r="U328" s="53">
        <f t="shared" si="133"/>
        <v>0</v>
      </c>
      <c r="V328" s="53">
        <f t="shared" si="133"/>
        <v>0</v>
      </c>
      <c r="W328" s="53">
        <f t="shared" si="133"/>
        <v>0</v>
      </c>
      <c r="X328" s="53">
        <f t="shared" si="133"/>
        <v>0</v>
      </c>
      <c r="Y328" s="53">
        <f t="shared" si="133"/>
        <v>0</v>
      </c>
      <c r="Z328" s="53">
        <f t="shared" si="133"/>
        <v>0</v>
      </c>
      <c r="AA328" s="53">
        <f t="shared" si="133"/>
        <v>0</v>
      </c>
      <c r="AB328" s="53">
        <f t="shared" si="133"/>
        <v>0</v>
      </c>
      <c r="AC328" s="53">
        <f t="shared" si="133"/>
        <v>0</v>
      </c>
      <c r="AD328" s="53">
        <f t="shared" si="133"/>
        <v>0</v>
      </c>
      <c r="AE328" s="53">
        <f t="shared" si="133"/>
        <v>0</v>
      </c>
      <c r="AF328" s="53">
        <f t="shared" si="133"/>
        <v>0</v>
      </c>
      <c r="AG328" s="53">
        <f t="shared" si="133"/>
        <v>0</v>
      </c>
      <c r="AH328" s="53">
        <f t="shared" si="133"/>
        <v>0</v>
      </c>
      <c r="AI328" s="53">
        <f t="shared" si="133"/>
        <v>0</v>
      </c>
      <c r="AJ328" s="53">
        <f t="shared" si="133"/>
        <v>0</v>
      </c>
      <c r="AK328" s="53">
        <f t="shared" si="133"/>
        <v>0</v>
      </c>
      <c r="AL328" s="53">
        <f t="shared" si="133"/>
        <v>0</v>
      </c>
      <c r="AM328" s="53">
        <f t="shared" si="133"/>
        <v>0</v>
      </c>
      <c r="AN328" s="53">
        <f t="shared" si="133"/>
        <v>0</v>
      </c>
      <c r="AO328" s="53">
        <f t="shared" si="133"/>
        <v>0</v>
      </c>
      <c r="AP328" s="53">
        <f t="shared" si="133"/>
        <v>0</v>
      </c>
      <c r="AQ328" s="53">
        <f t="shared" si="133"/>
        <v>0</v>
      </c>
      <c r="AR328" s="53">
        <f t="shared" si="133"/>
        <v>0</v>
      </c>
      <c r="AS328" s="53">
        <f t="shared" si="133"/>
        <v>0</v>
      </c>
      <c r="AT328" s="53">
        <f t="shared" si="133"/>
        <v>0</v>
      </c>
      <c r="AU328" s="53">
        <f t="shared" si="133"/>
        <v>0</v>
      </c>
      <c r="AV328" s="53">
        <f t="shared" si="133"/>
        <v>0</v>
      </c>
      <c r="AW328" s="53">
        <f t="shared" si="133"/>
        <v>0</v>
      </c>
      <c r="AX328" s="53">
        <f t="shared" si="133"/>
        <v>0</v>
      </c>
      <c r="AY328" s="53">
        <f t="shared" si="133"/>
        <v>0</v>
      </c>
      <c r="AZ328" s="53">
        <f t="shared" si="133"/>
        <v>0</v>
      </c>
      <c r="BA328" s="53">
        <f t="shared" si="133"/>
        <v>0</v>
      </c>
      <c r="BB328" s="53">
        <f t="shared" si="133"/>
        <v>0</v>
      </c>
      <c r="BC328" s="53">
        <f t="shared" si="133"/>
        <v>0</v>
      </c>
      <c r="BD328" s="53">
        <f t="shared" si="133"/>
        <v>0</v>
      </c>
      <c r="BE328" s="53">
        <f t="shared" si="133"/>
        <v>0</v>
      </c>
      <c r="BF328" s="53">
        <f t="shared" si="133"/>
        <v>0</v>
      </c>
      <c r="BG328" s="53">
        <f t="shared" si="133"/>
        <v>0</v>
      </c>
      <c r="BH328" s="53">
        <f t="shared" si="133"/>
        <v>0</v>
      </c>
      <c r="BI328" s="53">
        <f t="shared" si="133"/>
        <v>0</v>
      </c>
      <c r="BJ328" s="53">
        <f t="shared" si="133"/>
        <v>0</v>
      </c>
      <c r="BK328" s="53">
        <f t="shared" si="133"/>
        <v>0</v>
      </c>
      <c r="BL328" s="53">
        <f t="shared" si="133"/>
        <v>0</v>
      </c>
      <c r="BM328" s="53">
        <f t="shared" si="133"/>
        <v>0</v>
      </c>
      <c r="BN328" s="53">
        <f t="shared" si="133"/>
        <v>0</v>
      </c>
      <c r="BO328" s="53">
        <f t="shared" ref="BO328:CX328" si="134">IFERROR(IF(BO$262=0,0,(BO69-BO70)/BO70),0)</f>
        <v>0</v>
      </c>
      <c r="BP328" s="53">
        <f t="shared" si="134"/>
        <v>0</v>
      </c>
      <c r="BQ328" s="53">
        <f t="shared" si="134"/>
        <v>0</v>
      </c>
      <c r="BR328" s="53">
        <f t="shared" si="134"/>
        <v>0</v>
      </c>
      <c r="BS328" s="53">
        <f t="shared" si="134"/>
        <v>0</v>
      </c>
      <c r="BT328" s="53">
        <f t="shared" si="134"/>
        <v>0</v>
      </c>
      <c r="BU328" s="53">
        <f t="shared" si="134"/>
        <v>0</v>
      </c>
      <c r="BV328" s="53">
        <f t="shared" si="134"/>
        <v>0</v>
      </c>
      <c r="BW328" s="53">
        <f t="shared" si="134"/>
        <v>0</v>
      </c>
      <c r="BX328" s="53">
        <f t="shared" si="134"/>
        <v>0</v>
      </c>
      <c r="BY328" s="53">
        <f t="shared" si="134"/>
        <v>0</v>
      </c>
      <c r="BZ328" s="53">
        <f t="shared" si="134"/>
        <v>0</v>
      </c>
      <c r="CA328" s="53">
        <f t="shared" si="134"/>
        <v>0</v>
      </c>
      <c r="CB328" s="53">
        <f t="shared" si="134"/>
        <v>0</v>
      </c>
      <c r="CC328" s="53">
        <f t="shared" si="134"/>
        <v>0</v>
      </c>
      <c r="CD328" s="53">
        <f t="shared" si="134"/>
        <v>0</v>
      </c>
      <c r="CE328" s="53">
        <f t="shared" si="134"/>
        <v>0</v>
      </c>
      <c r="CF328" s="53">
        <f t="shared" si="134"/>
        <v>0</v>
      </c>
      <c r="CG328" s="53">
        <f t="shared" si="134"/>
        <v>0</v>
      </c>
      <c r="CH328" s="53">
        <f t="shared" si="134"/>
        <v>0</v>
      </c>
      <c r="CI328" s="53">
        <f t="shared" si="134"/>
        <v>0</v>
      </c>
      <c r="CJ328" s="53">
        <f t="shared" si="134"/>
        <v>0</v>
      </c>
      <c r="CK328" s="53">
        <f t="shared" si="134"/>
        <v>0</v>
      </c>
      <c r="CL328" s="53">
        <f t="shared" si="134"/>
        <v>0</v>
      </c>
      <c r="CM328" s="53">
        <f t="shared" si="134"/>
        <v>0</v>
      </c>
      <c r="CN328" s="53">
        <f t="shared" si="134"/>
        <v>0</v>
      </c>
      <c r="CO328" s="53">
        <f t="shared" si="134"/>
        <v>0</v>
      </c>
      <c r="CP328" s="53">
        <f t="shared" si="134"/>
        <v>0</v>
      </c>
      <c r="CQ328" s="53">
        <f t="shared" si="134"/>
        <v>0</v>
      </c>
      <c r="CR328" s="53">
        <f t="shared" si="134"/>
        <v>0</v>
      </c>
      <c r="CS328" s="53">
        <f t="shared" si="134"/>
        <v>0</v>
      </c>
      <c r="CT328" s="53">
        <f t="shared" si="134"/>
        <v>0</v>
      </c>
      <c r="CU328" s="53">
        <f t="shared" si="134"/>
        <v>0</v>
      </c>
      <c r="CV328" s="53">
        <f t="shared" si="134"/>
        <v>0</v>
      </c>
      <c r="CW328" s="53">
        <f t="shared" si="134"/>
        <v>0</v>
      </c>
      <c r="CX328" s="53">
        <f t="shared" si="134"/>
        <v>0</v>
      </c>
      <c r="DB328" s="2" vm="577">
        <f ca="1">IF(Returns!A332&lt;&gt;0,Returns!A332,"")</f>
        <v>42492</v>
      </c>
      <c r="DC328" s="11">
        <f ca="1">IF(Returns!B343&gt;0,Returns!B343/Returns!B342-1,"")</f>
        <v>1.2808658762101688E-2</v>
      </c>
      <c r="DD328" s="11">
        <f ca="1">IF(Returns!D335&gt;0,Returns!D335/Returns!D334-1,"")</f>
        <v>2.1271683182453538E-2</v>
      </c>
    </row>
    <row r="329" spans="2:108" x14ac:dyDescent="0.3">
      <c r="B329" s="57">
        <f t="shared" ref="B329:B392" ca="1" si="135">IF(B327=0,0,(B70-B71)/B71)</f>
        <v>3.6385814267297276E-3</v>
      </c>
      <c r="C329" s="53">
        <f t="shared" ref="C329:BN329" si="136">IFERROR(IF(C$262=0,0,(C70-C71)/C71),0)</f>
        <v>0</v>
      </c>
      <c r="D329" s="53">
        <f t="shared" si="136"/>
        <v>0</v>
      </c>
      <c r="E329" s="53">
        <f t="shared" si="136"/>
        <v>0</v>
      </c>
      <c r="F329" s="53">
        <f t="shared" si="136"/>
        <v>0</v>
      </c>
      <c r="G329" s="53">
        <f t="shared" si="136"/>
        <v>0</v>
      </c>
      <c r="H329" s="53">
        <f t="shared" si="136"/>
        <v>0</v>
      </c>
      <c r="I329" s="53">
        <f t="shared" si="136"/>
        <v>0</v>
      </c>
      <c r="J329" s="53">
        <f t="shared" si="136"/>
        <v>0</v>
      </c>
      <c r="K329" s="53">
        <f t="shared" si="136"/>
        <v>0</v>
      </c>
      <c r="L329" s="53">
        <f t="shared" si="136"/>
        <v>0</v>
      </c>
      <c r="M329" s="53">
        <f t="shared" si="136"/>
        <v>0</v>
      </c>
      <c r="N329" s="53">
        <f t="shared" si="136"/>
        <v>0</v>
      </c>
      <c r="O329" s="53">
        <f t="shared" si="136"/>
        <v>0</v>
      </c>
      <c r="P329" s="53">
        <f t="shared" si="136"/>
        <v>0</v>
      </c>
      <c r="Q329" s="53">
        <f t="shared" si="136"/>
        <v>0</v>
      </c>
      <c r="R329" s="53">
        <f t="shared" si="136"/>
        <v>0</v>
      </c>
      <c r="S329" s="53">
        <f t="shared" si="136"/>
        <v>0</v>
      </c>
      <c r="T329" s="53">
        <f t="shared" si="136"/>
        <v>0</v>
      </c>
      <c r="U329" s="53">
        <f t="shared" si="136"/>
        <v>0</v>
      </c>
      <c r="V329" s="53">
        <f t="shared" si="136"/>
        <v>0</v>
      </c>
      <c r="W329" s="53">
        <f t="shared" si="136"/>
        <v>0</v>
      </c>
      <c r="X329" s="53">
        <f t="shared" si="136"/>
        <v>0</v>
      </c>
      <c r="Y329" s="53">
        <f t="shared" si="136"/>
        <v>0</v>
      </c>
      <c r="Z329" s="53">
        <f t="shared" si="136"/>
        <v>0</v>
      </c>
      <c r="AA329" s="53">
        <f t="shared" si="136"/>
        <v>0</v>
      </c>
      <c r="AB329" s="53">
        <f t="shared" si="136"/>
        <v>0</v>
      </c>
      <c r="AC329" s="53">
        <f t="shared" si="136"/>
        <v>0</v>
      </c>
      <c r="AD329" s="53">
        <f t="shared" si="136"/>
        <v>0</v>
      </c>
      <c r="AE329" s="53">
        <f t="shared" si="136"/>
        <v>0</v>
      </c>
      <c r="AF329" s="53">
        <f t="shared" si="136"/>
        <v>0</v>
      </c>
      <c r="AG329" s="53">
        <f t="shared" si="136"/>
        <v>0</v>
      </c>
      <c r="AH329" s="53">
        <f t="shared" si="136"/>
        <v>0</v>
      </c>
      <c r="AI329" s="53">
        <f t="shared" si="136"/>
        <v>0</v>
      </c>
      <c r="AJ329" s="53">
        <f t="shared" si="136"/>
        <v>0</v>
      </c>
      <c r="AK329" s="53">
        <f t="shared" si="136"/>
        <v>0</v>
      </c>
      <c r="AL329" s="53">
        <f t="shared" si="136"/>
        <v>0</v>
      </c>
      <c r="AM329" s="53">
        <f t="shared" si="136"/>
        <v>0</v>
      </c>
      <c r="AN329" s="53">
        <f t="shared" si="136"/>
        <v>0</v>
      </c>
      <c r="AO329" s="53">
        <f t="shared" si="136"/>
        <v>0</v>
      </c>
      <c r="AP329" s="53">
        <f t="shared" si="136"/>
        <v>0</v>
      </c>
      <c r="AQ329" s="53">
        <f t="shared" si="136"/>
        <v>0</v>
      </c>
      <c r="AR329" s="53">
        <f t="shared" si="136"/>
        <v>0</v>
      </c>
      <c r="AS329" s="53">
        <f t="shared" si="136"/>
        <v>0</v>
      </c>
      <c r="AT329" s="53">
        <f t="shared" si="136"/>
        <v>0</v>
      </c>
      <c r="AU329" s="53">
        <f t="shared" si="136"/>
        <v>0</v>
      </c>
      <c r="AV329" s="53">
        <f t="shared" si="136"/>
        <v>0</v>
      </c>
      <c r="AW329" s="53">
        <f t="shared" si="136"/>
        <v>0</v>
      </c>
      <c r="AX329" s="53">
        <f t="shared" si="136"/>
        <v>0</v>
      </c>
      <c r="AY329" s="53">
        <f t="shared" si="136"/>
        <v>0</v>
      </c>
      <c r="AZ329" s="53">
        <f t="shared" si="136"/>
        <v>0</v>
      </c>
      <c r="BA329" s="53">
        <f t="shared" si="136"/>
        <v>0</v>
      </c>
      <c r="BB329" s="53">
        <f t="shared" si="136"/>
        <v>0</v>
      </c>
      <c r="BC329" s="53">
        <f t="shared" si="136"/>
        <v>0</v>
      </c>
      <c r="BD329" s="53">
        <f t="shared" si="136"/>
        <v>0</v>
      </c>
      <c r="BE329" s="53">
        <f t="shared" si="136"/>
        <v>0</v>
      </c>
      <c r="BF329" s="53">
        <f t="shared" si="136"/>
        <v>0</v>
      </c>
      <c r="BG329" s="53">
        <f t="shared" si="136"/>
        <v>0</v>
      </c>
      <c r="BH329" s="53">
        <f t="shared" si="136"/>
        <v>0</v>
      </c>
      <c r="BI329" s="53">
        <f t="shared" si="136"/>
        <v>0</v>
      </c>
      <c r="BJ329" s="53">
        <f t="shared" si="136"/>
        <v>0</v>
      </c>
      <c r="BK329" s="53">
        <f t="shared" si="136"/>
        <v>0</v>
      </c>
      <c r="BL329" s="53">
        <f t="shared" si="136"/>
        <v>0</v>
      </c>
      <c r="BM329" s="53">
        <f t="shared" si="136"/>
        <v>0</v>
      </c>
      <c r="BN329" s="53">
        <f t="shared" si="136"/>
        <v>0</v>
      </c>
      <c r="BO329" s="53">
        <f t="shared" ref="BO329:CX329" si="137">IFERROR(IF(BO$262=0,0,(BO70-BO71)/BO71),0)</f>
        <v>0</v>
      </c>
      <c r="BP329" s="53">
        <f t="shared" si="137"/>
        <v>0</v>
      </c>
      <c r="BQ329" s="53">
        <f t="shared" si="137"/>
        <v>0</v>
      </c>
      <c r="BR329" s="53">
        <f t="shared" si="137"/>
        <v>0</v>
      </c>
      <c r="BS329" s="53">
        <f t="shared" si="137"/>
        <v>0</v>
      </c>
      <c r="BT329" s="53">
        <f t="shared" si="137"/>
        <v>0</v>
      </c>
      <c r="BU329" s="53">
        <f t="shared" si="137"/>
        <v>0</v>
      </c>
      <c r="BV329" s="53">
        <f t="shared" si="137"/>
        <v>0</v>
      </c>
      <c r="BW329" s="53">
        <f t="shared" si="137"/>
        <v>0</v>
      </c>
      <c r="BX329" s="53">
        <f t="shared" si="137"/>
        <v>0</v>
      </c>
      <c r="BY329" s="53">
        <f t="shared" si="137"/>
        <v>0</v>
      </c>
      <c r="BZ329" s="53">
        <f t="shared" si="137"/>
        <v>0</v>
      </c>
      <c r="CA329" s="53">
        <f t="shared" si="137"/>
        <v>0</v>
      </c>
      <c r="CB329" s="53">
        <f t="shared" si="137"/>
        <v>0</v>
      </c>
      <c r="CC329" s="53">
        <f t="shared" si="137"/>
        <v>0</v>
      </c>
      <c r="CD329" s="53">
        <f t="shared" si="137"/>
        <v>0</v>
      </c>
      <c r="CE329" s="53">
        <f t="shared" si="137"/>
        <v>0</v>
      </c>
      <c r="CF329" s="53">
        <f t="shared" si="137"/>
        <v>0</v>
      </c>
      <c r="CG329" s="53">
        <f t="shared" si="137"/>
        <v>0</v>
      </c>
      <c r="CH329" s="53">
        <f t="shared" si="137"/>
        <v>0</v>
      </c>
      <c r="CI329" s="53">
        <f t="shared" si="137"/>
        <v>0</v>
      </c>
      <c r="CJ329" s="53">
        <f t="shared" si="137"/>
        <v>0</v>
      </c>
      <c r="CK329" s="53">
        <f t="shared" si="137"/>
        <v>0</v>
      </c>
      <c r="CL329" s="53">
        <f t="shared" si="137"/>
        <v>0</v>
      </c>
      <c r="CM329" s="53">
        <f t="shared" si="137"/>
        <v>0</v>
      </c>
      <c r="CN329" s="53">
        <f t="shared" si="137"/>
        <v>0</v>
      </c>
      <c r="CO329" s="53">
        <f t="shared" si="137"/>
        <v>0</v>
      </c>
      <c r="CP329" s="53">
        <f t="shared" si="137"/>
        <v>0</v>
      </c>
      <c r="CQ329" s="53">
        <f t="shared" si="137"/>
        <v>0</v>
      </c>
      <c r="CR329" s="53">
        <f t="shared" si="137"/>
        <v>0</v>
      </c>
      <c r="CS329" s="53">
        <f t="shared" si="137"/>
        <v>0</v>
      </c>
      <c r="CT329" s="53">
        <f t="shared" si="137"/>
        <v>0</v>
      </c>
      <c r="CU329" s="53">
        <f t="shared" si="137"/>
        <v>0</v>
      </c>
      <c r="CV329" s="53">
        <f t="shared" si="137"/>
        <v>0</v>
      </c>
      <c r="CW329" s="53">
        <f t="shared" si="137"/>
        <v>0</v>
      </c>
      <c r="CX329" s="53">
        <f t="shared" si="137"/>
        <v>0</v>
      </c>
      <c r="DB329" s="2" vm="578">
        <f ca="1">IF(Returns!A333&lt;&gt;0,Returns!A333,"")</f>
        <v>42499</v>
      </c>
      <c r="DC329" s="11">
        <f ca="1">IF(Returns!B344&gt;0,Returns!B344/Returns!B343-1,"")</f>
        <v>1.8728351636549068E-2</v>
      </c>
      <c r="DD329" s="11">
        <f ca="1">IF(Returns!D336&gt;0,Returns!D336/Returns!D335-1,"")</f>
        <v>-3.7013370754835906E-3</v>
      </c>
    </row>
    <row r="330" spans="2:108" x14ac:dyDescent="0.3">
      <c r="B330" s="57">
        <f t="shared" ca="1" si="135"/>
        <v>3.5948602977880361E-3</v>
      </c>
      <c r="C330" s="53">
        <f t="shared" ref="C330:BN330" si="138">IFERROR(IF(C$262=0,0,(C71-C72)/C72),0)</f>
        <v>0</v>
      </c>
      <c r="D330" s="53">
        <f t="shared" si="138"/>
        <v>0</v>
      </c>
      <c r="E330" s="53">
        <f t="shared" si="138"/>
        <v>0</v>
      </c>
      <c r="F330" s="53">
        <f t="shared" si="138"/>
        <v>0</v>
      </c>
      <c r="G330" s="53">
        <f t="shared" si="138"/>
        <v>0</v>
      </c>
      <c r="H330" s="53">
        <f t="shared" si="138"/>
        <v>0</v>
      </c>
      <c r="I330" s="53">
        <f t="shared" si="138"/>
        <v>0</v>
      </c>
      <c r="J330" s="53">
        <f t="shared" si="138"/>
        <v>0</v>
      </c>
      <c r="K330" s="53">
        <f t="shared" si="138"/>
        <v>0</v>
      </c>
      <c r="L330" s="53">
        <f t="shared" si="138"/>
        <v>0</v>
      </c>
      <c r="M330" s="53">
        <f t="shared" si="138"/>
        <v>0</v>
      </c>
      <c r="N330" s="53">
        <f t="shared" si="138"/>
        <v>0</v>
      </c>
      <c r="O330" s="53">
        <f t="shared" si="138"/>
        <v>0</v>
      </c>
      <c r="P330" s="53">
        <f t="shared" si="138"/>
        <v>0</v>
      </c>
      <c r="Q330" s="53">
        <f t="shared" si="138"/>
        <v>0</v>
      </c>
      <c r="R330" s="53">
        <f t="shared" si="138"/>
        <v>0</v>
      </c>
      <c r="S330" s="53">
        <f t="shared" si="138"/>
        <v>0</v>
      </c>
      <c r="T330" s="53">
        <f t="shared" si="138"/>
        <v>0</v>
      </c>
      <c r="U330" s="53">
        <f t="shared" si="138"/>
        <v>0</v>
      </c>
      <c r="V330" s="53">
        <f t="shared" si="138"/>
        <v>0</v>
      </c>
      <c r="W330" s="53">
        <f t="shared" si="138"/>
        <v>0</v>
      </c>
      <c r="X330" s="53">
        <f t="shared" si="138"/>
        <v>0</v>
      </c>
      <c r="Y330" s="53">
        <f t="shared" si="138"/>
        <v>0</v>
      </c>
      <c r="Z330" s="53">
        <f t="shared" si="138"/>
        <v>0</v>
      </c>
      <c r="AA330" s="53">
        <f t="shared" si="138"/>
        <v>0</v>
      </c>
      <c r="AB330" s="53">
        <f t="shared" si="138"/>
        <v>0</v>
      </c>
      <c r="AC330" s="53">
        <f t="shared" si="138"/>
        <v>0</v>
      </c>
      <c r="AD330" s="53">
        <f t="shared" si="138"/>
        <v>0</v>
      </c>
      <c r="AE330" s="53">
        <f t="shared" si="138"/>
        <v>0</v>
      </c>
      <c r="AF330" s="53">
        <f t="shared" si="138"/>
        <v>0</v>
      </c>
      <c r="AG330" s="53">
        <f t="shared" si="138"/>
        <v>0</v>
      </c>
      <c r="AH330" s="53">
        <f t="shared" si="138"/>
        <v>0</v>
      </c>
      <c r="AI330" s="53">
        <f t="shared" si="138"/>
        <v>0</v>
      </c>
      <c r="AJ330" s="53">
        <f t="shared" si="138"/>
        <v>0</v>
      </c>
      <c r="AK330" s="53">
        <f t="shared" si="138"/>
        <v>0</v>
      </c>
      <c r="AL330" s="53">
        <f t="shared" si="138"/>
        <v>0</v>
      </c>
      <c r="AM330" s="53">
        <f t="shared" si="138"/>
        <v>0</v>
      </c>
      <c r="AN330" s="53">
        <f t="shared" si="138"/>
        <v>0</v>
      </c>
      <c r="AO330" s="53">
        <f t="shared" si="138"/>
        <v>0</v>
      </c>
      <c r="AP330" s="53">
        <f t="shared" si="138"/>
        <v>0</v>
      </c>
      <c r="AQ330" s="53">
        <f t="shared" si="138"/>
        <v>0</v>
      </c>
      <c r="AR330" s="53">
        <f t="shared" si="138"/>
        <v>0</v>
      </c>
      <c r="AS330" s="53">
        <f t="shared" si="138"/>
        <v>0</v>
      </c>
      <c r="AT330" s="53">
        <f t="shared" si="138"/>
        <v>0</v>
      </c>
      <c r="AU330" s="53">
        <f t="shared" si="138"/>
        <v>0</v>
      </c>
      <c r="AV330" s="53">
        <f t="shared" si="138"/>
        <v>0</v>
      </c>
      <c r="AW330" s="53">
        <f t="shared" si="138"/>
        <v>0</v>
      </c>
      <c r="AX330" s="53">
        <f t="shared" si="138"/>
        <v>0</v>
      </c>
      <c r="AY330" s="53">
        <f t="shared" si="138"/>
        <v>0</v>
      </c>
      <c r="AZ330" s="53">
        <f t="shared" si="138"/>
        <v>0</v>
      </c>
      <c r="BA330" s="53">
        <f t="shared" si="138"/>
        <v>0</v>
      </c>
      <c r="BB330" s="53">
        <f t="shared" si="138"/>
        <v>0</v>
      </c>
      <c r="BC330" s="53">
        <f t="shared" si="138"/>
        <v>0</v>
      </c>
      <c r="BD330" s="53">
        <f t="shared" si="138"/>
        <v>0</v>
      </c>
      <c r="BE330" s="53">
        <f t="shared" si="138"/>
        <v>0</v>
      </c>
      <c r="BF330" s="53">
        <f t="shared" si="138"/>
        <v>0</v>
      </c>
      <c r="BG330" s="53">
        <f t="shared" si="138"/>
        <v>0</v>
      </c>
      <c r="BH330" s="53">
        <f t="shared" si="138"/>
        <v>0</v>
      </c>
      <c r="BI330" s="53">
        <f t="shared" si="138"/>
        <v>0</v>
      </c>
      <c r="BJ330" s="53">
        <f t="shared" si="138"/>
        <v>0</v>
      </c>
      <c r="BK330" s="53">
        <f t="shared" si="138"/>
        <v>0</v>
      </c>
      <c r="BL330" s="53">
        <f t="shared" si="138"/>
        <v>0</v>
      </c>
      <c r="BM330" s="53">
        <f t="shared" si="138"/>
        <v>0</v>
      </c>
      <c r="BN330" s="53">
        <f t="shared" si="138"/>
        <v>0</v>
      </c>
      <c r="BO330" s="53">
        <f t="shared" ref="BO330:CX330" si="139">IFERROR(IF(BO$262=0,0,(BO71-BO72)/BO72),0)</f>
        <v>0</v>
      </c>
      <c r="BP330" s="53">
        <f t="shared" si="139"/>
        <v>0</v>
      </c>
      <c r="BQ330" s="53">
        <f t="shared" si="139"/>
        <v>0</v>
      </c>
      <c r="BR330" s="53">
        <f t="shared" si="139"/>
        <v>0</v>
      </c>
      <c r="BS330" s="53">
        <f t="shared" si="139"/>
        <v>0</v>
      </c>
      <c r="BT330" s="53">
        <f t="shared" si="139"/>
        <v>0</v>
      </c>
      <c r="BU330" s="53">
        <f t="shared" si="139"/>
        <v>0</v>
      </c>
      <c r="BV330" s="53">
        <f t="shared" si="139"/>
        <v>0</v>
      </c>
      <c r="BW330" s="53">
        <f t="shared" si="139"/>
        <v>0</v>
      </c>
      <c r="BX330" s="53">
        <f t="shared" si="139"/>
        <v>0</v>
      </c>
      <c r="BY330" s="53">
        <f t="shared" si="139"/>
        <v>0</v>
      </c>
      <c r="BZ330" s="53">
        <f t="shared" si="139"/>
        <v>0</v>
      </c>
      <c r="CA330" s="53">
        <f t="shared" si="139"/>
        <v>0</v>
      </c>
      <c r="CB330" s="53">
        <f t="shared" si="139"/>
        <v>0</v>
      </c>
      <c r="CC330" s="53">
        <f t="shared" si="139"/>
        <v>0</v>
      </c>
      <c r="CD330" s="53">
        <f t="shared" si="139"/>
        <v>0</v>
      </c>
      <c r="CE330" s="53">
        <f t="shared" si="139"/>
        <v>0</v>
      </c>
      <c r="CF330" s="53">
        <f t="shared" si="139"/>
        <v>0</v>
      </c>
      <c r="CG330" s="53">
        <f t="shared" si="139"/>
        <v>0</v>
      </c>
      <c r="CH330" s="53">
        <f t="shared" si="139"/>
        <v>0</v>
      </c>
      <c r="CI330" s="53">
        <f t="shared" si="139"/>
        <v>0</v>
      </c>
      <c r="CJ330" s="53">
        <f t="shared" si="139"/>
        <v>0</v>
      </c>
      <c r="CK330" s="53">
        <f t="shared" si="139"/>
        <v>0</v>
      </c>
      <c r="CL330" s="53">
        <f t="shared" si="139"/>
        <v>0</v>
      </c>
      <c r="CM330" s="53">
        <f t="shared" si="139"/>
        <v>0</v>
      </c>
      <c r="CN330" s="53">
        <f t="shared" si="139"/>
        <v>0</v>
      </c>
      <c r="CO330" s="53">
        <f t="shared" si="139"/>
        <v>0</v>
      </c>
      <c r="CP330" s="53">
        <f t="shared" si="139"/>
        <v>0</v>
      </c>
      <c r="CQ330" s="53">
        <f t="shared" si="139"/>
        <v>0</v>
      </c>
      <c r="CR330" s="53">
        <f t="shared" si="139"/>
        <v>0</v>
      </c>
      <c r="CS330" s="53">
        <f t="shared" si="139"/>
        <v>0</v>
      </c>
      <c r="CT330" s="53">
        <f t="shared" si="139"/>
        <v>0</v>
      </c>
      <c r="CU330" s="53">
        <f t="shared" si="139"/>
        <v>0</v>
      </c>
      <c r="CV330" s="53">
        <f t="shared" si="139"/>
        <v>0</v>
      </c>
      <c r="CW330" s="53">
        <f t="shared" si="139"/>
        <v>0</v>
      </c>
      <c r="CX330" s="53">
        <f t="shared" si="139"/>
        <v>0</v>
      </c>
      <c r="DB330" s="2" vm="579">
        <f ca="1">IF(Returns!A334&lt;&gt;0,Returns!A334,"")</f>
        <v>42506</v>
      </c>
      <c r="DC330" s="11">
        <f ca="1">IF(Returns!B345&gt;0,Returns!B345/Returns!B344-1,"")</f>
        <v>9.4490056799461097E-3</v>
      </c>
      <c r="DD330" s="11">
        <f ca="1">IF(Returns!D337&gt;0,Returns!D337/Returns!D336-1,"")</f>
        <v>3.2728138982160981E-3</v>
      </c>
    </row>
    <row r="331" spans="2:108" x14ac:dyDescent="0.3">
      <c r="B331" s="57">
        <f t="shared" ca="1" si="135"/>
        <v>5.6831933183269952E-4</v>
      </c>
      <c r="C331" s="53">
        <f t="shared" ref="C331:BN331" si="140">IFERROR(IF(C$262=0,0,(C72-C73)/C73),0)</f>
        <v>0</v>
      </c>
      <c r="D331" s="53">
        <f t="shared" si="140"/>
        <v>0</v>
      </c>
      <c r="E331" s="53">
        <f t="shared" si="140"/>
        <v>0</v>
      </c>
      <c r="F331" s="53">
        <f t="shared" si="140"/>
        <v>0</v>
      </c>
      <c r="G331" s="53">
        <f t="shared" si="140"/>
        <v>0</v>
      </c>
      <c r="H331" s="53">
        <f t="shared" si="140"/>
        <v>0</v>
      </c>
      <c r="I331" s="53">
        <f t="shared" si="140"/>
        <v>0</v>
      </c>
      <c r="J331" s="53">
        <f t="shared" si="140"/>
        <v>0</v>
      </c>
      <c r="K331" s="53">
        <f t="shared" si="140"/>
        <v>0</v>
      </c>
      <c r="L331" s="53">
        <f t="shared" si="140"/>
        <v>0</v>
      </c>
      <c r="M331" s="53">
        <f t="shared" si="140"/>
        <v>0</v>
      </c>
      <c r="N331" s="53">
        <f t="shared" si="140"/>
        <v>0</v>
      </c>
      <c r="O331" s="53">
        <f t="shared" si="140"/>
        <v>0</v>
      </c>
      <c r="P331" s="53">
        <f t="shared" si="140"/>
        <v>0</v>
      </c>
      <c r="Q331" s="53">
        <f t="shared" si="140"/>
        <v>0</v>
      </c>
      <c r="R331" s="53">
        <f t="shared" si="140"/>
        <v>0</v>
      </c>
      <c r="S331" s="53">
        <f t="shared" si="140"/>
        <v>0</v>
      </c>
      <c r="T331" s="53">
        <f t="shared" si="140"/>
        <v>0</v>
      </c>
      <c r="U331" s="53">
        <f t="shared" si="140"/>
        <v>0</v>
      </c>
      <c r="V331" s="53">
        <f t="shared" si="140"/>
        <v>0</v>
      </c>
      <c r="W331" s="53">
        <f t="shared" si="140"/>
        <v>0</v>
      </c>
      <c r="X331" s="53">
        <f t="shared" si="140"/>
        <v>0</v>
      </c>
      <c r="Y331" s="53">
        <f t="shared" si="140"/>
        <v>0</v>
      </c>
      <c r="Z331" s="53">
        <f t="shared" si="140"/>
        <v>0</v>
      </c>
      <c r="AA331" s="53">
        <f t="shared" si="140"/>
        <v>0</v>
      </c>
      <c r="AB331" s="53">
        <f t="shared" si="140"/>
        <v>0</v>
      </c>
      <c r="AC331" s="53">
        <f t="shared" si="140"/>
        <v>0</v>
      </c>
      <c r="AD331" s="53">
        <f t="shared" si="140"/>
        <v>0</v>
      </c>
      <c r="AE331" s="53">
        <f t="shared" si="140"/>
        <v>0</v>
      </c>
      <c r="AF331" s="53">
        <f t="shared" si="140"/>
        <v>0</v>
      </c>
      <c r="AG331" s="53">
        <f t="shared" si="140"/>
        <v>0</v>
      </c>
      <c r="AH331" s="53">
        <f t="shared" si="140"/>
        <v>0</v>
      </c>
      <c r="AI331" s="53">
        <f t="shared" si="140"/>
        <v>0</v>
      </c>
      <c r="AJ331" s="53">
        <f t="shared" si="140"/>
        <v>0</v>
      </c>
      <c r="AK331" s="53">
        <f t="shared" si="140"/>
        <v>0</v>
      </c>
      <c r="AL331" s="53">
        <f t="shared" si="140"/>
        <v>0</v>
      </c>
      <c r="AM331" s="53">
        <f t="shared" si="140"/>
        <v>0</v>
      </c>
      <c r="AN331" s="53">
        <f t="shared" si="140"/>
        <v>0</v>
      </c>
      <c r="AO331" s="53">
        <f t="shared" si="140"/>
        <v>0</v>
      </c>
      <c r="AP331" s="53">
        <f t="shared" si="140"/>
        <v>0</v>
      </c>
      <c r="AQ331" s="53">
        <f t="shared" si="140"/>
        <v>0</v>
      </c>
      <c r="AR331" s="53">
        <f t="shared" si="140"/>
        <v>0</v>
      </c>
      <c r="AS331" s="53">
        <f t="shared" si="140"/>
        <v>0</v>
      </c>
      <c r="AT331" s="53">
        <f t="shared" si="140"/>
        <v>0</v>
      </c>
      <c r="AU331" s="53">
        <f t="shared" si="140"/>
        <v>0</v>
      </c>
      <c r="AV331" s="53">
        <f t="shared" si="140"/>
        <v>0</v>
      </c>
      <c r="AW331" s="53">
        <f t="shared" si="140"/>
        <v>0</v>
      </c>
      <c r="AX331" s="53">
        <f t="shared" si="140"/>
        <v>0</v>
      </c>
      <c r="AY331" s="53">
        <f t="shared" si="140"/>
        <v>0</v>
      </c>
      <c r="AZ331" s="53">
        <f t="shared" si="140"/>
        <v>0</v>
      </c>
      <c r="BA331" s="53">
        <f t="shared" si="140"/>
        <v>0</v>
      </c>
      <c r="BB331" s="53">
        <f t="shared" si="140"/>
        <v>0</v>
      </c>
      <c r="BC331" s="53">
        <f t="shared" si="140"/>
        <v>0</v>
      </c>
      <c r="BD331" s="53">
        <f t="shared" si="140"/>
        <v>0</v>
      </c>
      <c r="BE331" s="53">
        <f t="shared" si="140"/>
        <v>0</v>
      </c>
      <c r="BF331" s="53">
        <f t="shared" si="140"/>
        <v>0</v>
      </c>
      <c r="BG331" s="53">
        <f t="shared" si="140"/>
        <v>0</v>
      </c>
      <c r="BH331" s="53">
        <f t="shared" si="140"/>
        <v>0</v>
      </c>
      <c r="BI331" s="53">
        <f t="shared" si="140"/>
        <v>0</v>
      </c>
      <c r="BJ331" s="53">
        <f t="shared" si="140"/>
        <v>0</v>
      </c>
      <c r="BK331" s="53">
        <f t="shared" si="140"/>
        <v>0</v>
      </c>
      <c r="BL331" s="53">
        <f t="shared" si="140"/>
        <v>0</v>
      </c>
      <c r="BM331" s="53">
        <f t="shared" si="140"/>
        <v>0</v>
      </c>
      <c r="BN331" s="53">
        <f t="shared" si="140"/>
        <v>0</v>
      </c>
      <c r="BO331" s="53">
        <f t="shared" ref="BO331:CX331" si="141">IFERROR(IF(BO$262=0,0,(BO72-BO73)/BO73),0)</f>
        <v>0</v>
      </c>
      <c r="BP331" s="53">
        <f t="shared" si="141"/>
        <v>0</v>
      </c>
      <c r="BQ331" s="53">
        <f t="shared" si="141"/>
        <v>0</v>
      </c>
      <c r="BR331" s="53">
        <f t="shared" si="141"/>
        <v>0</v>
      </c>
      <c r="BS331" s="53">
        <f t="shared" si="141"/>
        <v>0</v>
      </c>
      <c r="BT331" s="53">
        <f t="shared" si="141"/>
        <v>0</v>
      </c>
      <c r="BU331" s="53">
        <f t="shared" si="141"/>
        <v>0</v>
      </c>
      <c r="BV331" s="53">
        <f t="shared" si="141"/>
        <v>0</v>
      </c>
      <c r="BW331" s="53">
        <f t="shared" si="141"/>
        <v>0</v>
      </c>
      <c r="BX331" s="53">
        <f t="shared" si="141"/>
        <v>0</v>
      </c>
      <c r="BY331" s="53">
        <f t="shared" si="141"/>
        <v>0</v>
      </c>
      <c r="BZ331" s="53">
        <f t="shared" si="141"/>
        <v>0</v>
      </c>
      <c r="CA331" s="53">
        <f t="shared" si="141"/>
        <v>0</v>
      </c>
      <c r="CB331" s="53">
        <f t="shared" si="141"/>
        <v>0</v>
      </c>
      <c r="CC331" s="53">
        <f t="shared" si="141"/>
        <v>0</v>
      </c>
      <c r="CD331" s="53">
        <f t="shared" si="141"/>
        <v>0</v>
      </c>
      <c r="CE331" s="53">
        <f t="shared" si="141"/>
        <v>0</v>
      </c>
      <c r="CF331" s="53">
        <f t="shared" si="141"/>
        <v>0</v>
      </c>
      <c r="CG331" s="53">
        <f t="shared" si="141"/>
        <v>0</v>
      </c>
      <c r="CH331" s="53">
        <f t="shared" si="141"/>
        <v>0</v>
      </c>
      <c r="CI331" s="53">
        <f t="shared" si="141"/>
        <v>0</v>
      </c>
      <c r="CJ331" s="53">
        <f t="shared" si="141"/>
        <v>0</v>
      </c>
      <c r="CK331" s="53">
        <f t="shared" si="141"/>
        <v>0</v>
      </c>
      <c r="CL331" s="53">
        <f t="shared" si="141"/>
        <v>0</v>
      </c>
      <c r="CM331" s="53">
        <f t="shared" si="141"/>
        <v>0</v>
      </c>
      <c r="CN331" s="53">
        <f t="shared" si="141"/>
        <v>0</v>
      </c>
      <c r="CO331" s="53">
        <f t="shared" si="141"/>
        <v>0</v>
      </c>
      <c r="CP331" s="53">
        <f t="shared" si="141"/>
        <v>0</v>
      </c>
      <c r="CQ331" s="53">
        <f t="shared" si="141"/>
        <v>0</v>
      </c>
      <c r="CR331" s="53">
        <f t="shared" si="141"/>
        <v>0</v>
      </c>
      <c r="CS331" s="53">
        <f t="shared" si="141"/>
        <v>0</v>
      </c>
      <c r="CT331" s="53">
        <f t="shared" si="141"/>
        <v>0</v>
      </c>
      <c r="CU331" s="53">
        <f t="shared" si="141"/>
        <v>0</v>
      </c>
      <c r="CV331" s="53">
        <f t="shared" si="141"/>
        <v>0</v>
      </c>
      <c r="CW331" s="53">
        <f t="shared" si="141"/>
        <v>0</v>
      </c>
      <c r="CX331" s="53">
        <f t="shared" si="141"/>
        <v>0</v>
      </c>
      <c r="DB331" s="2" vm="580">
        <f ca="1">IF(Returns!A335&lt;&gt;0,Returns!A335,"")</f>
        <v>42513</v>
      </c>
      <c r="DC331" s="11">
        <f ca="1">IF(Returns!B346&gt;0,Returns!B346/Returns!B345-1,"")</f>
        <v>8.5903026188673959E-3</v>
      </c>
      <c r="DD331" s="11">
        <f ca="1">IF(Returns!D338&gt;0,Returns!D338/Returns!D337-1,"")</f>
        <v>-1.0645069571914911E-2</v>
      </c>
    </row>
    <row r="332" spans="2:108" x14ac:dyDescent="0.3">
      <c r="B332" s="57">
        <f t="shared" ca="1" si="135"/>
        <v>1.0791324786905089E-3</v>
      </c>
      <c r="C332" s="53">
        <f t="shared" ref="C332:BN332" si="142">IFERROR(IF(C$262=0,0,(C73-C74)/C74),0)</f>
        <v>0</v>
      </c>
      <c r="D332" s="53">
        <f t="shared" si="142"/>
        <v>0</v>
      </c>
      <c r="E332" s="53">
        <f t="shared" si="142"/>
        <v>0</v>
      </c>
      <c r="F332" s="53">
        <f t="shared" si="142"/>
        <v>0</v>
      </c>
      <c r="G332" s="53">
        <f t="shared" si="142"/>
        <v>0</v>
      </c>
      <c r="H332" s="53">
        <f t="shared" si="142"/>
        <v>0</v>
      </c>
      <c r="I332" s="53">
        <f t="shared" si="142"/>
        <v>0</v>
      </c>
      <c r="J332" s="53">
        <f t="shared" si="142"/>
        <v>0</v>
      </c>
      <c r="K332" s="53">
        <f t="shared" si="142"/>
        <v>0</v>
      </c>
      <c r="L332" s="53">
        <f t="shared" si="142"/>
        <v>0</v>
      </c>
      <c r="M332" s="53">
        <f t="shared" si="142"/>
        <v>0</v>
      </c>
      <c r="N332" s="53">
        <f t="shared" si="142"/>
        <v>0</v>
      </c>
      <c r="O332" s="53">
        <f t="shared" si="142"/>
        <v>0</v>
      </c>
      <c r="P332" s="53">
        <f t="shared" si="142"/>
        <v>0</v>
      </c>
      <c r="Q332" s="53">
        <f t="shared" si="142"/>
        <v>0</v>
      </c>
      <c r="R332" s="53">
        <f t="shared" si="142"/>
        <v>0</v>
      </c>
      <c r="S332" s="53">
        <f t="shared" si="142"/>
        <v>0</v>
      </c>
      <c r="T332" s="53">
        <f t="shared" si="142"/>
        <v>0</v>
      </c>
      <c r="U332" s="53">
        <f t="shared" si="142"/>
        <v>0</v>
      </c>
      <c r="V332" s="53">
        <f t="shared" si="142"/>
        <v>0</v>
      </c>
      <c r="W332" s="53">
        <f t="shared" si="142"/>
        <v>0</v>
      </c>
      <c r="X332" s="53">
        <f t="shared" si="142"/>
        <v>0</v>
      </c>
      <c r="Y332" s="53">
        <f t="shared" si="142"/>
        <v>0</v>
      </c>
      <c r="Z332" s="53">
        <f t="shared" si="142"/>
        <v>0</v>
      </c>
      <c r="AA332" s="53">
        <f t="shared" si="142"/>
        <v>0</v>
      </c>
      <c r="AB332" s="53">
        <f t="shared" si="142"/>
        <v>0</v>
      </c>
      <c r="AC332" s="53">
        <f t="shared" si="142"/>
        <v>0</v>
      </c>
      <c r="AD332" s="53">
        <f t="shared" si="142"/>
        <v>0</v>
      </c>
      <c r="AE332" s="53">
        <f t="shared" si="142"/>
        <v>0</v>
      </c>
      <c r="AF332" s="53">
        <f t="shared" si="142"/>
        <v>0</v>
      </c>
      <c r="AG332" s="53">
        <f t="shared" si="142"/>
        <v>0</v>
      </c>
      <c r="AH332" s="53">
        <f t="shared" si="142"/>
        <v>0</v>
      </c>
      <c r="AI332" s="53">
        <f t="shared" si="142"/>
        <v>0</v>
      </c>
      <c r="AJ332" s="53">
        <f t="shared" si="142"/>
        <v>0</v>
      </c>
      <c r="AK332" s="53">
        <f t="shared" si="142"/>
        <v>0</v>
      </c>
      <c r="AL332" s="53">
        <f t="shared" si="142"/>
        <v>0</v>
      </c>
      <c r="AM332" s="53">
        <f t="shared" si="142"/>
        <v>0</v>
      </c>
      <c r="AN332" s="53">
        <f t="shared" si="142"/>
        <v>0</v>
      </c>
      <c r="AO332" s="53">
        <f t="shared" si="142"/>
        <v>0</v>
      </c>
      <c r="AP332" s="53">
        <f t="shared" si="142"/>
        <v>0</v>
      </c>
      <c r="AQ332" s="53">
        <f t="shared" si="142"/>
        <v>0</v>
      </c>
      <c r="AR332" s="53">
        <f t="shared" si="142"/>
        <v>0</v>
      </c>
      <c r="AS332" s="53">
        <f t="shared" si="142"/>
        <v>0</v>
      </c>
      <c r="AT332" s="53">
        <f t="shared" si="142"/>
        <v>0</v>
      </c>
      <c r="AU332" s="53">
        <f t="shared" si="142"/>
        <v>0</v>
      </c>
      <c r="AV332" s="53">
        <f t="shared" si="142"/>
        <v>0</v>
      </c>
      <c r="AW332" s="53">
        <f t="shared" si="142"/>
        <v>0</v>
      </c>
      <c r="AX332" s="53">
        <f t="shared" si="142"/>
        <v>0</v>
      </c>
      <c r="AY332" s="53">
        <f t="shared" si="142"/>
        <v>0</v>
      </c>
      <c r="AZ332" s="53">
        <f t="shared" si="142"/>
        <v>0</v>
      </c>
      <c r="BA332" s="53">
        <f t="shared" si="142"/>
        <v>0</v>
      </c>
      <c r="BB332" s="53">
        <f t="shared" si="142"/>
        <v>0</v>
      </c>
      <c r="BC332" s="53">
        <f t="shared" si="142"/>
        <v>0</v>
      </c>
      <c r="BD332" s="53">
        <f t="shared" si="142"/>
        <v>0</v>
      </c>
      <c r="BE332" s="53">
        <f t="shared" si="142"/>
        <v>0</v>
      </c>
      <c r="BF332" s="53">
        <f t="shared" si="142"/>
        <v>0</v>
      </c>
      <c r="BG332" s="53">
        <f t="shared" si="142"/>
        <v>0</v>
      </c>
      <c r="BH332" s="53">
        <f t="shared" si="142"/>
        <v>0</v>
      </c>
      <c r="BI332" s="53">
        <f t="shared" si="142"/>
        <v>0</v>
      </c>
      <c r="BJ332" s="53">
        <f t="shared" si="142"/>
        <v>0</v>
      </c>
      <c r="BK332" s="53">
        <f t="shared" si="142"/>
        <v>0</v>
      </c>
      <c r="BL332" s="53">
        <f t="shared" si="142"/>
        <v>0</v>
      </c>
      <c r="BM332" s="53">
        <f t="shared" si="142"/>
        <v>0</v>
      </c>
      <c r="BN332" s="53">
        <f t="shared" si="142"/>
        <v>0</v>
      </c>
      <c r="BO332" s="53">
        <f t="shared" ref="BO332:CX332" si="143">IFERROR(IF(BO$262=0,0,(BO73-BO74)/BO74),0)</f>
        <v>0</v>
      </c>
      <c r="BP332" s="53">
        <f t="shared" si="143"/>
        <v>0</v>
      </c>
      <c r="BQ332" s="53">
        <f t="shared" si="143"/>
        <v>0</v>
      </c>
      <c r="BR332" s="53">
        <f t="shared" si="143"/>
        <v>0</v>
      </c>
      <c r="BS332" s="53">
        <f t="shared" si="143"/>
        <v>0</v>
      </c>
      <c r="BT332" s="53">
        <f t="shared" si="143"/>
        <v>0</v>
      </c>
      <c r="BU332" s="53">
        <f t="shared" si="143"/>
        <v>0</v>
      </c>
      <c r="BV332" s="53">
        <f t="shared" si="143"/>
        <v>0</v>
      </c>
      <c r="BW332" s="53">
        <f t="shared" si="143"/>
        <v>0</v>
      </c>
      <c r="BX332" s="53">
        <f t="shared" si="143"/>
        <v>0</v>
      </c>
      <c r="BY332" s="53">
        <f t="shared" si="143"/>
        <v>0</v>
      </c>
      <c r="BZ332" s="53">
        <f t="shared" si="143"/>
        <v>0</v>
      </c>
      <c r="CA332" s="53">
        <f t="shared" si="143"/>
        <v>0</v>
      </c>
      <c r="CB332" s="53">
        <f t="shared" si="143"/>
        <v>0</v>
      </c>
      <c r="CC332" s="53">
        <f t="shared" si="143"/>
        <v>0</v>
      </c>
      <c r="CD332" s="53">
        <f t="shared" si="143"/>
        <v>0</v>
      </c>
      <c r="CE332" s="53">
        <f t="shared" si="143"/>
        <v>0</v>
      </c>
      <c r="CF332" s="53">
        <f t="shared" si="143"/>
        <v>0</v>
      </c>
      <c r="CG332" s="53">
        <f t="shared" si="143"/>
        <v>0</v>
      </c>
      <c r="CH332" s="53">
        <f t="shared" si="143"/>
        <v>0</v>
      </c>
      <c r="CI332" s="53">
        <f t="shared" si="143"/>
        <v>0</v>
      </c>
      <c r="CJ332" s="53">
        <f t="shared" si="143"/>
        <v>0</v>
      </c>
      <c r="CK332" s="53">
        <f t="shared" si="143"/>
        <v>0</v>
      </c>
      <c r="CL332" s="53">
        <f t="shared" si="143"/>
        <v>0</v>
      </c>
      <c r="CM332" s="53">
        <f t="shared" si="143"/>
        <v>0</v>
      </c>
      <c r="CN332" s="53">
        <f t="shared" si="143"/>
        <v>0</v>
      </c>
      <c r="CO332" s="53">
        <f t="shared" si="143"/>
        <v>0</v>
      </c>
      <c r="CP332" s="53">
        <f t="shared" si="143"/>
        <v>0</v>
      </c>
      <c r="CQ332" s="53">
        <f t="shared" si="143"/>
        <v>0</v>
      </c>
      <c r="CR332" s="53">
        <f t="shared" si="143"/>
        <v>0</v>
      </c>
      <c r="CS332" s="53">
        <f t="shared" si="143"/>
        <v>0</v>
      </c>
      <c r="CT332" s="53">
        <f t="shared" si="143"/>
        <v>0</v>
      </c>
      <c r="CU332" s="53">
        <f t="shared" si="143"/>
        <v>0</v>
      </c>
      <c r="CV332" s="53">
        <f t="shared" si="143"/>
        <v>0</v>
      </c>
      <c r="CW332" s="53">
        <f t="shared" si="143"/>
        <v>0</v>
      </c>
      <c r="CX332" s="53">
        <f t="shared" si="143"/>
        <v>0</v>
      </c>
      <c r="DB332" s="2" vm="581">
        <f ca="1">IF(Returns!A336&lt;&gt;0,Returns!A336,"")</f>
        <v>42521</v>
      </c>
      <c r="DC332" s="11">
        <f ca="1">IF(Returns!B347&gt;0,Returns!B347/Returns!B346-1,"")</f>
        <v>-1.9739567153360338E-2</v>
      </c>
      <c r="DD332" s="11">
        <f ca="1">IF(Returns!D339&gt;0,Returns!D339/Returns!D338-1,"")</f>
        <v>-1.5525287873717764E-2</v>
      </c>
    </row>
    <row r="333" spans="2:108" x14ac:dyDescent="0.3">
      <c r="B333" s="57">
        <f t="shared" ca="1" si="135"/>
        <v>2.5753833651180405E-3</v>
      </c>
      <c r="C333" s="53">
        <f t="shared" ref="C333:BN333" si="144">IFERROR(IF(C$262=0,0,(C74-C75)/C75),0)</f>
        <v>0</v>
      </c>
      <c r="D333" s="53">
        <f t="shared" si="144"/>
        <v>0</v>
      </c>
      <c r="E333" s="53">
        <f t="shared" si="144"/>
        <v>0</v>
      </c>
      <c r="F333" s="53">
        <f t="shared" si="144"/>
        <v>0</v>
      </c>
      <c r="G333" s="53">
        <f t="shared" si="144"/>
        <v>0</v>
      </c>
      <c r="H333" s="53">
        <f t="shared" si="144"/>
        <v>0</v>
      </c>
      <c r="I333" s="53">
        <f t="shared" si="144"/>
        <v>0</v>
      </c>
      <c r="J333" s="53">
        <f t="shared" si="144"/>
        <v>0</v>
      </c>
      <c r="K333" s="53">
        <f t="shared" si="144"/>
        <v>0</v>
      </c>
      <c r="L333" s="53">
        <f t="shared" si="144"/>
        <v>0</v>
      </c>
      <c r="M333" s="53">
        <f t="shared" si="144"/>
        <v>0</v>
      </c>
      <c r="N333" s="53">
        <f t="shared" si="144"/>
        <v>0</v>
      </c>
      <c r="O333" s="53">
        <f t="shared" si="144"/>
        <v>0</v>
      </c>
      <c r="P333" s="53">
        <f t="shared" si="144"/>
        <v>0</v>
      </c>
      <c r="Q333" s="53">
        <f t="shared" si="144"/>
        <v>0</v>
      </c>
      <c r="R333" s="53">
        <f t="shared" si="144"/>
        <v>0</v>
      </c>
      <c r="S333" s="53">
        <f t="shared" si="144"/>
        <v>0</v>
      </c>
      <c r="T333" s="53">
        <f t="shared" si="144"/>
        <v>0</v>
      </c>
      <c r="U333" s="53">
        <f t="shared" si="144"/>
        <v>0</v>
      </c>
      <c r="V333" s="53">
        <f t="shared" si="144"/>
        <v>0</v>
      </c>
      <c r="W333" s="53">
        <f t="shared" si="144"/>
        <v>0</v>
      </c>
      <c r="X333" s="53">
        <f t="shared" si="144"/>
        <v>0</v>
      </c>
      <c r="Y333" s="53">
        <f t="shared" si="144"/>
        <v>0</v>
      </c>
      <c r="Z333" s="53">
        <f t="shared" si="144"/>
        <v>0</v>
      </c>
      <c r="AA333" s="53">
        <f t="shared" si="144"/>
        <v>0</v>
      </c>
      <c r="AB333" s="53">
        <f t="shared" si="144"/>
        <v>0</v>
      </c>
      <c r="AC333" s="53">
        <f t="shared" si="144"/>
        <v>0</v>
      </c>
      <c r="AD333" s="53">
        <f t="shared" si="144"/>
        <v>0</v>
      </c>
      <c r="AE333" s="53">
        <f t="shared" si="144"/>
        <v>0</v>
      </c>
      <c r="AF333" s="53">
        <f t="shared" si="144"/>
        <v>0</v>
      </c>
      <c r="AG333" s="53">
        <f t="shared" si="144"/>
        <v>0</v>
      </c>
      <c r="AH333" s="53">
        <f t="shared" si="144"/>
        <v>0</v>
      </c>
      <c r="AI333" s="53">
        <f t="shared" si="144"/>
        <v>0</v>
      </c>
      <c r="AJ333" s="53">
        <f t="shared" si="144"/>
        <v>0</v>
      </c>
      <c r="AK333" s="53">
        <f t="shared" si="144"/>
        <v>0</v>
      </c>
      <c r="AL333" s="53">
        <f t="shared" si="144"/>
        <v>0</v>
      </c>
      <c r="AM333" s="53">
        <f t="shared" si="144"/>
        <v>0</v>
      </c>
      <c r="AN333" s="53">
        <f t="shared" si="144"/>
        <v>0</v>
      </c>
      <c r="AO333" s="53">
        <f t="shared" si="144"/>
        <v>0</v>
      </c>
      <c r="AP333" s="53">
        <f t="shared" si="144"/>
        <v>0</v>
      </c>
      <c r="AQ333" s="53">
        <f t="shared" si="144"/>
        <v>0</v>
      </c>
      <c r="AR333" s="53">
        <f t="shared" si="144"/>
        <v>0</v>
      </c>
      <c r="AS333" s="53">
        <f t="shared" si="144"/>
        <v>0</v>
      </c>
      <c r="AT333" s="53">
        <f t="shared" si="144"/>
        <v>0</v>
      </c>
      <c r="AU333" s="53">
        <f t="shared" si="144"/>
        <v>0</v>
      </c>
      <c r="AV333" s="53">
        <f t="shared" si="144"/>
        <v>0</v>
      </c>
      <c r="AW333" s="53">
        <f t="shared" si="144"/>
        <v>0</v>
      </c>
      <c r="AX333" s="53">
        <f t="shared" si="144"/>
        <v>0</v>
      </c>
      <c r="AY333" s="53">
        <f t="shared" si="144"/>
        <v>0</v>
      </c>
      <c r="AZ333" s="53">
        <f t="shared" si="144"/>
        <v>0</v>
      </c>
      <c r="BA333" s="53">
        <f t="shared" si="144"/>
        <v>0</v>
      </c>
      <c r="BB333" s="53">
        <f t="shared" si="144"/>
        <v>0</v>
      </c>
      <c r="BC333" s="53">
        <f t="shared" si="144"/>
        <v>0</v>
      </c>
      <c r="BD333" s="53">
        <f t="shared" si="144"/>
        <v>0</v>
      </c>
      <c r="BE333" s="53">
        <f t="shared" si="144"/>
        <v>0</v>
      </c>
      <c r="BF333" s="53">
        <f t="shared" si="144"/>
        <v>0</v>
      </c>
      <c r="BG333" s="53">
        <f t="shared" si="144"/>
        <v>0</v>
      </c>
      <c r="BH333" s="53">
        <f t="shared" si="144"/>
        <v>0</v>
      </c>
      <c r="BI333" s="53">
        <f t="shared" si="144"/>
        <v>0</v>
      </c>
      <c r="BJ333" s="53">
        <f t="shared" si="144"/>
        <v>0</v>
      </c>
      <c r="BK333" s="53">
        <f t="shared" si="144"/>
        <v>0</v>
      </c>
      <c r="BL333" s="53">
        <f t="shared" si="144"/>
        <v>0</v>
      </c>
      <c r="BM333" s="53">
        <f t="shared" si="144"/>
        <v>0</v>
      </c>
      <c r="BN333" s="53">
        <f t="shared" si="144"/>
        <v>0</v>
      </c>
      <c r="BO333" s="53">
        <f t="shared" ref="BO333:CX333" si="145">IFERROR(IF(BO$262=0,0,(BO74-BO75)/BO75),0)</f>
        <v>0</v>
      </c>
      <c r="BP333" s="53">
        <f t="shared" si="145"/>
        <v>0</v>
      </c>
      <c r="BQ333" s="53">
        <f t="shared" si="145"/>
        <v>0</v>
      </c>
      <c r="BR333" s="53">
        <f t="shared" si="145"/>
        <v>0</v>
      </c>
      <c r="BS333" s="53">
        <f t="shared" si="145"/>
        <v>0</v>
      </c>
      <c r="BT333" s="53">
        <f t="shared" si="145"/>
        <v>0</v>
      </c>
      <c r="BU333" s="53">
        <f t="shared" si="145"/>
        <v>0</v>
      </c>
      <c r="BV333" s="53">
        <f t="shared" si="145"/>
        <v>0</v>
      </c>
      <c r="BW333" s="53">
        <f t="shared" si="145"/>
        <v>0</v>
      </c>
      <c r="BX333" s="53">
        <f t="shared" si="145"/>
        <v>0</v>
      </c>
      <c r="BY333" s="53">
        <f t="shared" si="145"/>
        <v>0</v>
      </c>
      <c r="BZ333" s="53">
        <f t="shared" si="145"/>
        <v>0</v>
      </c>
      <c r="CA333" s="53">
        <f t="shared" si="145"/>
        <v>0</v>
      </c>
      <c r="CB333" s="53">
        <f t="shared" si="145"/>
        <v>0</v>
      </c>
      <c r="CC333" s="53">
        <f t="shared" si="145"/>
        <v>0</v>
      </c>
      <c r="CD333" s="53">
        <f t="shared" si="145"/>
        <v>0</v>
      </c>
      <c r="CE333" s="53">
        <f t="shared" si="145"/>
        <v>0</v>
      </c>
      <c r="CF333" s="53">
        <f t="shared" si="145"/>
        <v>0</v>
      </c>
      <c r="CG333" s="53">
        <f t="shared" si="145"/>
        <v>0</v>
      </c>
      <c r="CH333" s="53">
        <f t="shared" si="145"/>
        <v>0</v>
      </c>
      <c r="CI333" s="53">
        <f t="shared" si="145"/>
        <v>0</v>
      </c>
      <c r="CJ333" s="53">
        <f t="shared" si="145"/>
        <v>0</v>
      </c>
      <c r="CK333" s="53">
        <f t="shared" si="145"/>
        <v>0</v>
      </c>
      <c r="CL333" s="53">
        <f t="shared" si="145"/>
        <v>0</v>
      </c>
      <c r="CM333" s="53">
        <f t="shared" si="145"/>
        <v>0</v>
      </c>
      <c r="CN333" s="53">
        <f t="shared" si="145"/>
        <v>0</v>
      </c>
      <c r="CO333" s="53">
        <f t="shared" si="145"/>
        <v>0</v>
      </c>
      <c r="CP333" s="53">
        <f t="shared" si="145"/>
        <v>0</v>
      </c>
      <c r="CQ333" s="53">
        <f t="shared" si="145"/>
        <v>0</v>
      </c>
      <c r="CR333" s="53">
        <f t="shared" si="145"/>
        <v>0</v>
      </c>
      <c r="CS333" s="53">
        <f t="shared" si="145"/>
        <v>0</v>
      </c>
      <c r="CT333" s="53">
        <f t="shared" si="145"/>
        <v>0</v>
      </c>
      <c r="CU333" s="53">
        <f t="shared" si="145"/>
        <v>0</v>
      </c>
      <c r="CV333" s="53">
        <f t="shared" si="145"/>
        <v>0</v>
      </c>
      <c r="CW333" s="53">
        <f t="shared" si="145"/>
        <v>0</v>
      </c>
      <c r="CX333" s="53">
        <f t="shared" si="145"/>
        <v>0</v>
      </c>
      <c r="DB333" s="2" vm="582">
        <f ca="1">IF(Returns!A337&lt;&gt;0,Returns!A337,"")</f>
        <v>42527</v>
      </c>
      <c r="DC333" s="11">
        <f ca="1">IF(Returns!B348&gt;0,Returns!B348/Returns!B347-1,"")</f>
        <v>1.5436215024230648E-2</v>
      </c>
      <c r="DD333" s="11">
        <f ca="1">IF(Returns!D340&gt;0,Returns!D340/Returns!D339-1,"")</f>
        <v>3.1528448823192612E-2</v>
      </c>
    </row>
    <row r="334" spans="2:108" x14ac:dyDescent="0.3">
      <c r="B334" s="57">
        <f t="shared" ca="1" si="135"/>
        <v>3.9953422677403332E-3</v>
      </c>
      <c r="C334" s="53">
        <f t="shared" ref="C334:BN334" si="146">IFERROR(IF(C$262=0,0,(C75-C76)/C76),0)</f>
        <v>0</v>
      </c>
      <c r="D334" s="53">
        <f t="shared" si="146"/>
        <v>0</v>
      </c>
      <c r="E334" s="53">
        <f t="shared" si="146"/>
        <v>0</v>
      </c>
      <c r="F334" s="53">
        <f t="shared" si="146"/>
        <v>0</v>
      </c>
      <c r="G334" s="53">
        <f t="shared" si="146"/>
        <v>0</v>
      </c>
      <c r="H334" s="53">
        <f t="shared" si="146"/>
        <v>0</v>
      </c>
      <c r="I334" s="53">
        <f t="shared" si="146"/>
        <v>0</v>
      </c>
      <c r="J334" s="53">
        <f t="shared" si="146"/>
        <v>0</v>
      </c>
      <c r="K334" s="53">
        <f t="shared" si="146"/>
        <v>0</v>
      </c>
      <c r="L334" s="53">
        <f t="shared" si="146"/>
        <v>0</v>
      </c>
      <c r="M334" s="53">
        <f t="shared" si="146"/>
        <v>0</v>
      </c>
      <c r="N334" s="53">
        <f t="shared" si="146"/>
        <v>0</v>
      </c>
      <c r="O334" s="53">
        <f t="shared" si="146"/>
        <v>0</v>
      </c>
      <c r="P334" s="53">
        <f t="shared" si="146"/>
        <v>0</v>
      </c>
      <c r="Q334" s="53">
        <f t="shared" si="146"/>
        <v>0</v>
      </c>
      <c r="R334" s="53">
        <f t="shared" si="146"/>
        <v>0</v>
      </c>
      <c r="S334" s="53">
        <f t="shared" si="146"/>
        <v>0</v>
      </c>
      <c r="T334" s="53">
        <f t="shared" si="146"/>
        <v>0</v>
      </c>
      <c r="U334" s="53">
        <f t="shared" si="146"/>
        <v>0</v>
      </c>
      <c r="V334" s="53">
        <f t="shared" si="146"/>
        <v>0</v>
      </c>
      <c r="W334" s="53">
        <f t="shared" si="146"/>
        <v>0</v>
      </c>
      <c r="X334" s="53">
        <f t="shared" si="146"/>
        <v>0</v>
      </c>
      <c r="Y334" s="53">
        <f t="shared" si="146"/>
        <v>0</v>
      </c>
      <c r="Z334" s="53">
        <f t="shared" si="146"/>
        <v>0</v>
      </c>
      <c r="AA334" s="53">
        <f t="shared" si="146"/>
        <v>0</v>
      </c>
      <c r="AB334" s="53">
        <f t="shared" si="146"/>
        <v>0</v>
      </c>
      <c r="AC334" s="53">
        <f t="shared" si="146"/>
        <v>0</v>
      </c>
      <c r="AD334" s="53">
        <f t="shared" si="146"/>
        <v>0</v>
      </c>
      <c r="AE334" s="53">
        <f t="shared" si="146"/>
        <v>0</v>
      </c>
      <c r="AF334" s="53">
        <f t="shared" si="146"/>
        <v>0</v>
      </c>
      <c r="AG334" s="53">
        <f t="shared" si="146"/>
        <v>0</v>
      </c>
      <c r="AH334" s="53">
        <f t="shared" si="146"/>
        <v>0</v>
      </c>
      <c r="AI334" s="53">
        <f t="shared" si="146"/>
        <v>0</v>
      </c>
      <c r="AJ334" s="53">
        <f t="shared" si="146"/>
        <v>0</v>
      </c>
      <c r="AK334" s="53">
        <f t="shared" si="146"/>
        <v>0</v>
      </c>
      <c r="AL334" s="53">
        <f t="shared" si="146"/>
        <v>0</v>
      </c>
      <c r="AM334" s="53">
        <f t="shared" si="146"/>
        <v>0</v>
      </c>
      <c r="AN334" s="53">
        <f t="shared" si="146"/>
        <v>0</v>
      </c>
      <c r="AO334" s="53">
        <f t="shared" si="146"/>
        <v>0</v>
      </c>
      <c r="AP334" s="53">
        <f t="shared" si="146"/>
        <v>0</v>
      </c>
      <c r="AQ334" s="53">
        <f t="shared" si="146"/>
        <v>0</v>
      </c>
      <c r="AR334" s="53">
        <f t="shared" si="146"/>
        <v>0</v>
      </c>
      <c r="AS334" s="53">
        <f t="shared" si="146"/>
        <v>0</v>
      </c>
      <c r="AT334" s="53">
        <f t="shared" si="146"/>
        <v>0</v>
      </c>
      <c r="AU334" s="53">
        <f t="shared" si="146"/>
        <v>0</v>
      </c>
      <c r="AV334" s="53">
        <f t="shared" si="146"/>
        <v>0</v>
      </c>
      <c r="AW334" s="53">
        <f t="shared" si="146"/>
        <v>0</v>
      </c>
      <c r="AX334" s="53">
        <f t="shared" si="146"/>
        <v>0</v>
      </c>
      <c r="AY334" s="53">
        <f t="shared" si="146"/>
        <v>0</v>
      </c>
      <c r="AZ334" s="53">
        <f t="shared" si="146"/>
        <v>0</v>
      </c>
      <c r="BA334" s="53">
        <f t="shared" si="146"/>
        <v>0</v>
      </c>
      <c r="BB334" s="53">
        <f t="shared" si="146"/>
        <v>0</v>
      </c>
      <c r="BC334" s="53">
        <f t="shared" si="146"/>
        <v>0</v>
      </c>
      <c r="BD334" s="53">
        <f t="shared" si="146"/>
        <v>0</v>
      </c>
      <c r="BE334" s="53">
        <f t="shared" si="146"/>
        <v>0</v>
      </c>
      <c r="BF334" s="53">
        <f t="shared" si="146"/>
        <v>0</v>
      </c>
      <c r="BG334" s="53">
        <f t="shared" si="146"/>
        <v>0</v>
      </c>
      <c r="BH334" s="53">
        <f t="shared" si="146"/>
        <v>0</v>
      </c>
      <c r="BI334" s="53">
        <f t="shared" si="146"/>
        <v>0</v>
      </c>
      <c r="BJ334" s="53">
        <f t="shared" si="146"/>
        <v>0</v>
      </c>
      <c r="BK334" s="53">
        <f t="shared" si="146"/>
        <v>0</v>
      </c>
      <c r="BL334" s="53">
        <f t="shared" si="146"/>
        <v>0</v>
      </c>
      <c r="BM334" s="53">
        <f t="shared" si="146"/>
        <v>0</v>
      </c>
      <c r="BN334" s="53">
        <f t="shared" si="146"/>
        <v>0</v>
      </c>
      <c r="BO334" s="53">
        <f t="shared" ref="BO334:CX334" si="147">IFERROR(IF(BO$262=0,0,(BO75-BO76)/BO76),0)</f>
        <v>0</v>
      </c>
      <c r="BP334" s="53">
        <f t="shared" si="147"/>
        <v>0</v>
      </c>
      <c r="BQ334" s="53">
        <f t="shared" si="147"/>
        <v>0</v>
      </c>
      <c r="BR334" s="53">
        <f t="shared" si="147"/>
        <v>0</v>
      </c>
      <c r="BS334" s="53">
        <f t="shared" si="147"/>
        <v>0</v>
      </c>
      <c r="BT334" s="53">
        <f t="shared" si="147"/>
        <v>0</v>
      </c>
      <c r="BU334" s="53">
        <f t="shared" si="147"/>
        <v>0</v>
      </c>
      <c r="BV334" s="53">
        <f t="shared" si="147"/>
        <v>0</v>
      </c>
      <c r="BW334" s="53">
        <f t="shared" si="147"/>
        <v>0</v>
      </c>
      <c r="BX334" s="53">
        <f t="shared" si="147"/>
        <v>0</v>
      </c>
      <c r="BY334" s="53">
        <f t="shared" si="147"/>
        <v>0</v>
      </c>
      <c r="BZ334" s="53">
        <f t="shared" si="147"/>
        <v>0</v>
      </c>
      <c r="CA334" s="53">
        <f t="shared" si="147"/>
        <v>0</v>
      </c>
      <c r="CB334" s="53">
        <f t="shared" si="147"/>
        <v>0</v>
      </c>
      <c r="CC334" s="53">
        <f t="shared" si="147"/>
        <v>0</v>
      </c>
      <c r="CD334" s="53">
        <f t="shared" si="147"/>
        <v>0</v>
      </c>
      <c r="CE334" s="53">
        <f t="shared" si="147"/>
        <v>0</v>
      </c>
      <c r="CF334" s="53">
        <f t="shared" si="147"/>
        <v>0</v>
      </c>
      <c r="CG334" s="53">
        <f t="shared" si="147"/>
        <v>0</v>
      </c>
      <c r="CH334" s="53">
        <f t="shared" si="147"/>
        <v>0</v>
      </c>
      <c r="CI334" s="53">
        <f t="shared" si="147"/>
        <v>0</v>
      </c>
      <c r="CJ334" s="53">
        <f t="shared" si="147"/>
        <v>0</v>
      </c>
      <c r="CK334" s="53">
        <f t="shared" si="147"/>
        <v>0</v>
      </c>
      <c r="CL334" s="53">
        <f t="shared" si="147"/>
        <v>0</v>
      </c>
      <c r="CM334" s="53">
        <f t="shared" si="147"/>
        <v>0</v>
      </c>
      <c r="CN334" s="53">
        <f t="shared" si="147"/>
        <v>0</v>
      </c>
      <c r="CO334" s="53">
        <f t="shared" si="147"/>
        <v>0</v>
      </c>
      <c r="CP334" s="53">
        <f t="shared" si="147"/>
        <v>0</v>
      </c>
      <c r="CQ334" s="53">
        <f t="shared" si="147"/>
        <v>0</v>
      </c>
      <c r="CR334" s="53">
        <f t="shared" si="147"/>
        <v>0</v>
      </c>
      <c r="CS334" s="53">
        <f t="shared" si="147"/>
        <v>0</v>
      </c>
      <c r="CT334" s="53">
        <f t="shared" si="147"/>
        <v>0</v>
      </c>
      <c r="CU334" s="53">
        <f t="shared" si="147"/>
        <v>0</v>
      </c>
      <c r="CV334" s="53">
        <f t="shared" si="147"/>
        <v>0</v>
      </c>
      <c r="CW334" s="53">
        <f t="shared" si="147"/>
        <v>0</v>
      </c>
      <c r="CX334" s="53">
        <f t="shared" si="147"/>
        <v>0</v>
      </c>
      <c r="DB334" s="2" vm="583">
        <f ca="1">IF(Returns!A338&lt;&gt;0,Returns!A338,"")</f>
        <v>42534</v>
      </c>
      <c r="DC334" s="11">
        <f ca="1">IF(Returns!B349&gt;0,Returns!B349/Returns!B348-1,"")</f>
        <v>4.4733420026006332E-3</v>
      </c>
      <c r="DD334" s="11">
        <f ca="1">IF(Returns!D341&gt;0,Returns!D341/Returns!D340-1,"")</f>
        <v>1.0995839904153426E-2</v>
      </c>
    </row>
    <row r="335" spans="2:108" x14ac:dyDescent="0.3">
      <c r="B335" s="57">
        <f t="shared" ca="1" si="135"/>
        <v>2.1077705466905905E-3</v>
      </c>
      <c r="C335" s="53">
        <f t="shared" ref="C335:BN335" si="148">IFERROR(IF(C$262=0,0,(C76-C77)/C77),0)</f>
        <v>0</v>
      </c>
      <c r="D335" s="53">
        <f t="shared" si="148"/>
        <v>0</v>
      </c>
      <c r="E335" s="53">
        <f t="shared" si="148"/>
        <v>0</v>
      </c>
      <c r="F335" s="53">
        <f t="shared" si="148"/>
        <v>0</v>
      </c>
      <c r="G335" s="53">
        <f t="shared" si="148"/>
        <v>0</v>
      </c>
      <c r="H335" s="53">
        <f t="shared" si="148"/>
        <v>0</v>
      </c>
      <c r="I335" s="53">
        <f t="shared" si="148"/>
        <v>0</v>
      </c>
      <c r="J335" s="53">
        <f t="shared" si="148"/>
        <v>0</v>
      </c>
      <c r="K335" s="53">
        <f t="shared" si="148"/>
        <v>0</v>
      </c>
      <c r="L335" s="53">
        <f t="shared" si="148"/>
        <v>0</v>
      </c>
      <c r="M335" s="53">
        <f t="shared" si="148"/>
        <v>0</v>
      </c>
      <c r="N335" s="53">
        <f t="shared" si="148"/>
        <v>0</v>
      </c>
      <c r="O335" s="53">
        <f t="shared" si="148"/>
        <v>0</v>
      </c>
      <c r="P335" s="53">
        <f t="shared" si="148"/>
        <v>0</v>
      </c>
      <c r="Q335" s="53">
        <f t="shared" si="148"/>
        <v>0</v>
      </c>
      <c r="R335" s="53">
        <f t="shared" si="148"/>
        <v>0</v>
      </c>
      <c r="S335" s="53">
        <f t="shared" si="148"/>
        <v>0</v>
      </c>
      <c r="T335" s="53">
        <f t="shared" si="148"/>
        <v>0</v>
      </c>
      <c r="U335" s="53">
        <f t="shared" si="148"/>
        <v>0</v>
      </c>
      <c r="V335" s="53">
        <f t="shared" si="148"/>
        <v>0</v>
      </c>
      <c r="W335" s="53">
        <f t="shared" si="148"/>
        <v>0</v>
      </c>
      <c r="X335" s="53">
        <f t="shared" si="148"/>
        <v>0</v>
      </c>
      <c r="Y335" s="53">
        <f t="shared" si="148"/>
        <v>0</v>
      </c>
      <c r="Z335" s="53">
        <f t="shared" si="148"/>
        <v>0</v>
      </c>
      <c r="AA335" s="53">
        <f t="shared" si="148"/>
        <v>0</v>
      </c>
      <c r="AB335" s="53">
        <f t="shared" si="148"/>
        <v>0</v>
      </c>
      <c r="AC335" s="53">
        <f t="shared" si="148"/>
        <v>0</v>
      </c>
      <c r="AD335" s="53">
        <f t="shared" si="148"/>
        <v>0</v>
      </c>
      <c r="AE335" s="53">
        <f t="shared" si="148"/>
        <v>0</v>
      </c>
      <c r="AF335" s="53">
        <f t="shared" si="148"/>
        <v>0</v>
      </c>
      <c r="AG335" s="53">
        <f t="shared" si="148"/>
        <v>0</v>
      </c>
      <c r="AH335" s="53">
        <f t="shared" si="148"/>
        <v>0</v>
      </c>
      <c r="AI335" s="53">
        <f t="shared" si="148"/>
        <v>0</v>
      </c>
      <c r="AJ335" s="53">
        <f t="shared" si="148"/>
        <v>0</v>
      </c>
      <c r="AK335" s="53">
        <f t="shared" si="148"/>
        <v>0</v>
      </c>
      <c r="AL335" s="53">
        <f t="shared" si="148"/>
        <v>0</v>
      </c>
      <c r="AM335" s="53">
        <f t="shared" si="148"/>
        <v>0</v>
      </c>
      <c r="AN335" s="53">
        <f t="shared" si="148"/>
        <v>0</v>
      </c>
      <c r="AO335" s="53">
        <f t="shared" si="148"/>
        <v>0</v>
      </c>
      <c r="AP335" s="53">
        <f t="shared" si="148"/>
        <v>0</v>
      </c>
      <c r="AQ335" s="53">
        <f t="shared" si="148"/>
        <v>0</v>
      </c>
      <c r="AR335" s="53">
        <f t="shared" si="148"/>
        <v>0</v>
      </c>
      <c r="AS335" s="53">
        <f t="shared" si="148"/>
        <v>0</v>
      </c>
      <c r="AT335" s="53">
        <f t="shared" si="148"/>
        <v>0</v>
      </c>
      <c r="AU335" s="53">
        <f t="shared" si="148"/>
        <v>0</v>
      </c>
      <c r="AV335" s="53">
        <f t="shared" si="148"/>
        <v>0</v>
      </c>
      <c r="AW335" s="53">
        <f t="shared" si="148"/>
        <v>0</v>
      </c>
      <c r="AX335" s="53">
        <f t="shared" si="148"/>
        <v>0</v>
      </c>
      <c r="AY335" s="53">
        <f t="shared" si="148"/>
        <v>0</v>
      </c>
      <c r="AZ335" s="53">
        <f t="shared" si="148"/>
        <v>0</v>
      </c>
      <c r="BA335" s="53">
        <f t="shared" si="148"/>
        <v>0</v>
      </c>
      <c r="BB335" s="53">
        <f t="shared" si="148"/>
        <v>0</v>
      </c>
      <c r="BC335" s="53">
        <f t="shared" si="148"/>
        <v>0</v>
      </c>
      <c r="BD335" s="53">
        <f t="shared" si="148"/>
        <v>0</v>
      </c>
      <c r="BE335" s="53">
        <f t="shared" si="148"/>
        <v>0</v>
      </c>
      <c r="BF335" s="53">
        <f t="shared" si="148"/>
        <v>0</v>
      </c>
      <c r="BG335" s="53">
        <f t="shared" si="148"/>
        <v>0</v>
      </c>
      <c r="BH335" s="53">
        <f t="shared" si="148"/>
        <v>0</v>
      </c>
      <c r="BI335" s="53">
        <f t="shared" si="148"/>
        <v>0</v>
      </c>
      <c r="BJ335" s="53">
        <f t="shared" si="148"/>
        <v>0</v>
      </c>
      <c r="BK335" s="53">
        <f t="shared" si="148"/>
        <v>0</v>
      </c>
      <c r="BL335" s="53">
        <f t="shared" si="148"/>
        <v>0</v>
      </c>
      <c r="BM335" s="53">
        <f t="shared" si="148"/>
        <v>0</v>
      </c>
      <c r="BN335" s="53">
        <f t="shared" si="148"/>
        <v>0</v>
      </c>
      <c r="BO335" s="53">
        <f t="shared" ref="BO335:CX335" si="149">IFERROR(IF(BO$262=0,0,(BO76-BO77)/BO77),0)</f>
        <v>0</v>
      </c>
      <c r="BP335" s="53">
        <f t="shared" si="149"/>
        <v>0</v>
      </c>
      <c r="BQ335" s="53">
        <f t="shared" si="149"/>
        <v>0</v>
      </c>
      <c r="BR335" s="53">
        <f t="shared" si="149"/>
        <v>0</v>
      </c>
      <c r="BS335" s="53">
        <f t="shared" si="149"/>
        <v>0</v>
      </c>
      <c r="BT335" s="53">
        <f t="shared" si="149"/>
        <v>0</v>
      </c>
      <c r="BU335" s="53">
        <f t="shared" si="149"/>
        <v>0</v>
      </c>
      <c r="BV335" s="53">
        <f t="shared" si="149"/>
        <v>0</v>
      </c>
      <c r="BW335" s="53">
        <f t="shared" si="149"/>
        <v>0</v>
      </c>
      <c r="BX335" s="53">
        <f t="shared" si="149"/>
        <v>0</v>
      </c>
      <c r="BY335" s="53">
        <f t="shared" si="149"/>
        <v>0</v>
      </c>
      <c r="BZ335" s="53">
        <f t="shared" si="149"/>
        <v>0</v>
      </c>
      <c r="CA335" s="53">
        <f t="shared" si="149"/>
        <v>0</v>
      </c>
      <c r="CB335" s="53">
        <f t="shared" si="149"/>
        <v>0</v>
      </c>
      <c r="CC335" s="53">
        <f t="shared" si="149"/>
        <v>0</v>
      </c>
      <c r="CD335" s="53">
        <f t="shared" si="149"/>
        <v>0</v>
      </c>
      <c r="CE335" s="53">
        <f t="shared" si="149"/>
        <v>0</v>
      </c>
      <c r="CF335" s="53">
        <f t="shared" si="149"/>
        <v>0</v>
      </c>
      <c r="CG335" s="53">
        <f t="shared" si="149"/>
        <v>0</v>
      </c>
      <c r="CH335" s="53">
        <f t="shared" si="149"/>
        <v>0</v>
      </c>
      <c r="CI335" s="53">
        <f t="shared" si="149"/>
        <v>0</v>
      </c>
      <c r="CJ335" s="53">
        <f t="shared" si="149"/>
        <v>0</v>
      </c>
      <c r="CK335" s="53">
        <f t="shared" si="149"/>
        <v>0</v>
      </c>
      <c r="CL335" s="53">
        <f t="shared" si="149"/>
        <v>0</v>
      </c>
      <c r="CM335" s="53">
        <f t="shared" si="149"/>
        <v>0</v>
      </c>
      <c r="CN335" s="53">
        <f t="shared" si="149"/>
        <v>0</v>
      </c>
      <c r="CO335" s="53">
        <f t="shared" si="149"/>
        <v>0</v>
      </c>
      <c r="CP335" s="53">
        <f t="shared" si="149"/>
        <v>0</v>
      </c>
      <c r="CQ335" s="53">
        <f t="shared" si="149"/>
        <v>0</v>
      </c>
      <c r="CR335" s="53">
        <f t="shared" si="149"/>
        <v>0</v>
      </c>
      <c r="CS335" s="53">
        <f t="shared" si="149"/>
        <v>0</v>
      </c>
      <c r="CT335" s="53">
        <f t="shared" si="149"/>
        <v>0</v>
      </c>
      <c r="CU335" s="53">
        <f t="shared" si="149"/>
        <v>0</v>
      </c>
      <c r="CV335" s="53">
        <f t="shared" si="149"/>
        <v>0</v>
      </c>
      <c r="CW335" s="53">
        <f t="shared" si="149"/>
        <v>0</v>
      </c>
      <c r="CX335" s="53">
        <f t="shared" si="149"/>
        <v>0</v>
      </c>
      <c r="DB335" s="2" vm="584">
        <f ca="1">IF(Returns!A339&lt;&gt;0,Returns!A339,"")</f>
        <v>42541</v>
      </c>
      <c r="DC335" s="11">
        <f ca="1">IF(Returns!B350&gt;0,Returns!B350/Returns!B349-1,"")</f>
        <v>-1.5923566878980888E-2</v>
      </c>
      <c r="DD335" s="11">
        <f ca="1">IF(Returns!D342&gt;0,Returns!D342/Returns!D341-1,"")</f>
        <v>2.0378824547452323E-2</v>
      </c>
    </row>
    <row r="336" spans="2:108" x14ac:dyDescent="0.3">
      <c r="B336" s="57">
        <f t="shared" ca="1" si="135"/>
        <v>2.4382223125268021E-3</v>
      </c>
      <c r="C336" s="53">
        <f t="shared" ref="C336:BN336" si="150">IFERROR(IF(C$262=0,0,(C77-C78)/C78),0)</f>
        <v>0</v>
      </c>
      <c r="D336" s="53">
        <f t="shared" si="150"/>
        <v>0</v>
      </c>
      <c r="E336" s="53">
        <f t="shared" si="150"/>
        <v>0</v>
      </c>
      <c r="F336" s="53">
        <f t="shared" si="150"/>
        <v>0</v>
      </c>
      <c r="G336" s="53">
        <f t="shared" si="150"/>
        <v>0</v>
      </c>
      <c r="H336" s="53">
        <f t="shared" si="150"/>
        <v>0</v>
      </c>
      <c r="I336" s="53">
        <f t="shared" si="150"/>
        <v>0</v>
      </c>
      <c r="J336" s="53">
        <f t="shared" si="150"/>
        <v>0</v>
      </c>
      <c r="K336" s="53">
        <f t="shared" si="150"/>
        <v>0</v>
      </c>
      <c r="L336" s="53">
        <f t="shared" si="150"/>
        <v>0</v>
      </c>
      <c r="M336" s="53">
        <f t="shared" si="150"/>
        <v>0</v>
      </c>
      <c r="N336" s="53">
        <f t="shared" si="150"/>
        <v>0</v>
      </c>
      <c r="O336" s="53">
        <f t="shared" si="150"/>
        <v>0</v>
      </c>
      <c r="P336" s="53">
        <f t="shared" si="150"/>
        <v>0</v>
      </c>
      <c r="Q336" s="53">
        <f t="shared" si="150"/>
        <v>0</v>
      </c>
      <c r="R336" s="53">
        <f t="shared" si="150"/>
        <v>0</v>
      </c>
      <c r="S336" s="53">
        <f t="shared" si="150"/>
        <v>0</v>
      </c>
      <c r="T336" s="53">
        <f t="shared" si="150"/>
        <v>0</v>
      </c>
      <c r="U336" s="53">
        <f t="shared" si="150"/>
        <v>0</v>
      </c>
      <c r="V336" s="53">
        <f t="shared" si="150"/>
        <v>0</v>
      </c>
      <c r="W336" s="53">
        <f t="shared" si="150"/>
        <v>0</v>
      </c>
      <c r="X336" s="53">
        <f t="shared" si="150"/>
        <v>0</v>
      </c>
      <c r="Y336" s="53">
        <f t="shared" si="150"/>
        <v>0</v>
      </c>
      <c r="Z336" s="53">
        <f t="shared" si="150"/>
        <v>0</v>
      </c>
      <c r="AA336" s="53">
        <f t="shared" si="150"/>
        <v>0</v>
      </c>
      <c r="AB336" s="53">
        <f t="shared" si="150"/>
        <v>0</v>
      </c>
      <c r="AC336" s="53">
        <f t="shared" si="150"/>
        <v>0</v>
      </c>
      <c r="AD336" s="53">
        <f t="shared" si="150"/>
        <v>0</v>
      </c>
      <c r="AE336" s="53">
        <f t="shared" si="150"/>
        <v>0</v>
      </c>
      <c r="AF336" s="53">
        <f t="shared" si="150"/>
        <v>0</v>
      </c>
      <c r="AG336" s="53">
        <f t="shared" si="150"/>
        <v>0</v>
      </c>
      <c r="AH336" s="53">
        <f t="shared" si="150"/>
        <v>0</v>
      </c>
      <c r="AI336" s="53">
        <f t="shared" si="150"/>
        <v>0</v>
      </c>
      <c r="AJ336" s="53">
        <f t="shared" si="150"/>
        <v>0</v>
      </c>
      <c r="AK336" s="53">
        <f t="shared" si="150"/>
        <v>0</v>
      </c>
      <c r="AL336" s="53">
        <f t="shared" si="150"/>
        <v>0</v>
      </c>
      <c r="AM336" s="53">
        <f t="shared" si="150"/>
        <v>0</v>
      </c>
      <c r="AN336" s="53">
        <f t="shared" si="150"/>
        <v>0</v>
      </c>
      <c r="AO336" s="53">
        <f t="shared" si="150"/>
        <v>0</v>
      </c>
      <c r="AP336" s="53">
        <f t="shared" si="150"/>
        <v>0</v>
      </c>
      <c r="AQ336" s="53">
        <f t="shared" si="150"/>
        <v>0</v>
      </c>
      <c r="AR336" s="53">
        <f t="shared" si="150"/>
        <v>0</v>
      </c>
      <c r="AS336" s="53">
        <f t="shared" si="150"/>
        <v>0</v>
      </c>
      <c r="AT336" s="53">
        <f t="shared" si="150"/>
        <v>0</v>
      </c>
      <c r="AU336" s="53">
        <f t="shared" si="150"/>
        <v>0</v>
      </c>
      <c r="AV336" s="53">
        <f t="shared" si="150"/>
        <v>0</v>
      </c>
      <c r="AW336" s="53">
        <f t="shared" si="150"/>
        <v>0</v>
      </c>
      <c r="AX336" s="53">
        <f t="shared" si="150"/>
        <v>0</v>
      </c>
      <c r="AY336" s="53">
        <f t="shared" si="150"/>
        <v>0</v>
      </c>
      <c r="AZ336" s="53">
        <f t="shared" si="150"/>
        <v>0</v>
      </c>
      <c r="BA336" s="53">
        <f t="shared" si="150"/>
        <v>0</v>
      </c>
      <c r="BB336" s="53">
        <f t="shared" si="150"/>
        <v>0</v>
      </c>
      <c r="BC336" s="53">
        <f t="shared" si="150"/>
        <v>0</v>
      </c>
      <c r="BD336" s="53">
        <f t="shared" si="150"/>
        <v>0</v>
      </c>
      <c r="BE336" s="53">
        <f t="shared" si="150"/>
        <v>0</v>
      </c>
      <c r="BF336" s="53">
        <f t="shared" si="150"/>
        <v>0</v>
      </c>
      <c r="BG336" s="53">
        <f t="shared" si="150"/>
        <v>0</v>
      </c>
      <c r="BH336" s="53">
        <f t="shared" si="150"/>
        <v>0</v>
      </c>
      <c r="BI336" s="53">
        <f t="shared" si="150"/>
        <v>0</v>
      </c>
      <c r="BJ336" s="53">
        <f t="shared" si="150"/>
        <v>0</v>
      </c>
      <c r="BK336" s="53">
        <f t="shared" si="150"/>
        <v>0</v>
      </c>
      <c r="BL336" s="53">
        <f t="shared" si="150"/>
        <v>0</v>
      </c>
      <c r="BM336" s="53">
        <f t="shared" si="150"/>
        <v>0</v>
      </c>
      <c r="BN336" s="53">
        <f t="shared" si="150"/>
        <v>0</v>
      </c>
      <c r="BO336" s="53">
        <f t="shared" ref="BO336:CX336" si="151">IFERROR(IF(BO$262=0,0,(BO77-BO78)/BO78),0)</f>
        <v>0</v>
      </c>
      <c r="BP336" s="53">
        <f t="shared" si="151"/>
        <v>0</v>
      </c>
      <c r="BQ336" s="53">
        <f t="shared" si="151"/>
        <v>0</v>
      </c>
      <c r="BR336" s="53">
        <f t="shared" si="151"/>
        <v>0</v>
      </c>
      <c r="BS336" s="53">
        <f t="shared" si="151"/>
        <v>0</v>
      </c>
      <c r="BT336" s="53">
        <f t="shared" si="151"/>
        <v>0</v>
      </c>
      <c r="BU336" s="53">
        <f t="shared" si="151"/>
        <v>0</v>
      </c>
      <c r="BV336" s="53">
        <f t="shared" si="151"/>
        <v>0</v>
      </c>
      <c r="BW336" s="53">
        <f t="shared" si="151"/>
        <v>0</v>
      </c>
      <c r="BX336" s="53">
        <f t="shared" si="151"/>
        <v>0</v>
      </c>
      <c r="BY336" s="53">
        <f t="shared" si="151"/>
        <v>0</v>
      </c>
      <c r="BZ336" s="53">
        <f t="shared" si="151"/>
        <v>0</v>
      </c>
      <c r="CA336" s="53">
        <f t="shared" si="151"/>
        <v>0</v>
      </c>
      <c r="CB336" s="53">
        <f t="shared" si="151"/>
        <v>0</v>
      </c>
      <c r="CC336" s="53">
        <f t="shared" si="151"/>
        <v>0</v>
      </c>
      <c r="CD336" s="53">
        <f t="shared" si="151"/>
        <v>0</v>
      </c>
      <c r="CE336" s="53">
        <f t="shared" si="151"/>
        <v>0</v>
      </c>
      <c r="CF336" s="53">
        <f t="shared" si="151"/>
        <v>0</v>
      </c>
      <c r="CG336" s="53">
        <f t="shared" si="151"/>
        <v>0</v>
      </c>
      <c r="CH336" s="53">
        <f t="shared" si="151"/>
        <v>0</v>
      </c>
      <c r="CI336" s="53">
        <f t="shared" si="151"/>
        <v>0</v>
      </c>
      <c r="CJ336" s="53">
        <f t="shared" si="151"/>
        <v>0</v>
      </c>
      <c r="CK336" s="53">
        <f t="shared" si="151"/>
        <v>0</v>
      </c>
      <c r="CL336" s="53">
        <f t="shared" si="151"/>
        <v>0</v>
      </c>
      <c r="CM336" s="53">
        <f t="shared" si="151"/>
        <v>0</v>
      </c>
      <c r="CN336" s="53">
        <f t="shared" si="151"/>
        <v>0</v>
      </c>
      <c r="CO336" s="53">
        <f t="shared" si="151"/>
        <v>0</v>
      </c>
      <c r="CP336" s="53">
        <f t="shared" si="151"/>
        <v>0</v>
      </c>
      <c r="CQ336" s="53">
        <f t="shared" si="151"/>
        <v>0</v>
      </c>
      <c r="CR336" s="53">
        <f t="shared" si="151"/>
        <v>0</v>
      </c>
      <c r="CS336" s="53">
        <f t="shared" si="151"/>
        <v>0</v>
      </c>
      <c r="CT336" s="53">
        <f t="shared" si="151"/>
        <v>0</v>
      </c>
      <c r="CU336" s="53">
        <f t="shared" si="151"/>
        <v>0</v>
      </c>
      <c r="CV336" s="53">
        <f t="shared" si="151"/>
        <v>0</v>
      </c>
      <c r="CW336" s="53">
        <f t="shared" si="151"/>
        <v>0</v>
      </c>
      <c r="CX336" s="53">
        <f t="shared" si="151"/>
        <v>0</v>
      </c>
      <c r="DB336" s="2" vm="585">
        <f ca="1">IF(Returns!A340&lt;&gt;0,Returns!A340,"")</f>
        <v>42548</v>
      </c>
      <c r="DC336" s="11">
        <f ca="1">IF(Returns!B351&gt;0,Returns!B351/Returns!B350-1,"")</f>
        <v>2.417975636067049E-2</v>
      </c>
      <c r="DD336" s="11">
        <f ca="1">IF(Returns!D343&gt;0,Returns!D343/Returns!D342-1,"")</f>
        <v>2.9328955310605753E-3</v>
      </c>
    </row>
    <row r="337" spans="2:108" x14ac:dyDescent="0.3">
      <c r="B337" s="57">
        <f t="shared" ca="1" si="135"/>
        <v>1.581971992065722E-3</v>
      </c>
      <c r="C337" s="53">
        <f t="shared" ref="C337:BN337" si="152">IFERROR(IF(C$262=0,0,(C78-C79)/C79),0)</f>
        <v>0</v>
      </c>
      <c r="D337" s="53">
        <f t="shared" si="152"/>
        <v>0</v>
      </c>
      <c r="E337" s="53">
        <f t="shared" si="152"/>
        <v>0</v>
      </c>
      <c r="F337" s="53">
        <f t="shared" si="152"/>
        <v>0</v>
      </c>
      <c r="G337" s="53">
        <f t="shared" si="152"/>
        <v>0</v>
      </c>
      <c r="H337" s="53">
        <f t="shared" si="152"/>
        <v>0</v>
      </c>
      <c r="I337" s="53">
        <f t="shared" si="152"/>
        <v>0</v>
      </c>
      <c r="J337" s="53">
        <f t="shared" si="152"/>
        <v>0</v>
      </c>
      <c r="K337" s="53">
        <f t="shared" si="152"/>
        <v>0</v>
      </c>
      <c r="L337" s="53">
        <f t="shared" si="152"/>
        <v>0</v>
      </c>
      <c r="M337" s="53">
        <f t="shared" si="152"/>
        <v>0</v>
      </c>
      <c r="N337" s="53">
        <f t="shared" si="152"/>
        <v>0</v>
      </c>
      <c r="O337" s="53">
        <f t="shared" si="152"/>
        <v>0</v>
      </c>
      <c r="P337" s="53">
        <f t="shared" si="152"/>
        <v>0</v>
      </c>
      <c r="Q337" s="53">
        <f t="shared" si="152"/>
        <v>0</v>
      </c>
      <c r="R337" s="53">
        <f t="shared" si="152"/>
        <v>0</v>
      </c>
      <c r="S337" s="53">
        <f t="shared" si="152"/>
        <v>0</v>
      </c>
      <c r="T337" s="53">
        <f t="shared" si="152"/>
        <v>0</v>
      </c>
      <c r="U337" s="53">
        <f t="shared" si="152"/>
        <v>0</v>
      </c>
      <c r="V337" s="53">
        <f t="shared" si="152"/>
        <v>0</v>
      </c>
      <c r="W337" s="53">
        <f t="shared" si="152"/>
        <v>0</v>
      </c>
      <c r="X337" s="53">
        <f t="shared" si="152"/>
        <v>0</v>
      </c>
      <c r="Y337" s="53">
        <f t="shared" si="152"/>
        <v>0</v>
      </c>
      <c r="Z337" s="53">
        <f t="shared" si="152"/>
        <v>0</v>
      </c>
      <c r="AA337" s="53">
        <f t="shared" si="152"/>
        <v>0</v>
      </c>
      <c r="AB337" s="53">
        <f t="shared" si="152"/>
        <v>0</v>
      </c>
      <c r="AC337" s="53">
        <f t="shared" si="152"/>
        <v>0</v>
      </c>
      <c r="AD337" s="53">
        <f t="shared" si="152"/>
        <v>0</v>
      </c>
      <c r="AE337" s="53">
        <f t="shared" si="152"/>
        <v>0</v>
      </c>
      <c r="AF337" s="53">
        <f t="shared" si="152"/>
        <v>0</v>
      </c>
      <c r="AG337" s="53">
        <f t="shared" si="152"/>
        <v>0</v>
      </c>
      <c r="AH337" s="53">
        <f t="shared" si="152"/>
        <v>0</v>
      </c>
      <c r="AI337" s="53">
        <f t="shared" si="152"/>
        <v>0</v>
      </c>
      <c r="AJ337" s="53">
        <f t="shared" si="152"/>
        <v>0</v>
      </c>
      <c r="AK337" s="53">
        <f t="shared" si="152"/>
        <v>0</v>
      </c>
      <c r="AL337" s="53">
        <f t="shared" si="152"/>
        <v>0</v>
      </c>
      <c r="AM337" s="53">
        <f t="shared" si="152"/>
        <v>0</v>
      </c>
      <c r="AN337" s="53">
        <f t="shared" si="152"/>
        <v>0</v>
      </c>
      <c r="AO337" s="53">
        <f t="shared" si="152"/>
        <v>0</v>
      </c>
      <c r="AP337" s="53">
        <f t="shared" si="152"/>
        <v>0</v>
      </c>
      <c r="AQ337" s="53">
        <f t="shared" si="152"/>
        <v>0</v>
      </c>
      <c r="AR337" s="53">
        <f t="shared" si="152"/>
        <v>0</v>
      </c>
      <c r="AS337" s="53">
        <f t="shared" si="152"/>
        <v>0</v>
      </c>
      <c r="AT337" s="53">
        <f t="shared" si="152"/>
        <v>0</v>
      </c>
      <c r="AU337" s="53">
        <f t="shared" si="152"/>
        <v>0</v>
      </c>
      <c r="AV337" s="53">
        <f t="shared" si="152"/>
        <v>0</v>
      </c>
      <c r="AW337" s="53">
        <f t="shared" si="152"/>
        <v>0</v>
      </c>
      <c r="AX337" s="53">
        <f t="shared" si="152"/>
        <v>0</v>
      </c>
      <c r="AY337" s="53">
        <f t="shared" si="152"/>
        <v>0</v>
      </c>
      <c r="AZ337" s="53">
        <f t="shared" si="152"/>
        <v>0</v>
      </c>
      <c r="BA337" s="53">
        <f t="shared" si="152"/>
        <v>0</v>
      </c>
      <c r="BB337" s="53">
        <f t="shared" si="152"/>
        <v>0</v>
      </c>
      <c r="BC337" s="53">
        <f t="shared" si="152"/>
        <v>0</v>
      </c>
      <c r="BD337" s="53">
        <f t="shared" si="152"/>
        <v>0</v>
      </c>
      <c r="BE337" s="53">
        <f t="shared" si="152"/>
        <v>0</v>
      </c>
      <c r="BF337" s="53">
        <f t="shared" si="152"/>
        <v>0</v>
      </c>
      <c r="BG337" s="53">
        <f t="shared" si="152"/>
        <v>0</v>
      </c>
      <c r="BH337" s="53">
        <f t="shared" si="152"/>
        <v>0</v>
      </c>
      <c r="BI337" s="53">
        <f t="shared" si="152"/>
        <v>0</v>
      </c>
      <c r="BJ337" s="53">
        <f t="shared" si="152"/>
        <v>0</v>
      </c>
      <c r="BK337" s="53">
        <f t="shared" si="152"/>
        <v>0</v>
      </c>
      <c r="BL337" s="53">
        <f t="shared" si="152"/>
        <v>0</v>
      </c>
      <c r="BM337" s="53">
        <f t="shared" si="152"/>
        <v>0</v>
      </c>
      <c r="BN337" s="53">
        <f t="shared" si="152"/>
        <v>0</v>
      </c>
      <c r="BO337" s="53">
        <f t="shared" ref="BO337:CX337" si="153">IFERROR(IF(BO$262=0,0,(BO78-BO79)/BO79),0)</f>
        <v>0</v>
      </c>
      <c r="BP337" s="53">
        <f t="shared" si="153"/>
        <v>0</v>
      </c>
      <c r="BQ337" s="53">
        <f t="shared" si="153"/>
        <v>0</v>
      </c>
      <c r="BR337" s="53">
        <f t="shared" si="153"/>
        <v>0</v>
      </c>
      <c r="BS337" s="53">
        <f t="shared" si="153"/>
        <v>0</v>
      </c>
      <c r="BT337" s="53">
        <f t="shared" si="153"/>
        <v>0</v>
      </c>
      <c r="BU337" s="53">
        <f t="shared" si="153"/>
        <v>0</v>
      </c>
      <c r="BV337" s="53">
        <f t="shared" si="153"/>
        <v>0</v>
      </c>
      <c r="BW337" s="53">
        <f t="shared" si="153"/>
        <v>0</v>
      </c>
      <c r="BX337" s="53">
        <f t="shared" si="153"/>
        <v>0</v>
      </c>
      <c r="BY337" s="53">
        <f t="shared" si="153"/>
        <v>0</v>
      </c>
      <c r="BZ337" s="53">
        <f t="shared" si="153"/>
        <v>0</v>
      </c>
      <c r="CA337" s="53">
        <f t="shared" si="153"/>
        <v>0</v>
      </c>
      <c r="CB337" s="53">
        <f t="shared" si="153"/>
        <v>0</v>
      </c>
      <c r="CC337" s="53">
        <f t="shared" si="153"/>
        <v>0</v>
      </c>
      <c r="CD337" s="53">
        <f t="shared" si="153"/>
        <v>0</v>
      </c>
      <c r="CE337" s="53">
        <f t="shared" si="153"/>
        <v>0</v>
      </c>
      <c r="CF337" s="53">
        <f t="shared" si="153"/>
        <v>0</v>
      </c>
      <c r="CG337" s="53">
        <f t="shared" si="153"/>
        <v>0</v>
      </c>
      <c r="CH337" s="53">
        <f t="shared" si="153"/>
        <v>0</v>
      </c>
      <c r="CI337" s="53">
        <f t="shared" si="153"/>
        <v>0</v>
      </c>
      <c r="CJ337" s="53">
        <f t="shared" si="153"/>
        <v>0</v>
      </c>
      <c r="CK337" s="53">
        <f t="shared" si="153"/>
        <v>0</v>
      </c>
      <c r="CL337" s="53">
        <f t="shared" si="153"/>
        <v>0</v>
      </c>
      <c r="CM337" s="53">
        <f t="shared" si="153"/>
        <v>0</v>
      </c>
      <c r="CN337" s="53">
        <f t="shared" si="153"/>
        <v>0</v>
      </c>
      <c r="CO337" s="53">
        <f t="shared" si="153"/>
        <v>0</v>
      </c>
      <c r="CP337" s="53">
        <f t="shared" si="153"/>
        <v>0</v>
      </c>
      <c r="CQ337" s="53">
        <f t="shared" si="153"/>
        <v>0</v>
      </c>
      <c r="CR337" s="53">
        <f t="shared" si="153"/>
        <v>0</v>
      </c>
      <c r="CS337" s="53">
        <f t="shared" si="153"/>
        <v>0</v>
      </c>
      <c r="CT337" s="53">
        <f t="shared" si="153"/>
        <v>0</v>
      </c>
      <c r="CU337" s="53">
        <f t="shared" si="153"/>
        <v>0</v>
      </c>
      <c r="CV337" s="53">
        <f t="shared" si="153"/>
        <v>0</v>
      </c>
      <c r="CW337" s="53">
        <f t="shared" si="153"/>
        <v>0</v>
      </c>
      <c r="CX337" s="53">
        <f t="shared" si="153"/>
        <v>0</v>
      </c>
      <c r="DB337" s="2" vm="586">
        <f ca="1">IF(Returns!A341&lt;&gt;0,Returns!A341,"")</f>
        <v>42556</v>
      </c>
      <c r="DC337" s="11">
        <f ca="1">IF(Returns!B352&gt;0,Returns!B352/Returns!B351-1,"")</f>
        <v>3.4976622308996452E-2</v>
      </c>
      <c r="DD337" s="11">
        <f ca="1">IF(Returns!D344&gt;0,Returns!D344/Returns!D343-1,"")</f>
        <v>-7.4638405982259126E-3</v>
      </c>
    </row>
    <row r="338" spans="2:108" x14ac:dyDescent="0.3">
      <c r="B338" s="57">
        <f t="shared" ca="1" si="135"/>
        <v>9.8401393230038397E-5</v>
      </c>
      <c r="C338" s="53">
        <f t="shared" ref="C338:BN338" si="154">IFERROR(IF(C$262=0,0,(C79-C80)/C80),0)</f>
        <v>0</v>
      </c>
      <c r="D338" s="53">
        <f t="shared" si="154"/>
        <v>0</v>
      </c>
      <c r="E338" s="53">
        <f t="shared" si="154"/>
        <v>0</v>
      </c>
      <c r="F338" s="53">
        <f t="shared" si="154"/>
        <v>0</v>
      </c>
      <c r="G338" s="53">
        <f t="shared" si="154"/>
        <v>0</v>
      </c>
      <c r="H338" s="53">
        <f t="shared" si="154"/>
        <v>0</v>
      </c>
      <c r="I338" s="53">
        <f t="shared" si="154"/>
        <v>0</v>
      </c>
      <c r="J338" s="53">
        <f t="shared" si="154"/>
        <v>0</v>
      </c>
      <c r="K338" s="53">
        <f t="shared" si="154"/>
        <v>0</v>
      </c>
      <c r="L338" s="53">
        <f t="shared" si="154"/>
        <v>0</v>
      </c>
      <c r="M338" s="53">
        <f t="shared" si="154"/>
        <v>0</v>
      </c>
      <c r="N338" s="53">
        <f t="shared" si="154"/>
        <v>0</v>
      </c>
      <c r="O338" s="53">
        <f t="shared" si="154"/>
        <v>0</v>
      </c>
      <c r="P338" s="53">
        <f t="shared" si="154"/>
        <v>0</v>
      </c>
      <c r="Q338" s="53">
        <f t="shared" si="154"/>
        <v>0</v>
      </c>
      <c r="R338" s="53">
        <f t="shared" si="154"/>
        <v>0</v>
      </c>
      <c r="S338" s="53">
        <f t="shared" si="154"/>
        <v>0</v>
      </c>
      <c r="T338" s="53">
        <f t="shared" si="154"/>
        <v>0</v>
      </c>
      <c r="U338" s="53">
        <f t="shared" si="154"/>
        <v>0</v>
      </c>
      <c r="V338" s="53">
        <f t="shared" si="154"/>
        <v>0</v>
      </c>
      <c r="W338" s="53">
        <f t="shared" si="154"/>
        <v>0</v>
      </c>
      <c r="X338" s="53">
        <f t="shared" si="154"/>
        <v>0</v>
      </c>
      <c r="Y338" s="53">
        <f t="shared" si="154"/>
        <v>0</v>
      </c>
      <c r="Z338" s="53">
        <f t="shared" si="154"/>
        <v>0</v>
      </c>
      <c r="AA338" s="53">
        <f t="shared" si="154"/>
        <v>0</v>
      </c>
      <c r="AB338" s="53">
        <f t="shared" si="154"/>
        <v>0</v>
      </c>
      <c r="AC338" s="53">
        <f t="shared" si="154"/>
        <v>0</v>
      </c>
      <c r="AD338" s="53">
        <f t="shared" si="154"/>
        <v>0</v>
      </c>
      <c r="AE338" s="53">
        <f t="shared" si="154"/>
        <v>0</v>
      </c>
      <c r="AF338" s="53">
        <f t="shared" si="154"/>
        <v>0</v>
      </c>
      <c r="AG338" s="53">
        <f t="shared" si="154"/>
        <v>0</v>
      </c>
      <c r="AH338" s="53">
        <f t="shared" si="154"/>
        <v>0</v>
      </c>
      <c r="AI338" s="53">
        <f t="shared" si="154"/>
        <v>0</v>
      </c>
      <c r="AJ338" s="53">
        <f t="shared" si="154"/>
        <v>0</v>
      </c>
      <c r="AK338" s="53">
        <f t="shared" si="154"/>
        <v>0</v>
      </c>
      <c r="AL338" s="53">
        <f t="shared" si="154"/>
        <v>0</v>
      </c>
      <c r="AM338" s="53">
        <f t="shared" si="154"/>
        <v>0</v>
      </c>
      <c r="AN338" s="53">
        <f t="shared" si="154"/>
        <v>0</v>
      </c>
      <c r="AO338" s="53">
        <f t="shared" si="154"/>
        <v>0</v>
      </c>
      <c r="AP338" s="53">
        <f t="shared" si="154"/>
        <v>0</v>
      </c>
      <c r="AQ338" s="53">
        <f t="shared" si="154"/>
        <v>0</v>
      </c>
      <c r="AR338" s="53">
        <f t="shared" si="154"/>
        <v>0</v>
      </c>
      <c r="AS338" s="53">
        <f t="shared" si="154"/>
        <v>0</v>
      </c>
      <c r="AT338" s="53">
        <f t="shared" si="154"/>
        <v>0</v>
      </c>
      <c r="AU338" s="53">
        <f t="shared" si="154"/>
        <v>0</v>
      </c>
      <c r="AV338" s="53">
        <f t="shared" si="154"/>
        <v>0</v>
      </c>
      <c r="AW338" s="53">
        <f t="shared" si="154"/>
        <v>0</v>
      </c>
      <c r="AX338" s="53">
        <f t="shared" si="154"/>
        <v>0</v>
      </c>
      <c r="AY338" s="53">
        <f t="shared" si="154"/>
        <v>0</v>
      </c>
      <c r="AZ338" s="53">
        <f t="shared" si="154"/>
        <v>0</v>
      </c>
      <c r="BA338" s="53">
        <f t="shared" si="154"/>
        <v>0</v>
      </c>
      <c r="BB338" s="53">
        <f t="shared" si="154"/>
        <v>0</v>
      </c>
      <c r="BC338" s="53">
        <f t="shared" si="154"/>
        <v>0</v>
      </c>
      <c r="BD338" s="53">
        <f t="shared" si="154"/>
        <v>0</v>
      </c>
      <c r="BE338" s="53">
        <f t="shared" si="154"/>
        <v>0</v>
      </c>
      <c r="BF338" s="53">
        <f t="shared" si="154"/>
        <v>0</v>
      </c>
      <c r="BG338" s="53">
        <f t="shared" si="154"/>
        <v>0</v>
      </c>
      <c r="BH338" s="53">
        <f t="shared" si="154"/>
        <v>0</v>
      </c>
      <c r="BI338" s="53">
        <f t="shared" si="154"/>
        <v>0</v>
      </c>
      <c r="BJ338" s="53">
        <f t="shared" si="154"/>
        <v>0</v>
      </c>
      <c r="BK338" s="53">
        <f t="shared" si="154"/>
        <v>0</v>
      </c>
      <c r="BL338" s="53">
        <f t="shared" si="154"/>
        <v>0</v>
      </c>
      <c r="BM338" s="53">
        <f t="shared" si="154"/>
        <v>0</v>
      </c>
      <c r="BN338" s="53">
        <f t="shared" si="154"/>
        <v>0</v>
      </c>
      <c r="BO338" s="53">
        <f t="shared" ref="BO338:CX338" si="155">IFERROR(IF(BO$262=0,0,(BO79-BO80)/BO80),0)</f>
        <v>0</v>
      </c>
      <c r="BP338" s="53">
        <f t="shared" si="155"/>
        <v>0</v>
      </c>
      <c r="BQ338" s="53">
        <f t="shared" si="155"/>
        <v>0</v>
      </c>
      <c r="BR338" s="53">
        <f t="shared" si="155"/>
        <v>0</v>
      </c>
      <c r="BS338" s="53">
        <f t="shared" si="155"/>
        <v>0</v>
      </c>
      <c r="BT338" s="53">
        <f t="shared" si="155"/>
        <v>0</v>
      </c>
      <c r="BU338" s="53">
        <f t="shared" si="155"/>
        <v>0</v>
      </c>
      <c r="BV338" s="53">
        <f t="shared" si="155"/>
        <v>0</v>
      </c>
      <c r="BW338" s="53">
        <f t="shared" si="155"/>
        <v>0</v>
      </c>
      <c r="BX338" s="53">
        <f t="shared" si="155"/>
        <v>0</v>
      </c>
      <c r="BY338" s="53">
        <f t="shared" si="155"/>
        <v>0</v>
      </c>
      <c r="BZ338" s="53">
        <f t="shared" si="155"/>
        <v>0</v>
      </c>
      <c r="CA338" s="53">
        <f t="shared" si="155"/>
        <v>0</v>
      </c>
      <c r="CB338" s="53">
        <f t="shared" si="155"/>
        <v>0</v>
      </c>
      <c r="CC338" s="53">
        <f t="shared" si="155"/>
        <v>0</v>
      </c>
      <c r="CD338" s="53">
        <f t="shared" si="155"/>
        <v>0</v>
      </c>
      <c r="CE338" s="53">
        <f t="shared" si="155"/>
        <v>0</v>
      </c>
      <c r="CF338" s="53">
        <f t="shared" si="155"/>
        <v>0</v>
      </c>
      <c r="CG338" s="53">
        <f t="shared" si="155"/>
        <v>0</v>
      </c>
      <c r="CH338" s="53">
        <f t="shared" si="155"/>
        <v>0</v>
      </c>
      <c r="CI338" s="53">
        <f t="shared" si="155"/>
        <v>0</v>
      </c>
      <c r="CJ338" s="53">
        <f t="shared" si="155"/>
        <v>0</v>
      </c>
      <c r="CK338" s="53">
        <f t="shared" si="155"/>
        <v>0</v>
      </c>
      <c r="CL338" s="53">
        <f t="shared" si="155"/>
        <v>0</v>
      </c>
      <c r="CM338" s="53">
        <f t="shared" si="155"/>
        <v>0</v>
      </c>
      <c r="CN338" s="53">
        <f t="shared" si="155"/>
        <v>0</v>
      </c>
      <c r="CO338" s="53">
        <f t="shared" si="155"/>
        <v>0</v>
      </c>
      <c r="CP338" s="53">
        <f t="shared" si="155"/>
        <v>0</v>
      </c>
      <c r="CQ338" s="53">
        <f t="shared" si="155"/>
        <v>0</v>
      </c>
      <c r="CR338" s="53">
        <f t="shared" si="155"/>
        <v>0</v>
      </c>
      <c r="CS338" s="53">
        <f t="shared" si="155"/>
        <v>0</v>
      </c>
      <c r="CT338" s="53">
        <f t="shared" si="155"/>
        <v>0</v>
      </c>
      <c r="CU338" s="53">
        <f t="shared" si="155"/>
        <v>0</v>
      </c>
      <c r="CV338" s="53">
        <f t="shared" si="155"/>
        <v>0</v>
      </c>
      <c r="CW338" s="53">
        <f t="shared" si="155"/>
        <v>0</v>
      </c>
      <c r="CX338" s="53">
        <f t="shared" si="155"/>
        <v>0</v>
      </c>
      <c r="DB338" s="2" vm="587">
        <f ca="1">IF(Returns!A342&lt;&gt;0,Returns!A342,"")</f>
        <v>42562</v>
      </c>
      <c r="DC338" s="11">
        <f ca="1">IF(Returns!B353&gt;0,Returns!B353/Returns!B352-1,"")</f>
        <v>3.9168476574619859E-2</v>
      </c>
      <c r="DD338" s="11">
        <f ca="1">IF(Returns!D345&gt;0,Returns!D345/Returns!D344-1,"")</f>
        <v>6.0375228629909738E-3</v>
      </c>
    </row>
    <row r="339" spans="2:108" x14ac:dyDescent="0.3">
      <c r="B339" s="57">
        <f t="shared" ca="1" si="135"/>
        <v>1.8549850420810584E-3</v>
      </c>
      <c r="C339" s="53">
        <f t="shared" ref="C339:BN339" si="156">IFERROR(IF(C$262=0,0,(C80-C81)/C81),0)</f>
        <v>0</v>
      </c>
      <c r="D339" s="53">
        <f t="shared" si="156"/>
        <v>0</v>
      </c>
      <c r="E339" s="53">
        <f t="shared" si="156"/>
        <v>0</v>
      </c>
      <c r="F339" s="53">
        <f t="shared" si="156"/>
        <v>0</v>
      </c>
      <c r="G339" s="53">
        <f t="shared" si="156"/>
        <v>0</v>
      </c>
      <c r="H339" s="53">
        <f t="shared" si="156"/>
        <v>0</v>
      </c>
      <c r="I339" s="53">
        <f t="shared" si="156"/>
        <v>0</v>
      </c>
      <c r="J339" s="53">
        <f t="shared" si="156"/>
        <v>0</v>
      </c>
      <c r="K339" s="53">
        <f t="shared" si="156"/>
        <v>0</v>
      </c>
      <c r="L339" s="53">
        <f t="shared" si="156"/>
        <v>0</v>
      </c>
      <c r="M339" s="53">
        <f t="shared" si="156"/>
        <v>0</v>
      </c>
      <c r="N339" s="53">
        <f t="shared" si="156"/>
        <v>0</v>
      </c>
      <c r="O339" s="53">
        <f t="shared" si="156"/>
        <v>0</v>
      </c>
      <c r="P339" s="53">
        <f t="shared" si="156"/>
        <v>0</v>
      </c>
      <c r="Q339" s="53">
        <f t="shared" si="156"/>
        <v>0</v>
      </c>
      <c r="R339" s="53">
        <f t="shared" si="156"/>
        <v>0</v>
      </c>
      <c r="S339" s="53">
        <f t="shared" si="156"/>
        <v>0</v>
      </c>
      <c r="T339" s="53">
        <f t="shared" si="156"/>
        <v>0</v>
      </c>
      <c r="U339" s="53">
        <f t="shared" si="156"/>
        <v>0</v>
      </c>
      <c r="V339" s="53">
        <f t="shared" si="156"/>
        <v>0</v>
      </c>
      <c r="W339" s="53">
        <f t="shared" si="156"/>
        <v>0</v>
      </c>
      <c r="X339" s="53">
        <f t="shared" si="156"/>
        <v>0</v>
      </c>
      <c r="Y339" s="53">
        <f t="shared" si="156"/>
        <v>0</v>
      </c>
      <c r="Z339" s="53">
        <f t="shared" si="156"/>
        <v>0</v>
      </c>
      <c r="AA339" s="53">
        <f t="shared" si="156"/>
        <v>0</v>
      </c>
      <c r="AB339" s="53">
        <f t="shared" si="156"/>
        <v>0</v>
      </c>
      <c r="AC339" s="53">
        <f t="shared" si="156"/>
        <v>0</v>
      </c>
      <c r="AD339" s="53">
        <f t="shared" si="156"/>
        <v>0</v>
      </c>
      <c r="AE339" s="53">
        <f t="shared" si="156"/>
        <v>0</v>
      </c>
      <c r="AF339" s="53">
        <f t="shared" si="156"/>
        <v>0</v>
      </c>
      <c r="AG339" s="53">
        <f t="shared" si="156"/>
        <v>0</v>
      </c>
      <c r="AH339" s="53">
        <f t="shared" si="156"/>
        <v>0</v>
      </c>
      <c r="AI339" s="53">
        <f t="shared" si="156"/>
        <v>0</v>
      </c>
      <c r="AJ339" s="53">
        <f t="shared" si="156"/>
        <v>0</v>
      </c>
      <c r="AK339" s="53">
        <f t="shared" si="156"/>
        <v>0</v>
      </c>
      <c r="AL339" s="53">
        <f t="shared" si="156"/>
        <v>0</v>
      </c>
      <c r="AM339" s="53">
        <f t="shared" si="156"/>
        <v>0</v>
      </c>
      <c r="AN339" s="53">
        <f t="shared" si="156"/>
        <v>0</v>
      </c>
      <c r="AO339" s="53">
        <f t="shared" si="156"/>
        <v>0</v>
      </c>
      <c r="AP339" s="53">
        <f t="shared" si="156"/>
        <v>0</v>
      </c>
      <c r="AQ339" s="53">
        <f t="shared" si="156"/>
        <v>0</v>
      </c>
      <c r="AR339" s="53">
        <f t="shared" si="156"/>
        <v>0</v>
      </c>
      <c r="AS339" s="53">
        <f t="shared" si="156"/>
        <v>0</v>
      </c>
      <c r="AT339" s="53">
        <f t="shared" si="156"/>
        <v>0</v>
      </c>
      <c r="AU339" s="53">
        <f t="shared" si="156"/>
        <v>0</v>
      </c>
      <c r="AV339" s="53">
        <f t="shared" si="156"/>
        <v>0</v>
      </c>
      <c r="AW339" s="53">
        <f t="shared" si="156"/>
        <v>0</v>
      </c>
      <c r="AX339" s="53">
        <f t="shared" si="156"/>
        <v>0</v>
      </c>
      <c r="AY339" s="53">
        <f t="shared" si="156"/>
        <v>0</v>
      </c>
      <c r="AZ339" s="53">
        <f t="shared" si="156"/>
        <v>0</v>
      </c>
      <c r="BA339" s="53">
        <f t="shared" si="156"/>
        <v>0</v>
      </c>
      <c r="BB339" s="53">
        <f t="shared" si="156"/>
        <v>0</v>
      </c>
      <c r="BC339" s="53">
        <f t="shared" si="156"/>
        <v>0</v>
      </c>
      <c r="BD339" s="53">
        <f t="shared" si="156"/>
        <v>0</v>
      </c>
      <c r="BE339" s="53">
        <f t="shared" si="156"/>
        <v>0</v>
      </c>
      <c r="BF339" s="53">
        <f t="shared" si="156"/>
        <v>0</v>
      </c>
      <c r="BG339" s="53">
        <f t="shared" si="156"/>
        <v>0</v>
      </c>
      <c r="BH339" s="53">
        <f t="shared" si="156"/>
        <v>0</v>
      </c>
      <c r="BI339" s="53">
        <f t="shared" si="156"/>
        <v>0</v>
      </c>
      <c r="BJ339" s="53">
        <f t="shared" si="156"/>
        <v>0</v>
      </c>
      <c r="BK339" s="53">
        <f t="shared" si="156"/>
        <v>0</v>
      </c>
      <c r="BL339" s="53">
        <f t="shared" si="156"/>
        <v>0</v>
      </c>
      <c r="BM339" s="53">
        <f t="shared" si="156"/>
        <v>0</v>
      </c>
      <c r="BN339" s="53">
        <f t="shared" si="156"/>
        <v>0</v>
      </c>
      <c r="BO339" s="53">
        <f t="shared" ref="BO339:CX339" si="157">IFERROR(IF(BO$262=0,0,(BO80-BO81)/BO81),0)</f>
        <v>0</v>
      </c>
      <c r="BP339" s="53">
        <f t="shared" si="157"/>
        <v>0</v>
      </c>
      <c r="BQ339" s="53">
        <f t="shared" si="157"/>
        <v>0</v>
      </c>
      <c r="BR339" s="53">
        <f t="shared" si="157"/>
        <v>0</v>
      </c>
      <c r="BS339" s="53">
        <f t="shared" si="157"/>
        <v>0</v>
      </c>
      <c r="BT339" s="53">
        <f t="shared" si="157"/>
        <v>0</v>
      </c>
      <c r="BU339" s="53">
        <f t="shared" si="157"/>
        <v>0</v>
      </c>
      <c r="BV339" s="53">
        <f t="shared" si="157"/>
        <v>0</v>
      </c>
      <c r="BW339" s="53">
        <f t="shared" si="157"/>
        <v>0</v>
      </c>
      <c r="BX339" s="53">
        <f t="shared" si="157"/>
        <v>0</v>
      </c>
      <c r="BY339" s="53">
        <f t="shared" si="157"/>
        <v>0</v>
      </c>
      <c r="BZ339" s="53">
        <f t="shared" si="157"/>
        <v>0</v>
      </c>
      <c r="CA339" s="53">
        <f t="shared" si="157"/>
        <v>0</v>
      </c>
      <c r="CB339" s="53">
        <f t="shared" si="157"/>
        <v>0</v>
      </c>
      <c r="CC339" s="53">
        <f t="shared" si="157"/>
        <v>0</v>
      </c>
      <c r="CD339" s="53">
        <f t="shared" si="157"/>
        <v>0</v>
      </c>
      <c r="CE339" s="53">
        <f t="shared" si="157"/>
        <v>0</v>
      </c>
      <c r="CF339" s="53">
        <f t="shared" si="157"/>
        <v>0</v>
      </c>
      <c r="CG339" s="53">
        <f t="shared" si="157"/>
        <v>0</v>
      </c>
      <c r="CH339" s="53">
        <f t="shared" si="157"/>
        <v>0</v>
      </c>
      <c r="CI339" s="53">
        <f t="shared" si="157"/>
        <v>0</v>
      </c>
      <c r="CJ339" s="53">
        <f t="shared" si="157"/>
        <v>0</v>
      </c>
      <c r="CK339" s="53">
        <f t="shared" si="157"/>
        <v>0</v>
      </c>
      <c r="CL339" s="53">
        <f t="shared" si="157"/>
        <v>0</v>
      </c>
      <c r="CM339" s="53">
        <f t="shared" si="157"/>
        <v>0</v>
      </c>
      <c r="CN339" s="53">
        <f t="shared" si="157"/>
        <v>0</v>
      </c>
      <c r="CO339" s="53">
        <f t="shared" si="157"/>
        <v>0</v>
      </c>
      <c r="CP339" s="53">
        <f t="shared" si="157"/>
        <v>0</v>
      </c>
      <c r="CQ339" s="53">
        <f t="shared" si="157"/>
        <v>0</v>
      </c>
      <c r="CR339" s="53">
        <f t="shared" si="157"/>
        <v>0</v>
      </c>
      <c r="CS339" s="53">
        <f t="shared" si="157"/>
        <v>0</v>
      </c>
      <c r="CT339" s="53">
        <f t="shared" si="157"/>
        <v>0</v>
      </c>
      <c r="CU339" s="53">
        <f t="shared" si="157"/>
        <v>0</v>
      </c>
      <c r="CV339" s="53">
        <f t="shared" si="157"/>
        <v>0</v>
      </c>
      <c r="CW339" s="53">
        <f t="shared" si="157"/>
        <v>0</v>
      </c>
      <c r="CX339" s="53">
        <f t="shared" si="157"/>
        <v>0</v>
      </c>
      <c r="DB339" s="2" vm="588">
        <f ca="1">IF(Returns!A343&lt;&gt;0,Returns!A343,"")</f>
        <v>42569</v>
      </c>
      <c r="DC339" s="11">
        <f ca="1">IF(Returns!B354&gt;0,Returns!B354/Returns!B353-1,"")</f>
        <v>2.5319176887892425E-3</v>
      </c>
      <c r="DD339" s="11">
        <f ca="1">IF(Returns!D346&gt;0,Returns!D346/Returns!D345-1,"")</f>
        <v>1.7763823824266112E-3</v>
      </c>
    </row>
    <row r="340" spans="2:108" x14ac:dyDescent="0.3">
      <c r="B340" s="57">
        <f t="shared" ca="1" si="135"/>
        <v>5.9549173681557846E-4</v>
      </c>
      <c r="C340" s="53">
        <f t="shared" ref="C340:BN340" si="158">IFERROR(IF(C$262=0,0,(C81-C82)/C82),0)</f>
        <v>0</v>
      </c>
      <c r="D340" s="53">
        <f t="shared" si="158"/>
        <v>0</v>
      </c>
      <c r="E340" s="53">
        <f t="shared" si="158"/>
        <v>0</v>
      </c>
      <c r="F340" s="53">
        <f t="shared" si="158"/>
        <v>0</v>
      </c>
      <c r="G340" s="53">
        <f t="shared" si="158"/>
        <v>0</v>
      </c>
      <c r="H340" s="53">
        <f t="shared" si="158"/>
        <v>0</v>
      </c>
      <c r="I340" s="53">
        <f t="shared" si="158"/>
        <v>0</v>
      </c>
      <c r="J340" s="53">
        <f t="shared" si="158"/>
        <v>0</v>
      </c>
      <c r="K340" s="53">
        <f t="shared" si="158"/>
        <v>0</v>
      </c>
      <c r="L340" s="53">
        <f t="shared" si="158"/>
        <v>0</v>
      </c>
      <c r="M340" s="53">
        <f t="shared" si="158"/>
        <v>0</v>
      </c>
      <c r="N340" s="53">
        <f t="shared" si="158"/>
        <v>0</v>
      </c>
      <c r="O340" s="53">
        <f t="shared" si="158"/>
        <v>0</v>
      </c>
      <c r="P340" s="53">
        <f t="shared" si="158"/>
        <v>0</v>
      </c>
      <c r="Q340" s="53">
        <f t="shared" si="158"/>
        <v>0</v>
      </c>
      <c r="R340" s="53">
        <f t="shared" si="158"/>
        <v>0</v>
      </c>
      <c r="S340" s="53">
        <f t="shared" si="158"/>
        <v>0</v>
      </c>
      <c r="T340" s="53">
        <f t="shared" si="158"/>
        <v>0</v>
      </c>
      <c r="U340" s="53">
        <f t="shared" si="158"/>
        <v>0</v>
      </c>
      <c r="V340" s="53">
        <f t="shared" si="158"/>
        <v>0</v>
      </c>
      <c r="W340" s="53">
        <f t="shared" si="158"/>
        <v>0</v>
      </c>
      <c r="X340" s="53">
        <f t="shared" si="158"/>
        <v>0</v>
      </c>
      <c r="Y340" s="53">
        <f t="shared" si="158"/>
        <v>0</v>
      </c>
      <c r="Z340" s="53">
        <f t="shared" si="158"/>
        <v>0</v>
      </c>
      <c r="AA340" s="53">
        <f t="shared" si="158"/>
        <v>0</v>
      </c>
      <c r="AB340" s="53">
        <f t="shared" si="158"/>
        <v>0</v>
      </c>
      <c r="AC340" s="53">
        <f t="shared" si="158"/>
        <v>0</v>
      </c>
      <c r="AD340" s="53">
        <f t="shared" si="158"/>
        <v>0</v>
      </c>
      <c r="AE340" s="53">
        <f t="shared" si="158"/>
        <v>0</v>
      </c>
      <c r="AF340" s="53">
        <f t="shared" si="158"/>
        <v>0</v>
      </c>
      <c r="AG340" s="53">
        <f t="shared" si="158"/>
        <v>0</v>
      </c>
      <c r="AH340" s="53">
        <f t="shared" si="158"/>
        <v>0</v>
      </c>
      <c r="AI340" s="53">
        <f t="shared" si="158"/>
        <v>0</v>
      </c>
      <c r="AJ340" s="53">
        <f t="shared" si="158"/>
        <v>0</v>
      </c>
      <c r="AK340" s="53">
        <f t="shared" si="158"/>
        <v>0</v>
      </c>
      <c r="AL340" s="53">
        <f t="shared" si="158"/>
        <v>0</v>
      </c>
      <c r="AM340" s="53">
        <f t="shared" si="158"/>
        <v>0</v>
      </c>
      <c r="AN340" s="53">
        <f t="shared" si="158"/>
        <v>0</v>
      </c>
      <c r="AO340" s="53">
        <f t="shared" si="158"/>
        <v>0</v>
      </c>
      <c r="AP340" s="53">
        <f t="shared" si="158"/>
        <v>0</v>
      </c>
      <c r="AQ340" s="53">
        <f t="shared" si="158"/>
        <v>0</v>
      </c>
      <c r="AR340" s="53">
        <f t="shared" si="158"/>
        <v>0</v>
      </c>
      <c r="AS340" s="53">
        <f t="shared" si="158"/>
        <v>0</v>
      </c>
      <c r="AT340" s="53">
        <f t="shared" si="158"/>
        <v>0</v>
      </c>
      <c r="AU340" s="53">
        <f t="shared" si="158"/>
        <v>0</v>
      </c>
      <c r="AV340" s="53">
        <f t="shared" si="158"/>
        <v>0</v>
      </c>
      <c r="AW340" s="53">
        <f t="shared" si="158"/>
        <v>0</v>
      </c>
      <c r="AX340" s="53">
        <f t="shared" si="158"/>
        <v>0</v>
      </c>
      <c r="AY340" s="53">
        <f t="shared" si="158"/>
        <v>0</v>
      </c>
      <c r="AZ340" s="53">
        <f t="shared" si="158"/>
        <v>0</v>
      </c>
      <c r="BA340" s="53">
        <f t="shared" si="158"/>
        <v>0</v>
      </c>
      <c r="BB340" s="53">
        <f t="shared" si="158"/>
        <v>0</v>
      </c>
      <c r="BC340" s="53">
        <f t="shared" si="158"/>
        <v>0</v>
      </c>
      <c r="BD340" s="53">
        <f t="shared" si="158"/>
        <v>0</v>
      </c>
      <c r="BE340" s="53">
        <f t="shared" si="158"/>
        <v>0</v>
      </c>
      <c r="BF340" s="53">
        <f t="shared" si="158"/>
        <v>0</v>
      </c>
      <c r="BG340" s="53">
        <f t="shared" si="158"/>
        <v>0</v>
      </c>
      <c r="BH340" s="53">
        <f t="shared" si="158"/>
        <v>0</v>
      </c>
      <c r="BI340" s="53">
        <f t="shared" si="158"/>
        <v>0</v>
      </c>
      <c r="BJ340" s="53">
        <f t="shared" si="158"/>
        <v>0</v>
      </c>
      <c r="BK340" s="53">
        <f t="shared" si="158"/>
        <v>0</v>
      </c>
      <c r="BL340" s="53">
        <f t="shared" si="158"/>
        <v>0</v>
      </c>
      <c r="BM340" s="53">
        <f t="shared" si="158"/>
        <v>0</v>
      </c>
      <c r="BN340" s="53">
        <f t="shared" si="158"/>
        <v>0</v>
      </c>
      <c r="BO340" s="53">
        <f t="shared" ref="BO340:CX340" si="159">IFERROR(IF(BO$262=0,0,(BO81-BO82)/BO82),0)</f>
        <v>0</v>
      </c>
      <c r="BP340" s="53">
        <f t="shared" si="159"/>
        <v>0</v>
      </c>
      <c r="BQ340" s="53">
        <f t="shared" si="159"/>
        <v>0</v>
      </c>
      <c r="BR340" s="53">
        <f t="shared" si="159"/>
        <v>0</v>
      </c>
      <c r="BS340" s="53">
        <f t="shared" si="159"/>
        <v>0</v>
      </c>
      <c r="BT340" s="53">
        <f t="shared" si="159"/>
        <v>0</v>
      </c>
      <c r="BU340" s="53">
        <f t="shared" si="159"/>
        <v>0</v>
      </c>
      <c r="BV340" s="53">
        <f t="shared" si="159"/>
        <v>0</v>
      </c>
      <c r="BW340" s="53">
        <f t="shared" si="159"/>
        <v>0</v>
      </c>
      <c r="BX340" s="53">
        <f t="shared" si="159"/>
        <v>0</v>
      </c>
      <c r="BY340" s="53">
        <f t="shared" si="159"/>
        <v>0</v>
      </c>
      <c r="BZ340" s="53">
        <f t="shared" si="159"/>
        <v>0</v>
      </c>
      <c r="CA340" s="53">
        <f t="shared" si="159"/>
        <v>0</v>
      </c>
      <c r="CB340" s="53">
        <f t="shared" si="159"/>
        <v>0</v>
      </c>
      <c r="CC340" s="53">
        <f t="shared" si="159"/>
        <v>0</v>
      </c>
      <c r="CD340" s="53">
        <f t="shared" si="159"/>
        <v>0</v>
      </c>
      <c r="CE340" s="53">
        <f t="shared" si="159"/>
        <v>0</v>
      </c>
      <c r="CF340" s="53">
        <f t="shared" si="159"/>
        <v>0</v>
      </c>
      <c r="CG340" s="53">
        <f t="shared" si="159"/>
        <v>0</v>
      </c>
      <c r="CH340" s="53">
        <f t="shared" si="159"/>
        <v>0</v>
      </c>
      <c r="CI340" s="53">
        <f t="shared" si="159"/>
        <v>0</v>
      </c>
      <c r="CJ340" s="53">
        <f t="shared" si="159"/>
        <v>0</v>
      </c>
      <c r="CK340" s="53">
        <f t="shared" si="159"/>
        <v>0</v>
      </c>
      <c r="CL340" s="53">
        <f t="shared" si="159"/>
        <v>0</v>
      </c>
      <c r="CM340" s="53">
        <f t="shared" si="159"/>
        <v>0</v>
      </c>
      <c r="CN340" s="53">
        <f t="shared" si="159"/>
        <v>0</v>
      </c>
      <c r="CO340" s="53">
        <f t="shared" si="159"/>
        <v>0</v>
      </c>
      <c r="CP340" s="53">
        <f t="shared" si="159"/>
        <v>0</v>
      </c>
      <c r="CQ340" s="53">
        <f t="shared" si="159"/>
        <v>0</v>
      </c>
      <c r="CR340" s="53">
        <f t="shared" si="159"/>
        <v>0</v>
      </c>
      <c r="CS340" s="53">
        <f t="shared" si="159"/>
        <v>0</v>
      </c>
      <c r="CT340" s="53">
        <f t="shared" si="159"/>
        <v>0</v>
      </c>
      <c r="CU340" s="53">
        <f t="shared" si="159"/>
        <v>0</v>
      </c>
      <c r="CV340" s="53">
        <f t="shared" si="159"/>
        <v>0</v>
      </c>
      <c r="CW340" s="53">
        <f t="shared" si="159"/>
        <v>0</v>
      </c>
      <c r="CX340" s="53">
        <f t="shared" si="159"/>
        <v>0</v>
      </c>
      <c r="DB340" s="2" vm="589">
        <f ca="1">IF(Returns!A344&lt;&gt;0,Returns!A344,"")</f>
        <v>42576</v>
      </c>
      <c r="DC340" s="11">
        <f ca="1">IF(Returns!B355&gt;0,Returns!B355/Returns!B354-1,"")</f>
        <v>-1.9620456738500991E-2</v>
      </c>
      <c r="DD340" s="11">
        <f ca="1">IF(Returns!D347&gt;0,Returns!D347/Returns!D346-1,"")</f>
        <v>-1.2866060928343748E-3</v>
      </c>
    </row>
    <row r="341" spans="2:108" x14ac:dyDescent="0.3">
      <c r="B341" s="57">
        <f t="shared" ca="1" si="135"/>
        <v>1.0330142889561441E-4</v>
      </c>
      <c r="C341" s="53">
        <f t="shared" ref="C341:BN341" si="160">IFERROR(IF(C$262=0,0,(C82-C83)/C83),0)</f>
        <v>0</v>
      </c>
      <c r="D341" s="53">
        <f t="shared" si="160"/>
        <v>0</v>
      </c>
      <c r="E341" s="53">
        <f t="shared" si="160"/>
        <v>0</v>
      </c>
      <c r="F341" s="53">
        <f t="shared" si="160"/>
        <v>0</v>
      </c>
      <c r="G341" s="53">
        <f t="shared" si="160"/>
        <v>0</v>
      </c>
      <c r="H341" s="53">
        <f t="shared" si="160"/>
        <v>0</v>
      </c>
      <c r="I341" s="53">
        <f t="shared" si="160"/>
        <v>0</v>
      </c>
      <c r="J341" s="53">
        <f t="shared" si="160"/>
        <v>0</v>
      </c>
      <c r="K341" s="53">
        <f t="shared" si="160"/>
        <v>0</v>
      </c>
      <c r="L341" s="53">
        <f t="shared" si="160"/>
        <v>0</v>
      </c>
      <c r="M341" s="53">
        <f t="shared" si="160"/>
        <v>0</v>
      </c>
      <c r="N341" s="53">
        <f t="shared" si="160"/>
        <v>0</v>
      </c>
      <c r="O341" s="53">
        <f t="shared" si="160"/>
        <v>0</v>
      </c>
      <c r="P341" s="53">
        <f t="shared" si="160"/>
        <v>0</v>
      </c>
      <c r="Q341" s="53">
        <f t="shared" si="160"/>
        <v>0</v>
      </c>
      <c r="R341" s="53">
        <f t="shared" si="160"/>
        <v>0</v>
      </c>
      <c r="S341" s="53">
        <f t="shared" si="160"/>
        <v>0</v>
      </c>
      <c r="T341" s="53">
        <f t="shared" si="160"/>
        <v>0</v>
      </c>
      <c r="U341" s="53">
        <f t="shared" si="160"/>
        <v>0</v>
      </c>
      <c r="V341" s="53">
        <f t="shared" si="160"/>
        <v>0</v>
      </c>
      <c r="W341" s="53">
        <f t="shared" si="160"/>
        <v>0</v>
      </c>
      <c r="X341" s="53">
        <f t="shared" si="160"/>
        <v>0</v>
      </c>
      <c r="Y341" s="53">
        <f t="shared" si="160"/>
        <v>0</v>
      </c>
      <c r="Z341" s="53">
        <f t="shared" si="160"/>
        <v>0</v>
      </c>
      <c r="AA341" s="53">
        <f t="shared" si="160"/>
        <v>0</v>
      </c>
      <c r="AB341" s="53">
        <f t="shared" si="160"/>
        <v>0</v>
      </c>
      <c r="AC341" s="53">
        <f t="shared" si="160"/>
        <v>0</v>
      </c>
      <c r="AD341" s="53">
        <f t="shared" si="160"/>
        <v>0</v>
      </c>
      <c r="AE341" s="53">
        <f t="shared" si="160"/>
        <v>0</v>
      </c>
      <c r="AF341" s="53">
        <f t="shared" si="160"/>
        <v>0</v>
      </c>
      <c r="AG341" s="53">
        <f t="shared" si="160"/>
        <v>0</v>
      </c>
      <c r="AH341" s="53">
        <f t="shared" si="160"/>
        <v>0</v>
      </c>
      <c r="AI341" s="53">
        <f t="shared" si="160"/>
        <v>0</v>
      </c>
      <c r="AJ341" s="53">
        <f t="shared" si="160"/>
        <v>0</v>
      </c>
      <c r="AK341" s="53">
        <f t="shared" si="160"/>
        <v>0</v>
      </c>
      <c r="AL341" s="53">
        <f t="shared" si="160"/>
        <v>0</v>
      </c>
      <c r="AM341" s="53">
        <f t="shared" si="160"/>
        <v>0</v>
      </c>
      <c r="AN341" s="53">
        <f t="shared" si="160"/>
        <v>0</v>
      </c>
      <c r="AO341" s="53">
        <f t="shared" si="160"/>
        <v>0</v>
      </c>
      <c r="AP341" s="53">
        <f t="shared" si="160"/>
        <v>0</v>
      </c>
      <c r="AQ341" s="53">
        <f t="shared" si="160"/>
        <v>0</v>
      </c>
      <c r="AR341" s="53">
        <f t="shared" si="160"/>
        <v>0</v>
      </c>
      <c r="AS341" s="53">
        <f t="shared" si="160"/>
        <v>0</v>
      </c>
      <c r="AT341" s="53">
        <f t="shared" si="160"/>
        <v>0</v>
      </c>
      <c r="AU341" s="53">
        <f t="shared" si="160"/>
        <v>0</v>
      </c>
      <c r="AV341" s="53">
        <f t="shared" si="160"/>
        <v>0</v>
      </c>
      <c r="AW341" s="53">
        <f t="shared" si="160"/>
        <v>0</v>
      </c>
      <c r="AX341" s="53">
        <f t="shared" si="160"/>
        <v>0</v>
      </c>
      <c r="AY341" s="53">
        <f t="shared" si="160"/>
        <v>0</v>
      </c>
      <c r="AZ341" s="53">
        <f t="shared" si="160"/>
        <v>0</v>
      </c>
      <c r="BA341" s="53">
        <f t="shared" si="160"/>
        <v>0</v>
      </c>
      <c r="BB341" s="53">
        <f t="shared" si="160"/>
        <v>0</v>
      </c>
      <c r="BC341" s="53">
        <f t="shared" si="160"/>
        <v>0</v>
      </c>
      <c r="BD341" s="53">
        <f t="shared" si="160"/>
        <v>0</v>
      </c>
      <c r="BE341" s="53">
        <f t="shared" si="160"/>
        <v>0</v>
      </c>
      <c r="BF341" s="53">
        <f t="shared" si="160"/>
        <v>0</v>
      </c>
      <c r="BG341" s="53">
        <f t="shared" si="160"/>
        <v>0</v>
      </c>
      <c r="BH341" s="53">
        <f t="shared" si="160"/>
        <v>0</v>
      </c>
      <c r="BI341" s="53">
        <f t="shared" si="160"/>
        <v>0</v>
      </c>
      <c r="BJ341" s="53">
        <f t="shared" si="160"/>
        <v>0</v>
      </c>
      <c r="BK341" s="53">
        <f t="shared" si="160"/>
        <v>0</v>
      </c>
      <c r="BL341" s="53">
        <f t="shared" si="160"/>
        <v>0</v>
      </c>
      <c r="BM341" s="53">
        <f t="shared" si="160"/>
        <v>0</v>
      </c>
      <c r="BN341" s="53">
        <f t="shared" si="160"/>
        <v>0</v>
      </c>
      <c r="BO341" s="53">
        <f t="shared" ref="BO341:CX341" si="161">IFERROR(IF(BO$262=0,0,(BO82-BO83)/BO83),0)</f>
        <v>0</v>
      </c>
      <c r="BP341" s="53">
        <f t="shared" si="161"/>
        <v>0</v>
      </c>
      <c r="BQ341" s="53">
        <f t="shared" si="161"/>
        <v>0</v>
      </c>
      <c r="BR341" s="53">
        <f t="shared" si="161"/>
        <v>0</v>
      </c>
      <c r="BS341" s="53">
        <f t="shared" si="161"/>
        <v>0</v>
      </c>
      <c r="BT341" s="53">
        <f t="shared" si="161"/>
        <v>0</v>
      </c>
      <c r="BU341" s="53">
        <f t="shared" si="161"/>
        <v>0</v>
      </c>
      <c r="BV341" s="53">
        <f t="shared" si="161"/>
        <v>0</v>
      </c>
      <c r="BW341" s="53">
        <f t="shared" si="161"/>
        <v>0</v>
      </c>
      <c r="BX341" s="53">
        <f t="shared" si="161"/>
        <v>0</v>
      </c>
      <c r="BY341" s="53">
        <f t="shared" si="161"/>
        <v>0</v>
      </c>
      <c r="BZ341" s="53">
        <f t="shared" si="161"/>
        <v>0</v>
      </c>
      <c r="CA341" s="53">
        <f t="shared" si="161"/>
        <v>0</v>
      </c>
      <c r="CB341" s="53">
        <f t="shared" si="161"/>
        <v>0</v>
      </c>
      <c r="CC341" s="53">
        <f t="shared" si="161"/>
        <v>0</v>
      </c>
      <c r="CD341" s="53">
        <f t="shared" si="161"/>
        <v>0</v>
      </c>
      <c r="CE341" s="53">
        <f t="shared" si="161"/>
        <v>0</v>
      </c>
      <c r="CF341" s="53">
        <f t="shared" si="161"/>
        <v>0</v>
      </c>
      <c r="CG341" s="53">
        <f t="shared" si="161"/>
        <v>0</v>
      </c>
      <c r="CH341" s="53">
        <f t="shared" si="161"/>
        <v>0</v>
      </c>
      <c r="CI341" s="53">
        <f t="shared" si="161"/>
        <v>0</v>
      </c>
      <c r="CJ341" s="53">
        <f t="shared" si="161"/>
        <v>0</v>
      </c>
      <c r="CK341" s="53">
        <f t="shared" si="161"/>
        <v>0</v>
      </c>
      <c r="CL341" s="53">
        <f t="shared" si="161"/>
        <v>0</v>
      </c>
      <c r="CM341" s="53">
        <f t="shared" si="161"/>
        <v>0</v>
      </c>
      <c r="CN341" s="53">
        <f t="shared" si="161"/>
        <v>0</v>
      </c>
      <c r="CO341" s="53">
        <f t="shared" si="161"/>
        <v>0</v>
      </c>
      <c r="CP341" s="53">
        <f t="shared" si="161"/>
        <v>0</v>
      </c>
      <c r="CQ341" s="53">
        <f t="shared" si="161"/>
        <v>0</v>
      </c>
      <c r="CR341" s="53">
        <f t="shared" si="161"/>
        <v>0</v>
      </c>
      <c r="CS341" s="53">
        <f t="shared" si="161"/>
        <v>0</v>
      </c>
      <c r="CT341" s="53">
        <f t="shared" si="161"/>
        <v>0</v>
      </c>
      <c r="CU341" s="53">
        <f t="shared" si="161"/>
        <v>0</v>
      </c>
      <c r="CV341" s="53">
        <f t="shared" si="161"/>
        <v>0</v>
      </c>
      <c r="CW341" s="53">
        <f t="shared" si="161"/>
        <v>0</v>
      </c>
      <c r="CX341" s="53">
        <f t="shared" si="161"/>
        <v>0</v>
      </c>
      <c r="DB341" s="2" vm="590">
        <f ca="1">IF(Returns!A345&lt;&gt;0,Returns!A345,"")</f>
        <v>42583</v>
      </c>
      <c r="DC341" s="11">
        <f ca="1">IF(Returns!B356&gt;0,Returns!B356/Returns!B355-1,"")</f>
        <v>-4.8240497715563713E-3</v>
      </c>
      <c r="DD341" s="11">
        <f ca="1">IF(Returns!D348&gt;0,Returns!D348/Returns!D347-1,"")</f>
        <v>-8.4715433869436696E-3</v>
      </c>
    </row>
    <row r="342" spans="2:108" x14ac:dyDescent="0.3">
      <c r="B342" s="57">
        <f t="shared" ca="1" si="135"/>
        <v>2.0025411083659161E-3</v>
      </c>
      <c r="C342" s="53">
        <f t="shared" ref="C342:BN342" si="162">IFERROR(IF(C$262=0,0,(C83-C84)/C84),0)</f>
        <v>0</v>
      </c>
      <c r="D342" s="53">
        <f t="shared" si="162"/>
        <v>0</v>
      </c>
      <c r="E342" s="53">
        <f t="shared" si="162"/>
        <v>0</v>
      </c>
      <c r="F342" s="53">
        <f t="shared" si="162"/>
        <v>0</v>
      </c>
      <c r="G342" s="53">
        <f t="shared" si="162"/>
        <v>0</v>
      </c>
      <c r="H342" s="53">
        <f t="shared" si="162"/>
        <v>0</v>
      </c>
      <c r="I342" s="53">
        <f t="shared" si="162"/>
        <v>0</v>
      </c>
      <c r="J342" s="53">
        <f t="shared" si="162"/>
        <v>0</v>
      </c>
      <c r="K342" s="53">
        <f t="shared" si="162"/>
        <v>0</v>
      </c>
      <c r="L342" s="53">
        <f t="shared" si="162"/>
        <v>0</v>
      </c>
      <c r="M342" s="53">
        <f t="shared" si="162"/>
        <v>0</v>
      </c>
      <c r="N342" s="53">
        <f t="shared" si="162"/>
        <v>0</v>
      </c>
      <c r="O342" s="53">
        <f t="shared" si="162"/>
        <v>0</v>
      </c>
      <c r="P342" s="53">
        <f t="shared" si="162"/>
        <v>0</v>
      </c>
      <c r="Q342" s="53">
        <f t="shared" si="162"/>
        <v>0</v>
      </c>
      <c r="R342" s="53">
        <f t="shared" si="162"/>
        <v>0</v>
      </c>
      <c r="S342" s="53">
        <f t="shared" si="162"/>
        <v>0</v>
      </c>
      <c r="T342" s="53">
        <f t="shared" si="162"/>
        <v>0</v>
      </c>
      <c r="U342" s="53">
        <f t="shared" si="162"/>
        <v>0</v>
      </c>
      <c r="V342" s="53">
        <f t="shared" si="162"/>
        <v>0</v>
      </c>
      <c r="W342" s="53">
        <f t="shared" si="162"/>
        <v>0</v>
      </c>
      <c r="X342" s="53">
        <f t="shared" si="162"/>
        <v>0</v>
      </c>
      <c r="Y342" s="53">
        <f t="shared" si="162"/>
        <v>0</v>
      </c>
      <c r="Z342" s="53">
        <f t="shared" si="162"/>
        <v>0</v>
      </c>
      <c r="AA342" s="53">
        <f t="shared" si="162"/>
        <v>0</v>
      </c>
      <c r="AB342" s="53">
        <f t="shared" si="162"/>
        <v>0</v>
      </c>
      <c r="AC342" s="53">
        <f t="shared" si="162"/>
        <v>0</v>
      </c>
      <c r="AD342" s="53">
        <f t="shared" si="162"/>
        <v>0</v>
      </c>
      <c r="AE342" s="53">
        <f t="shared" si="162"/>
        <v>0</v>
      </c>
      <c r="AF342" s="53">
        <f t="shared" si="162"/>
        <v>0</v>
      </c>
      <c r="AG342" s="53">
        <f t="shared" si="162"/>
        <v>0</v>
      </c>
      <c r="AH342" s="53">
        <f t="shared" si="162"/>
        <v>0</v>
      </c>
      <c r="AI342" s="53">
        <f t="shared" si="162"/>
        <v>0</v>
      </c>
      <c r="AJ342" s="53">
        <f t="shared" si="162"/>
        <v>0</v>
      </c>
      <c r="AK342" s="53">
        <f t="shared" si="162"/>
        <v>0</v>
      </c>
      <c r="AL342" s="53">
        <f t="shared" si="162"/>
        <v>0</v>
      </c>
      <c r="AM342" s="53">
        <f t="shared" si="162"/>
        <v>0</v>
      </c>
      <c r="AN342" s="53">
        <f t="shared" si="162"/>
        <v>0</v>
      </c>
      <c r="AO342" s="53">
        <f t="shared" si="162"/>
        <v>0</v>
      </c>
      <c r="AP342" s="53">
        <f t="shared" si="162"/>
        <v>0</v>
      </c>
      <c r="AQ342" s="53">
        <f t="shared" si="162"/>
        <v>0</v>
      </c>
      <c r="AR342" s="53">
        <f t="shared" si="162"/>
        <v>0</v>
      </c>
      <c r="AS342" s="53">
        <f t="shared" si="162"/>
        <v>0</v>
      </c>
      <c r="AT342" s="53">
        <f t="shared" si="162"/>
        <v>0</v>
      </c>
      <c r="AU342" s="53">
        <f t="shared" si="162"/>
        <v>0</v>
      </c>
      <c r="AV342" s="53">
        <f t="shared" si="162"/>
        <v>0</v>
      </c>
      <c r="AW342" s="53">
        <f t="shared" si="162"/>
        <v>0</v>
      </c>
      <c r="AX342" s="53">
        <f t="shared" si="162"/>
        <v>0</v>
      </c>
      <c r="AY342" s="53">
        <f t="shared" si="162"/>
        <v>0</v>
      </c>
      <c r="AZ342" s="53">
        <f t="shared" si="162"/>
        <v>0</v>
      </c>
      <c r="BA342" s="53">
        <f t="shared" si="162"/>
        <v>0</v>
      </c>
      <c r="BB342" s="53">
        <f t="shared" si="162"/>
        <v>0</v>
      </c>
      <c r="BC342" s="53">
        <f t="shared" si="162"/>
        <v>0</v>
      </c>
      <c r="BD342" s="53">
        <f t="shared" si="162"/>
        <v>0</v>
      </c>
      <c r="BE342" s="53">
        <f t="shared" si="162"/>
        <v>0</v>
      </c>
      <c r="BF342" s="53">
        <f t="shared" si="162"/>
        <v>0</v>
      </c>
      <c r="BG342" s="53">
        <f t="shared" si="162"/>
        <v>0</v>
      </c>
      <c r="BH342" s="53">
        <f t="shared" si="162"/>
        <v>0</v>
      </c>
      <c r="BI342" s="53">
        <f t="shared" si="162"/>
        <v>0</v>
      </c>
      <c r="BJ342" s="53">
        <f t="shared" si="162"/>
        <v>0</v>
      </c>
      <c r="BK342" s="53">
        <f t="shared" si="162"/>
        <v>0</v>
      </c>
      <c r="BL342" s="53">
        <f t="shared" si="162"/>
        <v>0</v>
      </c>
      <c r="BM342" s="53">
        <f t="shared" si="162"/>
        <v>0</v>
      </c>
      <c r="BN342" s="53">
        <f t="shared" si="162"/>
        <v>0</v>
      </c>
      <c r="BO342" s="53">
        <f t="shared" ref="BO342:CX342" si="163">IFERROR(IF(BO$262=0,0,(BO83-BO84)/BO84),0)</f>
        <v>0</v>
      </c>
      <c r="BP342" s="53">
        <f t="shared" si="163"/>
        <v>0</v>
      </c>
      <c r="BQ342" s="53">
        <f t="shared" si="163"/>
        <v>0</v>
      </c>
      <c r="BR342" s="53">
        <f t="shared" si="163"/>
        <v>0</v>
      </c>
      <c r="BS342" s="53">
        <f t="shared" si="163"/>
        <v>0</v>
      </c>
      <c r="BT342" s="53">
        <f t="shared" si="163"/>
        <v>0</v>
      </c>
      <c r="BU342" s="53">
        <f t="shared" si="163"/>
        <v>0</v>
      </c>
      <c r="BV342" s="53">
        <f t="shared" si="163"/>
        <v>0</v>
      </c>
      <c r="BW342" s="53">
        <f t="shared" si="163"/>
        <v>0</v>
      </c>
      <c r="BX342" s="53">
        <f t="shared" si="163"/>
        <v>0</v>
      </c>
      <c r="BY342" s="53">
        <f t="shared" si="163"/>
        <v>0</v>
      </c>
      <c r="BZ342" s="53">
        <f t="shared" si="163"/>
        <v>0</v>
      </c>
      <c r="CA342" s="53">
        <f t="shared" si="163"/>
        <v>0</v>
      </c>
      <c r="CB342" s="53">
        <f t="shared" si="163"/>
        <v>0</v>
      </c>
      <c r="CC342" s="53">
        <f t="shared" si="163"/>
        <v>0</v>
      </c>
      <c r="CD342" s="53">
        <f t="shared" si="163"/>
        <v>0</v>
      </c>
      <c r="CE342" s="53">
        <f t="shared" si="163"/>
        <v>0</v>
      </c>
      <c r="CF342" s="53">
        <f t="shared" si="163"/>
        <v>0</v>
      </c>
      <c r="CG342" s="53">
        <f t="shared" si="163"/>
        <v>0</v>
      </c>
      <c r="CH342" s="53">
        <f t="shared" si="163"/>
        <v>0</v>
      </c>
      <c r="CI342" s="53">
        <f t="shared" si="163"/>
        <v>0</v>
      </c>
      <c r="CJ342" s="53">
        <f t="shared" si="163"/>
        <v>0</v>
      </c>
      <c r="CK342" s="53">
        <f t="shared" si="163"/>
        <v>0</v>
      </c>
      <c r="CL342" s="53">
        <f t="shared" si="163"/>
        <v>0</v>
      </c>
      <c r="CM342" s="53">
        <f t="shared" si="163"/>
        <v>0</v>
      </c>
      <c r="CN342" s="53">
        <f t="shared" si="163"/>
        <v>0</v>
      </c>
      <c r="CO342" s="53">
        <f t="shared" si="163"/>
        <v>0</v>
      </c>
      <c r="CP342" s="53">
        <f t="shared" si="163"/>
        <v>0</v>
      </c>
      <c r="CQ342" s="53">
        <f t="shared" si="163"/>
        <v>0</v>
      </c>
      <c r="CR342" s="53">
        <f t="shared" si="163"/>
        <v>0</v>
      </c>
      <c r="CS342" s="53">
        <f t="shared" si="163"/>
        <v>0</v>
      </c>
      <c r="CT342" s="53">
        <f t="shared" si="163"/>
        <v>0</v>
      </c>
      <c r="CU342" s="53">
        <f t="shared" si="163"/>
        <v>0</v>
      </c>
      <c r="CV342" s="53">
        <f t="shared" si="163"/>
        <v>0</v>
      </c>
      <c r="CW342" s="53">
        <f t="shared" si="163"/>
        <v>0</v>
      </c>
      <c r="CX342" s="53">
        <f t="shared" si="163"/>
        <v>0</v>
      </c>
      <c r="DB342" s="2" vm="591">
        <f ca="1">IF(Returns!A346&lt;&gt;0,Returns!A346,"")</f>
        <v>42590</v>
      </c>
      <c r="DC342" s="11">
        <f ca="1">IF(Returns!B357&gt;0,Returns!B357/Returns!B356-1,"")</f>
        <v>-5.2100758251016455E-2</v>
      </c>
      <c r="DD342" s="11">
        <f ca="1">IF(Returns!D349&gt;0,Returns!D349/Returns!D348-1,"")</f>
        <v>5.2492087845719126E-3</v>
      </c>
    </row>
    <row r="343" spans="2:108" x14ac:dyDescent="0.3">
      <c r="B343" s="57">
        <f t="shared" ca="1" si="135"/>
        <v>3.7847134259792281E-4</v>
      </c>
      <c r="C343" s="53">
        <f t="shared" ref="C343:BN343" si="164">IFERROR(IF(C$262=0,0,(C84-C85)/C85),0)</f>
        <v>0</v>
      </c>
      <c r="D343" s="53">
        <f t="shared" si="164"/>
        <v>0</v>
      </c>
      <c r="E343" s="53">
        <f t="shared" si="164"/>
        <v>0</v>
      </c>
      <c r="F343" s="53">
        <f t="shared" si="164"/>
        <v>0</v>
      </c>
      <c r="G343" s="53">
        <f t="shared" si="164"/>
        <v>0</v>
      </c>
      <c r="H343" s="53">
        <f t="shared" si="164"/>
        <v>0</v>
      </c>
      <c r="I343" s="53">
        <f t="shared" si="164"/>
        <v>0</v>
      </c>
      <c r="J343" s="53">
        <f t="shared" si="164"/>
        <v>0</v>
      </c>
      <c r="K343" s="53">
        <f t="shared" si="164"/>
        <v>0</v>
      </c>
      <c r="L343" s="53">
        <f t="shared" si="164"/>
        <v>0</v>
      </c>
      <c r="M343" s="53">
        <f t="shared" si="164"/>
        <v>0</v>
      </c>
      <c r="N343" s="53">
        <f t="shared" si="164"/>
        <v>0</v>
      </c>
      <c r="O343" s="53">
        <f t="shared" si="164"/>
        <v>0</v>
      </c>
      <c r="P343" s="53">
        <f t="shared" si="164"/>
        <v>0</v>
      </c>
      <c r="Q343" s="53">
        <f t="shared" si="164"/>
        <v>0</v>
      </c>
      <c r="R343" s="53">
        <f t="shared" si="164"/>
        <v>0</v>
      </c>
      <c r="S343" s="53">
        <f t="shared" si="164"/>
        <v>0</v>
      </c>
      <c r="T343" s="53">
        <f t="shared" si="164"/>
        <v>0</v>
      </c>
      <c r="U343" s="53">
        <f t="shared" si="164"/>
        <v>0</v>
      </c>
      <c r="V343" s="53">
        <f t="shared" si="164"/>
        <v>0</v>
      </c>
      <c r="W343" s="53">
        <f t="shared" si="164"/>
        <v>0</v>
      </c>
      <c r="X343" s="53">
        <f t="shared" si="164"/>
        <v>0</v>
      </c>
      <c r="Y343" s="53">
        <f t="shared" si="164"/>
        <v>0</v>
      </c>
      <c r="Z343" s="53">
        <f t="shared" si="164"/>
        <v>0</v>
      </c>
      <c r="AA343" s="53">
        <f t="shared" si="164"/>
        <v>0</v>
      </c>
      <c r="AB343" s="53">
        <f t="shared" si="164"/>
        <v>0</v>
      </c>
      <c r="AC343" s="53">
        <f t="shared" si="164"/>
        <v>0</v>
      </c>
      <c r="AD343" s="53">
        <f t="shared" si="164"/>
        <v>0</v>
      </c>
      <c r="AE343" s="53">
        <f t="shared" si="164"/>
        <v>0</v>
      </c>
      <c r="AF343" s="53">
        <f t="shared" si="164"/>
        <v>0</v>
      </c>
      <c r="AG343" s="53">
        <f t="shared" si="164"/>
        <v>0</v>
      </c>
      <c r="AH343" s="53">
        <f t="shared" si="164"/>
        <v>0</v>
      </c>
      <c r="AI343" s="53">
        <f t="shared" si="164"/>
        <v>0</v>
      </c>
      <c r="AJ343" s="53">
        <f t="shared" si="164"/>
        <v>0</v>
      </c>
      <c r="AK343" s="53">
        <f t="shared" si="164"/>
        <v>0</v>
      </c>
      <c r="AL343" s="53">
        <f t="shared" si="164"/>
        <v>0</v>
      </c>
      <c r="AM343" s="53">
        <f t="shared" si="164"/>
        <v>0</v>
      </c>
      <c r="AN343" s="53">
        <f t="shared" si="164"/>
        <v>0</v>
      </c>
      <c r="AO343" s="53">
        <f t="shared" si="164"/>
        <v>0</v>
      </c>
      <c r="AP343" s="53">
        <f t="shared" si="164"/>
        <v>0</v>
      </c>
      <c r="AQ343" s="53">
        <f t="shared" si="164"/>
        <v>0</v>
      </c>
      <c r="AR343" s="53">
        <f t="shared" si="164"/>
        <v>0</v>
      </c>
      <c r="AS343" s="53">
        <f t="shared" si="164"/>
        <v>0</v>
      </c>
      <c r="AT343" s="53">
        <f t="shared" si="164"/>
        <v>0</v>
      </c>
      <c r="AU343" s="53">
        <f t="shared" si="164"/>
        <v>0</v>
      </c>
      <c r="AV343" s="53">
        <f t="shared" si="164"/>
        <v>0</v>
      </c>
      <c r="AW343" s="53">
        <f t="shared" si="164"/>
        <v>0</v>
      </c>
      <c r="AX343" s="53">
        <f t="shared" si="164"/>
        <v>0</v>
      </c>
      <c r="AY343" s="53">
        <f t="shared" si="164"/>
        <v>0</v>
      </c>
      <c r="AZ343" s="53">
        <f t="shared" si="164"/>
        <v>0</v>
      </c>
      <c r="BA343" s="53">
        <f t="shared" si="164"/>
        <v>0</v>
      </c>
      <c r="BB343" s="53">
        <f t="shared" si="164"/>
        <v>0</v>
      </c>
      <c r="BC343" s="53">
        <f t="shared" si="164"/>
        <v>0</v>
      </c>
      <c r="BD343" s="53">
        <f t="shared" si="164"/>
        <v>0</v>
      </c>
      <c r="BE343" s="53">
        <f t="shared" si="164"/>
        <v>0</v>
      </c>
      <c r="BF343" s="53">
        <f t="shared" si="164"/>
        <v>0</v>
      </c>
      <c r="BG343" s="53">
        <f t="shared" si="164"/>
        <v>0</v>
      </c>
      <c r="BH343" s="53">
        <f t="shared" si="164"/>
        <v>0</v>
      </c>
      <c r="BI343" s="53">
        <f t="shared" si="164"/>
        <v>0</v>
      </c>
      <c r="BJ343" s="53">
        <f t="shared" si="164"/>
        <v>0</v>
      </c>
      <c r="BK343" s="53">
        <f t="shared" si="164"/>
        <v>0</v>
      </c>
      <c r="BL343" s="53">
        <f t="shared" si="164"/>
        <v>0</v>
      </c>
      <c r="BM343" s="53">
        <f t="shared" si="164"/>
        <v>0</v>
      </c>
      <c r="BN343" s="53">
        <f t="shared" si="164"/>
        <v>0</v>
      </c>
      <c r="BO343" s="53">
        <f t="shared" ref="BO343:CX343" si="165">IFERROR(IF(BO$262=0,0,(BO84-BO85)/BO85),0)</f>
        <v>0</v>
      </c>
      <c r="BP343" s="53">
        <f t="shared" si="165"/>
        <v>0</v>
      </c>
      <c r="BQ343" s="53">
        <f t="shared" si="165"/>
        <v>0</v>
      </c>
      <c r="BR343" s="53">
        <f t="shared" si="165"/>
        <v>0</v>
      </c>
      <c r="BS343" s="53">
        <f t="shared" si="165"/>
        <v>0</v>
      </c>
      <c r="BT343" s="53">
        <f t="shared" si="165"/>
        <v>0</v>
      </c>
      <c r="BU343" s="53">
        <f t="shared" si="165"/>
        <v>0</v>
      </c>
      <c r="BV343" s="53">
        <f t="shared" si="165"/>
        <v>0</v>
      </c>
      <c r="BW343" s="53">
        <f t="shared" si="165"/>
        <v>0</v>
      </c>
      <c r="BX343" s="53">
        <f t="shared" si="165"/>
        <v>0</v>
      </c>
      <c r="BY343" s="53">
        <f t="shared" si="165"/>
        <v>0</v>
      </c>
      <c r="BZ343" s="53">
        <f t="shared" si="165"/>
        <v>0</v>
      </c>
      <c r="CA343" s="53">
        <f t="shared" si="165"/>
        <v>0</v>
      </c>
      <c r="CB343" s="53">
        <f t="shared" si="165"/>
        <v>0</v>
      </c>
      <c r="CC343" s="53">
        <f t="shared" si="165"/>
        <v>0</v>
      </c>
      <c r="CD343" s="53">
        <f t="shared" si="165"/>
        <v>0</v>
      </c>
      <c r="CE343" s="53">
        <f t="shared" si="165"/>
        <v>0</v>
      </c>
      <c r="CF343" s="53">
        <f t="shared" si="165"/>
        <v>0</v>
      </c>
      <c r="CG343" s="53">
        <f t="shared" si="165"/>
        <v>0</v>
      </c>
      <c r="CH343" s="53">
        <f t="shared" si="165"/>
        <v>0</v>
      </c>
      <c r="CI343" s="53">
        <f t="shared" si="165"/>
        <v>0</v>
      </c>
      <c r="CJ343" s="53">
        <f t="shared" si="165"/>
        <v>0</v>
      </c>
      <c r="CK343" s="53">
        <f t="shared" si="165"/>
        <v>0</v>
      </c>
      <c r="CL343" s="53">
        <f t="shared" si="165"/>
        <v>0</v>
      </c>
      <c r="CM343" s="53">
        <f t="shared" si="165"/>
        <v>0</v>
      </c>
      <c r="CN343" s="53">
        <f t="shared" si="165"/>
        <v>0</v>
      </c>
      <c r="CO343" s="53">
        <f t="shared" si="165"/>
        <v>0</v>
      </c>
      <c r="CP343" s="53">
        <f t="shared" si="165"/>
        <v>0</v>
      </c>
      <c r="CQ343" s="53">
        <f t="shared" si="165"/>
        <v>0</v>
      </c>
      <c r="CR343" s="53">
        <f t="shared" si="165"/>
        <v>0</v>
      </c>
      <c r="CS343" s="53">
        <f t="shared" si="165"/>
        <v>0</v>
      </c>
      <c r="CT343" s="53">
        <f t="shared" si="165"/>
        <v>0</v>
      </c>
      <c r="CU343" s="53">
        <f t="shared" si="165"/>
        <v>0</v>
      </c>
      <c r="CV343" s="53">
        <f t="shared" si="165"/>
        <v>0</v>
      </c>
      <c r="CW343" s="53">
        <f t="shared" si="165"/>
        <v>0</v>
      </c>
      <c r="CX343" s="53">
        <f t="shared" si="165"/>
        <v>0</v>
      </c>
      <c r="DB343" s="2" vm="592">
        <f ca="1">IF(Returns!A347&lt;&gt;0,Returns!A347,"")</f>
        <v>42597</v>
      </c>
      <c r="DC343" s="11">
        <f ca="1">IF(Returns!B358&gt;0,Returns!B358/Returns!B357-1,"")</f>
        <v>-2.7398495465787431E-2</v>
      </c>
      <c r="DD343" s="11">
        <f ca="1">IF(Returns!D350&gt;0,Returns!D350/Returns!D349-1,"")</f>
        <v>-2.1983394493419461E-2</v>
      </c>
    </row>
    <row r="344" spans="2:108" x14ac:dyDescent="0.3">
      <c r="B344" s="57">
        <f t="shared" ca="1" si="135"/>
        <v>1.5247863950109224E-3</v>
      </c>
      <c r="C344" s="53">
        <f t="shared" ref="C344:BN344" si="166">IFERROR(IF(C$262=0,0,(C85-C86)/C86),0)</f>
        <v>0</v>
      </c>
      <c r="D344" s="53">
        <f t="shared" si="166"/>
        <v>0</v>
      </c>
      <c r="E344" s="53">
        <f t="shared" si="166"/>
        <v>0</v>
      </c>
      <c r="F344" s="53">
        <f t="shared" si="166"/>
        <v>0</v>
      </c>
      <c r="G344" s="53">
        <f t="shared" si="166"/>
        <v>0</v>
      </c>
      <c r="H344" s="53">
        <f t="shared" si="166"/>
        <v>0</v>
      </c>
      <c r="I344" s="53">
        <f t="shared" si="166"/>
        <v>0</v>
      </c>
      <c r="J344" s="53">
        <f t="shared" si="166"/>
        <v>0</v>
      </c>
      <c r="K344" s="53">
        <f t="shared" si="166"/>
        <v>0</v>
      </c>
      <c r="L344" s="53">
        <f t="shared" si="166"/>
        <v>0</v>
      </c>
      <c r="M344" s="53">
        <f t="shared" si="166"/>
        <v>0</v>
      </c>
      <c r="N344" s="53">
        <f t="shared" si="166"/>
        <v>0</v>
      </c>
      <c r="O344" s="53">
        <f t="shared" si="166"/>
        <v>0</v>
      </c>
      <c r="P344" s="53">
        <f t="shared" si="166"/>
        <v>0</v>
      </c>
      <c r="Q344" s="53">
        <f t="shared" si="166"/>
        <v>0</v>
      </c>
      <c r="R344" s="53">
        <f t="shared" si="166"/>
        <v>0</v>
      </c>
      <c r="S344" s="53">
        <f t="shared" si="166"/>
        <v>0</v>
      </c>
      <c r="T344" s="53">
        <f t="shared" si="166"/>
        <v>0</v>
      </c>
      <c r="U344" s="53">
        <f t="shared" si="166"/>
        <v>0</v>
      </c>
      <c r="V344" s="53">
        <f t="shared" si="166"/>
        <v>0</v>
      </c>
      <c r="W344" s="53">
        <f t="shared" si="166"/>
        <v>0</v>
      </c>
      <c r="X344" s="53">
        <f t="shared" si="166"/>
        <v>0</v>
      </c>
      <c r="Y344" s="53">
        <f t="shared" si="166"/>
        <v>0</v>
      </c>
      <c r="Z344" s="53">
        <f t="shared" si="166"/>
        <v>0</v>
      </c>
      <c r="AA344" s="53">
        <f t="shared" si="166"/>
        <v>0</v>
      </c>
      <c r="AB344" s="53">
        <f t="shared" si="166"/>
        <v>0</v>
      </c>
      <c r="AC344" s="53">
        <f t="shared" si="166"/>
        <v>0</v>
      </c>
      <c r="AD344" s="53">
        <f t="shared" si="166"/>
        <v>0</v>
      </c>
      <c r="AE344" s="53">
        <f t="shared" si="166"/>
        <v>0</v>
      </c>
      <c r="AF344" s="53">
        <f t="shared" si="166"/>
        <v>0</v>
      </c>
      <c r="AG344" s="53">
        <f t="shared" si="166"/>
        <v>0</v>
      </c>
      <c r="AH344" s="53">
        <f t="shared" si="166"/>
        <v>0</v>
      </c>
      <c r="AI344" s="53">
        <f t="shared" si="166"/>
        <v>0</v>
      </c>
      <c r="AJ344" s="53">
        <f t="shared" si="166"/>
        <v>0</v>
      </c>
      <c r="AK344" s="53">
        <f t="shared" si="166"/>
        <v>0</v>
      </c>
      <c r="AL344" s="53">
        <f t="shared" si="166"/>
        <v>0</v>
      </c>
      <c r="AM344" s="53">
        <f t="shared" si="166"/>
        <v>0</v>
      </c>
      <c r="AN344" s="53">
        <f t="shared" si="166"/>
        <v>0</v>
      </c>
      <c r="AO344" s="53">
        <f t="shared" si="166"/>
        <v>0</v>
      </c>
      <c r="AP344" s="53">
        <f t="shared" si="166"/>
        <v>0</v>
      </c>
      <c r="AQ344" s="53">
        <f t="shared" si="166"/>
        <v>0</v>
      </c>
      <c r="AR344" s="53">
        <f t="shared" si="166"/>
        <v>0</v>
      </c>
      <c r="AS344" s="53">
        <f t="shared" si="166"/>
        <v>0</v>
      </c>
      <c r="AT344" s="53">
        <f t="shared" si="166"/>
        <v>0</v>
      </c>
      <c r="AU344" s="53">
        <f t="shared" si="166"/>
        <v>0</v>
      </c>
      <c r="AV344" s="53">
        <f t="shared" si="166"/>
        <v>0</v>
      </c>
      <c r="AW344" s="53">
        <f t="shared" si="166"/>
        <v>0</v>
      </c>
      <c r="AX344" s="53">
        <f t="shared" si="166"/>
        <v>0</v>
      </c>
      <c r="AY344" s="53">
        <f t="shared" si="166"/>
        <v>0</v>
      </c>
      <c r="AZ344" s="53">
        <f t="shared" si="166"/>
        <v>0</v>
      </c>
      <c r="BA344" s="53">
        <f t="shared" si="166"/>
        <v>0</v>
      </c>
      <c r="BB344" s="53">
        <f t="shared" si="166"/>
        <v>0</v>
      </c>
      <c r="BC344" s="53">
        <f t="shared" si="166"/>
        <v>0</v>
      </c>
      <c r="BD344" s="53">
        <f t="shared" si="166"/>
        <v>0</v>
      </c>
      <c r="BE344" s="53">
        <f t="shared" si="166"/>
        <v>0</v>
      </c>
      <c r="BF344" s="53">
        <f t="shared" si="166"/>
        <v>0</v>
      </c>
      <c r="BG344" s="53">
        <f t="shared" si="166"/>
        <v>0</v>
      </c>
      <c r="BH344" s="53">
        <f t="shared" si="166"/>
        <v>0</v>
      </c>
      <c r="BI344" s="53">
        <f t="shared" si="166"/>
        <v>0</v>
      </c>
      <c r="BJ344" s="53">
        <f t="shared" si="166"/>
        <v>0</v>
      </c>
      <c r="BK344" s="53">
        <f t="shared" si="166"/>
        <v>0</v>
      </c>
      <c r="BL344" s="53">
        <f t="shared" si="166"/>
        <v>0</v>
      </c>
      <c r="BM344" s="53">
        <f t="shared" si="166"/>
        <v>0</v>
      </c>
      <c r="BN344" s="53">
        <f t="shared" si="166"/>
        <v>0</v>
      </c>
      <c r="BO344" s="53">
        <f t="shared" ref="BO344:CX344" si="167">IFERROR(IF(BO$262=0,0,(BO85-BO86)/BO86),0)</f>
        <v>0</v>
      </c>
      <c r="BP344" s="53">
        <f t="shared" si="167"/>
        <v>0</v>
      </c>
      <c r="BQ344" s="53">
        <f t="shared" si="167"/>
        <v>0</v>
      </c>
      <c r="BR344" s="53">
        <f t="shared" si="167"/>
        <v>0</v>
      </c>
      <c r="BS344" s="53">
        <f t="shared" si="167"/>
        <v>0</v>
      </c>
      <c r="BT344" s="53">
        <f t="shared" si="167"/>
        <v>0</v>
      </c>
      <c r="BU344" s="53">
        <f t="shared" si="167"/>
        <v>0</v>
      </c>
      <c r="BV344" s="53">
        <f t="shared" si="167"/>
        <v>0</v>
      </c>
      <c r="BW344" s="53">
        <f t="shared" si="167"/>
        <v>0</v>
      </c>
      <c r="BX344" s="53">
        <f t="shared" si="167"/>
        <v>0</v>
      </c>
      <c r="BY344" s="53">
        <f t="shared" si="167"/>
        <v>0</v>
      </c>
      <c r="BZ344" s="53">
        <f t="shared" si="167"/>
        <v>0</v>
      </c>
      <c r="CA344" s="53">
        <f t="shared" si="167"/>
        <v>0</v>
      </c>
      <c r="CB344" s="53">
        <f t="shared" si="167"/>
        <v>0</v>
      </c>
      <c r="CC344" s="53">
        <f t="shared" si="167"/>
        <v>0</v>
      </c>
      <c r="CD344" s="53">
        <f t="shared" si="167"/>
        <v>0</v>
      </c>
      <c r="CE344" s="53">
        <f t="shared" si="167"/>
        <v>0</v>
      </c>
      <c r="CF344" s="53">
        <f t="shared" si="167"/>
        <v>0</v>
      </c>
      <c r="CG344" s="53">
        <f t="shared" si="167"/>
        <v>0</v>
      </c>
      <c r="CH344" s="53">
        <f t="shared" si="167"/>
        <v>0</v>
      </c>
      <c r="CI344" s="53">
        <f t="shared" si="167"/>
        <v>0</v>
      </c>
      <c r="CJ344" s="53">
        <f t="shared" si="167"/>
        <v>0</v>
      </c>
      <c r="CK344" s="53">
        <f t="shared" si="167"/>
        <v>0</v>
      </c>
      <c r="CL344" s="53">
        <f t="shared" si="167"/>
        <v>0</v>
      </c>
      <c r="CM344" s="53">
        <f t="shared" si="167"/>
        <v>0</v>
      </c>
      <c r="CN344" s="53">
        <f t="shared" si="167"/>
        <v>0</v>
      </c>
      <c r="CO344" s="53">
        <f t="shared" si="167"/>
        <v>0</v>
      </c>
      <c r="CP344" s="53">
        <f t="shared" si="167"/>
        <v>0</v>
      </c>
      <c r="CQ344" s="53">
        <f t="shared" si="167"/>
        <v>0</v>
      </c>
      <c r="CR344" s="53">
        <f t="shared" si="167"/>
        <v>0</v>
      </c>
      <c r="CS344" s="53">
        <f t="shared" si="167"/>
        <v>0</v>
      </c>
      <c r="CT344" s="53">
        <f t="shared" si="167"/>
        <v>0</v>
      </c>
      <c r="CU344" s="53">
        <f t="shared" si="167"/>
        <v>0</v>
      </c>
      <c r="CV344" s="53">
        <f t="shared" si="167"/>
        <v>0</v>
      </c>
      <c r="CW344" s="53">
        <f t="shared" si="167"/>
        <v>0</v>
      </c>
      <c r="CX344" s="53">
        <f t="shared" si="167"/>
        <v>0</v>
      </c>
      <c r="DB344" s="2" vm="593">
        <f ca="1">IF(Returns!A348&lt;&gt;0,Returns!A348,"")</f>
        <v>42604</v>
      </c>
      <c r="DC344" s="11">
        <f ca="1">IF(Returns!B359&gt;0,Returns!B359/Returns!B358-1,"")</f>
        <v>-2.1243626249917269E-2</v>
      </c>
      <c r="DD344" s="11">
        <f ca="1">IF(Returns!D351&gt;0,Returns!D351/Returns!D350-1,"")</f>
        <v>2.120522755587384E-3</v>
      </c>
    </row>
    <row r="345" spans="2:108" x14ac:dyDescent="0.3">
      <c r="B345" s="57">
        <f t="shared" ca="1" si="135"/>
        <v>5.4480299785054508E-4</v>
      </c>
      <c r="C345" s="53">
        <f t="shared" ref="C345:BN345" si="168">IFERROR(IF(C$262=0,0,(C86-C87)/C87),0)</f>
        <v>0</v>
      </c>
      <c r="D345" s="53">
        <f t="shared" si="168"/>
        <v>0</v>
      </c>
      <c r="E345" s="53">
        <f t="shared" si="168"/>
        <v>0</v>
      </c>
      <c r="F345" s="53">
        <f t="shared" si="168"/>
        <v>0</v>
      </c>
      <c r="G345" s="53">
        <f t="shared" si="168"/>
        <v>0</v>
      </c>
      <c r="H345" s="53">
        <f t="shared" si="168"/>
        <v>0</v>
      </c>
      <c r="I345" s="53">
        <f t="shared" si="168"/>
        <v>0</v>
      </c>
      <c r="J345" s="53">
        <f t="shared" si="168"/>
        <v>0</v>
      </c>
      <c r="K345" s="53">
        <f t="shared" si="168"/>
        <v>0</v>
      </c>
      <c r="L345" s="53">
        <f t="shared" si="168"/>
        <v>0</v>
      </c>
      <c r="M345" s="53">
        <f t="shared" si="168"/>
        <v>0</v>
      </c>
      <c r="N345" s="53">
        <f t="shared" si="168"/>
        <v>0</v>
      </c>
      <c r="O345" s="53">
        <f t="shared" si="168"/>
        <v>0</v>
      </c>
      <c r="P345" s="53">
        <f t="shared" si="168"/>
        <v>0</v>
      </c>
      <c r="Q345" s="53">
        <f t="shared" si="168"/>
        <v>0</v>
      </c>
      <c r="R345" s="53">
        <f t="shared" si="168"/>
        <v>0</v>
      </c>
      <c r="S345" s="53">
        <f t="shared" si="168"/>
        <v>0</v>
      </c>
      <c r="T345" s="53">
        <f t="shared" si="168"/>
        <v>0</v>
      </c>
      <c r="U345" s="53">
        <f t="shared" si="168"/>
        <v>0</v>
      </c>
      <c r="V345" s="53">
        <f t="shared" si="168"/>
        <v>0</v>
      </c>
      <c r="W345" s="53">
        <f t="shared" si="168"/>
        <v>0</v>
      </c>
      <c r="X345" s="53">
        <f t="shared" si="168"/>
        <v>0</v>
      </c>
      <c r="Y345" s="53">
        <f t="shared" si="168"/>
        <v>0</v>
      </c>
      <c r="Z345" s="53">
        <f t="shared" si="168"/>
        <v>0</v>
      </c>
      <c r="AA345" s="53">
        <f t="shared" si="168"/>
        <v>0</v>
      </c>
      <c r="AB345" s="53">
        <f t="shared" si="168"/>
        <v>0</v>
      </c>
      <c r="AC345" s="53">
        <f t="shared" si="168"/>
        <v>0</v>
      </c>
      <c r="AD345" s="53">
        <f t="shared" si="168"/>
        <v>0</v>
      </c>
      <c r="AE345" s="53">
        <f t="shared" si="168"/>
        <v>0</v>
      </c>
      <c r="AF345" s="53">
        <f t="shared" si="168"/>
        <v>0</v>
      </c>
      <c r="AG345" s="53">
        <f t="shared" si="168"/>
        <v>0</v>
      </c>
      <c r="AH345" s="53">
        <f t="shared" si="168"/>
        <v>0</v>
      </c>
      <c r="AI345" s="53">
        <f t="shared" si="168"/>
        <v>0</v>
      </c>
      <c r="AJ345" s="53">
        <f t="shared" si="168"/>
        <v>0</v>
      </c>
      <c r="AK345" s="53">
        <f t="shared" si="168"/>
        <v>0</v>
      </c>
      <c r="AL345" s="53">
        <f t="shared" si="168"/>
        <v>0</v>
      </c>
      <c r="AM345" s="53">
        <f t="shared" si="168"/>
        <v>0</v>
      </c>
      <c r="AN345" s="53">
        <f t="shared" si="168"/>
        <v>0</v>
      </c>
      <c r="AO345" s="53">
        <f t="shared" si="168"/>
        <v>0</v>
      </c>
      <c r="AP345" s="53">
        <f t="shared" si="168"/>
        <v>0</v>
      </c>
      <c r="AQ345" s="53">
        <f t="shared" si="168"/>
        <v>0</v>
      </c>
      <c r="AR345" s="53">
        <f t="shared" si="168"/>
        <v>0</v>
      </c>
      <c r="AS345" s="53">
        <f t="shared" si="168"/>
        <v>0</v>
      </c>
      <c r="AT345" s="53">
        <f t="shared" si="168"/>
        <v>0</v>
      </c>
      <c r="AU345" s="53">
        <f t="shared" si="168"/>
        <v>0</v>
      </c>
      <c r="AV345" s="53">
        <f t="shared" si="168"/>
        <v>0</v>
      </c>
      <c r="AW345" s="53">
        <f t="shared" si="168"/>
        <v>0</v>
      </c>
      <c r="AX345" s="53">
        <f t="shared" si="168"/>
        <v>0</v>
      </c>
      <c r="AY345" s="53">
        <f t="shared" si="168"/>
        <v>0</v>
      </c>
      <c r="AZ345" s="53">
        <f t="shared" si="168"/>
        <v>0</v>
      </c>
      <c r="BA345" s="53">
        <f t="shared" si="168"/>
        <v>0</v>
      </c>
      <c r="BB345" s="53">
        <f t="shared" si="168"/>
        <v>0</v>
      </c>
      <c r="BC345" s="53">
        <f t="shared" si="168"/>
        <v>0</v>
      </c>
      <c r="BD345" s="53">
        <f t="shared" si="168"/>
        <v>0</v>
      </c>
      <c r="BE345" s="53">
        <f t="shared" si="168"/>
        <v>0</v>
      </c>
      <c r="BF345" s="53">
        <f t="shared" si="168"/>
        <v>0</v>
      </c>
      <c r="BG345" s="53">
        <f t="shared" si="168"/>
        <v>0</v>
      </c>
      <c r="BH345" s="53">
        <f t="shared" si="168"/>
        <v>0</v>
      </c>
      <c r="BI345" s="53">
        <f t="shared" si="168"/>
        <v>0</v>
      </c>
      <c r="BJ345" s="53">
        <f t="shared" si="168"/>
        <v>0</v>
      </c>
      <c r="BK345" s="53">
        <f t="shared" si="168"/>
        <v>0</v>
      </c>
      <c r="BL345" s="53">
        <f t="shared" si="168"/>
        <v>0</v>
      </c>
      <c r="BM345" s="53">
        <f t="shared" si="168"/>
        <v>0</v>
      </c>
      <c r="BN345" s="53">
        <f t="shared" si="168"/>
        <v>0</v>
      </c>
      <c r="BO345" s="53">
        <f t="shared" ref="BO345:CX345" si="169">IFERROR(IF(BO$262=0,0,(BO86-BO87)/BO87),0)</f>
        <v>0</v>
      </c>
      <c r="BP345" s="53">
        <f t="shared" si="169"/>
        <v>0</v>
      </c>
      <c r="BQ345" s="53">
        <f t="shared" si="169"/>
        <v>0</v>
      </c>
      <c r="BR345" s="53">
        <f t="shared" si="169"/>
        <v>0</v>
      </c>
      <c r="BS345" s="53">
        <f t="shared" si="169"/>
        <v>0</v>
      </c>
      <c r="BT345" s="53">
        <f t="shared" si="169"/>
        <v>0</v>
      </c>
      <c r="BU345" s="53">
        <f t="shared" si="169"/>
        <v>0</v>
      </c>
      <c r="BV345" s="53">
        <f t="shared" si="169"/>
        <v>0</v>
      </c>
      <c r="BW345" s="53">
        <f t="shared" si="169"/>
        <v>0</v>
      </c>
      <c r="BX345" s="53">
        <f t="shared" si="169"/>
        <v>0</v>
      </c>
      <c r="BY345" s="53">
        <f t="shared" si="169"/>
        <v>0</v>
      </c>
      <c r="BZ345" s="53">
        <f t="shared" si="169"/>
        <v>0</v>
      </c>
      <c r="CA345" s="53">
        <f t="shared" si="169"/>
        <v>0</v>
      </c>
      <c r="CB345" s="53">
        <f t="shared" si="169"/>
        <v>0</v>
      </c>
      <c r="CC345" s="53">
        <f t="shared" si="169"/>
        <v>0</v>
      </c>
      <c r="CD345" s="53">
        <f t="shared" si="169"/>
        <v>0</v>
      </c>
      <c r="CE345" s="53">
        <f t="shared" si="169"/>
        <v>0</v>
      </c>
      <c r="CF345" s="53">
        <f t="shared" si="169"/>
        <v>0</v>
      </c>
      <c r="CG345" s="53">
        <f t="shared" si="169"/>
        <v>0</v>
      </c>
      <c r="CH345" s="53">
        <f t="shared" si="169"/>
        <v>0</v>
      </c>
      <c r="CI345" s="53">
        <f t="shared" si="169"/>
        <v>0</v>
      </c>
      <c r="CJ345" s="53">
        <f t="shared" si="169"/>
        <v>0</v>
      </c>
      <c r="CK345" s="53">
        <f t="shared" si="169"/>
        <v>0</v>
      </c>
      <c r="CL345" s="53">
        <f t="shared" si="169"/>
        <v>0</v>
      </c>
      <c r="CM345" s="53">
        <f t="shared" si="169"/>
        <v>0</v>
      </c>
      <c r="CN345" s="53">
        <f t="shared" si="169"/>
        <v>0</v>
      </c>
      <c r="CO345" s="53">
        <f t="shared" si="169"/>
        <v>0</v>
      </c>
      <c r="CP345" s="53">
        <f t="shared" si="169"/>
        <v>0</v>
      </c>
      <c r="CQ345" s="53">
        <f t="shared" si="169"/>
        <v>0</v>
      </c>
      <c r="CR345" s="53">
        <f t="shared" si="169"/>
        <v>0</v>
      </c>
      <c r="CS345" s="53">
        <f t="shared" si="169"/>
        <v>0</v>
      </c>
      <c r="CT345" s="53">
        <f t="shared" si="169"/>
        <v>0</v>
      </c>
      <c r="CU345" s="53">
        <f t="shared" si="169"/>
        <v>0</v>
      </c>
      <c r="CV345" s="53">
        <f t="shared" si="169"/>
        <v>0</v>
      </c>
      <c r="CW345" s="53">
        <f t="shared" si="169"/>
        <v>0</v>
      </c>
      <c r="CX345" s="53">
        <f t="shared" si="169"/>
        <v>0</v>
      </c>
      <c r="DB345" s="2" vm="594">
        <f ca="1">IF(Returns!A349&lt;&gt;0,Returns!A349,"")</f>
        <v>42611</v>
      </c>
      <c r="DC345" s="11">
        <f ca="1">IF(Returns!B360&gt;0,Returns!B360/Returns!B359-1,"")</f>
        <v>2.8619369156033247E-2</v>
      </c>
      <c r="DD345" s="11">
        <f ca="1">IF(Returns!D352&gt;0,Returns!D352/Returns!D351-1,"")</f>
        <v>7.5950531932418297E-3</v>
      </c>
    </row>
    <row r="346" spans="2:108" x14ac:dyDescent="0.3">
      <c r="B346" s="57">
        <f t="shared" ca="1" si="135"/>
        <v>2.5177074886657911E-3</v>
      </c>
      <c r="C346" s="53">
        <f t="shared" ref="C346:BN346" si="170">IFERROR(IF(C$262=0,0,(C87-C88)/C88),0)</f>
        <v>0</v>
      </c>
      <c r="D346" s="53">
        <f t="shared" si="170"/>
        <v>0</v>
      </c>
      <c r="E346" s="53">
        <f t="shared" si="170"/>
        <v>0</v>
      </c>
      <c r="F346" s="53">
        <f t="shared" si="170"/>
        <v>0</v>
      </c>
      <c r="G346" s="53">
        <f t="shared" si="170"/>
        <v>0</v>
      </c>
      <c r="H346" s="53">
        <f t="shared" si="170"/>
        <v>0</v>
      </c>
      <c r="I346" s="53">
        <f t="shared" si="170"/>
        <v>0</v>
      </c>
      <c r="J346" s="53">
        <f t="shared" si="170"/>
        <v>0</v>
      </c>
      <c r="K346" s="53">
        <f t="shared" si="170"/>
        <v>0</v>
      </c>
      <c r="L346" s="53">
        <f t="shared" si="170"/>
        <v>0</v>
      </c>
      <c r="M346" s="53">
        <f t="shared" si="170"/>
        <v>0</v>
      </c>
      <c r="N346" s="53">
        <f t="shared" si="170"/>
        <v>0</v>
      </c>
      <c r="O346" s="53">
        <f t="shared" si="170"/>
        <v>0</v>
      </c>
      <c r="P346" s="53">
        <f t="shared" si="170"/>
        <v>0</v>
      </c>
      <c r="Q346" s="53">
        <f t="shared" si="170"/>
        <v>0</v>
      </c>
      <c r="R346" s="53">
        <f t="shared" si="170"/>
        <v>0</v>
      </c>
      <c r="S346" s="53">
        <f t="shared" si="170"/>
        <v>0</v>
      </c>
      <c r="T346" s="53">
        <f t="shared" si="170"/>
        <v>0</v>
      </c>
      <c r="U346" s="53">
        <f t="shared" si="170"/>
        <v>0</v>
      </c>
      <c r="V346" s="53">
        <f t="shared" si="170"/>
        <v>0</v>
      </c>
      <c r="W346" s="53">
        <f t="shared" si="170"/>
        <v>0</v>
      </c>
      <c r="X346" s="53">
        <f t="shared" si="170"/>
        <v>0</v>
      </c>
      <c r="Y346" s="53">
        <f t="shared" si="170"/>
        <v>0</v>
      </c>
      <c r="Z346" s="53">
        <f t="shared" si="170"/>
        <v>0</v>
      </c>
      <c r="AA346" s="53">
        <f t="shared" si="170"/>
        <v>0</v>
      </c>
      <c r="AB346" s="53">
        <f t="shared" si="170"/>
        <v>0</v>
      </c>
      <c r="AC346" s="53">
        <f t="shared" si="170"/>
        <v>0</v>
      </c>
      <c r="AD346" s="53">
        <f t="shared" si="170"/>
        <v>0</v>
      </c>
      <c r="AE346" s="53">
        <f t="shared" si="170"/>
        <v>0</v>
      </c>
      <c r="AF346" s="53">
        <f t="shared" si="170"/>
        <v>0</v>
      </c>
      <c r="AG346" s="53">
        <f t="shared" si="170"/>
        <v>0</v>
      </c>
      <c r="AH346" s="53">
        <f t="shared" si="170"/>
        <v>0</v>
      </c>
      <c r="AI346" s="53">
        <f t="shared" si="170"/>
        <v>0</v>
      </c>
      <c r="AJ346" s="53">
        <f t="shared" si="170"/>
        <v>0</v>
      </c>
      <c r="AK346" s="53">
        <f t="shared" si="170"/>
        <v>0</v>
      </c>
      <c r="AL346" s="53">
        <f t="shared" si="170"/>
        <v>0</v>
      </c>
      <c r="AM346" s="53">
        <f t="shared" si="170"/>
        <v>0</v>
      </c>
      <c r="AN346" s="53">
        <f t="shared" si="170"/>
        <v>0</v>
      </c>
      <c r="AO346" s="53">
        <f t="shared" si="170"/>
        <v>0</v>
      </c>
      <c r="AP346" s="53">
        <f t="shared" si="170"/>
        <v>0</v>
      </c>
      <c r="AQ346" s="53">
        <f t="shared" si="170"/>
        <v>0</v>
      </c>
      <c r="AR346" s="53">
        <f t="shared" si="170"/>
        <v>0</v>
      </c>
      <c r="AS346" s="53">
        <f t="shared" si="170"/>
        <v>0</v>
      </c>
      <c r="AT346" s="53">
        <f t="shared" si="170"/>
        <v>0</v>
      </c>
      <c r="AU346" s="53">
        <f t="shared" si="170"/>
        <v>0</v>
      </c>
      <c r="AV346" s="53">
        <f t="shared" si="170"/>
        <v>0</v>
      </c>
      <c r="AW346" s="53">
        <f t="shared" si="170"/>
        <v>0</v>
      </c>
      <c r="AX346" s="53">
        <f t="shared" si="170"/>
        <v>0</v>
      </c>
      <c r="AY346" s="53">
        <f t="shared" si="170"/>
        <v>0</v>
      </c>
      <c r="AZ346" s="53">
        <f t="shared" si="170"/>
        <v>0</v>
      </c>
      <c r="BA346" s="53">
        <f t="shared" si="170"/>
        <v>0</v>
      </c>
      <c r="BB346" s="53">
        <f t="shared" si="170"/>
        <v>0</v>
      </c>
      <c r="BC346" s="53">
        <f t="shared" si="170"/>
        <v>0</v>
      </c>
      <c r="BD346" s="53">
        <f t="shared" si="170"/>
        <v>0</v>
      </c>
      <c r="BE346" s="53">
        <f t="shared" si="170"/>
        <v>0</v>
      </c>
      <c r="BF346" s="53">
        <f t="shared" si="170"/>
        <v>0</v>
      </c>
      <c r="BG346" s="53">
        <f t="shared" si="170"/>
        <v>0</v>
      </c>
      <c r="BH346" s="53">
        <f t="shared" si="170"/>
        <v>0</v>
      </c>
      <c r="BI346" s="53">
        <f t="shared" si="170"/>
        <v>0</v>
      </c>
      <c r="BJ346" s="53">
        <f t="shared" si="170"/>
        <v>0</v>
      </c>
      <c r="BK346" s="53">
        <f t="shared" si="170"/>
        <v>0</v>
      </c>
      <c r="BL346" s="53">
        <f t="shared" si="170"/>
        <v>0</v>
      </c>
      <c r="BM346" s="53">
        <f t="shared" si="170"/>
        <v>0</v>
      </c>
      <c r="BN346" s="53">
        <f t="shared" si="170"/>
        <v>0</v>
      </c>
      <c r="BO346" s="53">
        <f t="shared" ref="BO346:CX346" si="171">IFERROR(IF(BO$262=0,0,(BO87-BO88)/BO88),0)</f>
        <v>0</v>
      </c>
      <c r="BP346" s="53">
        <f t="shared" si="171"/>
        <v>0</v>
      </c>
      <c r="BQ346" s="53">
        <f t="shared" si="171"/>
        <v>0</v>
      </c>
      <c r="BR346" s="53">
        <f t="shared" si="171"/>
        <v>0</v>
      </c>
      <c r="BS346" s="53">
        <f t="shared" si="171"/>
        <v>0</v>
      </c>
      <c r="BT346" s="53">
        <f t="shared" si="171"/>
        <v>0</v>
      </c>
      <c r="BU346" s="53">
        <f t="shared" si="171"/>
        <v>0</v>
      </c>
      <c r="BV346" s="53">
        <f t="shared" si="171"/>
        <v>0</v>
      </c>
      <c r="BW346" s="53">
        <f t="shared" si="171"/>
        <v>0</v>
      </c>
      <c r="BX346" s="53">
        <f t="shared" si="171"/>
        <v>0</v>
      </c>
      <c r="BY346" s="53">
        <f t="shared" si="171"/>
        <v>0</v>
      </c>
      <c r="BZ346" s="53">
        <f t="shared" si="171"/>
        <v>0</v>
      </c>
      <c r="CA346" s="53">
        <f t="shared" si="171"/>
        <v>0</v>
      </c>
      <c r="CB346" s="53">
        <f t="shared" si="171"/>
        <v>0</v>
      </c>
      <c r="CC346" s="53">
        <f t="shared" si="171"/>
        <v>0</v>
      </c>
      <c r="CD346" s="53">
        <f t="shared" si="171"/>
        <v>0</v>
      </c>
      <c r="CE346" s="53">
        <f t="shared" si="171"/>
        <v>0</v>
      </c>
      <c r="CF346" s="53">
        <f t="shared" si="171"/>
        <v>0</v>
      </c>
      <c r="CG346" s="53">
        <f t="shared" si="171"/>
        <v>0</v>
      </c>
      <c r="CH346" s="53">
        <f t="shared" si="171"/>
        <v>0</v>
      </c>
      <c r="CI346" s="53">
        <f t="shared" si="171"/>
        <v>0</v>
      </c>
      <c r="CJ346" s="53">
        <f t="shared" si="171"/>
        <v>0</v>
      </c>
      <c r="CK346" s="53">
        <f t="shared" si="171"/>
        <v>0</v>
      </c>
      <c r="CL346" s="53">
        <f t="shared" si="171"/>
        <v>0</v>
      </c>
      <c r="CM346" s="53">
        <f t="shared" si="171"/>
        <v>0</v>
      </c>
      <c r="CN346" s="53">
        <f t="shared" si="171"/>
        <v>0</v>
      </c>
      <c r="CO346" s="53">
        <f t="shared" si="171"/>
        <v>0</v>
      </c>
      <c r="CP346" s="53">
        <f t="shared" si="171"/>
        <v>0</v>
      </c>
      <c r="CQ346" s="53">
        <f t="shared" si="171"/>
        <v>0</v>
      </c>
      <c r="CR346" s="53">
        <f t="shared" si="171"/>
        <v>0</v>
      </c>
      <c r="CS346" s="53">
        <f t="shared" si="171"/>
        <v>0</v>
      </c>
      <c r="CT346" s="53">
        <f t="shared" si="171"/>
        <v>0</v>
      </c>
      <c r="CU346" s="53">
        <f t="shared" si="171"/>
        <v>0</v>
      </c>
      <c r="CV346" s="53">
        <f t="shared" si="171"/>
        <v>0</v>
      </c>
      <c r="CW346" s="53">
        <f t="shared" si="171"/>
        <v>0</v>
      </c>
      <c r="CX346" s="53">
        <f t="shared" si="171"/>
        <v>0</v>
      </c>
      <c r="DB346" s="2" vm="595">
        <f ca="1">IF(Returns!A350&lt;&gt;0,Returns!A350,"")</f>
        <v>42619</v>
      </c>
      <c r="DC346" s="11">
        <f ca="1">IF(Returns!B361&gt;0,Returns!B361/Returns!B360-1,"")</f>
        <v>2.6586508103557227E-2</v>
      </c>
      <c r="DD346" s="11">
        <f ca="1">IF(Returns!D353&gt;0,Returns!D353/Returns!D352-1,"")</f>
        <v>2.557601141802035E-3</v>
      </c>
    </row>
    <row r="347" spans="2:108" x14ac:dyDescent="0.3">
      <c r="B347" s="57">
        <f t="shared" ca="1" si="135"/>
        <v>8.6466576271980228E-4</v>
      </c>
      <c r="C347" s="53">
        <f t="shared" ref="C347:BN347" si="172">IFERROR(IF(C$262=0,0,(C88-C89)/C89),0)</f>
        <v>0</v>
      </c>
      <c r="D347" s="53">
        <f t="shared" si="172"/>
        <v>0</v>
      </c>
      <c r="E347" s="53">
        <f t="shared" si="172"/>
        <v>0</v>
      </c>
      <c r="F347" s="53">
        <f t="shared" si="172"/>
        <v>0</v>
      </c>
      <c r="G347" s="53">
        <f t="shared" si="172"/>
        <v>0</v>
      </c>
      <c r="H347" s="53">
        <f t="shared" si="172"/>
        <v>0</v>
      </c>
      <c r="I347" s="53">
        <f t="shared" si="172"/>
        <v>0</v>
      </c>
      <c r="J347" s="53">
        <f t="shared" si="172"/>
        <v>0</v>
      </c>
      <c r="K347" s="53">
        <f t="shared" si="172"/>
        <v>0</v>
      </c>
      <c r="L347" s="53">
        <f t="shared" si="172"/>
        <v>0</v>
      </c>
      <c r="M347" s="53">
        <f t="shared" si="172"/>
        <v>0</v>
      </c>
      <c r="N347" s="53">
        <f t="shared" si="172"/>
        <v>0</v>
      </c>
      <c r="O347" s="53">
        <f t="shared" si="172"/>
        <v>0</v>
      </c>
      <c r="P347" s="53">
        <f t="shared" si="172"/>
        <v>0</v>
      </c>
      <c r="Q347" s="53">
        <f t="shared" si="172"/>
        <v>0</v>
      </c>
      <c r="R347" s="53">
        <f t="shared" si="172"/>
        <v>0</v>
      </c>
      <c r="S347" s="53">
        <f t="shared" si="172"/>
        <v>0</v>
      </c>
      <c r="T347" s="53">
        <f t="shared" si="172"/>
        <v>0</v>
      </c>
      <c r="U347" s="53">
        <f t="shared" si="172"/>
        <v>0</v>
      </c>
      <c r="V347" s="53">
        <f t="shared" si="172"/>
        <v>0</v>
      </c>
      <c r="W347" s="53">
        <f t="shared" si="172"/>
        <v>0</v>
      </c>
      <c r="X347" s="53">
        <f t="shared" si="172"/>
        <v>0</v>
      </c>
      <c r="Y347" s="53">
        <f t="shared" si="172"/>
        <v>0</v>
      </c>
      <c r="Z347" s="53">
        <f t="shared" si="172"/>
        <v>0</v>
      </c>
      <c r="AA347" s="53">
        <f t="shared" si="172"/>
        <v>0</v>
      </c>
      <c r="AB347" s="53">
        <f t="shared" si="172"/>
        <v>0</v>
      </c>
      <c r="AC347" s="53">
        <f t="shared" si="172"/>
        <v>0</v>
      </c>
      <c r="AD347" s="53">
        <f t="shared" si="172"/>
        <v>0</v>
      </c>
      <c r="AE347" s="53">
        <f t="shared" si="172"/>
        <v>0</v>
      </c>
      <c r="AF347" s="53">
        <f t="shared" si="172"/>
        <v>0</v>
      </c>
      <c r="AG347" s="53">
        <f t="shared" si="172"/>
        <v>0</v>
      </c>
      <c r="AH347" s="53">
        <f t="shared" si="172"/>
        <v>0</v>
      </c>
      <c r="AI347" s="53">
        <f t="shared" si="172"/>
        <v>0</v>
      </c>
      <c r="AJ347" s="53">
        <f t="shared" si="172"/>
        <v>0</v>
      </c>
      <c r="AK347" s="53">
        <f t="shared" si="172"/>
        <v>0</v>
      </c>
      <c r="AL347" s="53">
        <f t="shared" si="172"/>
        <v>0</v>
      </c>
      <c r="AM347" s="53">
        <f t="shared" si="172"/>
        <v>0</v>
      </c>
      <c r="AN347" s="53">
        <f t="shared" si="172"/>
        <v>0</v>
      </c>
      <c r="AO347" s="53">
        <f t="shared" si="172"/>
        <v>0</v>
      </c>
      <c r="AP347" s="53">
        <f t="shared" si="172"/>
        <v>0</v>
      </c>
      <c r="AQ347" s="53">
        <f t="shared" si="172"/>
        <v>0</v>
      </c>
      <c r="AR347" s="53">
        <f t="shared" si="172"/>
        <v>0</v>
      </c>
      <c r="AS347" s="53">
        <f t="shared" si="172"/>
        <v>0</v>
      </c>
      <c r="AT347" s="53">
        <f t="shared" si="172"/>
        <v>0</v>
      </c>
      <c r="AU347" s="53">
        <f t="shared" si="172"/>
        <v>0</v>
      </c>
      <c r="AV347" s="53">
        <f t="shared" si="172"/>
        <v>0</v>
      </c>
      <c r="AW347" s="53">
        <f t="shared" si="172"/>
        <v>0</v>
      </c>
      <c r="AX347" s="53">
        <f t="shared" si="172"/>
        <v>0</v>
      </c>
      <c r="AY347" s="53">
        <f t="shared" si="172"/>
        <v>0</v>
      </c>
      <c r="AZ347" s="53">
        <f t="shared" si="172"/>
        <v>0</v>
      </c>
      <c r="BA347" s="53">
        <f t="shared" si="172"/>
        <v>0</v>
      </c>
      <c r="BB347" s="53">
        <f t="shared" si="172"/>
        <v>0</v>
      </c>
      <c r="BC347" s="53">
        <f t="shared" si="172"/>
        <v>0</v>
      </c>
      <c r="BD347" s="53">
        <f t="shared" si="172"/>
        <v>0</v>
      </c>
      <c r="BE347" s="53">
        <f t="shared" si="172"/>
        <v>0</v>
      </c>
      <c r="BF347" s="53">
        <f t="shared" si="172"/>
        <v>0</v>
      </c>
      <c r="BG347" s="53">
        <f t="shared" si="172"/>
        <v>0</v>
      </c>
      <c r="BH347" s="53">
        <f t="shared" si="172"/>
        <v>0</v>
      </c>
      <c r="BI347" s="53">
        <f t="shared" si="172"/>
        <v>0</v>
      </c>
      <c r="BJ347" s="53">
        <f t="shared" si="172"/>
        <v>0</v>
      </c>
      <c r="BK347" s="53">
        <f t="shared" si="172"/>
        <v>0</v>
      </c>
      <c r="BL347" s="53">
        <f t="shared" si="172"/>
        <v>0</v>
      </c>
      <c r="BM347" s="53">
        <f t="shared" si="172"/>
        <v>0</v>
      </c>
      <c r="BN347" s="53">
        <f t="shared" si="172"/>
        <v>0</v>
      </c>
      <c r="BO347" s="53">
        <f t="shared" ref="BO347:CX347" si="173">IFERROR(IF(BO$262=0,0,(BO88-BO89)/BO89),0)</f>
        <v>0</v>
      </c>
      <c r="BP347" s="53">
        <f t="shared" si="173"/>
        <v>0</v>
      </c>
      <c r="BQ347" s="53">
        <f t="shared" si="173"/>
        <v>0</v>
      </c>
      <c r="BR347" s="53">
        <f t="shared" si="173"/>
        <v>0</v>
      </c>
      <c r="BS347" s="53">
        <f t="shared" si="173"/>
        <v>0</v>
      </c>
      <c r="BT347" s="53">
        <f t="shared" si="173"/>
        <v>0</v>
      </c>
      <c r="BU347" s="53">
        <f t="shared" si="173"/>
        <v>0</v>
      </c>
      <c r="BV347" s="53">
        <f t="shared" si="173"/>
        <v>0</v>
      </c>
      <c r="BW347" s="53">
        <f t="shared" si="173"/>
        <v>0</v>
      </c>
      <c r="BX347" s="53">
        <f t="shared" si="173"/>
        <v>0</v>
      </c>
      <c r="BY347" s="53">
        <f t="shared" si="173"/>
        <v>0</v>
      </c>
      <c r="BZ347" s="53">
        <f t="shared" si="173"/>
        <v>0</v>
      </c>
      <c r="CA347" s="53">
        <f t="shared" si="173"/>
        <v>0</v>
      </c>
      <c r="CB347" s="53">
        <f t="shared" si="173"/>
        <v>0</v>
      </c>
      <c r="CC347" s="53">
        <f t="shared" si="173"/>
        <v>0</v>
      </c>
      <c r="CD347" s="53">
        <f t="shared" si="173"/>
        <v>0</v>
      </c>
      <c r="CE347" s="53">
        <f t="shared" si="173"/>
        <v>0</v>
      </c>
      <c r="CF347" s="53">
        <f t="shared" si="173"/>
        <v>0</v>
      </c>
      <c r="CG347" s="53">
        <f t="shared" si="173"/>
        <v>0</v>
      </c>
      <c r="CH347" s="53">
        <f t="shared" si="173"/>
        <v>0</v>
      </c>
      <c r="CI347" s="53">
        <f t="shared" si="173"/>
        <v>0</v>
      </c>
      <c r="CJ347" s="53">
        <f t="shared" si="173"/>
        <v>0</v>
      </c>
      <c r="CK347" s="53">
        <f t="shared" si="173"/>
        <v>0</v>
      </c>
      <c r="CL347" s="53">
        <f t="shared" si="173"/>
        <v>0</v>
      </c>
      <c r="CM347" s="53">
        <f t="shared" si="173"/>
        <v>0</v>
      </c>
      <c r="CN347" s="53">
        <f t="shared" si="173"/>
        <v>0</v>
      </c>
      <c r="CO347" s="53">
        <f t="shared" si="173"/>
        <v>0</v>
      </c>
      <c r="CP347" s="53">
        <f t="shared" si="173"/>
        <v>0</v>
      </c>
      <c r="CQ347" s="53">
        <f t="shared" si="173"/>
        <v>0</v>
      </c>
      <c r="CR347" s="53">
        <f t="shared" si="173"/>
        <v>0</v>
      </c>
      <c r="CS347" s="53">
        <f t="shared" si="173"/>
        <v>0</v>
      </c>
      <c r="CT347" s="53">
        <f t="shared" si="173"/>
        <v>0</v>
      </c>
      <c r="CU347" s="53">
        <f t="shared" si="173"/>
        <v>0</v>
      </c>
      <c r="CV347" s="53">
        <f t="shared" si="173"/>
        <v>0</v>
      </c>
      <c r="CW347" s="53">
        <f t="shared" si="173"/>
        <v>0</v>
      </c>
      <c r="CX347" s="53">
        <f t="shared" si="173"/>
        <v>0</v>
      </c>
      <c r="DB347" s="2" vm="596">
        <f ca="1">IF(Returns!A351&lt;&gt;0,Returns!A351,"")</f>
        <v>42625</v>
      </c>
      <c r="DC347" s="11">
        <f ca="1">IF(Returns!B362&gt;0,Returns!B362/Returns!B361-1,"")</f>
        <v>-5.1296180017171289E-2</v>
      </c>
      <c r="DD347" s="11">
        <f ca="1">IF(Returns!D354&gt;0,Returns!D354/Returns!D353-1,"")</f>
        <v>-3.6956976775167627E-3</v>
      </c>
    </row>
    <row r="348" spans="2:108" x14ac:dyDescent="0.3">
      <c r="B348" s="57">
        <f t="shared" ca="1" si="135"/>
        <v>6.8791594068845963E-4</v>
      </c>
      <c r="C348" s="53">
        <f t="shared" ref="C348:BN348" si="174">IFERROR(IF(C$262=0,0,(C89-C90)/C90),0)</f>
        <v>0</v>
      </c>
      <c r="D348" s="53">
        <f t="shared" si="174"/>
        <v>0</v>
      </c>
      <c r="E348" s="53">
        <f t="shared" si="174"/>
        <v>0</v>
      </c>
      <c r="F348" s="53">
        <f t="shared" si="174"/>
        <v>0</v>
      </c>
      <c r="G348" s="53">
        <f t="shared" si="174"/>
        <v>0</v>
      </c>
      <c r="H348" s="53">
        <f t="shared" si="174"/>
        <v>0</v>
      </c>
      <c r="I348" s="53">
        <f t="shared" si="174"/>
        <v>0</v>
      </c>
      <c r="J348" s="53">
        <f t="shared" si="174"/>
        <v>0</v>
      </c>
      <c r="K348" s="53">
        <f t="shared" si="174"/>
        <v>0</v>
      </c>
      <c r="L348" s="53">
        <f t="shared" si="174"/>
        <v>0</v>
      </c>
      <c r="M348" s="53">
        <f t="shared" si="174"/>
        <v>0</v>
      </c>
      <c r="N348" s="53">
        <f t="shared" si="174"/>
        <v>0</v>
      </c>
      <c r="O348" s="53">
        <f t="shared" si="174"/>
        <v>0</v>
      </c>
      <c r="P348" s="53">
        <f t="shared" si="174"/>
        <v>0</v>
      </c>
      <c r="Q348" s="53">
        <f t="shared" si="174"/>
        <v>0</v>
      </c>
      <c r="R348" s="53">
        <f t="shared" si="174"/>
        <v>0</v>
      </c>
      <c r="S348" s="53">
        <f t="shared" si="174"/>
        <v>0</v>
      </c>
      <c r="T348" s="53">
        <f t="shared" si="174"/>
        <v>0</v>
      </c>
      <c r="U348" s="53">
        <f t="shared" si="174"/>
        <v>0</v>
      </c>
      <c r="V348" s="53">
        <f t="shared" si="174"/>
        <v>0</v>
      </c>
      <c r="W348" s="53">
        <f t="shared" si="174"/>
        <v>0</v>
      </c>
      <c r="X348" s="53">
        <f t="shared" si="174"/>
        <v>0</v>
      </c>
      <c r="Y348" s="53">
        <f t="shared" si="174"/>
        <v>0</v>
      </c>
      <c r="Z348" s="53">
        <f t="shared" si="174"/>
        <v>0</v>
      </c>
      <c r="AA348" s="53">
        <f t="shared" si="174"/>
        <v>0</v>
      </c>
      <c r="AB348" s="53">
        <f t="shared" si="174"/>
        <v>0</v>
      </c>
      <c r="AC348" s="53">
        <f t="shared" si="174"/>
        <v>0</v>
      </c>
      <c r="AD348" s="53">
        <f t="shared" si="174"/>
        <v>0</v>
      </c>
      <c r="AE348" s="53">
        <f t="shared" si="174"/>
        <v>0</v>
      </c>
      <c r="AF348" s="53">
        <f t="shared" si="174"/>
        <v>0</v>
      </c>
      <c r="AG348" s="53">
        <f t="shared" si="174"/>
        <v>0</v>
      </c>
      <c r="AH348" s="53">
        <f t="shared" si="174"/>
        <v>0</v>
      </c>
      <c r="AI348" s="53">
        <f t="shared" si="174"/>
        <v>0</v>
      </c>
      <c r="AJ348" s="53">
        <f t="shared" si="174"/>
        <v>0</v>
      </c>
      <c r="AK348" s="53">
        <f t="shared" si="174"/>
        <v>0</v>
      </c>
      <c r="AL348" s="53">
        <f t="shared" si="174"/>
        <v>0</v>
      </c>
      <c r="AM348" s="53">
        <f t="shared" si="174"/>
        <v>0</v>
      </c>
      <c r="AN348" s="53">
        <f t="shared" si="174"/>
        <v>0</v>
      </c>
      <c r="AO348" s="53">
        <f t="shared" si="174"/>
        <v>0</v>
      </c>
      <c r="AP348" s="53">
        <f t="shared" si="174"/>
        <v>0</v>
      </c>
      <c r="AQ348" s="53">
        <f t="shared" si="174"/>
        <v>0</v>
      </c>
      <c r="AR348" s="53">
        <f t="shared" si="174"/>
        <v>0</v>
      </c>
      <c r="AS348" s="53">
        <f t="shared" si="174"/>
        <v>0</v>
      </c>
      <c r="AT348" s="53">
        <f t="shared" si="174"/>
        <v>0</v>
      </c>
      <c r="AU348" s="53">
        <f t="shared" si="174"/>
        <v>0</v>
      </c>
      <c r="AV348" s="53">
        <f t="shared" si="174"/>
        <v>0</v>
      </c>
      <c r="AW348" s="53">
        <f t="shared" si="174"/>
        <v>0</v>
      </c>
      <c r="AX348" s="53">
        <f t="shared" si="174"/>
        <v>0</v>
      </c>
      <c r="AY348" s="53">
        <f t="shared" si="174"/>
        <v>0</v>
      </c>
      <c r="AZ348" s="53">
        <f t="shared" si="174"/>
        <v>0</v>
      </c>
      <c r="BA348" s="53">
        <f t="shared" si="174"/>
        <v>0</v>
      </c>
      <c r="BB348" s="53">
        <f t="shared" si="174"/>
        <v>0</v>
      </c>
      <c r="BC348" s="53">
        <f t="shared" si="174"/>
        <v>0</v>
      </c>
      <c r="BD348" s="53">
        <f t="shared" si="174"/>
        <v>0</v>
      </c>
      <c r="BE348" s="53">
        <f t="shared" si="174"/>
        <v>0</v>
      </c>
      <c r="BF348" s="53">
        <f t="shared" si="174"/>
        <v>0</v>
      </c>
      <c r="BG348" s="53">
        <f t="shared" si="174"/>
        <v>0</v>
      </c>
      <c r="BH348" s="53">
        <f t="shared" si="174"/>
        <v>0</v>
      </c>
      <c r="BI348" s="53">
        <f t="shared" si="174"/>
        <v>0</v>
      </c>
      <c r="BJ348" s="53">
        <f t="shared" si="174"/>
        <v>0</v>
      </c>
      <c r="BK348" s="53">
        <f t="shared" si="174"/>
        <v>0</v>
      </c>
      <c r="BL348" s="53">
        <f t="shared" si="174"/>
        <v>0</v>
      </c>
      <c r="BM348" s="53">
        <f t="shared" si="174"/>
        <v>0</v>
      </c>
      <c r="BN348" s="53">
        <f t="shared" si="174"/>
        <v>0</v>
      </c>
      <c r="BO348" s="53">
        <f t="shared" ref="BO348:CX348" si="175">IFERROR(IF(BO$262=0,0,(BO89-BO90)/BO90),0)</f>
        <v>0</v>
      </c>
      <c r="BP348" s="53">
        <f t="shared" si="175"/>
        <v>0</v>
      </c>
      <c r="BQ348" s="53">
        <f t="shared" si="175"/>
        <v>0</v>
      </c>
      <c r="BR348" s="53">
        <f t="shared" si="175"/>
        <v>0</v>
      </c>
      <c r="BS348" s="53">
        <f t="shared" si="175"/>
        <v>0</v>
      </c>
      <c r="BT348" s="53">
        <f t="shared" si="175"/>
        <v>0</v>
      </c>
      <c r="BU348" s="53">
        <f t="shared" si="175"/>
        <v>0</v>
      </c>
      <c r="BV348" s="53">
        <f t="shared" si="175"/>
        <v>0</v>
      </c>
      <c r="BW348" s="53">
        <f t="shared" si="175"/>
        <v>0</v>
      </c>
      <c r="BX348" s="53">
        <f t="shared" si="175"/>
        <v>0</v>
      </c>
      <c r="BY348" s="53">
        <f t="shared" si="175"/>
        <v>0</v>
      </c>
      <c r="BZ348" s="53">
        <f t="shared" si="175"/>
        <v>0</v>
      </c>
      <c r="CA348" s="53">
        <f t="shared" si="175"/>
        <v>0</v>
      </c>
      <c r="CB348" s="53">
        <f t="shared" si="175"/>
        <v>0</v>
      </c>
      <c r="CC348" s="53">
        <f t="shared" si="175"/>
        <v>0</v>
      </c>
      <c r="CD348" s="53">
        <f t="shared" si="175"/>
        <v>0</v>
      </c>
      <c r="CE348" s="53">
        <f t="shared" si="175"/>
        <v>0</v>
      </c>
      <c r="CF348" s="53">
        <f t="shared" si="175"/>
        <v>0</v>
      </c>
      <c r="CG348" s="53">
        <f t="shared" si="175"/>
        <v>0</v>
      </c>
      <c r="CH348" s="53">
        <f t="shared" si="175"/>
        <v>0</v>
      </c>
      <c r="CI348" s="53">
        <f t="shared" si="175"/>
        <v>0</v>
      </c>
      <c r="CJ348" s="53">
        <f t="shared" si="175"/>
        <v>0</v>
      </c>
      <c r="CK348" s="53">
        <f t="shared" si="175"/>
        <v>0</v>
      </c>
      <c r="CL348" s="53">
        <f t="shared" si="175"/>
        <v>0</v>
      </c>
      <c r="CM348" s="53">
        <f t="shared" si="175"/>
        <v>0</v>
      </c>
      <c r="CN348" s="53">
        <f t="shared" si="175"/>
        <v>0</v>
      </c>
      <c r="CO348" s="53">
        <f t="shared" si="175"/>
        <v>0</v>
      </c>
      <c r="CP348" s="53">
        <f t="shared" si="175"/>
        <v>0</v>
      </c>
      <c r="CQ348" s="53">
        <f t="shared" si="175"/>
        <v>0</v>
      </c>
      <c r="CR348" s="53">
        <f t="shared" si="175"/>
        <v>0</v>
      </c>
      <c r="CS348" s="53">
        <f t="shared" si="175"/>
        <v>0</v>
      </c>
      <c r="CT348" s="53">
        <f t="shared" si="175"/>
        <v>0</v>
      </c>
      <c r="CU348" s="53">
        <f t="shared" si="175"/>
        <v>0</v>
      </c>
      <c r="CV348" s="53">
        <f t="shared" si="175"/>
        <v>0</v>
      </c>
      <c r="CW348" s="53">
        <f t="shared" si="175"/>
        <v>0</v>
      </c>
      <c r="CX348" s="53">
        <f t="shared" si="175"/>
        <v>0</v>
      </c>
      <c r="DB348" s="2" vm="597">
        <f ca="1">IF(Returns!A352&lt;&gt;0,Returns!A352,"")</f>
        <v>42632</v>
      </c>
      <c r="DC348" s="11">
        <f ca="1">IF(Returns!B363&gt;0,Returns!B363/Returns!B362-1,"")</f>
        <v>3.8252694707836765E-2</v>
      </c>
      <c r="DD348" s="11">
        <f ca="1">IF(Returns!D355&gt;0,Returns!D355/Returns!D354-1,"")</f>
        <v>-5.597897249701278E-3</v>
      </c>
    </row>
    <row r="349" spans="2:108" x14ac:dyDescent="0.3">
      <c r="B349" s="57">
        <f t="shared" ca="1" si="135"/>
        <v>1.1602166995822535E-4</v>
      </c>
      <c r="C349" s="53">
        <f t="shared" ref="C349:BN349" si="176">IFERROR(IF(C$262=0,0,(C90-C91)/C91),0)</f>
        <v>0</v>
      </c>
      <c r="D349" s="53">
        <f t="shared" si="176"/>
        <v>0</v>
      </c>
      <c r="E349" s="53">
        <f t="shared" si="176"/>
        <v>0</v>
      </c>
      <c r="F349" s="53">
        <f t="shared" si="176"/>
        <v>0</v>
      </c>
      <c r="G349" s="53">
        <f t="shared" si="176"/>
        <v>0</v>
      </c>
      <c r="H349" s="53">
        <f t="shared" si="176"/>
        <v>0</v>
      </c>
      <c r="I349" s="53">
        <f t="shared" si="176"/>
        <v>0</v>
      </c>
      <c r="J349" s="53">
        <f t="shared" si="176"/>
        <v>0</v>
      </c>
      <c r="K349" s="53">
        <f t="shared" si="176"/>
        <v>0</v>
      </c>
      <c r="L349" s="53">
        <f t="shared" si="176"/>
        <v>0</v>
      </c>
      <c r="M349" s="53">
        <f t="shared" si="176"/>
        <v>0</v>
      </c>
      <c r="N349" s="53">
        <f t="shared" si="176"/>
        <v>0</v>
      </c>
      <c r="O349" s="53">
        <f t="shared" si="176"/>
        <v>0</v>
      </c>
      <c r="P349" s="53">
        <f t="shared" si="176"/>
        <v>0</v>
      </c>
      <c r="Q349" s="53">
        <f t="shared" si="176"/>
        <v>0</v>
      </c>
      <c r="R349" s="53">
        <f t="shared" si="176"/>
        <v>0</v>
      </c>
      <c r="S349" s="53">
        <f t="shared" si="176"/>
        <v>0</v>
      </c>
      <c r="T349" s="53">
        <f t="shared" si="176"/>
        <v>0</v>
      </c>
      <c r="U349" s="53">
        <f t="shared" si="176"/>
        <v>0</v>
      </c>
      <c r="V349" s="53">
        <f t="shared" si="176"/>
        <v>0</v>
      </c>
      <c r="W349" s="53">
        <f t="shared" si="176"/>
        <v>0</v>
      </c>
      <c r="X349" s="53">
        <f t="shared" si="176"/>
        <v>0</v>
      </c>
      <c r="Y349" s="53">
        <f t="shared" si="176"/>
        <v>0</v>
      </c>
      <c r="Z349" s="53">
        <f t="shared" si="176"/>
        <v>0</v>
      </c>
      <c r="AA349" s="53">
        <f t="shared" si="176"/>
        <v>0</v>
      </c>
      <c r="AB349" s="53">
        <f t="shared" si="176"/>
        <v>0</v>
      </c>
      <c r="AC349" s="53">
        <f t="shared" si="176"/>
        <v>0</v>
      </c>
      <c r="AD349" s="53">
        <f t="shared" si="176"/>
        <v>0</v>
      </c>
      <c r="AE349" s="53">
        <f t="shared" si="176"/>
        <v>0</v>
      </c>
      <c r="AF349" s="53">
        <f t="shared" si="176"/>
        <v>0</v>
      </c>
      <c r="AG349" s="53">
        <f t="shared" si="176"/>
        <v>0</v>
      </c>
      <c r="AH349" s="53">
        <f t="shared" si="176"/>
        <v>0</v>
      </c>
      <c r="AI349" s="53">
        <f t="shared" si="176"/>
        <v>0</v>
      </c>
      <c r="AJ349" s="53">
        <f t="shared" si="176"/>
        <v>0</v>
      </c>
      <c r="AK349" s="53">
        <f t="shared" si="176"/>
        <v>0</v>
      </c>
      <c r="AL349" s="53">
        <f t="shared" si="176"/>
        <v>0</v>
      </c>
      <c r="AM349" s="53">
        <f t="shared" si="176"/>
        <v>0</v>
      </c>
      <c r="AN349" s="53">
        <f t="shared" si="176"/>
        <v>0</v>
      </c>
      <c r="AO349" s="53">
        <f t="shared" si="176"/>
        <v>0</v>
      </c>
      <c r="AP349" s="53">
        <f t="shared" si="176"/>
        <v>0</v>
      </c>
      <c r="AQ349" s="53">
        <f t="shared" si="176"/>
        <v>0</v>
      </c>
      <c r="AR349" s="53">
        <f t="shared" si="176"/>
        <v>0</v>
      </c>
      <c r="AS349" s="53">
        <f t="shared" si="176"/>
        <v>0</v>
      </c>
      <c r="AT349" s="53">
        <f t="shared" si="176"/>
        <v>0</v>
      </c>
      <c r="AU349" s="53">
        <f t="shared" si="176"/>
        <v>0</v>
      </c>
      <c r="AV349" s="53">
        <f t="shared" si="176"/>
        <v>0</v>
      </c>
      <c r="AW349" s="53">
        <f t="shared" si="176"/>
        <v>0</v>
      </c>
      <c r="AX349" s="53">
        <f t="shared" si="176"/>
        <v>0</v>
      </c>
      <c r="AY349" s="53">
        <f t="shared" si="176"/>
        <v>0</v>
      </c>
      <c r="AZ349" s="53">
        <f t="shared" si="176"/>
        <v>0</v>
      </c>
      <c r="BA349" s="53">
        <f t="shared" si="176"/>
        <v>0</v>
      </c>
      <c r="BB349" s="53">
        <f t="shared" si="176"/>
        <v>0</v>
      </c>
      <c r="BC349" s="53">
        <f t="shared" si="176"/>
        <v>0</v>
      </c>
      <c r="BD349" s="53">
        <f t="shared" si="176"/>
        <v>0</v>
      </c>
      <c r="BE349" s="53">
        <f t="shared" si="176"/>
        <v>0</v>
      </c>
      <c r="BF349" s="53">
        <f t="shared" si="176"/>
        <v>0</v>
      </c>
      <c r="BG349" s="53">
        <f t="shared" si="176"/>
        <v>0</v>
      </c>
      <c r="BH349" s="53">
        <f t="shared" si="176"/>
        <v>0</v>
      </c>
      <c r="BI349" s="53">
        <f t="shared" si="176"/>
        <v>0</v>
      </c>
      <c r="BJ349" s="53">
        <f t="shared" si="176"/>
        <v>0</v>
      </c>
      <c r="BK349" s="53">
        <f t="shared" si="176"/>
        <v>0</v>
      </c>
      <c r="BL349" s="53">
        <f t="shared" si="176"/>
        <v>0</v>
      </c>
      <c r="BM349" s="53">
        <f t="shared" si="176"/>
        <v>0</v>
      </c>
      <c r="BN349" s="53">
        <f t="shared" si="176"/>
        <v>0</v>
      </c>
      <c r="BO349" s="53">
        <f t="shared" ref="BO349:CX349" si="177">IFERROR(IF(BO$262=0,0,(BO90-BO91)/BO91),0)</f>
        <v>0</v>
      </c>
      <c r="BP349" s="53">
        <f t="shared" si="177"/>
        <v>0</v>
      </c>
      <c r="BQ349" s="53">
        <f t="shared" si="177"/>
        <v>0</v>
      </c>
      <c r="BR349" s="53">
        <f t="shared" si="177"/>
        <v>0</v>
      </c>
      <c r="BS349" s="53">
        <f t="shared" si="177"/>
        <v>0</v>
      </c>
      <c r="BT349" s="53">
        <f t="shared" si="177"/>
        <v>0</v>
      </c>
      <c r="BU349" s="53">
        <f t="shared" si="177"/>
        <v>0</v>
      </c>
      <c r="BV349" s="53">
        <f t="shared" si="177"/>
        <v>0</v>
      </c>
      <c r="BW349" s="53">
        <f t="shared" si="177"/>
        <v>0</v>
      </c>
      <c r="BX349" s="53">
        <f t="shared" si="177"/>
        <v>0</v>
      </c>
      <c r="BY349" s="53">
        <f t="shared" si="177"/>
        <v>0</v>
      </c>
      <c r="BZ349" s="53">
        <f t="shared" si="177"/>
        <v>0</v>
      </c>
      <c r="CA349" s="53">
        <f t="shared" si="177"/>
        <v>0</v>
      </c>
      <c r="CB349" s="53">
        <f t="shared" si="177"/>
        <v>0</v>
      </c>
      <c r="CC349" s="53">
        <f t="shared" si="177"/>
        <v>0</v>
      </c>
      <c r="CD349" s="53">
        <f t="shared" si="177"/>
        <v>0</v>
      </c>
      <c r="CE349" s="53">
        <f t="shared" si="177"/>
        <v>0</v>
      </c>
      <c r="CF349" s="53">
        <f t="shared" si="177"/>
        <v>0</v>
      </c>
      <c r="CG349" s="53">
        <f t="shared" si="177"/>
        <v>0</v>
      </c>
      <c r="CH349" s="53">
        <f t="shared" si="177"/>
        <v>0</v>
      </c>
      <c r="CI349" s="53">
        <f t="shared" si="177"/>
        <v>0</v>
      </c>
      <c r="CJ349" s="53">
        <f t="shared" si="177"/>
        <v>0</v>
      </c>
      <c r="CK349" s="53">
        <f t="shared" si="177"/>
        <v>0</v>
      </c>
      <c r="CL349" s="53">
        <f t="shared" si="177"/>
        <v>0</v>
      </c>
      <c r="CM349" s="53">
        <f t="shared" si="177"/>
        <v>0</v>
      </c>
      <c r="CN349" s="53">
        <f t="shared" si="177"/>
        <v>0</v>
      </c>
      <c r="CO349" s="53">
        <f t="shared" si="177"/>
        <v>0</v>
      </c>
      <c r="CP349" s="53">
        <f t="shared" si="177"/>
        <v>0</v>
      </c>
      <c r="CQ349" s="53">
        <f t="shared" si="177"/>
        <v>0</v>
      </c>
      <c r="CR349" s="53">
        <f t="shared" si="177"/>
        <v>0</v>
      </c>
      <c r="CS349" s="53">
        <f t="shared" si="177"/>
        <v>0</v>
      </c>
      <c r="CT349" s="53">
        <f t="shared" si="177"/>
        <v>0</v>
      </c>
      <c r="CU349" s="53">
        <f t="shared" si="177"/>
        <v>0</v>
      </c>
      <c r="CV349" s="53">
        <f t="shared" si="177"/>
        <v>0</v>
      </c>
      <c r="CW349" s="53">
        <f t="shared" si="177"/>
        <v>0</v>
      </c>
      <c r="CX349" s="53">
        <f t="shared" si="177"/>
        <v>0</v>
      </c>
      <c r="DB349" s="2" vm="598">
        <f ca="1">IF(Returns!A353&lt;&gt;0,Returns!A353,"")</f>
        <v>42639</v>
      </c>
      <c r="DC349" s="11">
        <f ca="1">IF(Returns!B364&gt;0,Returns!B364/Returns!B363-1,"")</f>
        <v>-1.4167512294122275E-2</v>
      </c>
      <c r="DD349" s="11">
        <f ca="1">IF(Returns!D356&gt;0,Returns!D356/Returns!D355-1,"")</f>
        <v>4.0398858914847402E-4</v>
      </c>
    </row>
    <row r="350" spans="2:108" x14ac:dyDescent="0.3">
      <c r="B350" s="57">
        <f t="shared" ca="1" si="135"/>
        <v>3.2697590660292469E-3</v>
      </c>
      <c r="C350" s="53">
        <f t="shared" ref="C350:BN350" si="178">IFERROR(IF(C$262=0,0,(C91-C92)/C92),0)</f>
        <v>0</v>
      </c>
      <c r="D350" s="53">
        <f t="shared" si="178"/>
        <v>0</v>
      </c>
      <c r="E350" s="53">
        <f t="shared" si="178"/>
        <v>0</v>
      </c>
      <c r="F350" s="53">
        <f t="shared" si="178"/>
        <v>0</v>
      </c>
      <c r="G350" s="53">
        <f t="shared" si="178"/>
        <v>0</v>
      </c>
      <c r="H350" s="53">
        <f t="shared" si="178"/>
        <v>0</v>
      </c>
      <c r="I350" s="53">
        <f t="shared" si="178"/>
        <v>0</v>
      </c>
      <c r="J350" s="53">
        <f t="shared" si="178"/>
        <v>0</v>
      </c>
      <c r="K350" s="53">
        <f t="shared" si="178"/>
        <v>0</v>
      </c>
      <c r="L350" s="53">
        <f t="shared" si="178"/>
        <v>0</v>
      </c>
      <c r="M350" s="53">
        <f t="shared" si="178"/>
        <v>0</v>
      </c>
      <c r="N350" s="53">
        <f t="shared" si="178"/>
        <v>0</v>
      </c>
      <c r="O350" s="53">
        <f t="shared" si="178"/>
        <v>0</v>
      </c>
      <c r="P350" s="53">
        <f t="shared" si="178"/>
        <v>0</v>
      </c>
      <c r="Q350" s="53">
        <f t="shared" si="178"/>
        <v>0</v>
      </c>
      <c r="R350" s="53">
        <f t="shared" si="178"/>
        <v>0</v>
      </c>
      <c r="S350" s="53">
        <f t="shared" si="178"/>
        <v>0</v>
      </c>
      <c r="T350" s="53">
        <f t="shared" si="178"/>
        <v>0</v>
      </c>
      <c r="U350" s="53">
        <f t="shared" si="178"/>
        <v>0</v>
      </c>
      <c r="V350" s="53">
        <f t="shared" si="178"/>
        <v>0</v>
      </c>
      <c r="W350" s="53">
        <f t="shared" si="178"/>
        <v>0</v>
      </c>
      <c r="X350" s="53">
        <f t="shared" si="178"/>
        <v>0</v>
      </c>
      <c r="Y350" s="53">
        <f t="shared" si="178"/>
        <v>0</v>
      </c>
      <c r="Z350" s="53">
        <f t="shared" si="178"/>
        <v>0</v>
      </c>
      <c r="AA350" s="53">
        <f t="shared" si="178"/>
        <v>0</v>
      </c>
      <c r="AB350" s="53">
        <f t="shared" si="178"/>
        <v>0</v>
      </c>
      <c r="AC350" s="53">
        <f t="shared" si="178"/>
        <v>0</v>
      </c>
      <c r="AD350" s="53">
        <f t="shared" si="178"/>
        <v>0</v>
      </c>
      <c r="AE350" s="53">
        <f t="shared" si="178"/>
        <v>0</v>
      </c>
      <c r="AF350" s="53">
        <f t="shared" si="178"/>
        <v>0</v>
      </c>
      <c r="AG350" s="53">
        <f t="shared" si="178"/>
        <v>0</v>
      </c>
      <c r="AH350" s="53">
        <f t="shared" si="178"/>
        <v>0</v>
      </c>
      <c r="AI350" s="53">
        <f t="shared" si="178"/>
        <v>0</v>
      </c>
      <c r="AJ350" s="53">
        <f t="shared" si="178"/>
        <v>0</v>
      </c>
      <c r="AK350" s="53">
        <f t="shared" si="178"/>
        <v>0</v>
      </c>
      <c r="AL350" s="53">
        <f t="shared" si="178"/>
        <v>0</v>
      </c>
      <c r="AM350" s="53">
        <f t="shared" si="178"/>
        <v>0</v>
      </c>
      <c r="AN350" s="53">
        <f t="shared" si="178"/>
        <v>0</v>
      </c>
      <c r="AO350" s="53">
        <f t="shared" si="178"/>
        <v>0</v>
      </c>
      <c r="AP350" s="53">
        <f t="shared" si="178"/>
        <v>0</v>
      </c>
      <c r="AQ350" s="53">
        <f t="shared" si="178"/>
        <v>0</v>
      </c>
      <c r="AR350" s="53">
        <f t="shared" si="178"/>
        <v>0</v>
      </c>
      <c r="AS350" s="53">
        <f t="shared" si="178"/>
        <v>0</v>
      </c>
      <c r="AT350" s="53">
        <f t="shared" si="178"/>
        <v>0</v>
      </c>
      <c r="AU350" s="53">
        <f t="shared" si="178"/>
        <v>0</v>
      </c>
      <c r="AV350" s="53">
        <f t="shared" si="178"/>
        <v>0</v>
      </c>
      <c r="AW350" s="53">
        <f t="shared" si="178"/>
        <v>0</v>
      </c>
      <c r="AX350" s="53">
        <f t="shared" si="178"/>
        <v>0</v>
      </c>
      <c r="AY350" s="53">
        <f t="shared" si="178"/>
        <v>0</v>
      </c>
      <c r="AZ350" s="53">
        <f t="shared" si="178"/>
        <v>0</v>
      </c>
      <c r="BA350" s="53">
        <f t="shared" si="178"/>
        <v>0</v>
      </c>
      <c r="BB350" s="53">
        <f t="shared" si="178"/>
        <v>0</v>
      </c>
      <c r="BC350" s="53">
        <f t="shared" si="178"/>
        <v>0</v>
      </c>
      <c r="BD350" s="53">
        <f t="shared" si="178"/>
        <v>0</v>
      </c>
      <c r="BE350" s="53">
        <f t="shared" si="178"/>
        <v>0</v>
      </c>
      <c r="BF350" s="53">
        <f t="shared" si="178"/>
        <v>0</v>
      </c>
      <c r="BG350" s="53">
        <f t="shared" si="178"/>
        <v>0</v>
      </c>
      <c r="BH350" s="53">
        <f t="shared" si="178"/>
        <v>0</v>
      </c>
      <c r="BI350" s="53">
        <f t="shared" si="178"/>
        <v>0</v>
      </c>
      <c r="BJ350" s="53">
        <f t="shared" si="178"/>
        <v>0</v>
      </c>
      <c r="BK350" s="53">
        <f t="shared" si="178"/>
        <v>0</v>
      </c>
      <c r="BL350" s="53">
        <f t="shared" si="178"/>
        <v>0</v>
      </c>
      <c r="BM350" s="53">
        <f t="shared" si="178"/>
        <v>0</v>
      </c>
      <c r="BN350" s="53">
        <f t="shared" si="178"/>
        <v>0</v>
      </c>
      <c r="BO350" s="53">
        <f t="shared" ref="BO350:CX350" si="179">IFERROR(IF(BO$262=0,0,(BO91-BO92)/BO92),0)</f>
        <v>0</v>
      </c>
      <c r="BP350" s="53">
        <f t="shared" si="179"/>
        <v>0</v>
      </c>
      <c r="BQ350" s="53">
        <f t="shared" si="179"/>
        <v>0</v>
      </c>
      <c r="BR350" s="53">
        <f t="shared" si="179"/>
        <v>0</v>
      </c>
      <c r="BS350" s="53">
        <f t="shared" si="179"/>
        <v>0</v>
      </c>
      <c r="BT350" s="53">
        <f t="shared" si="179"/>
        <v>0</v>
      </c>
      <c r="BU350" s="53">
        <f t="shared" si="179"/>
        <v>0</v>
      </c>
      <c r="BV350" s="53">
        <f t="shared" si="179"/>
        <v>0</v>
      </c>
      <c r="BW350" s="53">
        <f t="shared" si="179"/>
        <v>0</v>
      </c>
      <c r="BX350" s="53">
        <f t="shared" si="179"/>
        <v>0</v>
      </c>
      <c r="BY350" s="53">
        <f t="shared" si="179"/>
        <v>0</v>
      </c>
      <c r="BZ350" s="53">
        <f t="shared" si="179"/>
        <v>0</v>
      </c>
      <c r="CA350" s="53">
        <f t="shared" si="179"/>
        <v>0</v>
      </c>
      <c r="CB350" s="53">
        <f t="shared" si="179"/>
        <v>0</v>
      </c>
      <c r="CC350" s="53">
        <f t="shared" si="179"/>
        <v>0</v>
      </c>
      <c r="CD350" s="53">
        <f t="shared" si="179"/>
        <v>0</v>
      </c>
      <c r="CE350" s="53">
        <f t="shared" si="179"/>
        <v>0</v>
      </c>
      <c r="CF350" s="53">
        <f t="shared" si="179"/>
        <v>0</v>
      </c>
      <c r="CG350" s="53">
        <f t="shared" si="179"/>
        <v>0</v>
      </c>
      <c r="CH350" s="53">
        <f t="shared" si="179"/>
        <v>0</v>
      </c>
      <c r="CI350" s="53">
        <f t="shared" si="179"/>
        <v>0</v>
      </c>
      <c r="CJ350" s="53">
        <f t="shared" si="179"/>
        <v>0</v>
      </c>
      <c r="CK350" s="53">
        <f t="shared" si="179"/>
        <v>0</v>
      </c>
      <c r="CL350" s="53">
        <f t="shared" si="179"/>
        <v>0</v>
      </c>
      <c r="CM350" s="53">
        <f t="shared" si="179"/>
        <v>0</v>
      </c>
      <c r="CN350" s="53">
        <f t="shared" si="179"/>
        <v>0</v>
      </c>
      <c r="CO350" s="53">
        <f t="shared" si="179"/>
        <v>0</v>
      </c>
      <c r="CP350" s="53">
        <f t="shared" si="179"/>
        <v>0</v>
      </c>
      <c r="CQ350" s="53">
        <f t="shared" si="179"/>
        <v>0</v>
      </c>
      <c r="CR350" s="53">
        <f t="shared" si="179"/>
        <v>0</v>
      </c>
      <c r="CS350" s="53">
        <f t="shared" si="179"/>
        <v>0</v>
      </c>
      <c r="CT350" s="53">
        <f t="shared" si="179"/>
        <v>0</v>
      </c>
      <c r="CU350" s="53">
        <f t="shared" si="179"/>
        <v>0</v>
      </c>
      <c r="CV350" s="53">
        <f t="shared" si="179"/>
        <v>0</v>
      </c>
      <c r="CW350" s="53">
        <f t="shared" si="179"/>
        <v>0</v>
      </c>
      <c r="CX350" s="53">
        <f t="shared" si="179"/>
        <v>0</v>
      </c>
      <c r="DB350" s="2" vm="599">
        <f ca="1">IF(Returns!A354&lt;&gt;0,Returns!A354,"")</f>
        <v>42646</v>
      </c>
      <c r="DC350" s="11">
        <f ca="1">IF(Returns!B365&gt;0,Returns!B365/Returns!B364-1,"")</f>
        <v>3.7214458212913026E-3</v>
      </c>
      <c r="DD350" s="11">
        <f ca="1">IF(Returns!D357&gt;0,Returns!D357/Returns!D356-1,"")</f>
        <v>8.5293983487999547E-4</v>
      </c>
    </row>
    <row r="351" spans="2:108" x14ac:dyDescent="0.3">
      <c r="B351" s="57">
        <f t="shared" ca="1" si="135"/>
        <v>3.3813483811137834E-4</v>
      </c>
      <c r="C351" s="53">
        <f t="shared" ref="C351:BN351" si="180">IFERROR(IF(C$262=0,0,(C92-C93)/C93),0)</f>
        <v>0</v>
      </c>
      <c r="D351" s="53">
        <f t="shared" si="180"/>
        <v>0</v>
      </c>
      <c r="E351" s="53">
        <f t="shared" si="180"/>
        <v>0</v>
      </c>
      <c r="F351" s="53">
        <f t="shared" si="180"/>
        <v>0</v>
      </c>
      <c r="G351" s="53">
        <f t="shared" si="180"/>
        <v>0</v>
      </c>
      <c r="H351" s="53">
        <f t="shared" si="180"/>
        <v>0</v>
      </c>
      <c r="I351" s="53">
        <f t="shared" si="180"/>
        <v>0</v>
      </c>
      <c r="J351" s="53">
        <f t="shared" si="180"/>
        <v>0</v>
      </c>
      <c r="K351" s="53">
        <f t="shared" si="180"/>
        <v>0</v>
      </c>
      <c r="L351" s="53">
        <f t="shared" si="180"/>
        <v>0</v>
      </c>
      <c r="M351" s="53">
        <f t="shared" si="180"/>
        <v>0</v>
      </c>
      <c r="N351" s="53">
        <f t="shared" si="180"/>
        <v>0</v>
      </c>
      <c r="O351" s="53">
        <f t="shared" si="180"/>
        <v>0</v>
      </c>
      <c r="P351" s="53">
        <f t="shared" si="180"/>
        <v>0</v>
      </c>
      <c r="Q351" s="53">
        <f t="shared" si="180"/>
        <v>0</v>
      </c>
      <c r="R351" s="53">
        <f t="shared" si="180"/>
        <v>0</v>
      </c>
      <c r="S351" s="53">
        <f t="shared" si="180"/>
        <v>0</v>
      </c>
      <c r="T351" s="53">
        <f t="shared" si="180"/>
        <v>0</v>
      </c>
      <c r="U351" s="53">
        <f t="shared" si="180"/>
        <v>0</v>
      </c>
      <c r="V351" s="53">
        <f t="shared" si="180"/>
        <v>0</v>
      </c>
      <c r="W351" s="53">
        <f t="shared" si="180"/>
        <v>0</v>
      </c>
      <c r="X351" s="53">
        <f t="shared" si="180"/>
        <v>0</v>
      </c>
      <c r="Y351" s="53">
        <f t="shared" si="180"/>
        <v>0</v>
      </c>
      <c r="Z351" s="53">
        <f t="shared" si="180"/>
        <v>0</v>
      </c>
      <c r="AA351" s="53">
        <f t="shared" si="180"/>
        <v>0</v>
      </c>
      <c r="AB351" s="53">
        <f t="shared" si="180"/>
        <v>0</v>
      </c>
      <c r="AC351" s="53">
        <f t="shared" si="180"/>
        <v>0</v>
      </c>
      <c r="AD351" s="53">
        <f t="shared" si="180"/>
        <v>0</v>
      </c>
      <c r="AE351" s="53">
        <f t="shared" si="180"/>
        <v>0</v>
      </c>
      <c r="AF351" s="53">
        <f t="shared" si="180"/>
        <v>0</v>
      </c>
      <c r="AG351" s="53">
        <f t="shared" si="180"/>
        <v>0</v>
      </c>
      <c r="AH351" s="53">
        <f t="shared" si="180"/>
        <v>0</v>
      </c>
      <c r="AI351" s="53">
        <f t="shared" si="180"/>
        <v>0</v>
      </c>
      <c r="AJ351" s="53">
        <f t="shared" si="180"/>
        <v>0</v>
      </c>
      <c r="AK351" s="53">
        <f t="shared" si="180"/>
        <v>0</v>
      </c>
      <c r="AL351" s="53">
        <f t="shared" si="180"/>
        <v>0</v>
      </c>
      <c r="AM351" s="53">
        <f t="shared" si="180"/>
        <v>0</v>
      </c>
      <c r="AN351" s="53">
        <f t="shared" si="180"/>
        <v>0</v>
      </c>
      <c r="AO351" s="53">
        <f t="shared" si="180"/>
        <v>0</v>
      </c>
      <c r="AP351" s="53">
        <f t="shared" si="180"/>
        <v>0</v>
      </c>
      <c r="AQ351" s="53">
        <f t="shared" si="180"/>
        <v>0</v>
      </c>
      <c r="AR351" s="53">
        <f t="shared" si="180"/>
        <v>0</v>
      </c>
      <c r="AS351" s="53">
        <f t="shared" si="180"/>
        <v>0</v>
      </c>
      <c r="AT351" s="53">
        <f t="shared" si="180"/>
        <v>0</v>
      </c>
      <c r="AU351" s="53">
        <f t="shared" si="180"/>
        <v>0</v>
      </c>
      <c r="AV351" s="53">
        <f t="shared" si="180"/>
        <v>0</v>
      </c>
      <c r="AW351" s="53">
        <f t="shared" si="180"/>
        <v>0</v>
      </c>
      <c r="AX351" s="53">
        <f t="shared" si="180"/>
        <v>0</v>
      </c>
      <c r="AY351" s="53">
        <f t="shared" si="180"/>
        <v>0</v>
      </c>
      <c r="AZ351" s="53">
        <f t="shared" si="180"/>
        <v>0</v>
      </c>
      <c r="BA351" s="53">
        <f t="shared" si="180"/>
        <v>0</v>
      </c>
      <c r="BB351" s="53">
        <f t="shared" si="180"/>
        <v>0</v>
      </c>
      <c r="BC351" s="53">
        <f t="shared" si="180"/>
        <v>0</v>
      </c>
      <c r="BD351" s="53">
        <f t="shared" si="180"/>
        <v>0</v>
      </c>
      <c r="BE351" s="53">
        <f t="shared" si="180"/>
        <v>0</v>
      </c>
      <c r="BF351" s="53">
        <f t="shared" si="180"/>
        <v>0</v>
      </c>
      <c r="BG351" s="53">
        <f t="shared" si="180"/>
        <v>0</v>
      </c>
      <c r="BH351" s="53">
        <f t="shared" si="180"/>
        <v>0</v>
      </c>
      <c r="BI351" s="53">
        <f t="shared" si="180"/>
        <v>0</v>
      </c>
      <c r="BJ351" s="53">
        <f t="shared" si="180"/>
        <v>0</v>
      </c>
      <c r="BK351" s="53">
        <f t="shared" si="180"/>
        <v>0</v>
      </c>
      <c r="BL351" s="53">
        <f t="shared" si="180"/>
        <v>0</v>
      </c>
      <c r="BM351" s="53">
        <f t="shared" si="180"/>
        <v>0</v>
      </c>
      <c r="BN351" s="53">
        <f t="shared" si="180"/>
        <v>0</v>
      </c>
      <c r="BO351" s="53">
        <f t="shared" ref="BO351:CX351" si="181">IFERROR(IF(BO$262=0,0,(BO92-BO93)/BO93),0)</f>
        <v>0</v>
      </c>
      <c r="BP351" s="53">
        <f t="shared" si="181"/>
        <v>0</v>
      </c>
      <c r="BQ351" s="53">
        <f t="shared" si="181"/>
        <v>0</v>
      </c>
      <c r="BR351" s="53">
        <f t="shared" si="181"/>
        <v>0</v>
      </c>
      <c r="BS351" s="53">
        <f t="shared" si="181"/>
        <v>0</v>
      </c>
      <c r="BT351" s="53">
        <f t="shared" si="181"/>
        <v>0</v>
      </c>
      <c r="BU351" s="53">
        <f t="shared" si="181"/>
        <v>0</v>
      </c>
      <c r="BV351" s="53">
        <f t="shared" si="181"/>
        <v>0</v>
      </c>
      <c r="BW351" s="53">
        <f t="shared" si="181"/>
        <v>0</v>
      </c>
      <c r="BX351" s="53">
        <f t="shared" si="181"/>
        <v>0</v>
      </c>
      <c r="BY351" s="53">
        <f t="shared" si="181"/>
        <v>0</v>
      </c>
      <c r="BZ351" s="53">
        <f t="shared" si="181"/>
        <v>0</v>
      </c>
      <c r="CA351" s="53">
        <f t="shared" si="181"/>
        <v>0</v>
      </c>
      <c r="CB351" s="53">
        <f t="shared" si="181"/>
        <v>0</v>
      </c>
      <c r="CC351" s="53">
        <f t="shared" si="181"/>
        <v>0</v>
      </c>
      <c r="CD351" s="53">
        <f t="shared" si="181"/>
        <v>0</v>
      </c>
      <c r="CE351" s="53">
        <f t="shared" si="181"/>
        <v>0</v>
      </c>
      <c r="CF351" s="53">
        <f t="shared" si="181"/>
        <v>0</v>
      </c>
      <c r="CG351" s="53">
        <f t="shared" si="181"/>
        <v>0</v>
      </c>
      <c r="CH351" s="53">
        <f t="shared" si="181"/>
        <v>0</v>
      </c>
      <c r="CI351" s="53">
        <f t="shared" si="181"/>
        <v>0</v>
      </c>
      <c r="CJ351" s="53">
        <f t="shared" si="181"/>
        <v>0</v>
      </c>
      <c r="CK351" s="53">
        <f t="shared" si="181"/>
        <v>0</v>
      </c>
      <c r="CL351" s="53">
        <f t="shared" si="181"/>
        <v>0</v>
      </c>
      <c r="CM351" s="53">
        <f t="shared" si="181"/>
        <v>0</v>
      </c>
      <c r="CN351" s="53">
        <f t="shared" si="181"/>
        <v>0</v>
      </c>
      <c r="CO351" s="53">
        <f t="shared" si="181"/>
        <v>0</v>
      </c>
      <c r="CP351" s="53">
        <f t="shared" si="181"/>
        <v>0</v>
      </c>
      <c r="CQ351" s="53">
        <f t="shared" si="181"/>
        <v>0</v>
      </c>
      <c r="CR351" s="53">
        <f t="shared" si="181"/>
        <v>0</v>
      </c>
      <c r="CS351" s="53">
        <f t="shared" si="181"/>
        <v>0</v>
      </c>
      <c r="CT351" s="53">
        <f t="shared" si="181"/>
        <v>0</v>
      </c>
      <c r="CU351" s="53">
        <f t="shared" si="181"/>
        <v>0</v>
      </c>
      <c r="CV351" s="53">
        <f t="shared" si="181"/>
        <v>0</v>
      </c>
      <c r="CW351" s="53">
        <f t="shared" si="181"/>
        <v>0</v>
      </c>
      <c r="CX351" s="53">
        <f t="shared" si="181"/>
        <v>0</v>
      </c>
      <c r="DB351" s="2" vm="600">
        <f ca="1">IF(Returns!A355&lt;&gt;0,Returns!A355,"")</f>
        <v>42653</v>
      </c>
      <c r="DC351" s="11">
        <f ca="1">IF(Returns!B366&gt;0,Returns!B366/Returns!B365-1,"")</f>
        <v>-1.4094321513561825E-2</v>
      </c>
      <c r="DD351" s="11">
        <f ca="1">IF(Returns!D358&gt;0,Returns!D358/Returns!D357-1,"")</f>
        <v>-1.5026846948920758E-2</v>
      </c>
    </row>
    <row r="352" spans="2:108" x14ac:dyDescent="0.3">
      <c r="B352" s="57">
        <f t="shared" ca="1" si="135"/>
        <v>1.0354036357240466E-3</v>
      </c>
      <c r="C352" s="53">
        <f t="shared" ref="C352:BN352" si="182">IFERROR(IF(C$262=0,0,(C93-C94)/C94),0)</f>
        <v>0</v>
      </c>
      <c r="D352" s="53">
        <f t="shared" si="182"/>
        <v>0</v>
      </c>
      <c r="E352" s="53">
        <f t="shared" si="182"/>
        <v>0</v>
      </c>
      <c r="F352" s="53">
        <f t="shared" si="182"/>
        <v>0</v>
      </c>
      <c r="G352" s="53">
        <f t="shared" si="182"/>
        <v>0</v>
      </c>
      <c r="H352" s="53">
        <f t="shared" si="182"/>
        <v>0</v>
      </c>
      <c r="I352" s="53">
        <f t="shared" si="182"/>
        <v>0</v>
      </c>
      <c r="J352" s="53">
        <f t="shared" si="182"/>
        <v>0</v>
      </c>
      <c r="K352" s="53">
        <f t="shared" si="182"/>
        <v>0</v>
      </c>
      <c r="L352" s="53">
        <f t="shared" si="182"/>
        <v>0</v>
      </c>
      <c r="M352" s="53">
        <f t="shared" si="182"/>
        <v>0</v>
      </c>
      <c r="N352" s="53">
        <f t="shared" si="182"/>
        <v>0</v>
      </c>
      <c r="O352" s="53">
        <f t="shared" si="182"/>
        <v>0</v>
      </c>
      <c r="P352" s="53">
        <f t="shared" si="182"/>
        <v>0</v>
      </c>
      <c r="Q352" s="53">
        <f t="shared" si="182"/>
        <v>0</v>
      </c>
      <c r="R352" s="53">
        <f t="shared" si="182"/>
        <v>0</v>
      </c>
      <c r="S352" s="53">
        <f t="shared" si="182"/>
        <v>0</v>
      </c>
      <c r="T352" s="53">
        <f t="shared" si="182"/>
        <v>0</v>
      </c>
      <c r="U352" s="53">
        <f t="shared" si="182"/>
        <v>0</v>
      </c>
      <c r="V352" s="53">
        <f t="shared" si="182"/>
        <v>0</v>
      </c>
      <c r="W352" s="53">
        <f t="shared" si="182"/>
        <v>0</v>
      </c>
      <c r="X352" s="53">
        <f t="shared" si="182"/>
        <v>0</v>
      </c>
      <c r="Y352" s="53">
        <f t="shared" si="182"/>
        <v>0</v>
      </c>
      <c r="Z352" s="53">
        <f t="shared" si="182"/>
        <v>0</v>
      </c>
      <c r="AA352" s="53">
        <f t="shared" si="182"/>
        <v>0</v>
      </c>
      <c r="AB352" s="53">
        <f t="shared" si="182"/>
        <v>0</v>
      </c>
      <c r="AC352" s="53">
        <f t="shared" si="182"/>
        <v>0</v>
      </c>
      <c r="AD352" s="53">
        <f t="shared" si="182"/>
        <v>0</v>
      </c>
      <c r="AE352" s="53">
        <f t="shared" si="182"/>
        <v>0</v>
      </c>
      <c r="AF352" s="53">
        <f t="shared" si="182"/>
        <v>0</v>
      </c>
      <c r="AG352" s="53">
        <f t="shared" si="182"/>
        <v>0</v>
      </c>
      <c r="AH352" s="53">
        <f t="shared" si="182"/>
        <v>0</v>
      </c>
      <c r="AI352" s="53">
        <f t="shared" si="182"/>
        <v>0</v>
      </c>
      <c r="AJ352" s="53">
        <f t="shared" si="182"/>
        <v>0</v>
      </c>
      <c r="AK352" s="53">
        <f t="shared" si="182"/>
        <v>0</v>
      </c>
      <c r="AL352" s="53">
        <f t="shared" si="182"/>
        <v>0</v>
      </c>
      <c r="AM352" s="53">
        <f t="shared" si="182"/>
        <v>0</v>
      </c>
      <c r="AN352" s="53">
        <f t="shared" si="182"/>
        <v>0</v>
      </c>
      <c r="AO352" s="53">
        <f t="shared" si="182"/>
        <v>0</v>
      </c>
      <c r="AP352" s="53">
        <f t="shared" si="182"/>
        <v>0</v>
      </c>
      <c r="AQ352" s="53">
        <f t="shared" si="182"/>
        <v>0</v>
      </c>
      <c r="AR352" s="53">
        <f t="shared" si="182"/>
        <v>0</v>
      </c>
      <c r="AS352" s="53">
        <f t="shared" si="182"/>
        <v>0</v>
      </c>
      <c r="AT352" s="53">
        <f t="shared" si="182"/>
        <v>0</v>
      </c>
      <c r="AU352" s="53">
        <f t="shared" si="182"/>
        <v>0</v>
      </c>
      <c r="AV352" s="53">
        <f t="shared" si="182"/>
        <v>0</v>
      </c>
      <c r="AW352" s="53">
        <f t="shared" si="182"/>
        <v>0</v>
      </c>
      <c r="AX352" s="53">
        <f t="shared" si="182"/>
        <v>0</v>
      </c>
      <c r="AY352" s="53">
        <f t="shared" si="182"/>
        <v>0</v>
      </c>
      <c r="AZ352" s="53">
        <f t="shared" si="182"/>
        <v>0</v>
      </c>
      <c r="BA352" s="53">
        <f t="shared" si="182"/>
        <v>0</v>
      </c>
      <c r="BB352" s="53">
        <f t="shared" si="182"/>
        <v>0</v>
      </c>
      <c r="BC352" s="53">
        <f t="shared" si="182"/>
        <v>0</v>
      </c>
      <c r="BD352" s="53">
        <f t="shared" si="182"/>
        <v>0</v>
      </c>
      <c r="BE352" s="53">
        <f t="shared" si="182"/>
        <v>0</v>
      </c>
      <c r="BF352" s="53">
        <f t="shared" si="182"/>
        <v>0</v>
      </c>
      <c r="BG352" s="53">
        <f t="shared" si="182"/>
        <v>0</v>
      </c>
      <c r="BH352" s="53">
        <f t="shared" si="182"/>
        <v>0</v>
      </c>
      <c r="BI352" s="53">
        <f t="shared" si="182"/>
        <v>0</v>
      </c>
      <c r="BJ352" s="53">
        <f t="shared" si="182"/>
        <v>0</v>
      </c>
      <c r="BK352" s="53">
        <f t="shared" si="182"/>
        <v>0</v>
      </c>
      <c r="BL352" s="53">
        <f t="shared" si="182"/>
        <v>0</v>
      </c>
      <c r="BM352" s="53">
        <f t="shared" si="182"/>
        <v>0</v>
      </c>
      <c r="BN352" s="53">
        <f t="shared" si="182"/>
        <v>0</v>
      </c>
      <c r="BO352" s="53">
        <f t="shared" ref="BO352:CX352" si="183">IFERROR(IF(BO$262=0,0,(BO93-BO94)/BO94),0)</f>
        <v>0</v>
      </c>
      <c r="BP352" s="53">
        <f t="shared" si="183"/>
        <v>0</v>
      </c>
      <c r="BQ352" s="53">
        <f t="shared" si="183"/>
        <v>0</v>
      </c>
      <c r="BR352" s="53">
        <f t="shared" si="183"/>
        <v>0</v>
      </c>
      <c r="BS352" s="53">
        <f t="shared" si="183"/>
        <v>0</v>
      </c>
      <c r="BT352" s="53">
        <f t="shared" si="183"/>
        <v>0</v>
      </c>
      <c r="BU352" s="53">
        <f t="shared" si="183"/>
        <v>0</v>
      </c>
      <c r="BV352" s="53">
        <f t="shared" si="183"/>
        <v>0</v>
      </c>
      <c r="BW352" s="53">
        <f t="shared" si="183"/>
        <v>0</v>
      </c>
      <c r="BX352" s="53">
        <f t="shared" si="183"/>
        <v>0</v>
      </c>
      <c r="BY352" s="53">
        <f t="shared" si="183"/>
        <v>0</v>
      </c>
      <c r="BZ352" s="53">
        <f t="shared" si="183"/>
        <v>0</v>
      </c>
      <c r="CA352" s="53">
        <f t="shared" si="183"/>
        <v>0</v>
      </c>
      <c r="CB352" s="53">
        <f t="shared" si="183"/>
        <v>0</v>
      </c>
      <c r="CC352" s="53">
        <f t="shared" si="183"/>
        <v>0</v>
      </c>
      <c r="CD352" s="53">
        <f t="shared" si="183"/>
        <v>0</v>
      </c>
      <c r="CE352" s="53">
        <f t="shared" si="183"/>
        <v>0</v>
      </c>
      <c r="CF352" s="53">
        <f t="shared" si="183"/>
        <v>0</v>
      </c>
      <c r="CG352" s="53">
        <f t="shared" si="183"/>
        <v>0</v>
      </c>
      <c r="CH352" s="53">
        <f t="shared" si="183"/>
        <v>0</v>
      </c>
      <c r="CI352" s="53">
        <f t="shared" si="183"/>
        <v>0</v>
      </c>
      <c r="CJ352" s="53">
        <f t="shared" si="183"/>
        <v>0</v>
      </c>
      <c r="CK352" s="53">
        <f t="shared" si="183"/>
        <v>0</v>
      </c>
      <c r="CL352" s="53">
        <f t="shared" si="183"/>
        <v>0</v>
      </c>
      <c r="CM352" s="53">
        <f t="shared" si="183"/>
        <v>0</v>
      </c>
      <c r="CN352" s="53">
        <f t="shared" si="183"/>
        <v>0</v>
      </c>
      <c r="CO352" s="53">
        <f t="shared" si="183"/>
        <v>0</v>
      </c>
      <c r="CP352" s="53">
        <f t="shared" si="183"/>
        <v>0</v>
      </c>
      <c r="CQ352" s="53">
        <f t="shared" si="183"/>
        <v>0</v>
      </c>
      <c r="CR352" s="53">
        <f t="shared" si="183"/>
        <v>0</v>
      </c>
      <c r="CS352" s="53">
        <f t="shared" si="183"/>
        <v>0</v>
      </c>
      <c r="CT352" s="53">
        <f t="shared" si="183"/>
        <v>0</v>
      </c>
      <c r="CU352" s="53">
        <f t="shared" si="183"/>
        <v>0</v>
      </c>
      <c r="CV352" s="53">
        <f t="shared" si="183"/>
        <v>0</v>
      </c>
      <c r="CW352" s="53">
        <f t="shared" si="183"/>
        <v>0</v>
      </c>
      <c r="CX352" s="53">
        <f t="shared" si="183"/>
        <v>0</v>
      </c>
      <c r="DB352" s="2" vm="601">
        <f ca="1">IF(Returns!A356&lt;&gt;0,Returns!A356,"")</f>
        <v>42660</v>
      </c>
      <c r="DC352" s="11">
        <f ca="1">IF(Returns!B367&gt;0,Returns!B367/Returns!B366-1,"")</f>
        <v>6.1503994025631226E-2</v>
      </c>
      <c r="DD352" s="11">
        <f ca="1">IF(Returns!D359&gt;0,Returns!D359/Returns!D358-1,"")</f>
        <v>5.3631793204345968E-2</v>
      </c>
    </row>
    <row r="353" spans="2:108" x14ac:dyDescent="0.3">
      <c r="B353" s="57">
        <f t="shared" ca="1" si="135"/>
        <v>8.3674984103177484E-4</v>
      </c>
      <c r="C353" s="53">
        <f t="shared" ref="C353:BN353" si="184">IFERROR(IF(C$262=0,0,(C94-C95)/C95),0)</f>
        <v>0</v>
      </c>
      <c r="D353" s="53">
        <f t="shared" si="184"/>
        <v>0</v>
      </c>
      <c r="E353" s="53">
        <f t="shared" si="184"/>
        <v>0</v>
      </c>
      <c r="F353" s="53">
        <f t="shared" si="184"/>
        <v>0</v>
      </c>
      <c r="G353" s="53">
        <f t="shared" si="184"/>
        <v>0</v>
      </c>
      <c r="H353" s="53">
        <f t="shared" si="184"/>
        <v>0</v>
      </c>
      <c r="I353" s="53">
        <f t="shared" si="184"/>
        <v>0</v>
      </c>
      <c r="J353" s="53">
        <f t="shared" si="184"/>
        <v>0</v>
      </c>
      <c r="K353" s="53">
        <f t="shared" si="184"/>
        <v>0</v>
      </c>
      <c r="L353" s="53">
        <f t="shared" si="184"/>
        <v>0</v>
      </c>
      <c r="M353" s="53">
        <f t="shared" si="184"/>
        <v>0</v>
      </c>
      <c r="N353" s="53">
        <f t="shared" si="184"/>
        <v>0</v>
      </c>
      <c r="O353" s="53">
        <f t="shared" si="184"/>
        <v>0</v>
      </c>
      <c r="P353" s="53">
        <f t="shared" si="184"/>
        <v>0</v>
      </c>
      <c r="Q353" s="53">
        <f t="shared" si="184"/>
        <v>0</v>
      </c>
      <c r="R353" s="53">
        <f t="shared" si="184"/>
        <v>0</v>
      </c>
      <c r="S353" s="53">
        <f t="shared" si="184"/>
        <v>0</v>
      </c>
      <c r="T353" s="53">
        <f t="shared" si="184"/>
        <v>0</v>
      </c>
      <c r="U353" s="53">
        <f t="shared" si="184"/>
        <v>0</v>
      </c>
      <c r="V353" s="53">
        <f t="shared" si="184"/>
        <v>0</v>
      </c>
      <c r="W353" s="53">
        <f t="shared" si="184"/>
        <v>0</v>
      </c>
      <c r="X353" s="53">
        <f t="shared" si="184"/>
        <v>0</v>
      </c>
      <c r="Y353" s="53">
        <f t="shared" si="184"/>
        <v>0</v>
      </c>
      <c r="Z353" s="53">
        <f t="shared" si="184"/>
        <v>0</v>
      </c>
      <c r="AA353" s="53">
        <f t="shared" si="184"/>
        <v>0</v>
      </c>
      <c r="AB353" s="53">
        <f t="shared" si="184"/>
        <v>0</v>
      </c>
      <c r="AC353" s="53">
        <f t="shared" si="184"/>
        <v>0</v>
      </c>
      <c r="AD353" s="53">
        <f t="shared" si="184"/>
        <v>0</v>
      </c>
      <c r="AE353" s="53">
        <f t="shared" si="184"/>
        <v>0</v>
      </c>
      <c r="AF353" s="53">
        <f t="shared" si="184"/>
        <v>0</v>
      </c>
      <c r="AG353" s="53">
        <f t="shared" si="184"/>
        <v>0</v>
      </c>
      <c r="AH353" s="53">
        <f t="shared" si="184"/>
        <v>0</v>
      </c>
      <c r="AI353" s="53">
        <f t="shared" si="184"/>
        <v>0</v>
      </c>
      <c r="AJ353" s="53">
        <f t="shared" si="184"/>
        <v>0</v>
      </c>
      <c r="AK353" s="53">
        <f t="shared" si="184"/>
        <v>0</v>
      </c>
      <c r="AL353" s="53">
        <f t="shared" si="184"/>
        <v>0</v>
      </c>
      <c r="AM353" s="53">
        <f t="shared" si="184"/>
        <v>0</v>
      </c>
      <c r="AN353" s="53">
        <f t="shared" si="184"/>
        <v>0</v>
      </c>
      <c r="AO353" s="53">
        <f t="shared" si="184"/>
        <v>0</v>
      </c>
      <c r="AP353" s="53">
        <f t="shared" si="184"/>
        <v>0</v>
      </c>
      <c r="AQ353" s="53">
        <f t="shared" si="184"/>
        <v>0</v>
      </c>
      <c r="AR353" s="53">
        <f t="shared" si="184"/>
        <v>0</v>
      </c>
      <c r="AS353" s="53">
        <f t="shared" si="184"/>
        <v>0</v>
      </c>
      <c r="AT353" s="53">
        <f t="shared" si="184"/>
        <v>0</v>
      </c>
      <c r="AU353" s="53">
        <f t="shared" si="184"/>
        <v>0</v>
      </c>
      <c r="AV353" s="53">
        <f t="shared" si="184"/>
        <v>0</v>
      </c>
      <c r="AW353" s="53">
        <f t="shared" si="184"/>
        <v>0</v>
      </c>
      <c r="AX353" s="53">
        <f t="shared" si="184"/>
        <v>0</v>
      </c>
      <c r="AY353" s="53">
        <f t="shared" si="184"/>
        <v>0</v>
      </c>
      <c r="AZ353" s="53">
        <f t="shared" si="184"/>
        <v>0</v>
      </c>
      <c r="BA353" s="53">
        <f t="shared" si="184"/>
        <v>0</v>
      </c>
      <c r="BB353" s="53">
        <f t="shared" si="184"/>
        <v>0</v>
      </c>
      <c r="BC353" s="53">
        <f t="shared" si="184"/>
        <v>0</v>
      </c>
      <c r="BD353" s="53">
        <f t="shared" si="184"/>
        <v>0</v>
      </c>
      <c r="BE353" s="53">
        <f t="shared" si="184"/>
        <v>0</v>
      </c>
      <c r="BF353" s="53">
        <f t="shared" si="184"/>
        <v>0</v>
      </c>
      <c r="BG353" s="53">
        <f t="shared" si="184"/>
        <v>0</v>
      </c>
      <c r="BH353" s="53">
        <f t="shared" si="184"/>
        <v>0</v>
      </c>
      <c r="BI353" s="53">
        <f t="shared" si="184"/>
        <v>0</v>
      </c>
      <c r="BJ353" s="53">
        <f t="shared" si="184"/>
        <v>0</v>
      </c>
      <c r="BK353" s="53">
        <f t="shared" si="184"/>
        <v>0</v>
      </c>
      <c r="BL353" s="53">
        <f t="shared" si="184"/>
        <v>0</v>
      </c>
      <c r="BM353" s="53">
        <f t="shared" si="184"/>
        <v>0</v>
      </c>
      <c r="BN353" s="53">
        <f t="shared" si="184"/>
        <v>0</v>
      </c>
      <c r="BO353" s="53">
        <f t="shared" ref="BO353:CX353" si="185">IFERROR(IF(BO$262=0,0,(BO94-BO95)/BO95),0)</f>
        <v>0</v>
      </c>
      <c r="BP353" s="53">
        <f t="shared" si="185"/>
        <v>0</v>
      </c>
      <c r="BQ353" s="53">
        <f t="shared" si="185"/>
        <v>0</v>
      </c>
      <c r="BR353" s="53">
        <f t="shared" si="185"/>
        <v>0</v>
      </c>
      <c r="BS353" s="53">
        <f t="shared" si="185"/>
        <v>0</v>
      </c>
      <c r="BT353" s="53">
        <f t="shared" si="185"/>
        <v>0</v>
      </c>
      <c r="BU353" s="53">
        <f t="shared" si="185"/>
        <v>0</v>
      </c>
      <c r="BV353" s="53">
        <f t="shared" si="185"/>
        <v>0</v>
      </c>
      <c r="BW353" s="53">
        <f t="shared" si="185"/>
        <v>0</v>
      </c>
      <c r="BX353" s="53">
        <f t="shared" si="185"/>
        <v>0</v>
      </c>
      <c r="BY353" s="53">
        <f t="shared" si="185"/>
        <v>0</v>
      </c>
      <c r="BZ353" s="53">
        <f t="shared" si="185"/>
        <v>0</v>
      </c>
      <c r="CA353" s="53">
        <f t="shared" si="185"/>
        <v>0</v>
      </c>
      <c r="CB353" s="53">
        <f t="shared" si="185"/>
        <v>0</v>
      </c>
      <c r="CC353" s="53">
        <f t="shared" si="185"/>
        <v>0</v>
      </c>
      <c r="CD353" s="53">
        <f t="shared" si="185"/>
        <v>0</v>
      </c>
      <c r="CE353" s="53">
        <f t="shared" si="185"/>
        <v>0</v>
      </c>
      <c r="CF353" s="53">
        <f t="shared" si="185"/>
        <v>0</v>
      </c>
      <c r="CG353" s="53">
        <f t="shared" si="185"/>
        <v>0</v>
      </c>
      <c r="CH353" s="53">
        <f t="shared" si="185"/>
        <v>0</v>
      </c>
      <c r="CI353" s="53">
        <f t="shared" si="185"/>
        <v>0</v>
      </c>
      <c r="CJ353" s="53">
        <f t="shared" si="185"/>
        <v>0</v>
      </c>
      <c r="CK353" s="53">
        <f t="shared" si="185"/>
        <v>0</v>
      </c>
      <c r="CL353" s="53">
        <f t="shared" si="185"/>
        <v>0</v>
      </c>
      <c r="CM353" s="53">
        <f t="shared" si="185"/>
        <v>0</v>
      </c>
      <c r="CN353" s="53">
        <f t="shared" si="185"/>
        <v>0</v>
      </c>
      <c r="CO353" s="53">
        <f t="shared" si="185"/>
        <v>0</v>
      </c>
      <c r="CP353" s="53">
        <f t="shared" si="185"/>
        <v>0</v>
      </c>
      <c r="CQ353" s="53">
        <f t="shared" si="185"/>
        <v>0</v>
      </c>
      <c r="CR353" s="53">
        <f t="shared" si="185"/>
        <v>0</v>
      </c>
      <c r="CS353" s="53">
        <f t="shared" si="185"/>
        <v>0</v>
      </c>
      <c r="CT353" s="53">
        <f t="shared" si="185"/>
        <v>0</v>
      </c>
      <c r="CU353" s="53">
        <f t="shared" si="185"/>
        <v>0</v>
      </c>
      <c r="CV353" s="53">
        <f t="shared" si="185"/>
        <v>0</v>
      </c>
      <c r="CW353" s="53">
        <f t="shared" si="185"/>
        <v>0</v>
      </c>
      <c r="CX353" s="53">
        <f t="shared" si="185"/>
        <v>0</v>
      </c>
      <c r="DB353" s="2" vm="602">
        <f ca="1">IF(Returns!A357&lt;&gt;0,Returns!A357,"")</f>
        <v>42667</v>
      </c>
      <c r="DC353" s="11">
        <f ca="1">IF(Returns!B368&gt;0,Returns!B368/Returns!B367-1,"")</f>
        <v>2.6570685561376317E-2</v>
      </c>
      <c r="DD353" s="11">
        <f ca="1">IF(Returns!D360&gt;0,Returns!D360/Returns!D359-1,"")</f>
        <v>1.0755179111376911E-3</v>
      </c>
    </row>
    <row r="354" spans="2:108" x14ac:dyDescent="0.3">
      <c r="B354" s="57">
        <f t="shared" ca="1" si="135"/>
        <v>2.5578549381577632E-4</v>
      </c>
      <c r="C354" s="53">
        <f t="shared" ref="C354:BN354" si="186">IFERROR(IF(C$262=0,0,(C95-C96)/C96),0)</f>
        <v>0</v>
      </c>
      <c r="D354" s="53">
        <f t="shared" si="186"/>
        <v>0</v>
      </c>
      <c r="E354" s="53">
        <f t="shared" si="186"/>
        <v>0</v>
      </c>
      <c r="F354" s="53">
        <f t="shared" si="186"/>
        <v>0</v>
      </c>
      <c r="G354" s="53">
        <f t="shared" si="186"/>
        <v>0</v>
      </c>
      <c r="H354" s="53">
        <f t="shared" si="186"/>
        <v>0</v>
      </c>
      <c r="I354" s="53">
        <f t="shared" si="186"/>
        <v>0</v>
      </c>
      <c r="J354" s="53">
        <f t="shared" si="186"/>
        <v>0</v>
      </c>
      <c r="K354" s="53">
        <f t="shared" si="186"/>
        <v>0</v>
      </c>
      <c r="L354" s="53">
        <f t="shared" si="186"/>
        <v>0</v>
      </c>
      <c r="M354" s="53">
        <f t="shared" si="186"/>
        <v>0</v>
      </c>
      <c r="N354" s="53">
        <f t="shared" si="186"/>
        <v>0</v>
      </c>
      <c r="O354" s="53">
        <f t="shared" si="186"/>
        <v>0</v>
      </c>
      <c r="P354" s="53">
        <f t="shared" si="186"/>
        <v>0</v>
      </c>
      <c r="Q354" s="53">
        <f t="shared" si="186"/>
        <v>0</v>
      </c>
      <c r="R354" s="53">
        <f t="shared" si="186"/>
        <v>0</v>
      </c>
      <c r="S354" s="53">
        <f t="shared" si="186"/>
        <v>0</v>
      </c>
      <c r="T354" s="53">
        <f t="shared" si="186"/>
        <v>0</v>
      </c>
      <c r="U354" s="53">
        <f t="shared" si="186"/>
        <v>0</v>
      </c>
      <c r="V354" s="53">
        <f t="shared" si="186"/>
        <v>0</v>
      </c>
      <c r="W354" s="53">
        <f t="shared" si="186"/>
        <v>0</v>
      </c>
      <c r="X354" s="53">
        <f t="shared" si="186"/>
        <v>0</v>
      </c>
      <c r="Y354" s="53">
        <f t="shared" si="186"/>
        <v>0</v>
      </c>
      <c r="Z354" s="53">
        <f t="shared" si="186"/>
        <v>0</v>
      </c>
      <c r="AA354" s="53">
        <f t="shared" si="186"/>
        <v>0</v>
      </c>
      <c r="AB354" s="53">
        <f t="shared" si="186"/>
        <v>0</v>
      </c>
      <c r="AC354" s="53">
        <f t="shared" si="186"/>
        <v>0</v>
      </c>
      <c r="AD354" s="53">
        <f t="shared" si="186"/>
        <v>0</v>
      </c>
      <c r="AE354" s="53">
        <f t="shared" si="186"/>
        <v>0</v>
      </c>
      <c r="AF354" s="53">
        <f t="shared" si="186"/>
        <v>0</v>
      </c>
      <c r="AG354" s="53">
        <f t="shared" si="186"/>
        <v>0</v>
      </c>
      <c r="AH354" s="53">
        <f t="shared" si="186"/>
        <v>0</v>
      </c>
      <c r="AI354" s="53">
        <f t="shared" si="186"/>
        <v>0</v>
      </c>
      <c r="AJ354" s="53">
        <f t="shared" si="186"/>
        <v>0</v>
      </c>
      <c r="AK354" s="53">
        <f t="shared" si="186"/>
        <v>0</v>
      </c>
      <c r="AL354" s="53">
        <f t="shared" si="186"/>
        <v>0</v>
      </c>
      <c r="AM354" s="53">
        <f t="shared" si="186"/>
        <v>0</v>
      </c>
      <c r="AN354" s="53">
        <f t="shared" si="186"/>
        <v>0</v>
      </c>
      <c r="AO354" s="53">
        <f t="shared" si="186"/>
        <v>0</v>
      </c>
      <c r="AP354" s="53">
        <f t="shared" si="186"/>
        <v>0</v>
      </c>
      <c r="AQ354" s="53">
        <f t="shared" si="186"/>
        <v>0</v>
      </c>
      <c r="AR354" s="53">
        <f t="shared" si="186"/>
        <v>0</v>
      </c>
      <c r="AS354" s="53">
        <f t="shared" si="186"/>
        <v>0</v>
      </c>
      <c r="AT354" s="53">
        <f t="shared" si="186"/>
        <v>0</v>
      </c>
      <c r="AU354" s="53">
        <f t="shared" si="186"/>
        <v>0</v>
      </c>
      <c r="AV354" s="53">
        <f t="shared" si="186"/>
        <v>0</v>
      </c>
      <c r="AW354" s="53">
        <f t="shared" si="186"/>
        <v>0</v>
      </c>
      <c r="AX354" s="53">
        <f t="shared" si="186"/>
        <v>0</v>
      </c>
      <c r="AY354" s="53">
        <f t="shared" si="186"/>
        <v>0</v>
      </c>
      <c r="AZ354" s="53">
        <f t="shared" si="186"/>
        <v>0</v>
      </c>
      <c r="BA354" s="53">
        <f t="shared" si="186"/>
        <v>0</v>
      </c>
      <c r="BB354" s="53">
        <f t="shared" si="186"/>
        <v>0</v>
      </c>
      <c r="BC354" s="53">
        <f t="shared" si="186"/>
        <v>0</v>
      </c>
      <c r="BD354" s="53">
        <f t="shared" si="186"/>
        <v>0</v>
      </c>
      <c r="BE354" s="53">
        <f t="shared" si="186"/>
        <v>0</v>
      </c>
      <c r="BF354" s="53">
        <f t="shared" si="186"/>
        <v>0</v>
      </c>
      <c r="BG354" s="53">
        <f t="shared" si="186"/>
        <v>0</v>
      </c>
      <c r="BH354" s="53">
        <f t="shared" si="186"/>
        <v>0</v>
      </c>
      <c r="BI354" s="53">
        <f t="shared" si="186"/>
        <v>0</v>
      </c>
      <c r="BJ354" s="53">
        <f t="shared" si="186"/>
        <v>0</v>
      </c>
      <c r="BK354" s="53">
        <f t="shared" si="186"/>
        <v>0</v>
      </c>
      <c r="BL354" s="53">
        <f t="shared" si="186"/>
        <v>0</v>
      </c>
      <c r="BM354" s="53">
        <f t="shared" si="186"/>
        <v>0</v>
      </c>
      <c r="BN354" s="53">
        <f t="shared" si="186"/>
        <v>0</v>
      </c>
      <c r="BO354" s="53">
        <f t="shared" ref="BO354:CX354" si="187">IFERROR(IF(BO$262=0,0,(BO95-BO96)/BO96),0)</f>
        <v>0</v>
      </c>
      <c r="BP354" s="53">
        <f t="shared" si="187"/>
        <v>0</v>
      </c>
      <c r="BQ354" s="53">
        <f t="shared" si="187"/>
        <v>0</v>
      </c>
      <c r="BR354" s="53">
        <f t="shared" si="187"/>
        <v>0</v>
      </c>
      <c r="BS354" s="53">
        <f t="shared" si="187"/>
        <v>0</v>
      </c>
      <c r="BT354" s="53">
        <f t="shared" si="187"/>
        <v>0</v>
      </c>
      <c r="BU354" s="53">
        <f t="shared" si="187"/>
        <v>0</v>
      </c>
      <c r="BV354" s="53">
        <f t="shared" si="187"/>
        <v>0</v>
      </c>
      <c r="BW354" s="53">
        <f t="shared" si="187"/>
        <v>0</v>
      </c>
      <c r="BX354" s="53">
        <f t="shared" si="187"/>
        <v>0</v>
      </c>
      <c r="BY354" s="53">
        <f t="shared" si="187"/>
        <v>0</v>
      </c>
      <c r="BZ354" s="53">
        <f t="shared" si="187"/>
        <v>0</v>
      </c>
      <c r="CA354" s="53">
        <f t="shared" si="187"/>
        <v>0</v>
      </c>
      <c r="CB354" s="53">
        <f t="shared" si="187"/>
        <v>0</v>
      </c>
      <c r="CC354" s="53">
        <f t="shared" si="187"/>
        <v>0</v>
      </c>
      <c r="CD354" s="53">
        <f t="shared" si="187"/>
        <v>0</v>
      </c>
      <c r="CE354" s="53">
        <f t="shared" si="187"/>
        <v>0</v>
      </c>
      <c r="CF354" s="53">
        <f t="shared" si="187"/>
        <v>0</v>
      </c>
      <c r="CG354" s="53">
        <f t="shared" si="187"/>
        <v>0</v>
      </c>
      <c r="CH354" s="53">
        <f t="shared" si="187"/>
        <v>0</v>
      </c>
      <c r="CI354" s="53">
        <f t="shared" si="187"/>
        <v>0</v>
      </c>
      <c r="CJ354" s="53">
        <f t="shared" si="187"/>
        <v>0</v>
      </c>
      <c r="CK354" s="53">
        <f t="shared" si="187"/>
        <v>0</v>
      </c>
      <c r="CL354" s="53">
        <f t="shared" si="187"/>
        <v>0</v>
      </c>
      <c r="CM354" s="53">
        <f t="shared" si="187"/>
        <v>0</v>
      </c>
      <c r="CN354" s="53">
        <f t="shared" si="187"/>
        <v>0</v>
      </c>
      <c r="CO354" s="53">
        <f t="shared" si="187"/>
        <v>0</v>
      </c>
      <c r="CP354" s="53">
        <f t="shared" si="187"/>
        <v>0</v>
      </c>
      <c r="CQ354" s="53">
        <f t="shared" si="187"/>
        <v>0</v>
      </c>
      <c r="CR354" s="53">
        <f t="shared" si="187"/>
        <v>0</v>
      </c>
      <c r="CS354" s="53">
        <f t="shared" si="187"/>
        <v>0</v>
      </c>
      <c r="CT354" s="53">
        <f t="shared" si="187"/>
        <v>0</v>
      </c>
      <c r="CU354" s="53">
        <f t="shared" si="187"/>
        <v>0</v>
      </c>
      <c r="CV354" s="53">
        <f t="shared" si="187"/>
        <v>0</v>
      </c>
      <c r="CW354" s="53">
        <f t="shared" si="187"/>
        <v>0</v>
      </c>
      <c r="CX354" s="53">
        <f t="shared" si="187"/>
        <v>0</v>
      </c>
      <c r="DB354" s="2" vm="603">
        <f ca="1">IF(Returns!A358&lt;&gt;0,Returns!A358,"")</f>
        <v>42674</v>
      </c>
      <c r="DC354" s="11">
        <f ca="1">IF(Returns!B369&gt;0,Returns!B369/Returns!B368-1,"")</f>
        <v>-1.0781506229042725E-2</v>
      </c>
      <c r="DD354" s="11">
        <f ca="1">IF(Returns!D361&gt;0,Returns!D361/Returns!D360-1,"")</f>
        <v>1.5062862099777918E-2</v>
      </c>
    </row>
    <row r="355" spans="2:108" x14ac:dyDescent="0.3">
      <c r="B355" s="57">
        <f t="shared" ca="1" si="135"/>
        <v>6.7538876619125353E-4</v>
      </c>
      <c r="C355" s="53">
        <f t="shared" ref="C355:BN355" si="188">IFERROR(IF(C$262=0,0,(C96-C97)/C97),0)</f>
        <v>0</v>
      </c>
      <c r="D355" s="53">
        <f t="shared" si="188"/>
        <v>0</v>
      </c>
      <c r="E355" s="53">
        <f t="shared" si="188"/>
        <v>0</v>
      </c>
      <c r="F355" s="53">
        <f t="shared" si="188"/>
        <v>0</v>
      </c>
      <c r="G355" s="53">
        <f t="shared" si="188"/>
        <v>0</v>
      </c>
      <c r="H355" s="53">
        <f t="shared" si="188"/>
        <v>0</v>
      </c>
      <c r="I355" s="53">
        <f t="shared" si="188"/>
        <v>0</v>
      </c>
      <c r="J355" s="53">
        <f t="shared" si="188"/>
        <v>0</v>
      </c>
      <c r="K355" s="53">
        <f t="shared" si="188"/>
        <v>0</v>
      </c>
      <c r="L355" s="53">
        <f t="shared" si="188"/>
        <v>0</v>
      </c>
      <c r="M355" s="53">
        <f t="shared" si="188"/>
        <v>0</v>
      </c>
      <c r="N355" s="53">
        <f t="shared" si="188"/>
        <v>0</v>
      </c>
      <c r="O355" s="53">
        <f t="shared" si="188"/>
        <v>0</v>
      </c>
      <c r="P355" s="53">
        <f t="shared" si="188"/>
        <v>0</v>
      </c>
      <c r="Q355" s="53">
        <f t="shared" si="188"/>
        <v>0</v>
      </c>
      <c r="R355" s="53">
        <f t="shared" si="188"/>
        <v>0</v>
      </c>
      <c r="S355" s="53">
        <f t="shared" si="188"/>
        <v>0</v>
      </c>
      <c r="T355" s="53">
        <f t="shared" si="188"/>
        <v>0</v>
      </c>
      <c r="U355" s="53">
        <f t="shared" si="188"/>
        <v>0</v>
      </c>
      <c r="V355" s="53">
        <f t="shared" si="188"/>
        <v>0</v>
      </c>
      <c r="W355" s="53">
        <f t="shared" si="188"/>
        <v>0</v>
      </c>
      <c r="X355" s="53">
        <f t="shared" si="188"/>
        <v>0</v>
      </c>
      <c r="Y355" s="53">
        <f t="shared" si="188"/>
        <v>0</v>
      </c>
      <c r="Z355" s="53">
        <f t="shared" si="188"/>
        <v>0</v>
      </c>
      <c r="AA355" s="53">
        <f t="shared" si="188"/>
        <v>0</v>
      </c>
      <c r="AB355" s="53">
        <f t="shared" si="188"/>
        <v>0</v>
      </c>
      <c r="AC355" s="53">
        <f t="shared" si="188"/>
        <v>0</v>
      </c>
      <c r="AD355" s="53">
        <f t="shared" si="188"/>
        <v>0</v>
      </c>
      <c r="AE355" s="53">
        <f t="shared" si="188"/>
        <v>0</v>
      </c>
      <c r="AF355" s="53">
        <f t="shared" si="188"/>
        <v>0</v>
      </c>
      <c r="AG355" s="53">
        <f t="shared" si="188"/>
        <v>0</v>
      </c>
      <c r="AH355" s="53">
        <f t="shared" si="188"/>
        <v>0</v>
      </c>
      <c r="AI355" s="53">
        <f t="shared" si="188"/>
        <v>0</v>
      </c>
      <c r="AJ355" s="53">
        <f t="shared" si="188"/>
        <v>0</v>
      </c>
      <c r="AK355" s="53">
        <f t="shared" si="188"/>
        <v>0</v>
      </c>
      <c r="AL355" s="53">
        <f t="shared" si="188"/>
        <v>0</v>
      </c>
      <c r="AM355" s="53">
        <f t="shared" si="188"/>
        <v>0</v>
      </c>
      <c r="AN355" s="53">
        <f t="shared" si="188"/>
        <v>0</v>
      </c>
      <c r="AO355" s="53">
        <f t="shared" si="188"/>
        <v>0</v>
      </c>
      <c r="AP355" s="53">
        <f t="shared" si="188"/>
        <v>0</v>
      </c>
      <c r="AQ355" s="53">
        <f t="shared" si="188"/>
        <v>0</v>
      </c>
      <c r="AR355" s="53">
        <f t="shared" si="188"/>
        <v>0</v>
      </c>
      <c r="AS355" s="53">
        <f t="shared" si="188"/>
        <v>0</v>
      </c>
      <c r="AT355" s="53">
        <f t="shared" si="188"/>
        <v>0</v>
      </c>
      <c r="AU355" s="53">
        <f t="shared" si="188"/>
        <v>0</v>
      </c>
      <c r="AV355" s="53">
        <f t="shared" si="188"/>
        <v>0</v>
      </c>
      <c r="AW355" s="53">
        <f t="shared" si="188"/>
        <v>0</v>
      </c>
      <c r="AX355" s="53">
        <f t="shared" si="188"/>
        <v>0</v>
      </c>
      <c r="AY355" s="53">
        <f t="shared" si="188"/>
        <v>0</v>
      </c>
      <c r="AZ355" s="53">
        <f t="shared" si="188"/>
        <v>0</v>
      </c>
      <c r="BA355" s="53">
        <f t="shared" si="188"/>
        <v>0</v>
      </c>
      <c r="BB355" s="53">
        <f t="shared" si="188"/>
        <v>0</v>
      </c>
      <c r="BC355" s="53">
        <f t="shared" si="188"/>
        <v>0</v>
      </c>
      <c r="BD355" s="53">
        <f t="shared" si="188"/>
        <v>0</v>
      </c>
      <c r="BE355" s="53">
        <f t="shared" si="188"/>
        <v>0</v>
      </c>
      <c r="BF355" s="53">
        <f t="shared" si="188"/>
        <v>0</v>
      </c>
      <c r="BG355" s="53">
        <f t="shared" si="188"/>
        <v>0</v>
      </c>
      <c r="BH355" s="53">
        <f t="shared" si="188"/>
        <v>0</v>
      </c>
      <c r="BI355" s="53">
        <f t="shared" si="188"/>
        <v>0</v>
      </c>
      <c r="BJ355" s="53">
        <f t="shared" si="188"/>
        <v>0</v>
      </c>
      <c r="BK355" s="53">
        <f t="shared" si="188"/>
        <v>0</v>
      </c>
      <c r="BL355" s="53">
        <f t="shared" si="188"/>
        <v>0</v>
      </c>
      <c r="BM355" s="53">
        <f t="shared" si="188"/>
        <v>0</v>
      </c>
      <c r="BN355" s="53">
        <f t="shared" si="188"/>
        <v>0</v>
      </c>
      <c r="BO355" s="53">
        <f t="shared" ref="BO355:CX355" si="189">IFERROR(IF(BO$262=0,0,(BO96-BO97)/BO97),0)</f>
        <v>0</v>
      </c>
      <c r="BP355" s="53">
        <f t="shared" si="189"/>
        <v>0</v>
      </c>
      <c r="BQ355" s="53">
        <f t="shared" si="189"/>
        <v>0</v>
      </c>
      <c r="BR355" s="53">
        <f t="shared" si="189"/>
        <v>0</v>
      </c>
      <c r="BS355" s="53">
        <f t="shared" si="189"/>
        <v>0</v>
      </c>
      <c r="BT355" s="53">
        <f t="shared" si="189"/>
        <v>0</v>
      </c>
      <c r="BU355" s="53">
        <f t="shared" si="189"/>
        <v>0</v>
      </c>
      <c r="BV355" s="53">
        <f t="shared" si="189"/>
        <v>0</v>
      </c>
      <c r="BW355" s="53">
        <f t="shared" si="189"/>
        <v>0</v>
      </c>
      <c r="BX355" s="53">
        <f t="shared" si="189"/>
        <v>0</v>
      </c>
      <c r="BY355" s="53">
        <f t="shared" si="189"/>
        <v>0</v>
      </c>
      <c r="BZ355" s="53">
        <f t="shared" si="189"/>
        <v>0</v>
      </c>
      <c r="CA355" s="53">
        <f t="shared" si="189"/>
        <v>0</v>
      </c>
      <c r="CB355" s="53">
        <f t="shared" si="189"/>
        <v>0</v>
      </c>
      <c r="CC355" s="53">
        <f t="shared" si="189"/>
        <v>0</v>
      </c>
      <c r="CD355" s="53">
        <f t="shared" si="189"/>
        <v>0</v>
      </c>
      <c r="CE355" s="53">
        <f t="shared" si="189"/>
        <v>0</v>
      </c>
      <c r="CF355" s="53">
        <f t="shared" si="189"/>
        <v>0</v>
      </c>
      <c r="CG355" s="53">
        <f t="shared" si="189"/>
        <v>0</v>
      </c>
      <c r="CH355" s="53">
        <f t="shared" si="189"/>
        <v>0</v>
      </c>
      <c r="CI355" s="53">
        <f t="shared" si="189"/>
        <v>0</v>
      </c>
      <c r="CJ355" s="53">
        <f t="shared" si="189"/>
        <v>0</v>
      </c>
      <c r="CK355" s="53">
        <f t="shared" si="189"/>
        <v>0</v>
      </c>
      <c r="CL355" s="53">
        <f t="shared" si="189"/>
        <v>0</v>
      </c>
      <c r="CM355" s="53">
        <f t="shared" si="189"/>
        <v>0</v>
      </c>
      <c r="CN355" s="53">
        <f t="shared" si="189"/>
        <v>0</v>
      </c>
      <c r="CO355" s="53">
        <f t="shared" si="189"/>
        <v>0</v>
      </c>
      <c r="CP355" s="53">
        <f t="shared" si="189"/>
        <v>0</v>
      </c>
      <c r="CQ355" s="53">
        <f t="shared" si="189"/>
        <v>0</v>
      </c>
      <c r="CR355" s="53">
        <f t="shared" si="189"/>
        <v>0</v>
      </c>
      <c r="CS355" s="53">
        <f t="shared" si="189"/>
        <v>0</v>
      </c>
      <c r="CT355" s="53">
        <f t="shared" si="189"/>
        <v>0</v>
      </c>
      <c r="CU355" s="53">
        <f t="shared" si="189"/>
        <v>0</v>
      </c>
      <c r="CV355" s="53">
        <f t="shared" si="189"/>
        <v>0</v>
      </c>
      <c r="CW355" s="53">
        <f t="shared" si="189"/>
        <v>0</v>
      </c>
      <c r="CX355" s="53">
        <f t="shared" si="189"/>
        <v>0</v>
      </c>
      <c r="DB355" s="2" vm="604">
        <f ca="1">IF(Returns!A359&lt;&gt;0,Returns!A359,"")</f>
        <v>42681</v>
      </c>
      <c r="DC355" s="11">
        <f ca="1">IF(Returns!B370&gt;0,Returns!B370/Returns!B369-1,"")</f>
        <v>3.3946531738275221E-2</v>
      </c>
      <c r="DD355" s="11">
        <f ca="1">IF(Returns!D362&gt;0,Returns!D362/Returns!D361-1,"")</f>
        <v>9.5472882380098767E-4</v>
      </c>
    </row>
    <row r="356" spans="2:108" x14ac:dyDescent="0.3">
      <c r="B356" s="57">
        <f t="shared" ca="1" si="135"/>
        <v>5.5840798202560777E-4</v>
      </c>
      <c r="C356" s="53">
        <f t="shared" ref="C356:BN356" si="190">IFERROR(IF(C$262=0,0,(C97-C98)/C98),0)</f>
        <v>0</v>
      </c>
      <c r="D356" s="53">
        <f t="shared" si="190"/>
        <v>0</v>
      </c>
      <c r="E356" s="53">
        <f t="shared" si="190"/>
        <v>0</v>
      </c>
      <c r="F356" s="53">
        <f t="shared" si="190"/>
        <v>0</v>
      </c>
      <c r="G356" s="53">
        <f t="shared" si="190"/>
        <v>0</v>
      </c>
      <c r="H356" s="53">
        <f t="shared" si="190"/>
        <v>0</v>
      </c>
      <c r="I356" s="53">
        <f t="shared" si="190"/>
        <v>0</v>
      </c>
      <c r="J356" s="53">
        <f t="shared" si="190"/>
        <v>0</v>
      </c>
      <c r="K356" s="53">
        <f t="shared" si="190"/>
        <v>0</v>
      </c>
      <c r="L356" s="53">
        <f t="shared" si="190"/>
        <v>0</v>
      </c>
      <c r="M356" s="53">
        <f t="shared" si="190"/>
        <v>0</v>
      </c>
      <c r="N356" s="53">
        <f t="shared" si="190"/>
        <v>0</v>
      </c>
      <c r="O356" s="53">
        <f t="shared" si="190"/>
        <v>0</v>
      </c>
      <c r="P356" s="53">
        <f t="shared" si="190"/>
        <v>0</v>
      </c>
      <c r="Q356" s="53">
        <f t="shared" si="190"/>
        <v>0</v>
      </c>
      <c r="R356" s="53">
        <f t="shared" si="190"/>
        <v>0</v>
      </c>
      <c r="S356" s="53">
        <f t="shared" si="190"/>
        <v>0</v>
      </c>
      <c r="T356" s="53">
        <f t="shared" si="190"/>
        <v>0</v>
      </c>
      <c r="U356" s="53">
        <f t="shared" si="190"/>
        <v>0</v>
      </c>
      <c r="V356" s="53">
        <f t="shared" si="190"/>
        <v>0</v>
      </c>
      <c r="W356" s="53">
        <f t="shared" si="190"/>
        <v>0</v>
      </c>
      <c r="X356" s="53">
        <f t="shared" si="190"/>
        <v>0</v>
      </c>
      <c r="Y356" s="53">
        <f t="shared" si="190"/>
        <v>0</v>
      </c>
      <c r="Z356" s="53">
        <f t="shared" si="190"/>
        <v>0</v>
      </c>
      <c r="AA356" s="53">
        <f t="shared" si="190"/>
        <v>0</v>
      </c>
      <c r="AB356" s="53">
        <f t="shared" si="190"/>
        <v>0</v>
      </c>
      <c r="AC356" s="53">
        <f t="shared" si="190"/>
        <v>0</v>
      </c>
      <c r="AD356" s="53">
        <f t="shared" si="190"/>
        <v>0</v>
      </c>
      <c r="AE356" s="53">
        <f t="shared" si="190"/>
        <v>0</v>
      </c>
      <c r="AF356" s="53">
        <f t="shared" si="190"/>
        <v>0</v>
      </c>
      <c r="AG356" s="53">
        <f t="shared" si="190"/>
        <v>0</v>
      </c>
      <c r="AH356" s="53">
        <f t="shared" si="190"/>
        <v>0</v>
      </c>
      <c r="AI356" s="53">
        <f t="shared" si="190"/>
        <v>0</v>
      </c>
      <c r="AJ356" s="53">
        <f t="shared" si="190"/>
        <v>0</v>
      </c>
      <c r="AK356" s="53">
        <f t="shared" si="190"/>
        <v>0</v>
      </c>
      <c r="AL356" s="53">
        <f t="shared" si="190"/>
        <v>0</v>
      </c>
      <c r="AM356" s="53">
        <f t="shared" si="190"/>
        <v>0</v>
      </c>
      <c r="AN356" s="53">
        <f t="shared" si="190"/>
        <v>0</v>
      </c>
      <c r="AO356" s="53">
        <f t="shared" si="190"/>
        <v>0</v>
      </c>
      <c r="AP356" s="53">
        <f t="shared" si="190"/>
        <v>0</v>
      </c>
      <c r="AQ356" s="53">
        <f t="shared" si="190"/>
        <v>0</v>
      </c>
      <c r="AR356" s="53">
        <f t="shared" si="190"/>
        <v>0</v>
      </c>
      <c r="AS356" s="53">
        <f t="shared" si="190"/>
        <v>0</v>
      </c>
      <c r="AT356" s="53">
        <f t="shared" si="190"/>
        <v>0</v>
      </c>
      <c r="AU356" s="53">
        <f t="shared" si="190"/>
        <v>0</v>
      </c>
      <c r="AV356" s="53">
        <f t="shared" si="190"/>
        <v>0</v>
      </c>
      <c r="AW356" s="53">
        <f t="shared" si="190"/>
        <v>0</v>
      </c>
      <c r="AX356" s="53">
        <f t="shared" si="190"/>
        <v>0</v>
      </c>
      <c r="AY356" s="53">
        <f t="shared" si="190"/>
        <v>0</v>
      </c>
      <c r="AZ356" s="53">
        <f t="shared" si="190"/>
        <v>0</v>
      </c>
      <c r="BA356" s="53">
        <f t="shared" si="190"/>
        <v>0</v>
      </c>
      <c r="BB356" s="53">
        <f t="shared" si="190"/>
        <v>0</v>
      </c>
      <c r="BC356" s="53">
        <f t="shared" si="190"/>
        <v>0</v>
      </c>
      <c r="BD356" s="53">
        <f t="shared" si="190"/>
        <v>0</v>
      </c>
      <c r="BE356" s="53">
        <f t="shared" si="190"/>
        <v>0</v>
      </c>
      <c r="BF356" s="53">
        <f t="shared" si="190"/>
        <v>0</v>
      </c>
      <c r="BG356" s="53">
        <f t="shared" si="190"/>
        <v>0</v>
      </c>
      <c r="BH356" s="53">
        <f t="shared" si="190"/>
        <v>0</v>
      </c>
      <c r="BI356" s="53">
        <f t="shared" si="190"/>
        <v>0</v>
      </c>
      <c r="BJ356" s="53">
        <f t="shared" si="190"/>
        <v>0</v>
      </c>
      <c r="BK356" s="53">
        <f t="shared" si="190"/>
        <v>0</v>
      </c>
      <c r="BL356" s="53">
        <f t="shared" si="190"/>
        <v>0</v>
      </c>
      <c r="BM356" s="53">
        <f t="shared" si="190"/>
        <v>0</v>
      </c>
      <c r="BN356" s="53">
        <f t="shared" si="190"/>
        <v>0</v>
      </c>
      <c r="BO356" s="53">
        <f t="shared" ref="BO356:CX356" si="191">IFERROR(IF(BO$262=0,0,(BO97-BO98)/BO98),0)</f>
        <v>0</v>
      </c>
      <c r="BP356" s="53">
        <f t="shared" si="191"/>
        <v>0</v>
      </c>
      <c r="BQ356" s="53">
        <f t="shared" si="191"/>
        <v>0</v>
      </c>
      <c r="BR356" s="53">
        <f t="shared" si="191"/>
        <v>0</v>
      </c>
      <c r="BS356" s="53">
        <f t="shared" si="191"/>
        <v>0</v>
      </c>
      <c r="BT356" s="53">
        <f t="shared" si="191"/>
        <v>0</v>
      </c>
      <c r="BU356" s="53">
        <f t="shared" si="191"/>
        <v>0</v>
      </c>
      <c r="BV356" s="53">
        <f t="shared" si="191"/>
        <v>0</v>
      </c>
      <c r="BW356" s="53">
        <f t="shared" si="191"/>
        <v>0</v>
      </c>
      <c r="BX356" s="53">
        <f t="shared" si="191"/>
        <v>0</v>
      </c>
      <c r="BY356" s="53">
        <f t="shared" si="191"/>
        <v>0</v>
      </c>
      <c r="BZ356" s="53">
        <f t="shared" si="191"/>
        <v>0</v>
      </c>
      <c r="CA356" s="53">
        <f t="shared" si="191"/>
        <v>0</v>
      </c>
      <c r="CB356" s="53">
        <f t="shared" si="191"/>
        <v>0</v>
      </c>
      <c r="CC356" s="53">
        <f t="shared" si="191"/>
        <v>0</v>
      </c>
      <c r="CD356" s="53">
        <f t="shared" si="191"/>
        <v>0</v>
      </c>
      <c r="CE356" s="53">
        <f t="shared" si="191"/>
        <v>0</v>
      </c>
      <c r="CF356" s="53">
        <f t="shared" si="191"/>
        <v>0</v>
      </c>
      <c r="CG356" s="53">
        <f t="shared" si="191"/>
        <v>0</v>
      </c>
      <c r="CH356" s="53">
        <f t="shared" si="191"/>
        <v>0</v>
      </c>
      <c r="CI356" s="53">
        <f t="shared" si="191"/>
        <v>0</v>
      </c>
      <c r="CJ356" s="53">
        <f t="shared" si="191"/>
        <v>0</v>
      </c>
      <c r="CK356" s="53">
        <f t="shared" si="191"/>
        <v>0</v>
      </c>
      <c r="CL356" s="53">
        <f t="shared" si="191"/>
        <v>0</v>
      </c>
      <c r="CM356" s="53">
        <f t="shared" si="191"/>
        <v>0</v>
      </c>
      <c r="CN356" s="53">
        <f t="shared" si="191"/>
        <v>0</v>
      </c>
      <c r="CO356" s="53">
        <f t="shared" si="191"/>
        <v>0</v>
      </c>
      <c r="CP356" s="53">
        <f t="shared" si="191"/>
        <v>0</v>
      </c>
      <c r="CQ356" s="53">
        <f t="shared" si="191"/>
        <v>0</v>
      </c>
      <c r="CR356" s="53">
        <f t="shared" si="191"/>
        <v>0</v>
      </c>
      <c r="CS356" s="53">
        <f t="shared" si="191"/>
        <v>0</v>
      </c>
      <c r="CT356" s="53">
        <f t="shared" si="191"/>
        <v>0</v>
      </c>
      <c r="CU356" s="53">
        <f t="shared" si="191"/>
        <v>0</v>
      </c>
      <c r="CV356" s="53">
        <f t="shared" si="191"/>
        <v>0</v>
      </c>
      <c r="CW356" s="53">
        <f t="shared" si="191"/>
        <v>0</v>
      </c>
      <c r="CX356" s="53">
        <f t="shared" si="191"/>
        <v>0</v>
      </c>
      <c r="DB356" s="2" vm="605">
        <f ca="1">IF(Returns!A360&lt;&gt;0,Returns!A360,"")</f>
        <v>42688</v>
      </c>
      <c r="DC356" s="11">
        <f ca="1">IF(Returns!B371&gt;0,Returns!B371/Returns!B370-1,"")</f>
        <v>-3.059454156047714E-2</v>
      </c>
      <c r="DD356" s="11">
        <f ca="1">IF(Returns!D363&gt;0,Returns!D363/Returns!D362-1,"")</f>
        <v>3.0589895633508446E-2</v>
      </c>
    </row>
    <row r="357" spans="2:108" x14ac:dyDescent="0.3">
      <c r="B357" s="57">
        <f t="shared" ca="1" si="135"/>
        <v>5.8253349232793362E-4</v>
      </c>
      <c r="C357" s="53">
        <f t="shared" ref="C357:BN357" si="192">IFERROR(IF(C$262=0,0,(C98-C99)/C99),0)</f>
        <v>0</v>
      </c>
      <c r="D357" s="53">
        <f t="shared" si="192"/>
        <v>0</v>
      </c>
      <c r="E357" s="53">
        <f t="shared" si="192"/>
        <v>0</v>
      </c>
      <c r="F357" s="53">
        <f t="shared" si="192"/>
        <v>0</v>
      </c>
      <c r="G357" s="53">
        <f t="shared" si="192"/>
        <v>0</v>
      </c>
      <c r="H357" s="53">
        <f t="shared" si="192"/>
        <v>0</v>
      </c>
      <c r="I357" s="53">
        <f t="shared" si="192"/>
        <v>0</v>
      </c>
      <c r="J357" s="53">
        <f t="shared" si="192"/>
        <v>0</v>
      </c>
      <c r="K357" s="53">
        <f t="shared" si="192"/>
        <v>0</v>
      </c>
      <c r="L357" s="53">
        <f t="shared" si="192"/>
        <v>0</v>
      </c>
      <c r="M357" s="53">
        <f t="shared" si="192"/>
        <v>0</v>
      </c>
      <c r="N357" s="53">
        <f t="shared" si="192"/>
        <v>0</v>
      </c>
      <c r="O357" s="53">
        <f t="shared" si="192"/>
        <v>0</v>
      </c>
      <c r="P357" s="53">
        <f t="shared" si="192"/>
        <v>0</v>
      </c>
      <c r="Q357" s="53">
        <f t="shared" si="192"/>
        <v>0</v>
      </c>
      <c r="R357" s="53">
        <f t="shared" si="192"/>
        <v>0</v>
      </c>
      <c r="S357" s="53">
        <f t="shared" si="192"/>
        <v>0</v>
      </c>
      <c r="T357" s="53">
        <f t="shared" si="192"/>
        <v>0</v>
      </c>
      <c r="U357" s="53">
        <f t="shared" si="192"/>
        <v>0</v>
      </c>
      <c r="V357" s="53">
        <f t="shared" si="192"/>
        <v>0</v>
      </c>
      <c r="W357" s="53">
        <f t="shared" si="192"/>
        <v>0</v>
      </c>
      <c r="X357" s="53">
        <f t="shared" si="192"/>
        <v>0</v>
      </c>
      <c r="Y357" s="53">
        <f t="shared" si="192"/>
        <v>0</v>
      </c>
      <c r="Z357" s="53">
        <f t="shared" si="192"/>
        <v>0</v>
      </c>
      <c r="AA357" s="53">
        <f t="shared" si="192"/>
        <v>0</v>
      </c>
      <c r="AB357" s="53">
        <f t="shared" si="192"/>
        <v>0</v>
      </c>
      <c r="AC357" s="53">
        <f t="shared" si="192"/>
        <v>0</v>
      </c>
      <c r="AD357" s="53">
        <f t="shared" si="192"/>
        <v>0</v>
      </c>
      <c r="AE357" s="53">
        <f t="shared" si="192"/>
        <v>0</v>
      </c>
      <c r="AF357" s="53">
        <f t="shared" si="192"/>
        <v>0</v>
      </c>
      <c r="AG357" s="53">
        <f t="shared" si="192"/>
        <v>0</v>
      </c>
      <c r="AH357" s="53">
        <f t="shared" si="192"/>
        <v>0</v>
      </c>
      <c r="AI357" s="53">
        <f t="shared" si="192"/>
        <v>0</v>
      </c>
      <c r="AJ357" s="53">
        <f t="shared" si="192"/>
        <v>0</v>
      </c>
      <c r="AK357" s="53">
        <f t="shared" si="192"/>
        <v>0</v>
      </c>
      <c r="AL357" s="53">
        <f t="shared" si="192"/>
        <v>0</v>
      </c>
      <c r="AM357" s="53">
        <f t="shared" si="192"/>
        <v>0</v>
      </c>
      <c r="AN357" s="53">
        <f t="shared" si="192"/>
        <v>0</v>
      </c>
      <c r="AO357" s="53">
        <f t="shared" si="192"/>
        <v>0</v>
      </c>
      <c r="AP357" s="53">
        <f t="shared" si="192"/>
        <v>0</v>
      </c>
      <c r="AQ357" s="53">
        <f t="shared" si="192"/>
        <v>0</v>
      </c>
      <c r="AR357" s="53">
        <f t="shared" si="192"/>
        <v>0</v>
      </c>
      <c r="AS357" s="53">
        <f t="shared" si="192"/>
        <v>0</v>
      </c>
      <c r="AT357" s="53">
        <f t="shared" si="192"/>
        <v>0</v>
      </c>
      <c r="AU357" s="53">
        <f t="shared" si="192"/>
        <v>0</v>
      </c>
      <c r="AV357" s="53">
        <f t="shared" si="192"/>
        <v>0</v>
      </c>
      <c r="AW357" s="53">
        <f t="shared" si="192"/>
        <v>0</v>
      </c>
      <c r="AX357" s="53">
        <f t="shared" si="192"/>
        <v>0</v>
      </c>
      <c r="AY357" s="53">
        <f t="shared" si="192"/>
        <v>0</v>
      </c>
      <c r="AZ357" s="53">
        <f t="shared" si="192"/>
        <v>0</v>
      </c>
      <c r="BA357" s="53">
        <f t="shared" si="192"/>
        <v>0</v>
      </c>
      <c r="BB357" s="53">
        <f t="shared" si="192"/>
        <v>0</v>
      </c>
      <c r="BC357" s="53">
        <f t="shared" si="192"/>
        <v>0</v>
      </c>
      <c r="BD357" s="53">
        <f t="shared" si="192"/>
        <v>0</v>
      </c>
      <c r="BE357" s="53">
        <f t="shared" si="192"/>
        <v>0</v>
      </c>
      <c r="BF357" s="53">
        <f t="shared" si="192"/>
        <v>0</v>
      </c>
      <c r="BG357" s="53">
        <f t="shared" si="192"/>
        <v>0</v>
      </c>
      <c r="BH357" s="53">
        <f t="shared" si="192"/>
        <v>0</v>
      </c>
      <c r="BI357" s="53">
        <f t="shared" si="192"/>
        <v>0</v>
      </c>
      <c r="BJ357" s="53">
        <f t="shared" si="192"/>
        <v>0</v>
      </c>
      <c r="BK357" s="53">
        <f t="shared" si="192"/>
        <v>0</v>
      </c>
      <c r="BL357" s="53">
        <f t="shared" si="192"/>
        <v>0</v>
      </c>
      <c r="BM357" s="53">
        <f t="shared" si="192"/>
        <v>0</v>
      </c>
      <c r="BN357" s="53">
        <f t="shared" si="192"/>
        <v>0</v>
      </c>
      <c r="BO357" s="53">
        <f t="shared" ref="BO357:CX357" si="193">IFERROR(IF(BO$262=0,0,(BO98-BO99)/BO99),0)</f>
        <v>0</v>
      </c>
      <c r="BP357" s="53">
        <f t="shared" si="193"/>
        <v>0</v>
      </c>
      <c r="BQ357" s="53">
        <f t="shared" si="193"/>
        <v>0</v>
      </c>
      <c r="BR357" s="53">
        <f t="shared" si="193"/>
        <v>0</v>
      </c>
      <c r="BS357" s="53">
        <f t="shared" si="193"/>
        <v>0</v>
      </c>
      <c r="BT357" s="53">
        <f t="shared" si="193"/>
        <v>0</v>
      </c>
      <c r="BU357" s="53">
        <f t="shared" si="193"/>
        <v>0</v>
      </c>
      <c r="BV357" s="53">
        <f t="shared" si="193"/>
        <v>0</v>
      </c>
      <c r="BW357" s="53">
        <f t="shared" si="193"/>
        <v>0</v>
      </c>
      <c r="BX357" s="53">
        <f t="shared" si="193"/>
        <v>0</v>
      </c>
      <c r="BY357" s="53">
        <f t="shared" si="193"/>
        <v>0</v>
      </c>
      <c r="BZ357" s="53">
        <f t="shared" si="193"/>
        <v>0</v>
      </c>
      <c r="CA357" s="53">
        <f t="shared" si="193"/>
        <v>0</v>
      </c>
      <c r="CB357" s="53">
        <f t="shared" si="193"/>
        <v>0</v>
      </c>
      <c r="CC357" s="53">
        <f t="shared" si="193"/>
        <v>0</v>
      </c>
      <c r="CD357" s="53">
        <f t="shared" si="193"/>
        <v>0</v>
      </c>
      <c r="CE357" s="53">
        <f t="shared" si="193"/>
        <v>0</v>
      </c>
      <c r="CF357" s="53">
        <f t="shared" si="193"/>
        <v>0</v>
      </c>
      <c r="CG357" s="53">
        <f t="shared" si="193"/>
        <v>0</v>
      </c>
      <c r="CH357" s="53">
        <f t="shared" si="193"/>
        <v>0</v>
      </c>
      <c r="CI357" s="53">
        <f t="shared" si="193"/>
        <v>0</v>
      </c>
      <c r="CJ357" s="53">
        <f t="shared" si="193"/>
        <v>0</v>
      </c>
      <c r="CK357" s="53">
        <f t="shared" si="193"/>
        <v>0</v>
      </c>
      <c r="CL357" s="53">
        <f t="shared" si="193"/>
        <v>0</v>
      </c>
      <c r="CM357" s="53">
        <f t="shared" si="193"/>
        <v>0</v>
      </c>
      <c r="CN357" s="53">
        <f t="shared" si="193"/>
        <v>0</v>
      </c>
      <c r="CO357" s="53">
        <f t="shared" si="193"/>
        <v>0</v>
      </c>
      <c r="CP357" s="53">
        <f t="shared" si="193"/>
        <v>0</v>
      </c>
      <c r="CQ357" s="53">
        <f t="shared" si="193"/>
        <v>0</v>
      </c>
      <c r="CR357" s="53">
        <f t="shared" si="193"/>
        <v>0</v>
      </c>
      <c r="CS357" s="53">
        <f t="shared" si="193"/>
        <v>0</v>
      </c>
      <c r="CT357" s="53">
        <f t="shared" si="193"/>
        <v>0</v>
      </c>
      <c r="CU357" s="53">
        <f t="shared" si="193"/>
        <v>0</v>
      </c>
      <c r="CV357" s="53">
        <f t="shared" si="193"/>
        <v>0</v>
      </c>
      <c r="CW357" s="53">
        <f t="shared" si="193"/>
        <v>0</v>
      </c>
      <c r="CX357" s="53">
        <f t="shared" si="193"/>
        <v>0</v>
      </c>
      <c r="DB357" s="2" vm="606">
        <f ca="1">IF(Returns!A361&lt;&gt;0,Returns!A361,"")</f>
        <v>42695</v>
      </c>
      <c r="DC357" s="11">
        <f ca="1">IF(Returns!B372&gt;0,Returns!B372/Returns!B371-1,"")</f>
        <v>2.1303381881017103E-2</v>
      </c>
      <c r="DD357" s="11">
        <f ca="1">IF(Returns!D364&gt;0,Returns!D364/Returns!D363-1,"")</f>
        <v>4.3814027140556266E-3</v>
      </c>
    </row>
    <row r="358" spans="2:108" x14ac:dyDescent="0.3">
      <c r="B358" s="57">
        <f t="shared" ca="1" si="135"/>
        <v>3.3500213274774502E-4</v>
      </c>
      <c r="C358" s="53">
        <f t="shared" ref="C358:BN358" si="194">IFERROR(IF(C$262=0,0,(C99-C100)/C100),0)</f>
        <v>0</v>
      </c>
      <c r="D358" s="53">
        <f t="shared" si="194"/>
        <v>0</v>
      </c>
      <c r="E358" s="53">
        <f t="shared" si="194"/>
        <v>0</v>
      </c>
      <c r="F358" s="53">
        <f t="shared" si="194"/>
        <v>0</v>
      </c>
      <c r="G358" s="53">
        <f t="shared" si="194"/>
        <v>0</v>
      </c>
      <c r="H358" s="53">
        <f t="shared" si="194"/>
        <v>0</v>
      </c>
      <c r="I358" s="53">
        <f t="shared" si="194"/>
        <v>0</v>
      </c>
      <c r="J358" s="53">
        <f t="shared" si="194"/>
        <v>0</v>
      </c>
      <c r="K358" s="53">
        <f t="shared" si="194"/>
        <v>0</v>
      </c>
      <c r="L358" s="53">
        <f t="shared" si="194"/>
        <v>0</v>
      </c>
      <c r="M358" s="53">
        <f t="shared" si="194"/>
        <v>0</v>
      </c>
      <c r="N358" s="53">
        <f t="shared" si="194"/>
        <v>0</v>
      </c>
      <c r="O358" s="53">
        <f t="shared" si="194"/>
        <v>0</v>
      </c>
      <c r="P358" s="53">
        <f t="shared" si="194"/>
        <v>0</v>
      </c>
      <c r="Q358" s="53">
        <f t="shared" si="194"/>
        <v>0</v>
      </c>
      <c r="R358" s="53">
        <f t="shared" si="194"/>
        <v>0</v>
      </c>
      <c r="S358" s="53">
        <f t="shared" si="194"/>
        <v>0</v>
      </c>
      <c r="T358" s="53">
        <f t="shared" si="194"/>
        <v>0</v>
      </c>
      <c r="U358" s="53">
        <f t="shared" si="194"/>
        <v>0</v>
      </c>
      <c r="V358" s="53">
        <f t="shared" si="194"/>
        <v>0</v>
      </c>
      <c r="W358" s="53">
        <f t="shared" si="194"/>
        <v>0</v>
      </c>
      <c r="X358" s="53">
        <f t="shared" si="194"/>
        <v>0</v>
      </c>
      <c r="Y358" s="53">
        <f t="shared" si="194"/>
        <v>0</v>
      </c>
      <c r="Z358" s="53">
        <f t="shared" si="194"/>
        <v>0</v>
      </c>
      <c r="AA358" s="53">
        <f t="shared" si="194"/>
        <v>0</v>
      </c>
      <c r="AB358" s="53">
        <f t="shared" si="194"/>
        <v>0</v>
      </c>
      <c r="AC358" s="53">
        <f t="shared" si="194"/>
        <v>0</v>
      </c>
      <c r="AD358" s="53">
        <f t="shared" si="194"/>
        <v>0</v>
      </c>
      <c r="AE358" s="53">
        <f t="shared" si="194"/>
        <v>0</v>
      </c>
      <c r="AF358" s="53">
        <f t="shared" si="194"/>
        <v>0</v>
      </c>
      <c r="AG358" s="53">
        <f t="shared" si="194"/>
        <v>0</v>
      </c>
      <c r="AH358" s="53">
        <f t="shared" si="194"/>
        <v>0</v>
      </c>
      <c r="AI358" s="53">
        <f t="shared" si="194"/>
        <v>0</v>
      </c>
      <c r="AJ358" s="53">
        <f t="shared" si="194"/>
        <v>0</v>
      </c>
      <c r="AK358" s="53">
        <f t="shared" si="194"/>
        <v>0</v>
      </c>
      <c r="AL358" s="53">
        <f t="shared" si="194"/>
        <v>0</v>
      </c>
      <c r="AM358" s="53">
        <f t="shared" si="194"/>
        <v>0</v>
      </c>
      <c r="AN358" s="53">
        <f t="shared" si="194"/>
        <v>0</v>
      </c>
      <c r="AO358" s="53">
        <f t="shared" si="194"/>
        <v>0</v>
      </c>
      <c r="AP358" s="53">
        <f t="shared" si="194"/>
        <v>0</v>
      </c>
      <c r="AQ358" s="53">
        <f t="shared" si="194"/>
        <v>0</v>
      </c>
      <c r="AR358" s="53">
        <f t="shared" si="194"/>
        <v>0</v>
      </c>
      <c r="AS358" s="53">
        <f t="shared" si="194"/>
        <v>0</v>
      </c>
      <c r="AT358" s="53">
        <f t="shared" si="194"/>
        <v>0</v>
      </c>
      <c r="AU358" s="53">
        <f t="shared" si="194"/>
        <v>0</v>
      </c>
      <c r="AV358" s="53">
        <f t="shared" si="194"/>
        <v>0</v>
      </c>
      <c r="AW358" s="53">
        <f t="shared" si="194"/>
        <v>0</v>
      </c>
      <c r="AX358" s="53">
        <f t="shared" si="194"/>
        <v>0</v>
      </c>
      <c r="AY358" s="53">
        <f t="shared" si="194"/>
        <v>0</v>
      </c>
      <c r="AZ358" s="53">
        <f t="shared" si="194"/>
        <v>0</v>
      </c>
      <c r="BA358" s="53">
        <f t="shared" si="194"/>
        <v>0</v>
      </c>
      <c r="BB358" s="53">
        <f t="shared" si="194"/>
        <v>0</v>
      </c>
      <c r="BC358" s="53">
        <f t="shared" si="194"/>
        <v>0</v>
      </c>
      <c r="BD358" s="53">
        <f t="shared" si="194"/>
        <v>0</v>
      </c>
      <c r="BE358" s="53">
        <f t="shared" si="194"/>
        <v>0</v>
      </c>
      <c r="BF358" s="53">
        <f t="shared" si="194"/>
        <v>0</v>
      </c>
      <c r="BG358" s="53">
        <f t="shared" si="194"/>
        <v>0</v>
      </c>
      <c r="BH358" s="53">
        <f t="shared" si="194"/>
        <v>0</v>
      </c>
      <c r="BI358" s="53">
        <f t="shared" si="194"/>
        <v>0</v>
      </c>
      <c r="BJ358" s="53">
        <f t="shared" si="194"/>
        <v>0</v>
      </c>
      <c r="BK358" s="53">
        <f t="shared" si="194"/>
        <v>0</v>
      </c>
      <c r="BL358" s="53">
        <f t="shared" si="194"/>
        <v>0</v>
      </c>
      <c r="BM358" s="53">
        <f t="shared" si="194"/>
        <v>0</v>
      </c>
      <c r="BN358" s="53">
        <f t="shared" si="194"/>
        <v>0</v>
      </c>
      <c r="BO358" s="53">
        <f t="shared" ref="BO358:CX358" si="195">IFERROR(IF(BO$262=0,0,(BO99-BO100)/BO100),0)</f>
        <v>0</v>
      </c>
      <c r="BP358" s="53">
        <f t="shared" si="195"/>
        <v>0</v>
      </c>
      <c r="BQ358" s="53">
        <f t="shared" si="195"/>
        <v>0</v>
      </c>
      <c r="BR358" s="53">
        <f t="shared" si="195"/>
        <v>0</v>
      </c>
      <c r="BS358" s="53">
        <f t="shared" si="195"/>
        <v>0</v>
      </c>
      <c r="BT358" s="53">
        <f t="shared" si="195"/>
        <v>0</v>
      </c>
      <c r="BU358" s="53">
        <f t="shared" si="195"/>
        <v>0</v>
      </c>
      <c r="BV358" s="53">
        <f t="shared" si="195"/>
        <v>0</v>
      </c>
      <c r="BW358" s="53">
        <f t="shared" si="195"/>
        <v>0</v>
      </c>
      <c r="BX358" s="53">
        <f t="shared" si="195"/>
        <v>0</v>
      </c>
      <c r="BY358" s="53">
        <f t="shared" si="195"/>
        <v>0</v>
      </c>
      <c r="BZ358" s="53">
        <f t="shared" si="195"/>
        <v>0</v>
      </c>
      <c r="CA358" s="53">
        <f t="shared" si="195"/>
        <v>0</v>
      </c>
      <c r="CB358" s="53">
        <f t="shared" si="195"/>
        <v>0</v>
      </c>
      <c r="CC358" s="53">
        <f t="shared" si="195"/>
        <v>0</v>
      </c>
      <c r="CD358" s="53">
        <f t="shared" si="195"/>
        <v>0</v>
      </c>
      <c r="CE358" s="53">
        <f t="shared" si="195"/>
        <v>0</v>
      </c>
      <c r="CF358" s="53">
        <f t="shared" si="195"/>
        <v>0</v>
      </c>
      <c r="CG358" s="53">
        <f t="shared" si="195"/>
        <v>0</v>
      </c>
      <c r="CH358" s="53">
        <f t="shared" si="195"/>
        <v>0</v>
      </c>
      <c r="CI358" s="53">
        <f t="shared" si="195"/>
        <v>0</v>
      </c>
      <c r="CJ358" s="53">
        <f t="shared" si="195"/>
        <v>0</v>
      </c>
      <c r="CK358" s="53">
        <f t="shared" si="195"/>
        <v>0</v>
      </c>
      <c r="CL358" s="53">
        <f t="shared" si="195"/>
        <v>0</v>
      </c>
      <c r="CM358" s="53">
        <f t="shared" si="195"/>
        <v>0</v>
      </c>
      <c r="CN358" s="53">
        <f t="shared" si="195"/>
        <v>0</v>
      </c>
      <c r="CO358" s="53">
        <f t="shared" si="195"/>
        <v>0</v>
      </c>
      <c r="CP358" s="53">
        <f t="shared" si="195"/>
        <v>0</v>
      </c>
      <c r="CQ358" s="53">
        <f t="shared" si="195"/>
        <v>0</v>
      </c>
      <c r="CR358" s="53">
        <f t="shared" si="195"/>
        <v>0</v>
      </c>
      <c r="CS358" s="53">
        <f t="shared" si="195"/>
        <v>0</v>
      </c>
      <c r="CT358" s="53">
        <f t="shared" si="195"/>
        <v>0</v>
      </c>
      <c r="CU358" s="53">
        <f t="shared" si="195"/>
        <v>0</v>
      </c>
      <c r="CV358" s="53">
        <f t="shared" si="195"/>
        <v>0</v>
      </c>
      <c r="CW358" s="53">
        <f t="shared" si="195"/>
        <v>0</v>
      </c>
      <c r="CX358" s="53">
        <f t="shared" si="195"/>
        <v>0</v>
      </c>
      <c r="DB358" s="2" vm="607">
        <f ca="1">IF(Returns!A362&lt;&gt;0,Returns!A362,"")</f>
        <v>42702</v>
      </c>
      <c r="DC358" s="11">
        <f ca="1">IF(Returns!B373&gt;0,Returns!B373/Returns!B372-1,"")</f>
        <v>2.1281995504314422E-2</v>
      </c>
      <c r="DD358" s="11">
        <f ca="1">IF(Returns!D365&gt;0,Returns!D365/Returns!D364-1,"")</f>
        <v>4.5555579688953962E-3</v>
      </c>
    </row>
    <row r="359" spans="2:108" x14ac:dyDescent="0.3">
      <c r="B359" s="57">
        <f t="shared" ca="1" si="135"/>
        <v>2.4688191746852781E-4</v>
      </c>
      <c r="C359" s="53">
        <f t="shared" ref="C359:BN359" si="196">IFERROR(IF(C$262=0,0,(C100-C101)/C101),0)</f>
        <v>0</v>
      </c>
      <c r="D359" s="53">
        <f t="shared" si="196"/>
        <v>0</v>
      </c>
      <c r="E359" s="53">
        <f t="shared" si="196"/>
        <v>0</v>
      </c>
      <c r="F359" s="53">
        <f t="shared" si="196"/>
        <v>0</v>
      </c>
      <c r="G359" s="53">
        <f t="shared" si="196"/>
        <v>0</v>
      </c>
      <c r="H359" s="53">
        <f t="shared" si="196"/>
        <v>0</v>
      </c>
      <c r="I359" s="53">
        <f t="shared" si="196"/>
        <v>0</v>
      </c>
      <c r="J359" s="53">
        <f t="shared" si="196"/>
        <v>0</v>
      </c>
      <c r="K359" s="53">
        <f t="shared" si="196"/>
        <v>0</v>
      </c>
      <c r="L359" s="53">
        <f t="shared" si="196"/>
        <v>0</v>
      </c>
      <c r="M359" s="53">
        <f t="shared" si="196"/>
        <v>0</v>
      </c>
      <c r="N359" s="53">
        <f t="shared" si="196"/>
        <v>0</v>
      </c>
      <c r="O359" s="53">
        <f t="shared" si="196"/>
        <v>0</v>
      </c>
      <c r="P359" s="53">
        <f t="shared" si="196"/>
        <v>0</v>
      </c>
      <c r="Q359" s="53">
        <f t="shared" si="196"/>
        <v>0</v>
      </c>
      <c r="R359" s="53">
        <f t="shared" si="196"/>
        <v>0</v>
      </c>
      <c r="S359" s="53">
        <f t="shared" si="196"/>
        <v>0</v>
      </c>
      <c r="T359" s="53">
        <f t="shared" si="196"/>
        <v>0</v>
      </c>
      <c r="U359" s="53">
        <f t="shared" si="196"/>
        <v>0</v>
      </c>
      <c r="V359" s="53">
        <f t="shared" si="196"/>
        <v>0</v>
      </c>
      <c r="W359" s="53">
        <f t="shared" si="196"/>
        <v>0</v>
      </c>
      <c r="X359" s="53">
        <f t="shared" si="196"/>
        <v>0</v>
      </c>
      <c r="Y359" s="53">
        <f t="shared" si="196"/>
        <v>0</v>
      </c>
      <c r="Z359" s="53">
        <f t="shared" si="196"/>
        <v>0</v>
      </c>
      <c r="AA359" s="53">
        <f t="shared" si="196"/>
        <v>0</v>
      </c>
      <c r="AB359" s="53">
        <f t="shared" si="196"/>
        <v>0</v>
      </c>
      <c r="AC359" s="53">
        <f t="shared" si="196"/>
        <v>0</v>
      </c>
      <c r="AD359" s="53">
        <f t="shared" si="196"/>
        <v>0</v>
      </c>
      <c r="AE359" s="53">
        <f t="shared" si="196"/>
        <v>0</v>
      </c>
      <c r="AF359" s="53">
        <f t="shared" si="196"/>
        <v>0</v>
      </c>
      <c r="AG359" s="53">
        <f t="shared" si="196"/>
        <v>0</v>
      </c>
      <c r="AH359" s="53">
        <f t="shared" si="196"/>
        <v>0</v>
      </c>
      <c r="AI359" s="53">
        <f t="shared" si="196"/>
        <v>0</v>
      </c>
      <c r="AJ359" s="53">
        <f t="shared" si="196"/>
        <v>0</v>
      </c>
      <c r="AK359" s="53">
        <f t="shared" si="196"/>
        <v>0</v>
      </c>
      <c r="AL359" s="53">
        <f t="shared" si="196"/>
        <v>0</v>
      </c>
      <c r="AM359" s="53">
        <f t="shared" si="196"/>
        <v>0</v>
      </c>
      <c r="AN359" s="53">
        <f t="shared" si="196"/>
        <v>0</v>
      </c>
      <c r="AO359" s="53">
        <f t="shared" si="196"/>
        <v>0</v>
      </c>
      <c r="AP359" s="53">
        <f t="shared" si="196"/>
        <v>0</v>
      </c>
      <c r="AQ359" s="53">
        <f t="shared" si="196"/>
        <v>0</v>
      </c>
      <c r="AR359" s="53">
        <f t="shared" si="196"/>
        <v>0</v>
      </c>
      <c r="AS359" s="53">
        <f t="shared" si="196"/>
        <v>0</v>
      </c>
      <c r="AT359" s="53">
        <f t="shared" si="196"/>
        <v>0</v>
      </c>
      <c r="AU359" s="53">
        <f t="shared" si="196"/>
        <v>0</v>
      </c>
      <c r="AV359" s="53">
        <f t="shared" si="196"/>
        <v>0</v>
      </c>
      <c r="AW359" s="53">
        <f t="shared" si="196"/>
        <v>0</v>
      </c>
      <c r="AX359" s="53">
        <f t="shared" si="196"/>
        <v>0</v>
      </c>
      <c r="AY359" s="53">
        <f t="shared" si="196"/>
        <v>0</v>
      </c>
      <c r="AZ359" s="53">
        <f t="shared" si="196"/>
        <v>0</v>
      </c>
      <c r="BA359" s="53">
        <f t="shared" si="196"/>
        <v>0</v>
      </c>
      <c r="BB359" s="53">
        <f t="shared" si="196"/>
        <v>0</v>
      </c>
      <c r="BC359" s="53">
        <f t="shared" si="196"/>
        <v>0</v>
      </c>
      <c r="BD359" s="53">
        <f t="shared" si="196"/>
        <v>0</v>
      </c>
      <c r="BE359" s="53">
        <f t="shared" si="196"/>
        <v>0</v>
      </c>
      <c r="BF359" s="53">
        <f t="shared" si="196"/>
        <v>0</v>
      </c>
      <c r="BG359" s="53">
        <f t="shared" si="196"/>
        <v>0</v>
      </c>
      <c r="BH359" s="53">
        <f t="shared" si="196"/>
        <v>0</v>
      </c>
      <c r="BI359" s="53">
        <f t="shared" si="196"/>
        <v>0</v>
      </c>
      <c r="BJ359" s="53">
        <f t="shared" si="196"/>
        <v>0</v>
      </c>
      <c r="BK359" s="53">
        <f t="shared" si="196"/>
        <v>0</v>
      </c>
      <c r="BL359" s="53">
        <f t="shared" si="196"/>
        <v>0</v>
      </c>
      <c r="BM359" s="53">
        <f t="shared" si="196"/>
        <v>0</v>
      </c>
      <c r="BN359" s="53">
        <f t="shared" si="196"/>
        <v>0</v>
      </c>
      <c r="BO359" s="53">
        <f t="shared" ref="BO359:CX359" si="197">IFERROR(IF(BO$262=0,0,(BO100-BO101)/BO101),0)</f>
        <v>0</v>
      </c>
      <c r="BP359" s="53">
        <f t="shared" si="197"/>
        <v>0</v>
      </c>
      <c r="BQ359" s="53">
        <f t="shared" si="197"/>
        <v>0</v>
      </c>
      <c r="BR359" s="53">
        <f t="shared" si="197"/>
        <v>0</v>
      </c>
      <c r="BS359" s="53">
        <f t="shared" si="197"/>
        <v>0</v>
      </c>
      <c r="BT359" s="53">
        <f t="shared" si="197"/>
        <v>0</v>
      </c>
      <c r="BU359" s="53">
        <f t="shared" si="197"/>
        <v>0</v>
      </c>
      <c r="BV359" s="53">
        <f t="shared" si="197"/>
        <v>0</v>
      </c>
      <c r="BW359" s="53">
        <f t="shared" si="197"/>
        <v>0</v>
      </c>
      <c r="BX359" s="53">
        <f t="shared" si="197"/>
        <v>0</v>
      </c>
      <c r="BY359" s="53">
        <f t="shared" si="197"/>
        <v>0</v>
      </c>
      <c r="BZ359" s="53">
        <f t="shared" si="197"/>
        <v>0</v>
      </c>
      <c r="CA359" s="53">
        <f t="shared" si="197"/>
        <v>0</v>
      </c>
      <c r="CB359" s="53">
        <f t="shared" si="197"/>
        <v>0</v>
      </c>
      <c r="CC359" s="53">
        <f t="shared" si="197"/>
        <v>0</v>
      </c>
      <c r="CD359" s="53">
        <f t="shared" si="197"/>
        <v>0</v>
      </c>
      <c r="CE359" s="53">
        <f t="shared" si="197"/>
        <v>0</v>
      </c>
      <c r="CF359" s="53">
        <f t="shared" si="197"/>
        <v>0</v>
      </c>
      <c r="CG359" s="53">
        <f t="shared" si="197"/>
        <v>0</v>
      </c>
      <c r="CH359" s="53">
        <f t="shared" si="197"/>
        <v>0</v>
      </c>
      <c r="CI359" s="53">
        <f t="shared" si="197"/>
        <v>0</v>
      </c>
      <c r="CJ359" s="53">
        <f t="shared" si="197"/>
        <v>0</v>
      </c>
      <c r="CK359" s="53">
        <f t="shared" si="197"/>
        <v>0</v>
      </c>
      <c r="CL359" s="53">
        <f t="shared" si="197"/>
        <v>0</v>
      </c>
      <c r="CM359" s="53">
        <f t="shared" si="197"/>
        <v>0</v>
      </c>
      <c r="CN359" s="53">
        <f t="shared" si="197"/>
        <v>0</v>
      </c>
      <c r="CO359" s="53">
        <f t="shared" si="197"/>
        <v>0</v>
      </c>
      <c r="CP359" s="53">
        <f t="shared" si="197"/>
        <v>0</v>
      </c>
      <c r="CQ359" s="53">
        <f t="shared" si="197"/>
        <v>0</v>
      </c>
      <c r="CR359" s="53">
        <f t="shared" si="197"/>
        <v>0</v>
      </c>
      <c r="CS359" s="53">
        <f t="shared" si="197"/>
        <v>0</v>
      </c>
      <c r="CT359" s="53">
        <f t="shared" si="197"/>
        <v>0</v>
      </c>
      <c r="CU359" s="53">
        <f t="shared" si="197"/>
        <v>0</v>
      </c>
      <c r="CV359" s="53">
        <f t="shared" si="197"/>
        <v>0</v>
      </c>
      <c r="CW359" s="53">
        <f t="shared" si="197"/>
        <v>0</v>
      </c>
      <c r="CX359" s="53">
        <f t="shared" si="197"/>
        <v>0</v>
      </c>
      <c r="DB359" s="2" vm="608">
        <f ca="1">IF(Returns!A363&lt;&gt;0,Returns!A363,"")</f>
        <v>42709</v>
      </c>
      <c r="DC359" s="11">
        <f ca="1">IF(Returns!B374&gt;0,Returns!B374/Returns!B373-1,"")</f>
        <v>2.0116676724990512E-4</v>
      </c>
      <c r="DD359" s="11">
        <f ca="1">IF(Returns!D366&gt;0,Returns!D366/Returns!D365-1,"")</f>
        <v>-8.5888210775674212E-3</v>
      </c>
    </row>
    <row r="360" spans="2:108" x14ac:dyDescent="0.3">
      <c r="B360" s="57">
        <f t="shared" ca="1" si="135"/>
        <v>6.1487688272153615E-4</v>
      </c>
      <c r="C360" s="53">
        <f t="shared" ref="C360:BN360" si="198">IFERROR(IF(C$262=0,0,(C101-C102)/C102),0)</f>
        <v>0</v>
      </c>
      <c r="D360" s="53">
        <f t="shared" si="198"/>
        <v>0</v>
      </c>
      <c r="E360" s="53">
        <f t="shared" si="198"/>
        <v>0</v>
      </c>
      <c r="F360" s="53">
        <f t="shared" si="198"/>
        <v>0</v>
      </c>
      <c r="G360" s="53">
        <f t="shared" si="198"/>
        <v>0</v>
      </c>
      <c r="H360" s="53">
        <f t="shared" si="198"/>
        <v>0</v>
      </c>
      <c r="I360" s="53">
        <f t="shared" si="198"/>
        <v>0</v>
      </c>
      <c r="J360" s="53">
        <f t="shared" si="198"/>
        <v>0</v>
      </c>
      <c r="K360" s="53">
        <f t="shared" si="198"/>
        <v>0</v>
      </c>
      <c r="L360" s="53">
        <f t="shared" si="198"/>
        <v>0</v>
      </c>
      <c r="M360" s="53">
        <f t="shared" si="198"/>
        <v>0</v>
      </c>
      <c r="N360" s="53">
        <f t="shared" si="198"/>
        <v>0</v>
      </c>
      <c r="O360" s="53">
        <f t="shared" si="198"/>
        <v>0</v>
      </c>
      <c r="P360" s="53">
        <f t="shared" si="198"/>
        <v>0</v>
      </c>
      <c r="Q360" s="53">
        <f t="shared" si="198"/>
        <v>0</v>
      </c>
      <c r="R360" s="53">
        <f t="shared" si="198"/>
        <v>0</v>
      </c>
      <c r="S360" s="53">
        <f t="shared" si="198"/>
        <v>0</v>
      </c>
      <c r="T360" s="53">
        <f t="shared" si="198"/>
        <v>0</v>
      </c>
      <c r="U360" s="53">
        <f t="shared" si="198"/>
        <v>0</v>
      </c>
      <c r="V360" s="53">
        <f t="shared" si="198"/>
        <v>0</v>
      </c>
      <c r="W360" s="53">
        <f t="shared" si="198"/>
        <v>0</v>
      </c>
      <c r="X360" s="53">
        <f t="shared" si="198"/>
        <v>0</v>
      </c>
      <c r="Y360" s="53">
        <f t="shared" si="198"/>
        <v>0</v>
      </c>
      <c r="Z360" s="53">
        <f t="shared" si="198"/>
        <v>0</v>
      </c>
      <c r="AA360" s="53">
        <f t="shared" si="198"/>
        <v>0</v>
      </c>
      <c r="AB360" s="53">
        <f t="shared" si="198"/>
        <v>0</v>
      </c>
      <c r="AC360" s="53">
        <f t="shared" si="198"/>
        <v>0</v>
      </c>
      <c r="AD360" s="53">
        <f t="shared" si="198"/>
        <v>0</v>
      </c>
      <c r="AE360" s="53">
        <f t="shared" si="198"/>
        <v>0</v>
      </c>
      <c r="AF360" s="53">
        <f t="shared" si="198"/>
        <v>0</v>
      </c>
      <c r="AG360" s="53">
        <f t="shared" si="198"/>
        <v>0</v>
      </c>
      <c r="AH360" s="53">
        <f t="shared" si="198"/>
        <v>0</v>
      </c>
      <c r="AI360" s="53">
        <f t="shared" si="198"/>
        <v>0</v>
      </c>
      <c r="AJ360" s="53">
        <f t="shared" si="198"/>
        <v>0</v>
      </c>
      <c r="AK360" s="53">
        <f t="shared" si="198"/>
        <v>0</v>
      </c>
      <c r="AL360" s="53">
        <f t="shared" si="198"/>
        <v>0</v>
      </c>
      <c r="AM360" s="53">
        <f t="shared" si="198"/>
        <v>0</v>
      </c>
      <c r="AN360" s="53">
        <f t="shared" si="198"/>
        <v>0</v>
      </c>
      <c r="AO360" s="53">
        <f t="shared" si="198"/>
        <v>0</v>
      </c>
      <c r="AP360" s="53">
        <f t="shared" si="198"/>
        <v>0</v>
      </c>
      <c r="AQ360" s="53">
        <f t="shared" si="198"/>
        <v>0</v>
      </c>
      <c r="AR360" s="53">
        <f t="shared" si="198"/>
        <v>0</v>
      </c>
      <c r="AS360" s="53">
        <f t="shared" si="198"/>
        <v>0</v>
      </c>
      <c r="AT360" s="53">
        <f t="shared" si="198"/>
        <v>0</v>
      </c>
      <c r="AU360" s="53">
        <f t="shared" si="198"/>
        <v>0</v>
      </c>
      <c r="AV360" s="53">
        <f t="shared" si="198"/>
        <v>0</v>
      </c>
      <c r="AW360" s="53">
        <f t="shared" si="198"/>
        <v>0</v>
      </c>
      <c r="AX360" s="53">
        <f t="shared" si="198"/>
        <v>0</v>
      </c>
      <c r="AY360" s="53">
        <f t="shared" si="198"/>
        <v>0</v>
      </c>
      <c r="AZ360" s="53">
        <f t="shared" si="198"/>
        <v>0</v>
      </c>
      <c r="BA360" s="53">
        <f t="shared" si="198"/>
        <v>0</v>
      </c>
      <c r="BB360" s="53">
        <f t="shared" si="198"/>
        <v>0</v>
      </c>
      <c r="BC360" s="53">
        <f t="shared" si="198"/>
        <v>0</v>
      </c>
      <c r="BD360" s="53">
        <f t="shared" si="198"/>
        <v>0</v>
      </c>
      <c r="BE360" s="53">
        <f t="shared" si="198"/>
        <v>0</v>
      </c>
      <c r="BF360" s="53">
        <f t="shared" si="198"/>
        <v>0</v>
      </c>
      <c r="BG360" s="53">
        <f t="shared" si="198"/>
        <v>0</v>
      </c>
      <c r="BH360" s="53">
        <f t="shared" si="198"/>
        <v>0</v>
      </c>
      <c r="BI360" s="53">
        <f t="shared" si="198"/>
        <v>0</v>
      </c>
      <c r="BJ360" s="53">
        <f t="shared" si="198"/>
        <v>0</v>
      </c>
      <c r="BK360" s="53">
        <f t="shared" si="198"/>
        <v>0</v>
      </c>
      <c r="BL360" s="53">
        <f t="shared" si="198"/>
        <v>0</v>
      </c>
      <c r="BM360" s="53">
        <f t="shared" si="198"/>
        <v>0</v>
      </c>
      <c r="BN360" s="53">
        <f t="shared" si="198"/>
        <v>0</v>
      </c>
      <c r="BO360" s="53">
        <f t="shared" ref="BO360:CX360" si="199">IFERROR(IF(BO$262=0,0,(BO101-BO102)/BO102),0)</f>
        <v>0</v>
      </c>
      <c r="BP360" s="53">
        <f t="shared" si="199"/>
        <v>0</v>
      </c>
      <c r="BQ360" s="53">
        <f t="shared" si="199"/>
        <v>0</v>
      </c>
      <c r="BR360" s="53">
        <f t="shared" si="199"/>
        <v>0</v>
      </c>
      <c r="BS360" s="53">
        <f t="shared" si="199"/>
        <v>0</v>
      </c>
      <c r="BT360" s="53">
        <f t="shared" si="199"/>
        <v>0</v>
      </c>
      <c r="BU360" s="53">
        <f t="shared" si="199"/>
        <v>0</v>
      </c>
      <c r="BV360" s="53">
        <f t="shared" si="199"/>
        <v>0</v>
      </c>
      <c r="BW360" s="53">
        <f t="shared" si="199"/>
        <v>0</v>
      </c>
      <c r="BX360" s="53">
        <f t="shared" si="199"/>
        <v>0</v>
      </c>
      <c r="BY360" s="53">
        <f t="shared" si="199"/>
        <v>0</v>
      </c>
      <c r="BZ360" s="53">
        <f t="shared" si="199"/>
        <v>0</v>
      </c>
      <c r="CA360" s="53">
        <f t="shared" si="199"/>
        <v>0</v>
      </c>
      <c r="CB360" s="53">
        <f t="shared" si="199"/>
        <v>0</v>
      </c>
      <c r="CC360" s="53">
        <f t="shared" si="199"/>
        <v>0</v>
      </c>
      <c r="CD360" s="53">
        <f t="shared" si="199"/>
        <v>0</v>
      </c>
      <c r="CE360" s="53">
        <f t="shared" si="199"/>
        <v>0</v>
      </c>
      <c r="CF360" s="53">
        <f t="shared" si="199"/>
        <v>0</v>
      </c>
      <c r="CG360" s="53">
        <f t="shared" si="199"/>
        <v>0</v>
      </c>
      <c r="CH360" s="53">
        <f t="shared" si="199"/>
        <v>0</v>
      </c>
      <c r="CI360" s="53">
        <f t="shared" si="199"/>
        <v>0</v>
      </c>
      <c r="CJ360" s="53">
        <f t="shared" si="199"/>
        <v>0</v>
      </c>
      <c r="CK360" s="53">
        <f t="shared" si="199"/>
        <v>0</v>
      </c>
      <c r="CL360" s="53">
        <f t="shared" si="199"/>
        <v>0</v>
      </c>
      <c r="CM360" s="53">
        <f t="shared" si="199"/>
        <v>0</v>
      </c>
      <c r="CN360" s="53">
        <f t="shared" si="199"/>
        <v>0</v>
      </c>
      <c r="CO360" s="53">
        <f t="shared" si="199"/>
        <v>0</v>
      </c>
      <c r="CP360" s="53">
        <f t="shared" si="199"/>
        <v>0</v>
      </c>
      <c r="CQ360" s="53">
        <f t="shared" si="199"/>
        <v>0</v>
      </c>
      <c r="CR360" s="53">
        <f t="shared" si="199"/>
        <v>0</v>
      </c>
      <c r="CS360" s="53">
        <f t="shared" si="199"/>
        <v>0</v>
      </c>
      <c r="CT360" s="53">
        <f t="shared" si="199"/>
        <v>0</v>
      </c>
      <c r="CU360" s="53">
        <f t="shared" si="199"/>
        <v>0</v>
      </c>
      <c r="CV360" s="53">
        <f t="shared" si="199"/>
        <v>0</v>
      </c>
      <c r="CW360" s="53">
        <f t="shared" si="199"/>
        <v>0</v>
      </c>
      <c r="CX360" s="53">
        <f t="shared" si="199"/>
        <v>0</v>
      </c>
      <c r="DB360" s="2" vm="609">
        <f ca="1">IF(Returns!A364&lt;&gt;0,Returns!A364,"")</f>
        <v>42716</v>
      </c>
      <c r="DC360" s="11">
        <f ca="1">IF(Returns!B375&gt;0,Returns!B375/Returns!B374-1,"")</f>
        <v>5.4895650939377205E-3</v>
      </c>
      <c r="DD360" s="11">
        <f ca="1">IF(Returns!D367&gt;0,Returns!D367/Returns!D366-1,"")</f>
        <v>1.0181029378681705E-2</v>
      </c>
    </row>
    <row r="361" spans="2:108" x14ac:dyDescent="0.3">
      <c r="B361" s="57">
        <f t="shared" ca="1" si="135"/>
        <v>4.1887578951838707E-5</v>
      </c>
      <c r="C361" s="53">
        <f t="shared" ref="C361:BN361" si="200">IFERROR(IF(C$262=0,0,(C102-C103)/C103),0)</f>
        <v>0</v>
      </c>
      <c r="D361" s="53">
        <f t="shared" si="200"/>
        <v>0</v>
      </c>
      <c r="E361" s="53">
        <f t="shared" si="200"/>
        <v>0</v>
      </c>
      <c r="F361" s="53">
        <f t="shared" si="200"/>
        <v>0</v>
      </c>
      <c r="G361" s="53">
        <f t="shared" si="200"/>
        <v>0</v>
      </c>
      <c r="H361" s="53">
        <f t="shared" si="200"/>
        <v>0</v>
      </c>
      <c r="I361" s="53">
        <f t="shared" si="200"/>
        <v>0</v>
      </c>
      <c r="J361" s="53">
        <f t="shared" si="200"/>
        <v>0</v>
      </c>
      <c r="K361" s="53">
        <f t="shared" si="200"/>
        <v>0</v>
      </c>
      <c r="L361" s="53">
        <f t="shared" si="200"/>
        <v>0</v>
      </c>
      <c r="M361" s="53">
        <f t="shared" si="200"/>
        <v>0</v>
      </c>
      <c r="N361" s="53">
        <f t="shared" si="200"/>
        <v>0</v>
      </c>
      <c r="O361" s="53">
        <f t="shared" si="200"/>
        <v>0</v>
      </c>
      <c r="P361" s="53">
        <f t="shared" si="200"/>
        <v>0</v>
      </c>
      <c r="Q361" s="53">
        <f t="shared" si="200"/>
        <v>0</v>
      </c>
      <c r="R361" s="53">
        <f t="shared" si="200"/>
        <v>0</v>
      </c>
      <c r="S361" s="53">
        <f t="shared" si="200"/>
        <v>0</v>
      </c>
      <c r="T361" s="53">
        <f t="shared" si="200"/>
        <v>0</v>
      </c>
      <c r="U361" s="53">
        <f t="shared" si="200"/>
        <v>0</v>
      </c>
      <c r="V361" s="53">
        <f t="shared" si="200"/>
        <v>0</v>
      </c>
      <c r="W361" s="53">
        <f t="shared" si="200"/>
        <v>0</v>
      </c>
      <c r="X361" s="53">
        <f t="shared" si="200"/>
        <v>0</v>
      </c>
      <c r="Y361" s="53">
        <f t="shared" si="200"/>
        <v>0</v>
      </c>
      <c r="Z361" s="53">
        <f t="shared" si="200"/>
        <v>0</v>
      </c>
      <c r="AA361" s="53">
        <f t="shared" si="200"/>
        <v>0</v>
      </c>
      <c r="AB361" s="53">
        <f t="shared" si="200"/>
        <v>0</v>
      </c>
      <c r="AC361" s="53">
        <f t="shared" si="200"/>
        <v>0</v>
      </c>
      <c r="AD361" s="53">
        <f t="shared" si="200"/>
        <v>0</v>
      </c>
      <c r="AE361" s="53">
        <f t="shared" si="200"/>
        <v>0</v>
      </c>
      <c r="AF361" s="53">
        <f t="shared" si="200"/>
        <v>0</v>
      </c>
      <c r="AG361" s="53">
        <f t="shared" si="200"/>
        <v>0</v>
      </c>
      <c r="AH361" s="53">
        <f t="shared" si="200"/>
        <v>0</v>
      </c>
      <c r="AI361" s="53">
        <f t="shared" si="200"/>
        <v>0</v>
      </c>
      <c r="AJ361" s="53">
        <f t="shared" si="200"/>
        <v>0</v>
      </c>
      <c r="AK361" s="53">
        <f t="shared" si="200"/>
        <v>0</v>
      </c>
      <c r="AL361" s="53">
        <f t="shared" si="200"/>
        <v>0</v>
      </c>
      <c r="AM361" s="53">
        <f t="shared" si="200"/>
        <v>0</v>
      </c>
      <c r="AN361" s="53">
        <f t="shared" si="200"/>
        <v>0</v>
      </c>
      <c r="AO361" s="53">
        <f t="shared" si="200"/>
        <v>0</v>
      </c>
      <c r="AP361" s="53">
        <f t="shared" si="200"/>
        <v>0</v>
      </c>
      <c r="AQ361" s="53">
        <f t="shared" si="200"/>
        <v>0</v>
      </c>
      <c r="AR361" s="53">
        <f t="shared" si="200"/>
        <v>0</v>
      </c>
      <c r="AS361" s="53">
        <f t="shared" si="200"/>
        <v>0</v>
      </c>
      <c r="AT361" s="53">
        <f t="shared" si="200"/>
        <v>0</v>
      </c>
      <c r="AU361" s="53">
        <f t="shared" si="200"/>
        <v>0</v>
      </c>
      <c r="AV361" s="53">
        <f t="shared" si="200"/>
        <v>0</v>
      </c>
      <c r="AW361" s="53">
        <f t="shared" si="200"/>
        <v>0</v>
      </c>
      <c r="AX361" s="53">
        <f t="shared" si="200"/>
        <v>0</v>
      </c>
      <c r="AY361" s="53">
        <f t="shared" si="200"/>
        <v>0</v>
      </c>
      <c r="AZ361" s="53">
        <f t="shared" si="200"/>
        <v>0</v>
      </c>
      <c r="BA361" s="53">
        <f t="shared" si="200"/>
        <v>0</v>
      </c>
      <c r="BB361" s="53">
        <f t="shared" si="200"/>
        <v>0</v>
      </c>
      <c r="BC361" s="53">
        <f t="shared" si="200"/>
        <v>0</v>
      </c>
      <c r="BD361" s="53">
        <f t="shared" si="200"/>
        <v>0</v>
      </c>
      <c r="BE361" s="53">
        <f t="shared" si="200"/>
        <v>0</v>
      </c>
      <c r="BF361" s="53">
        <f t="shared" si="200"/>
        <v>0</v>
      </c>
      <c r="BG361" s="53">
        <f t="shared" si="200"/>
        <v>0</v>
      </c>
      <c r="BH361" s="53">
        <f t="shared" si="200"/>
        <v>0</v>
      </c>
      <c r="BI361" s="53">
        <f t="shared" si="200"/>
        <v>0</v>
      </c>
      <c r="BJ361" s="53">
        <f t="shared" si="200"/>
        <v>0</v>
      </c>
      <c r="BK361" s="53">
        <f t="shared" si="200"/>
        <v>0</v>
      </c>
      <c r="BL361" s="53">
        <f t="shared" si="200"/>
        <v>0</v>
      </c>
      <c r="BM361" s="53">
        <f t="shared" si="200"/>
        <v>0</v>
      </c>
      <c r="BN361" s="53">
        <f t="shared" si="200"/>
        <v>0</v>
      </c>
      <c r="BO361" s="53">
        <f t="shared" ref="BO361:CX361" si="201">IFERROR(IF(BO$262=0,0,(BO102-BO103)/BO103),0)</f>
        <v>0</v>
      </c>
      <c r="BP361" s="53">
        <f t="shared" si="201"/>
        <v>0</v>
      </c>
      <c r="BQ361" s="53">
        <f t="shared" si="201"/>
        <v>0</v>
      </c>
      <c r="BR361" s="53">
        <f t="shared" si="201"/>
        <v>0</v>
      </c>
      <c r="BS361" s="53">
        <f t="shared" si="201"/>
        <v>0</v>
      </c>
      <c r="BT361" s="53">
        <f t="shared" si="201"/>
        <v>0</v>
      </c>
      <c r="BU361" s="53">
        <f t="shared" si="201"/>
        <v>0</v>
      </c>
      <c r="BV361" s="53">
        <f t="shared" si="201"/>
        <v>0</v>
      </c>
      <c r="BW361" s="53">
        <f t="shared" si="201"/>
        <v>0</v>
      </c>
      <c r="BX361" s="53">
        <f t="shared" si="201"/>
        <v>0</v>
      </c>
      <c r="BY361" s="53">
        <f t="shared" si="201"/>
        <v>0</v>
      </c>
      <c r="BZ361" s="53">
        <f t="shared" si="201"/>
        <v>0</v>
      </c>
      <c r="CA361" s="53">
        <f t="shared" si="201"/>
        <v>0</v>
      </c>
      <c r="CB361" s="53">
        <f t="shared" si="201"/>
        <v>0</v>
      </c>
      <c r="CC361" s="53">
        <f t="shared" si="201"/>
        <v>0</v>
      </c>
      <c r="CD361" s="53">
        <f t="shared" si="201"/>
        <v>0</v>
      </c>
      <c r="CE361" s="53">
        <f t="shared" si="201"/>
        <v>0</v>
      </c>
      <c r="CF361" s="53">
        <f t="shared" si="201"/>
        <v>0</v>
      </c>
      <c r="CG361" s="53">
        <f t="shared" si="201"/>
        <v>0</v>
      </c>
      <c r="CH361" s="53">
        <f t="shared" si="201"/>
        <v>0</v>
      </c>
      <c r="CI361" s="53">
        <f t="shared" si="201"/>
        <v>0</v>
      </c>
      <c r="CJ361" s="53">
        <f t="shared" si="201"/>
        <v>0</v>
      </c>
      <c r="CK361" s="53">
        <f t="shared" si="201"/>
        <v>0</v>
      </c>
      <c r="CL361" s="53">
        <f t="shared" si="201"/>
        <v>0</v>
      </c>
      <c r="CM361" s="53">
        <f t="shared" si="201"/>
        <v>0</v>
      </c>
      <c r="CN361" s="53">
        <f t="shared" si="201"/>
        <v>0</v>
      </c>
      <c r="CO361" s="53">
        <f t="shared" si="201"/>
        <v>0</v>
      </c>
      <c r="CP361" s="53">
        <f t="shared" si="201"/>
        <v>0</v>
      </c>
      <c r="CQ361" s="53">
        <f t="shared" si="201"/>
        <v>0</v>
      </c>
      <c r="CR361" s="53">
        <f t="shared" si="201"/>
        <v>0</v>
      </c>
      <c r="CS361" s="53">
        <f t="shared" si="201"/>
        <v>0</v>
      </c>
      <c r="CT361" s="53">
        <f t="shared" si="201"/>
        <v>0</v>
      </c>
      <c r="CU361" s="53">
        <f t="shared" si="201"/>
        <v>0</v>
      </c>
      <c r="CV361" s="53">
        <f t="shared" si="201"/>
        <v>0</v>
      </c>
      <c r="CW361" s="53">
        <f t="shared" si="201"/>
        <v>0</v>
      </c>
      <c r="CX361" s="53">
        <f t="shared" si="201"/>
        <v>0</v>
      </c>
      <c r="DB361" s="2" vm="610">
        <f ca="1">IF(Returns!A365&lt;&gt;0,Returns!A365,"")</f>
        <v>42723</v>
      </c>
      <c r="DC361" s="11">
        <f ca="1">IF(Returns!B376&gt;0,Returns!B376/Returns!B375-1,"")</f>
        <v>3.0357226902621992E-3</v>
      </c>
      <c r="DD361" s="11">
        <f ca="1">IF(Returns!D368&gt;0,Returns!D368/Returns!D367-1,"")</f>
        <v>-3.9106227383286507E-3</v>
      </c>
    </row>
    <row r="362" spans="2:108" x14ac:dyDescent="0.3">
      <c r="B362" s="57">
        <f t="shared" ca="1" si="135"/>
        <v>2.499089858605757E-4</v>
      </c>
      <c r="C362" s="53">
        <f t="shared" ref="C362:BN362" si="202">IFERROR(IF(C$262=0,0,(C103-C104)/C104),0)</f>
        <v>0</v>
      </c>
      <c r="D362" s="53">
        <f t="shared" si="202"/>
        <v>0</v>
      </c>
      <c r="E362" s="53">
        <f t="shared" si="202"/>
        <v>0</v>
      </c>
      <c r="F362" s="53">
        <f t="shared" si="202"/>
        <v>0</v>
      </c>
      <c r="G362" s="53">
        <f t="shared" si="202"/>
        <v>0</v>
      </c>
      <c r="H362" s="53">
        <f t="shared" si="202"/>
        <v>0</v>
      </c>
      <c r="I362" s="53">
        <f t="shared" si="202"/>
        <v>0</v>
      </c>
      <c r="J362" s="53">
        <f t="shared" si="202"/>
        <v>0</v>
      </c>
      <c r="K362" s="53">
        <f t="shared" si="202"/>
        <v>0</v>
      </c>
      <c r="L362" s="53">
        <f t="shared" si="202"/>
        <v>0</v>
      </c>
      <c r="M362" s="53">
        <f t="shared" si="202"/>
        <v>0</v>
      </c>
      <c r="N362" s="53">
        <f t="shared" si="202"/>
        <v>0</v>
      </c>
      <c r="O362" s="53">
        <f t="shared" si="202"/>
        <v>0</v>
      </c>
      <c r="P362" s="53">
        <f t="shared" si="202"/>
        <v>0</v>
      </c>
      <c r="Q362" s="53">
        <f t="shared" si="202"/>
        <v>0</v>
      </c>
      <c r="R362" s="53">
        <f t="shared" si="202"/>
        <v>0</v>
      </c>
      <c r="S362" s="53">
        <f t="shared" si="202"/>
        <v>0</v>
      </c>
      <c r="T362" s="53">
        <f t="shared" si="202"/>
        <v>0</v>
      </c>
      <c r="U362" s="53">
        <f t="shared" si="202"/>
        <v>0</v>
      </c>
      <c r="V362" s="53">
        <f t="shared" si="202"/>
        <v>0</v>
      </c>
      <c r="W362" s="53">
        <f t="shared" si="202"/>
        <v>0</v>
      </c>
      <c r="X362" s="53">
        <f t="shared" si="202"/>
        <v>0</v>
      </c>
      <c r="Y362" s="53">
        <f t="shared" si="202"/>
        <v>0</v>
      </c>
      <c r="Z362" s="53">
        <f t="shared" si="202"/>
        <v>0</v>
      </c>
      <c r="AA362" s="53">
        <f t="shared" si="202"/>
        <v>0</v>
      </c>
      <c r="AB362" s="53">
        <f t="shared" si="202"/>
        <v>0</v>
      </c>
      <c r="AC362" s="53">
        <f t="shared" si="202"/>
        <v>0</v>
      </c>
      <c r="AD362" s="53">
        <f t="shared" si="202"/>
        <v>0</v>
      </c>
      <c r="AE362" s="53">
        <f t="shared" si="202"/>
        <v>0</v>
      </c>
      <c r="AF362" s="53">
        <f t="shared" si="202"/>
        <v>0</v>
      </c>
      <c r="AG362" s="53">
        <f t="shared" si="202"/>
        <v>0</v>
      </c>
      <c r="AH362" s="53">
        <f t="shared" si="202"/>
        <v>0</v>
      </c>
      <c r="AI362" s="53">
        <f t="shared" si="202"/>
        <v>0</v>
      </c>
      <c r="AJ362" s="53">
        <f t="shared" si="202"/>
        <v>0</v>
      </c>
      <c r="AK362" s="53">
        <f t="shared" si="202"/>
        <v>0</v>
      </c>
      <c r="AL362" s="53">
        <f t="shared" si="202"/>
        <v>0</v>
      </c>
      <c r="AM362" s="53">
        <f t="shared" si="202"/>
        <v>0</v>
      </c>
      <c r="AN362" s="53">
        <f t="shared" si="202"/>
        <v>0</v>
      </c>
      <c r="AO362" s="53">
        <f t="shared" si="202"/>
        <v>0</v>
      </c>
      <c r="AP362" s="53">
        <f t="shared" si="202"/>
        <v>0</v>
      </c>
      <c r="AQ362" s="53">
        <f t="shared" si="202"/>
        <v>0</v>
      </c>
      <c r="AR362" s="53">
        <f t="shared" si="202"/>
        <v>0</v>
      </c>
      <c r="AS362" s="53">
        <f t="shared" si="202"/>
        <v>0</v>
      </c>
      <c r="AT362" s="53">
        <f t="shared" si="202"/>
        <v>0</v>
      </c>
      <c r="AU362" s="53">
        <f t="shared" si="202"/>
        <v>0</v>
      </c>
      <c r="AV362" s="53">
        <f t="shared" si="202"/>
        <v>0</v>
      </c>
      <c r="AW362" s="53">
        <f t="shared" si="202"/>
        <v>0</v>
      </c>
      <c r="AX362" s="53">
        <f t="shared" si="202"/>
        <v>0</v>
      </c>
      <c r="AY362" s="53">
        <f t="shared" si="202"/>
        <v>0</v>
      </c>
      <c r="AZ362" s="53">
        <f t="shared" si="202"/>
        <v>0</v>
      </c>
      <c r="BA362" s="53">
        <f t="shared" si="202"/>
        <v>0</v>
      </c>
      <c r="BB362" s="53">
        <f t="shared" si="202"/>
        <v>0</v>
      </c>
      <c r="BC362" s="53">
        <f t="shared" si="202"/>
        <v>0</v>
      </c>
      <c r="BD362" s="53">
        <f t="shared" si="202"/>
        <v>0</v>
      </c>
      <c r="BE362" s="53">
        <f t="shared" si="202"/>
        <v>0</v>
      </c>
      <c r="BF362" s="53">
        <f t="shared" si="202"/>
        <v>0</v>
      </c>
      <c r="BG362" s="53">
        <f t="shared" si="202"/>
        <v>0</v>
      </c>
      <c r="BH362" s="53">
        <f t="shared" si="202"/>
        <v>0</v>
      </c>
      <c r="BI362" s="53">
        <f t="shared" si="202"/>
        <v>0</v>
      </c>
      <c r="BJ362" s="53">
        <f t="shared" si="202"/>
        <v>0</v>
      </c>
      <c r="BK362" s="53">
        <f t="shared" si="202"/>
        <v>0</v>
      </c>
      <c r="BL362" s="53">
        <f t="shared" si="202"/>
        <v>0</v>
      </c>
      <c r="BM362" s="53">
        <f t="shared" si="202"/>
        <v>0</v>
      </c>
      <c r="BN362" s="53">
        <f t="shared" si="202"/>
        <v>0</v>
      </c>
      <c r="BO362" s="53">
        <f t="shared" ref="BO362:CX362" si="203">IFERROR(IF(BO$262=0,0,(BO103-BO104)/BO104),0)</f>
        <v>0</v>
      </c>
      <c r="BP362" s="53">
        <f t="shared" si="203"/>
        <v>0</v>
      </c>
      <c r="BQ362" s="53">
        <f t="shared" si="203"/>
        <v>0</v>
      </c>
      <c r="BR362" s="53">
        <f t="shared" si="203"/>
        <v>0</v>
      </c>
      <c r="BS362" s="53">
        <f t="shared" si="203"/>
        <v>0</v>
      </c>
      <c r="BT362" s="53">
        <f t="shared" si="203"/>
        <v>0</v>
      </c>
      <c r="BU362" s="53">
        <f t="shared" si="203"/>
        <v>0</v>
      </c>
      <c r="BV362" s="53">
        <f t="shared" si="203"/>
        <v>0</v>
      </c>
      <c r="BW362" s="53">
        <f t="shared" si="203"/>
        <v>0</v>
      </c>
      <c r="BX362" s="53">
        <f t="shared" si="203"/>
        <v>0</v>
      </c>
      <c r="BY362" s="53">
        <f t="shared" si="203"/>
        <v>0</v>
      </c>
      <c r="BZ362" s="53">
        <f t="shared" si="203"/>
        <v>0</v>
      </c>
      <c r="CA362" s="53">
        <f t="shared" si="203"/>
        <v>0</v>
      </c>
      <c r="CB362" s="53">
        <f t="shared" si="203"/>
        <v>0</v>
      </c>
      <c r="CC362" s="53">
        <f t="shared" si="203"/>
        <v>0</v>
      </c>
      <c r="CD362" s="53">
        <f t="shared" si="203"/>
        <v>0</v>
      </c>
      <c r="CE362" s="53">
        <f t="shared" si="203"/>
        <v>0</v>
      </c>
      <c r="CF362" s="53">
        <f t="shared" si="203"/>
        <v>0</v>
      </c>
      <c r="CG362" s="53">
        <f t="shared" si="203"/>
        <v>0</v>
      </c>
      <c r="CH362" s="53">
        <f t="shared" si="203"/>
        <v>0</v>
      </c>
      <c r="CI362" s="53">
        <f t="shared" si="203"/>
        <v>0</v>
      </c>
      <c r="CJ362" s="53">
        <f t="shared" si="203"/>
        <v>0</v>
      </c>
      <c r="CK362" s="53">
        <f t="shared" si="203"/>
        <v>0</v>
      </c>
      <c r="CL362" s="53">
        <f t="shared" si="203"/>
        <v>0</v>
      </c>
      <c r="CM362" s="53">
        <f t="shared" si="203"/>
        <v>0</v>
      </c>
      <c r="CN362" s="53">
        <f t="shared" si="203"/>
        <v>0</v>
      </c>
      <c r="CO362" s="53">
        <f t="shared" si="203"/>
        <v>0</v>
      </c>
      <c r="CP362" s="53">
        <f t="shared" si="203"/>
        <v>0</v>
      </c>
      <c r="CQ362" s="53">
        <f t="shared" si="203"/>
        <v>0</v>
      </c>
      <c r="CR362" s="53">
        <f t="shared" si="203"/>
        <v>0</v>
      </c>
      <c r="CS362" s="53">
        <f t="shared" si="203"/>
        <v>0</v>
      </c>
      <c r="CT362" s="53">
        <f t="shared" si="203"/>
        <v>0</v>
      </c>
      <c r="CU362" s="53">
        <f t="shared" si="203"/>
        <v>0</v>
      </c>
      <c r="CV362" s="53">
        <f t="shared" si="203"/>
        <v>0</v>
      </c>
      <c r="CW362" s="53">
        <f t="shared" si="203"/>
        <v>0</v>
      </c>
      <c r="CX362" s="53">
        <f t="shared" si="203"/>
        <v>0</v>
      </c>
      <c r="DB362" s="2" vm="611">
        <f ca="1">IF(Returns!A366&lt;&gt;0,Returns!A366,"")</f>
        <v>42731</v>
      </c>
      <c r="DC362" s="11">
        <f ca="1">IF(Returns!B377&gt;0,Returns!B377/Returns!B376-1,"")</f>
        <v>-1.7596133542918668E-4</v>
      </c>
      <c r="DD362" s="11">
        <f ca="1">IF(Returns!D369&gt;0,Returns!D369/Returns!D368-1,"")</f>
        <v>-2.9410333588129056E-3</v>
      </c>
    </row>
    <row r="363" spans="2:108" x14ac:dyDescent="0.3">
      <c r="B363" s="57">
        <f t="shared" ca="1" si="135"/>
        <v>2.3573279092119879E-4</v>
      </c>
      <c r="C363" s="53">
        <f t="shared" ref="C363:BN363" si="204">IFERROR(IF(C$262=0,0,(C104-C105)/C105),0)</f>
        <v>0</v>
      </c>
      <c r="D363" s="53">
        <f t="shared" si="204"/>
        <v>0</v>
      </c>
      <c r="E363" s="53">
        <f t="shared" si="204"/>
        <v>0</v>
      </c>
      <c r="F363" s="53">
        <f t="shared" si="204"/>
        <v>0</v>
      </c>
      <c r="G363" s="53">
        <f t="shared" si="204"/>
        <v>0</v>
      </c>
      <c r="H363" s="53">
        <f t="shared" si="204"/>
        <v>0</v>
      </c>
      <c r="I363" s="53">
        <f t="shared" si="204"/>
        <v>0</v>
      </c>
      <c r="J363" s="53">
        <f t="shared" si="204"/>
        <v>0</v>
      </c>
      <c r="K363" s="53">
        <f t="shared" si="204"/>
        <v>0</v>
      </c>
      <c r="L363" s="53">
        <f t="shared" si="204"/>
        <v>0</v>
      </c>
      <c r="M363" s="53">
        <f t="shared" si="204"/>
        <v>0</v>
      </c>
      <c r="N363" s="53">
        <f t="shared" si="204"/>
        <v>0</v>
      </c>
      <c r="O363" s="53">
        <f t="shared" si="204"/>
        <v>0</v>
      </c>
      <c r="P363" s="53">
        <f t="shared" si="204"/>
        <v>0</v>
      </c>
      <c r="Q363" s="53">
        <f t="shared" si="204"/>
        <v>0</v>
      </c>
      <c r="R363" s="53">
        <f t="shared" si="204"/>
        <v>0</v>
      </c>
      <c r="S363" s="53">
        <f t="shared" si="204"/>
        <v>0</v>
      </c>
      <c r="T363" s="53">
        <f t="shared" si="204"/>
        <v>0</v>
      </c>
      <c r="U363" s="53">
        <f t="shared" si="204"/>
        <v>0</v>
      </c>
      <c r="V363" s="53">
        <f t="shared" si="204"/>
        <v>0</v>
      </c>
      <c r="W363" s="53">
        <f t="shared" si="204"/>
        <v>0</v>
      </c>
      <c r="X363" s="53">
        <f t="shared" si="204"/>
        <v>0</v>
      </c>
      <c r="Y363" s="53">
        <f t="shared" si="204"/>
        <v>0</v>
      </c>
      <c r="Z363" s="53">
        <f t="shared" si="204"/>
        <v>0</v>
      </c>
      <c r="AA363" s="53">
        <f t="shared" si="204"/>
        <v>0</v>
      </c>
      <c r="AB363" s="53">
        <f t="shared" si="204"/>
        <v>0</v>
      </c>
      <c r="AC363" s="53">
        <f t="shared" si="204"/>
        <v>0</v>
      </c>
      <c r="AD363" s="53">
        <f t="shared" si="204"/>
        <v>0</v>
      </c>
      <c r="AE363" s="53">
        <f t="shared" si="204"/>
        <v>0</v>
      </c>
      <c r="AF363" s="53">
        <f t="shared" si="204"/>
        <v>0</v>
      </c>
      <c r="AG363" s="53">
        <f t="shared" si="204"/>
        <v>0</v>
      </c>
      <c r="AH363" s="53">
        <f t="shared" si="204"/>
        <v>0</v>
      </c>
      <c r="AI363" s="53">
        <f t="shared" si="204"/>
        <v>0</v>
      </c>
      <c r="AJ363" s="53">
        <f t="shared" si="204"/>
        <v>0</v>
      </c>
      <c r="AK363" s="53">
        <f t="shared" si="204"/>
        <v>0</v>
      </c>
      <c r="AL363" s="53">
        <f t="shared" si="204"/>
        <v>0</v>
      </c>
      <c r="AM363" s="53">
        <f t="shared" si="204"/>
        <v>0</v>
      </c>
      <c r="AN363" s="53">
        <f t="shared" si="204"/>
        <v>0</v>
      </c>
      <c r="AO363" s="53">
        <f t="shared" si="204"/>
        <v>0</v>
      </c>
      <c r="AP363" s="53">
        <f t="shared" si="204"/>
        <v>0</v>
      </c>
      <c r="AQ363" s="53">
        <f t="shared" si="204"/>
        <v>0</v>
      </c>
      <c r="AR363" s="53">
        <f t="shared" si="204"/>
        <v>0</v>
      </c>
      <c r="AS363" s="53">
        <f t="shared" si="204"/>
        <v>0</v>
      </c>
      <c r="AT363" s="53">
        <f t="shared" si="204"/>
        <v>0</v>
      </c>
      <c r="AU363" s="53">
        <f t="shared" si="204"/>
        <v>0</v>
      </c>
      <c r="AV363" s="53">
        <f t="shared" si="204"/>
        <v>0</v>
      </c>
      <c r="AW363" s="53">
        <f t="shared" si="204"/>
        <v>0</v>
      </c>
      <c r="AX363" s="53">
        <f t="shared" si="204"/>
        <v>0</v>
      </c>
      <c r="AY363" s="53">
        <f t="shared" si="204"/>
        <v>0</v>
      </c>
      <c r="AZ363" s="53">
        <f t="shared" si="204"/>
        <v>0</v>
      </c>
      <c r="BA363" s="53">
        <f t="shared" si="204"/>
        <v>0</v>
      </c>
      <c r="BB363" s="53">
        <f t="shared" si="204"/>
        <v>0</v>
      </c>
      <c r="BC363" s="53">
        <f t="shared" si="204"/>
        <v>0</v>
      </c>
      <c r="BD363" s="53">
        <f t="shared" si="204"/>
        <v>0</v>
      </c>
      <c r="BE363" s="53">
        <f t="shared" si="204"/>
        <v>0</v>
      </c>
      <c r="BF363" s="53">
        <f t="shared" si="204"/>
        <v>0</v>
      </c>
      <c r="BG363" s="53">
        <f t="shared" si="204"/>
        <v>0</v>
      </c>
      <c r="BH363" s="53">
        <f t="shared" si="204"/>
        <v>0</v>
      </c>
      <c r="BI363" s="53">
        <f t="shared" si="204"/>
        <v>0</v>
      </c>
      <c r="BJ363" s="53">
        <f t="shared" si="204"/>
        <v>0</v>
      </c>
      <c r="BK363" s="53">
        <f t="shared" si="204"/>
        <v>0</v>
      </c>
      <c r="BL363" s="53">
        <f t="shared" si="204"/>
        <v>0</v>
      </c>
      <c r="BM363" s="53">
        <f t="shared" si="204"/>
        <v>0</v>
      </c>
      <c r="BN363" s="53">
        <f t="shared" si="204"/>
        <v>0</v>
      </c>
      <c r="BO363" s="53">
        <f t="shared" ref="BO363:CX363" si="205">IFERROR(IF(BO$262=0,0,(BO104-BO105)/BO105),0)</f>
        <v>0</v>
      </c>
      <c r="BP363" s="53">
        <f t="shared" si="205"/>
        <v>0</v>
      </c>
      <c r="BQ363" s="53">
        <f t="shared" si="205"/>
        <v>0</v>
      </c>
      <c r="BR363" s="53">
        <f t="shared" si="205"/>
        <v>0</v>
      </c>
      <c r="BS363" s="53">
        <f t="shared" si="205"/>
        <v>0</v>
      </c>
      <c r="BT363" s="53">
        <f t="shared" si="205"/>
        <v>0</v>
      </c>
      <c r="BU363" s="53">
        <f t="shared" si="205"/>
        <v>0</v>
      </c>
      <c r="BV363" s="53">
        <f t="shared" si="205"/>
        <v>0</v>
      </c>
      <c r="BW363" s="53">
        <f t="shared" si="205"/>
        <v>0</v>
      </c>
      <c r="BX363" s="53">
        <f t="shared" si="205"/>
        <v>0</v>
      </c>
      <c r="BY363" s="53">
        <f t="shared" si="205"/>
        <v>0</v>
      </c>
      <c r="BZ363" s="53">
        <f t="shared" si="205"/>
        <v>0</v>
      </c>
      <c r="CA363" s="53">
        <f t="shared" si="205"/>
        <v>0</v>
      </c>
      <c r="CB363" s="53">
        <f t="shared" si="205"/>
        <v>0</v>
      </c>
      <c r="CC363" s="53">
        <f t="shared" si="205"/>
        <v>0</v>
      </c>
      <c r="CD363" s="53">
        <f t="shared" si="205"/>
        <v>0</v>
      </c>
      <c r="CE363" s="53">
        <f t="shared" si="205"/>
        <v>0</v>
      </c>
      <c r="CF363" s="53">
        <f t="shared" si="205"/>
        <v>0</v>
      </c>
      <c r="CG363" s="53">
        <f t="shared" si="205"/>
        <v>0</v>
      </c>
      <c r="CH363" s="53">
        <f t="shared" si="205"/>
        <v>0</v>
      </c>
      <c r="CI363" s="53">
        <f t="shared" si="205"/>
        <v>0</v>
      </c>
      <c r="CJ363" s="53">
        <f t="shared" si="205"/>
        <v>0</v>
      </c>
      <c r="CK363" s="53">
        <f t="shared" si="205"/>
        <v>0</v>
      </c>
      <c r="CL363" s="53">
        <f t="shared" si="205"/>
        <v>0</v>
      </c>
      <c r="CM363" s="53">
        <f t="shared" si="205"/>
        <v>0</v>
      </c>
      <c r="CN363" s="53">
        <f t="shared" si="205"/>
        <v>0</v>
      </c>
      <c r="CO363" s="53">
        <f t="shared" si="205"/>
        <v>0</v>
      </c>
      <c r="CP363" s="53">
        <f t="shared" si="205"/>
        <v>0</v>
      </c>
      <c r="CQ363" s="53">
        <f t="shared" si="205"/>
        <v>0</v>
      </c>
      <c r="CR363" s="53">
        <f t="shared" si="205"/>
        <v>0</v>
      </c>
      <c r="CS363" s="53">
        <f t="shared" si="205"/>
        <v>0</v>
      </c>
      <c r="CT363" s="53">
        <f t="shared" si="205"/>
        <v>0</v>
      </c>
      <c r="CU363" s="53">
        <f t="shared" si="205"/>
        <v>0</v>
      </c>
      <c r="CV363" s="53">
        <f t="shared" si="205"/>
        <v>0</v>
      </c>
      <c r="CW363" s="53">
        <f t="shared" si="205"/>
        <v>0</v>
      </c>
      <c r="CX363" s="53">
        <f t="shared" si="205"/>
        <v>0</v>
      </c>
      <c r="DB363" s="2" vm="612">
        <f ca="1">IF(Returns!A367&lt;&gt;0,Returns!A367,"")</f>
        <v>42738</v>
      </c>
      <c r="DC363" s="11">
        <f ca="1">IF(Returns!B378&gt;0,Returns!B378/Returns!B377-1,"")</f>
        <v>-7.8609895460570733E-3</v>
      </c>
      <c r="DD363" s="11">
        <f ca="1">IF(Returns!D370&gt;0,Returns!D370/Returns!D369-1,"")</f>
        <v>1.3442940414269522E-2</v>
      </c>
    </row>
    <row r="364" spans="2:108" x14ac:dyDescent="0.3">
      <c r="B364" s="57">
        <f t="shared" ca="1" si="135"/>
        <v>3.6251198806590593E-4</v>
      </c>
      <c r="C364" s="53">
        <f t="shared" ref="C364:BN364" si="206">IFERROR(IF(C$262=0,0,(C105-C106)/C106),0)</f>
        <v>0</v>
      </c>
      <c r="D364" s="53">
        <f t="shared" si="206"/>
        <v>0</v>
      </c>
      <c r="E364" s="53">
        <f t="shared" si="206"/>
        <v>0</v>
      </c>
      <c r="F364" s="53">
        <f t="shared" si="206"/>
        <v>0</v>
      </c>
      <c r="G364" s="53">
        <f t="shared" si="206"/>
        <v>0</v>
      </c>
      <c r="H364" s="53">
        <f t="shared" si="206"/>
        <v>0</v>
      </c>
      <c r="I364" s="53">
        <f t="shared" si="206"/>
        <v>0</v>
      </c>
      <c r="J364" s="53">
        <f t="shared" si="206"/>
        <v>0</v>
      </c>
      <c r="K364" s="53">
        <f t="shared" si="206"/>
        <v>0</v>
      </c>
      <c r="L364" s="53">
        <f t="shared" si="206"/>
        <v>0</v>
      </c>
      <c r="M364" s="53">
        <f t="shared" si="206"/>
        <v>0</v>
      </c>
      <c r="N364" s="53">
        <f t="shared" si="206"/>
        <v>0</v>
      </c>
      <c r="O364" s="53">
        <f t="shared" si="206"/>
        <v>0</v>
      </c>
      <c r="P364" s="53">
        <f t="shared" si="206"/>
        <v>0</v>
      </c>
      <c r="Q364" s="53">
        <f t="shared" si="206"/>
        <v>0</v>
      </c>
      <c r="R364" s="53">
        <f t="shared" si="206"/>
        <v>0</v>
      </c>
      <c r="S364" s="53">
        <f t="shared" si="206"/>
        <v>0</v>
      </c>
      <c r="T364" s="53">
        <f t="shared" si="206"/>
        <v>0</v>
      </c>
      <c r="U364" s="53">
        <f t="shared" si="206"/>
        <v>0</v>
      </c>
      <c r="V364" s="53">
        <f t="shared" si="206"/>
        <v>0</v>
      </c>
      <c r="W364" s="53">
        <f t="shared" si="206"/>
        <v>0</v>
      </c>
      <c r="X364" s="53">
        <f t="shared" si="206"/>
        <v>0</v>
      </c>
      <c r="Y364" s="53">
        <f t="shared" si="206"/>
        <v>0</v>
      </c>
      <c r="Z364" s="53">
        <f t="shared" si="206"/>
        <v>0</v>
      </c>
      <c r="AA364" s="53">
        <f t="shared" si="206"/>
        <v>0</v>
      </c>
      <c r="AB364" s="53">
        <f t="shared" si="206"/>
        <v>0</v>
      </c>
      <c r="AC364" s="53">
        <f t="shared" si="206"/>
        <v>0</v>
      </c>
      <c r="AD364" s="53">
        <f t="shared" si="206"/>
        <v>0</v>
      </c>
      <c r="AE364" s="53">
        <f t="shared" si="206"/>
        <v>0</v>
      </c>
      <c r="AF364" s="53">
        <f t="shared" si="206"/>
        <v>0</v>
      </c>
      <c r="AG364" s="53">
        <f t="shared" si="206"/>
        <v>0</v>
      </c>
      <c r="AH364" s="53">
        <f t="shared" si="206"/>
        <v>0</v>
      </c>
      <c r="AI364" s="53">
        <f t="shared" si="206"/>
        <v>0</v>
      </c>
      <c r="AJ364" s="53">
        <f t="shared" si="206"/>
        <v>0</v>
      </c>
      <c r="AK364" s="53">
        <f t="shared" si="206"/>
        <v>0</v>
      </c>
      <c r="AL364" s="53">
        <f t="shared" si="206"/>
        <v>0</v>
      </c>
      <c r="AM364" s="53">
        <f t="shared" si="206"/>
        <v>0</v>
      </c>
      <c r="AN364" s="53">
        <f t="shared" si="206"/>
        <v>0</v>
      </c>
      <c r="AO364" s="53">
        <f t="shared" si="206"/>
        <v>0</v>
      </c>
      <c r="AP364" s="53">
        <f t="shared" si="206"/>
        <v>0</v>
      </c>
      <c r="AQ364" s="53">
        <f t="shared" si="206"/>
        <v>0</v>
      </c>
      <c r="AR364" s="53">
        <f t="shared" si="206"/>
        <v>0</v>
      </c>
      <c r="AS364" s="53">
        <f t="shared" si="206"/>
        <v>0</v>
      </c>
      <c r="AT364" s="53">
        <f t="shared" si="206"/>
        <v>0</v>
      </c>
      <c r="AU364" s="53">
        <f t="shared" si="206"/>
        <v>0</v>
      </c>
      <c r="AV364" s="53">
        <f t="shared" si="206"/>
        <v>0</v>
      </c>
      <c r="AW364" s="53">
        <f t="shared" si="206"/>
        <v>0</v>
      </c>
      <c r="AX364" s="53">
        <f t="shared" si="206"/>
        <v>0</v>
      </c>
      <c r="AY364" s="53">
        <f t="shared" si="206"/>
        <v>0</v>
      </c>
      <c r="AZ364" s="53">
        <f t="shared" si="206"/>
        <v>0</v>
      </c>
      <c r="BA364" s="53">
        <f t="shared" si="206"/>
        <v>0</v>
      </c>
      <c r="BB364" s="53">
        <f t="shared" si="206"/>
        <v>0</v>
      </c>
      <c r="BC364" s="53">
        <f t="shared" si="206"/>
        <v>0</v>
      </c>
      <c r="BD364" s="53">
        <f t="shared" si="206"/>
        <v>0</v>
      </c>
      <c r="BE364" s="53">
        <f t="shared" si="206"/>
        <v>0</v>
      </c>
      <c r="BF364" s="53">
        <f t="shared" si="206"/>
        <v>0</v>
      </c>
      <c r="BG364" s="53">
        <f t="shared" si="206"/>
        <v>0</v>
      </c>
      <c r="BH364" s="53">
        <f t="shared" si="206"/>
        <v>0</v>
      </c>
      <c r="BI364" s="53">
        <f t="shared" si="206"/>
        <v>0</v>
      </c>
      <c r="BJ364" s="53">
        <f t="shared" si="206"/>
        <v>0</v>
      </c>
      <c r="BK364" s="53">
        <f t="shared" si="206"/>
        <v>0</v>
      </c>
      <c r="BL364" s="53">
        <f t="shared" si="206"/>
        <v>0</v>
      </c>
      <c r="BM364" s="53">
        <f t="shared" si="206"/>
        <v>0</v>
      </c>
      <c r="BN364" s="53">
        <f t="shared" si="206"/>
        <v>0</v>
      </c>
      <c r="BO364" s="53">
        <f t="shared" ref="BO364:CX364" si="207">IFERROR(IF(BO$262=0,0,(BO105-BO106)/BO106),0)</f>
        <v>0</v>
      </c>
      <c r="BP364" s="53">
        <f t="shared" si="207"/>
        <v>0</v>
      </c>
      <c r="BQ364" s="53">
        <f t="shared" si="207"/>
        <v>0</v>
      </c>
      <c r="BR364" s="53">
        <f t="shared" si="207"/>
        <v>0</v>
      </c>
      <c r="BS364" s="53">
        <f t="shared" si="207"/>
        <v>0</v>
      </c>
      <c r="BT364" s="53">
        <f t="shared" si="207"/>
        <v>0</v>
      </c>
      <c r="BU364" s="53">
        <f t="shared" si="207"/>
        <v>0</v>
      </c>
      <c r="BV364" s="53">
        <f t="shared" si="207"/>
        <v>0</v>
      </c>
      <c r="BW364" s="53">
        <f t="shared" si="207"/>
        <v>0</v>
      </c>
      <c r="BX364" s="53">
        <f t="shared" si="207"/>
        <v>0</v>
      </c>
      <c r="BY364" s="53">
        <f t="shared" si="207"/>
        <v>0</v>
      </c>
      <c r="BZ364" s="53">
        <f t="shared" si="207"/>
        <v>0</v>
      </c>
      <c r="CA364" s="53">
        <f t="shared" si="207"/>
        <v>0</v>
      </c>
      <c r="CB364" s="53">
        <f t="shared" si="207"/>
        <v>0</v>
      </c>
      <c r="CC364" s="53">
        <f t="shared" si="207"/>
        <v>0</v>
      </c>
      <c r="CD364" s="53">
        <f t="shared" si="207"/>
        <v>0</v>
      </c>
      <c r="CE364" s="53">
        <f t="shared" si="207"/>
        <v>0</v>
      </c>
      <c r="CF364" s="53">
        <f t="shared" si="207"/>
        <v>0</v>
      </c>
      <c r="CG364" s="53">
        <f t="shared" si="207"/>
        <v>0</v>
      </c>
      <c r="CH364" s="53">
        <f t="shared" si="207"/>
        <v>0</v>
      </c>
      <c r="CI364" s="53">
        <f t="shared" si="207"/>
        <v>0</v>
      </c>
      <c r="CJ364" s="53">
        <f t="shared" si="207"/>
        <v>0</v>
      </c>
      <c r="CK364" s="53">
        <f t="shared" si="207"/>
        <v>0</v>
      </c>
      <c r="CL364" s="53">
        <f t="shared" si="207"/>
        <v>0</v>
      </c>
      <c r="CM364" s="53">
        <f t="shared" si="207"/>
        <v>0</v>
      </c>
      <c r="CN364" s="53">
        <f t="shared" si="207"/>
        <v>0</v>
      </c>
      <c r="CO364" s="53">
        <f t="shared" si="207"/>
        <v>0</v>
      </c>
      <c r="CP364" s="53">
        <f t="shared" si="207"/>
        <v>0</v>
      </c>
      <c r="CQ364" s="53">
        <f t="shared" si="207"/>
        <v>0</v>
      </c>
      <c r="CR364" s="53">
        <f t="shared" si="207"/>
        <v>0</v>
      </c>
      <c r="CS364" s="53">
        <f t="shared" si="207"/>
        <v>0</v>
      </c>
      <c r="CT364" s="53">
        <f t="shared" si="207"/>
        <v>0</v>
      </c>
      <c r="CU364" s="53">
        <f t="shared" si="207"/>
        <v>0</v>
      </c>
      <c r="CV364" s="53">
        <f t="shared" si="207"/>
        <v>0</v>
      </c>
      <c r="CW364" s="53">
        <f t="shared" si="207"/>
        <v>0</v>
      </c>
      <c r="CX364" s="53">
        <f t="shared" si="207"/>
        <v>0</v>
      </c>
      <c r="DB364" s="2" vm="613">
        <f ca="1">IF(Returns!A368&lt;&gt;0,Returns!A368,"")</f>
        <v>42744</v>
      </c>
      <c r="DC364" s="11">
        <f ca="1">IF(Returns!B379&gt;0,Returns!B379/Returns!B378-1,"")</f>
        <v>4.8402928063764561E-2</v>
      </c>
      <c r="DD364" s="11">
        <f ca="1">IF(Returns!D371&gt;0,Returns!D371/Returns!D370-1,"")</f>
        <v>-1.1110650216771267E-3</v>
      </c>
    </row>
    <row r="365" spans="2:108" x14ac:dyDescent="0.3">
      <c r="B365" s="57">
        <f t="shared" ca="1" si="135"/>
        <v>1.2528108826346786E-4</v>
      </c>
      <c r="C365" s="53">
        <f t="shared" ref="C365:BN365" si="208">IFERROR(IF(C$262=0,0,(C106-C107)/C107),0)</f>
        <v>0</v>
      </c>
      <c r="D365" s="53">
        <f t="shared" si="208"/>
        <v>0</v>
      </c>
      <c r="E365" s="53">
        <f t="shared" si="208"/>
        <v>0</v>
      </c>
      <c r="F365" s="53">
        <f t="shared" si="208"/>
        <v>0</v>
      </c>
      <c r="G365" s="53">
        <f t="shared" si="208"/>
        <v>0</v>
      </c>
      <c r="H365" s="53">
        <f t="shared" si="208"/>
        <v>0</v>
      </c>
      <c r="I365" s="53">
        <f t="shared" si="208"/>
        <v>0</v>
      </c>
      <c r="J365" s="53">
        <f t="shared" si="208"/>
        <v>0</v>
      </c>
      <c r="K365" s="53">
        <f t="shared" si="208"/>
        <v>0</v>
      </c>
      <c r="L365" s="53">
        <f t="shared" si="208"/>
        <v>0</v>
      </c>
      <c r="M365" s="53">
        <f t="shared" si="208"/>
        <v>0</v>
      </c>
      <c r="N365" s="53">
        <f t="shared" si="208"/>
        <v>0</v>
      </c>
      <c r="O365" s="53">
        <f t="shared" si="208"/>
        <v>0</v>
      </c>
      <c r="P365" s="53">
        <f t="shared" si="208"/>
        <v>0</v>
      </c>
      <c r="Q365" s="53">
        <f t="shared" si="208"/>
        <v>0</v>
      </c>
      <c r="R365" s="53">
        <f t="shared" si="208"/>
        <v>0</v>
      </c>
      <c r="S365" s="53">
        <f t="shared" si="208"/>
        <v>0</v>
      </c>
      <c r="T365" s="53">
        <f t="shared" si="208"/>
        <v>0</v>
      </c>
      <c r="U365" s="53">
        <f t="shared" si="208"/>
        <v>0</v>
      </c>
      <c r="V365" s="53">
        <f t="shared" si="208"/>
        <v>0</v>
      </c>
      <c r="W365" s="53">
        <f t="shared" si="208"/>
        <v>0</v>
      </c>
      <c r="X365" s="53">
        <f t="shared" si="208"/>
        <v>0</v>
      </c>
      <c r="Y365" s="53">
        <f t="shared" si="208"/>
        <v>0</v>
      </c>
      <c r="Z365" s="53">
        <f t="shared" si="208"/>
        <v>0</v>
      </c>
      <c r="AA365" s="53">
        <f t="shared" si="208"/>
        <v>0</v>
      </c>
      <c r="AB365" s="53">
        <f t="shared" si="208"/>
        <v>0</v>
      </c>
      <c r="AC365" s="53">
        <f t="shared" si="208"/>
        <v>0</v>
      </c>
      <c r="AD365" s="53">
        <f t="shared" si="208"/>
        <v>0</v>
      </c>
      <c r="AE365" s="53">
        <f t="shared" si="208"/>
        <v>0</v>
      </c>
      <c r="AF365" s="53">
        <f t="shared" si="208"/>
        <v>0</v>
      </c>
      <c r="AG365" s="53">
        <f t="shared" si="208"/>
        <v>0</v>
      </c>
      <c r="AH365" s="53">
        <f t="shared" si="208"/>
        <v>0</v>
      </c>
      <c r="AI365" s="53">
        <f t="shared" si="208"/>
        <v>0</v>
      </c>
      <c r="AJ365" s="53">
        <f t="shared" si="208"/>
        <v>0</v>
      </c>
      <c r="AK365" s="53">
        <f t="shared" si="208"/>
        <v>0</v>
      </c>
      <c r="AL365" s="53">
        <f t="shared" si="208"/>
        <v>0</v>
      </c>
      <c r="AM365" s="53">
        <f t="shared" si="208"/>
        <v>0</v>
      </c>
      <c r="AN365" s="53">
        <f t="shared" si="208"/>
        <v>0</v>
      </c>
      <c r="AO365" s="53">
        <f t="shared" si="208"/>
        <v>0</v>
      </c>
      <c r="AP365" s="53">
        <f t="shared" si="208"/>
        <v>0</v>
      </c>
      <c r="AQ365" s="53">
        <f t="shared" si="208"/>
        <v>0</v>
      </c>
      <c r="AR365" s="53">
        <f t="shared" si="208"/>
        <v>0</v>
      </c>
      <c r="AS365" s="53">
        <f t="shared" si="208"/>
        <v>0</v>
      </c>
      <c r="AT365" s="53">
        <f t="shared" si="208"/>
        <v>0</v>
      </c>
      <c r="AU365" s="53">
        <f t="shared" si="208"/>
        <v>0</v>
      </c>
      <c r="AV365" s="53">
        <f t="shared" si="208"/>
        <v>0</v>
      </c>
      <c r="AW365" s="53">
        <f t="shared" si="208"/>
        <v>0</v>
      </c>
      <c r="AX365" s="53">
        <f t="shared" si="208"/>
        <v>0</v>
      </c>
      <c r="AY365" s="53">
        <f t="shared" si="208"/>
        <v>0</v>
      </c>
      <c r="AZ365" s="53">
        <f t="shared" si="208"/>
        <v>0</v>
      </c>
      <c r="BA365" s="53">
        <f t="shared" si="208"/>
        <v>0</v>
      </c>
      <c r="BB365" s="53">
        <f t="shared" si="208"/>
        <v>0</v>
      </c>
      <c r="BC365" s="53">
        <f t="shared" si="208"/>
        <v>0</v>
      </c>
      <c r="BD365" s="53">
        <f t="shared" si="208"/>
        <v>0</v>
      </c>
      <c r="BE365" s="53">
        <f t="shared" si="208"/>
        <v>0</v>
      </c>
      <c r="BF365" s="53">
        <f t="shared" si="208"/>
        <v>0</v>
      </c>
      <c r="BG365" s="53">
        <f t="shared" si="208"/>
        <v>0</v>
      </c>
      <c r="BH365" s="53">
        <f t="shared" si="208"/>
        <v>0</v>
      </c>
      <c r="BI365" s="53">
        <f t="shared" si="208"/>
        <v>0</v>
      </c>
      <c r="BJ365" s="53">
        <f t="shared" si="208"/>
        <v>0</v>
      </c>
      <c r="BK365" s="53">
        <f t="shared" si="208"/>
        <v>0</v>
      </c>
      <c r="BL365" s="53">
        <f t="shared" si="208"/>
        <v>0</v>
      </c>
      <c r="BM365" s="53">
        <f t="shared" si="208"/>
        <v>0</v>
      </c>
      <c r="BN365" s="53">
        <f t="shared" si="208"/>
        <v>0</v>
      </c>
      <c r="BO365" s="53">
        <f t="shared" ref="BO365:CX365" si="209">IFERROR(IF(BO$262=0,0,(BO106-BO107)/BO107),0)</f>
        <v>0</v>
      </c>
      <c r="BP365" s="53">
        <f t="shared" si="209"/>
        <v>0</v>
      </c>
      <c r="BQ365" s="53">
        <f t="shared" si="209"/>
        <v>0</v>
      </c>
      <c r="BR365" s="53">
        <f t="shared" si="209"/>
        <v>0</v>
      </c>
      <c r="BS365" s="53">
        <f t="shared" si="209"/>
        <v>0</v>
      </c>
      <c r="BT365" s="53">
        <f t="shared" si="209"/>
        <v>0</v>
      </c>
      <c r="BU365" s="53">
        <f t="shared" si="209"/>
        <v>0</v>
      </c>
      <c r="BV365" s="53">
        <f t="shared" si="209"/>
        <v>0</v>
      </c>
      <c r="BW365" s="53">
        <f t="shared" si="209"/>
        <v>0</v>
      </c>
      <c r="BX365" s="53">
        <f t="shared" si="209"/>
        <v>0</v>
      </c>
      <c r="BY365" s="53">
        <f t="shared" si="209"/>
        <v>0</v>
      </c>
      <c r="BZ365" s="53">
        <f t="shared" si="209"/>
        <v>0</v>
      </c>
      <c r="CA365" s="53">
        <f t="shared" si="209"/>
        <v>0</v>
      </c>
      <c r="CB365" s="53">
        <f t="shared" si="209"/>
        <v>0</v>
      </c>
      <c r="CC365" s="53">
        <f t="shared" si="209"/>
        <v>0</v>
      </c>
      <c r="CD365" s="53">
        <f t="shared" si="209"/>
        <v>0</v>
      </c>
      <c r="CE365" s="53">
        <f t="shared" si="209"/>
        <v>0</v>
      </c>
      <c r="CF365" s="53">
        <f t="shared" si="209"/>
        <v>0</v>
      </c>
      <c r="CG365" s="53">
        <f t="shared" si="209"/>
        <v>0</v>
      </c>
      <c r="CH365" s="53">
        <f t="shared" si="209"/>
        <v>0</v>
      </c>
      <c r="CI365" s="53">
        <f t="shared" si="209"/>
        <v>0</v>
      </c>
      <c r="CJ365" s="53">
        <f t="shared" si="209"/>
        <v>0</v>
      </c>
      <c r="CK365" s="53">
        <f t="shared" si="209"/>
        <v>0</v>
      </c>
      <c r="CL365" s="53">
        <f t="shared" si="209"/>
        <v>0</v>
      </c>
      <c r="CM365" s="53">
        <f t="shared" si="209"/>
        <v>0</v>
      </c>
      <c r="CN365" s="53">
        <f t="shared" si="209"/>
        <v>0</v>
      </c>
      <c r="CO365" s="53">
        <f t="shared" si="209"/>
        <v>0</v>
      </c>
      <c r="CP365" s="53">
        <f t="shared" si="209"/>
        <v>0</v>
      </c>
      <c r="CQ365" s="53">
        <f t="shared" si="209"/>
        <v>0</v>
      </c>
      <c r="CR365" s="53">
        <f t="shared" si="209"/>
        <v>0</v>
      </c>
      <c r="CS365" s="53">
        <f t="shared" si="209"/>
        <v>0</v>
      </c>
      <c r="CT365" s="53">
        <f t="shared" si="209"/>
        <v>0</v>
      </c>
      <c r="CU365" s="53">
        <f t="shared" si="209"/>
        <v>0</v>
      </c>
      <c r="CV365" s="53">
        <f t="shared" si="209"/>
        <v>0</v>
      </c>
      <c r="CW365" s="53">
        <f t="shared" si="209"/>
        <v>0</v>
      </c>
      <c r="CX365" s="53">
        <f t="shared" si="209"/>
        <v>0</v>
      </c>
      <c r="DB365" s="2" vm="614">
        <f ca="1">IF(Returns!A369&lt;&gt;0,Returns!A369,"")</f>
        <v>42752</v>
      </c>
      <c r="DC365" s="11">
        <f ca="1">IF(Returns!B380&gt;0,Returns!B380/Returns!B379-1,"")</f>
        <v>9.4073589460148543E-3</v>
      </c>
      <c r="DD365" s="11">
        <f ca="1">IF(Returns!D372&gt;0,Returns!D372/Returns!D371-1,"")</f>
        <v>9.8605891012004676E-3</v>
      </c>
    </row>
    <row r="366" spans="2:108" x14ac:dyDescent="0.3">
      <c r="B366" s="57">
        <f t="shared" ca="1" si="135"/>
        <v>9.5918887472592432E-4</v>
      </c>
      <c r="C366" s="53">
        <f t="shared" ref="C366:BN366" si="210">IFERROR(IF(C$262=0,0,(C107-C108)/C108),0)</f>
        <v>0</v>
      </c>
      <c r="D366" s="53">
        <f t="shared" si="210"/>
        <v>0</v>
      </c>
      <c r="E366" s="53">
        <f t="shared" si="210"/>
        <v>0</v>
      </c>
      <c r="F366" s="53">
        <f t="shared" si="210"/>
        <v>0</v>
      </c>
      <c r="G366" s="53">
        <f t="shared" si="210"/>
        <v>0</v>
      </c>
      <c r="H366" s="53">
        <f t="shared" si="210"/>
        <v>0</v>
      </c>
      <c r="I366" s="53">
        <f t="shared" si="210"/>
        <v>0</v>
      </c>
      <c r="J366" s="53">
        <f t="shared" si="210"/>
        <v>0</v>
      </c>
      <c r="K366" s="53">
        <f t="shared" si="210"/>
        <v>0</v>
      </c>
      <c r="L366" s="53">
        <f t="shared" si="210"/>
        <v>0</v>
      </c>
      <c r="M366" s="53">
        <f t="shared" si="210"/>
        <v>0</v>
      </c>
      <c r="N366" s="53">
        <f t="shared" si="210"/>
        <v>0</v>
      </c>
      <c r="O366" s="53">
        <f t="shared" si="210"/>
        <v>0</v>
      </c>
      <c r="P366" s="53">
        <f t="shared" si="210"/>
        <v>0</v>
      </c>
      <c r="Q366" s="53">
        <f t="shared" si="210"/>
        <v>0</v>
      </c>
      <c r="R366" s="53">
        <f t="shared" si="210"/>
        <v>0</v>
      </c>
      <c r="S366" s="53">
        <f t="shared" si="210"/>
        <v>0</v>
      </c>
      <c r="T366" s="53">
        <f t="shared" si="210"/>
        <v>0</v>
      </c>
      <c r="U366" s="53">
        <f t="shared" si="210"/>
        <v>0</v>
      </c>
      <c r="V366" s="53">
        <f t="shared" si="210"/>
        <v>0</v>
      </c>
      <c r="W366" s="53">
        <f t="shared" si="210"/>
        <v>0</v>
      </c>
      <c r="X366" s="53">
        <f t="shared" si="210"/>
        <v>0</v>
      </c>
      <c r="Y366" s="53">
        <f t="shared" si="210"/>
        <v>0</v>
      </c>
      <c r="Z366" s="53">
        <f t="shared" si="210"/>
        <v>0</v>
      </c>
      <c r="AA366" s="53">
        <f t="shared" si="210"/>
        <v>0</v>
      </c>
      <c r="AB366" s="53">
        <f t="shared" si="210"/>
        <v>0</v>
      </c>
      <c r="AC366" s="53">
        <f t="shared" si="210"/>
        <v>0</v>
      </c>
      <c r="AD366" s="53">
        <f t="shared" si="210"/>
        <v>0</v>
      </c>
      <c r="AE366" s="53">
        <f t="shared" si="210"/>
        <v>0</v>
      </c>
      <c r="AF366" s="53">
        <f t="shared" si="210"/>
        <v>0</v>
      </c>
      <c r="AG366" s="53">
        <f t="shared" si="210"/>
        <v>0</v>
      </c>
      <c r="AH366" s="53">
        <f t="shared" si="210"/>
        <v>0</v>
      </c>
      <c r="AI366" s="53">
        <f t="shared" si="210"/>
        <v>0</v>
      </c>
      <c r="AJ366" s="53">
        <f t="shared" si="210"/>
        <v>0</v>
      </c>
      <c r="AK366" s="53">
        <f t="shared" si="210"/>
        <v>0</v>
      </c>
      <c r="AL366" s="53">
        <f t="shared" si="210"/>
        <v>0</v>
      </c>
      <c r="AM366" s="53">
        <f t="shared" si="210"/>
        <v>0</v>
      </c>
      <c r="AN366" s="53">
        <f t="shared" si="210"/>
        <v>0</v>
      </c>
      <c r="AO366" s="53">
        <f t="shared" si="210"/>
        <v>0</v>
      </c>
      <c r="AP366" s="53">
        <f t="shared" si="210"/>
        <v>0</v>
      </c>
      <c r="AQ366" s="53">
        <f t="shared" si="210"/>
        <v>0</v>
      </c>
      <c r="AR366" s="53">
        <f t="shared" si="210"/>
        <v>0</v>
      </c>
      <c r="AS366" s="53">
        <f t="shared" si="210"/>
        <v>0</v>
      </c>
      <c r="AT366" s="53">
        <f t="shared" si="210"/>
        <v>0</v>
      </c>
      <c r="AU366" s="53">
        <f t="shared" si="210"/>
        <v>0</v>
      </c>
      <c r="AV366" s="53">
        <f t="shared" si="210"/>
        <v>0</v>
      </c>
      <c r="AW366" s="53">
        <f t="shared" si="210"/>
        <v>0</v>
      </c>
      <c r="AX366" s="53">
        <f t="shared" si="210"/>
        <v>0</v>
      </c>
      <c r="AY366" s="53">
        <f t="shared" si="210"/>
        <v>0</v>
      </c>
      <c r="AZ366" s="53">
        <f t="shared" si="210"/>
        <v>0</v>
      </c>
      <c r="BA366" s="53">
        <f t="shared" si="210"/>
        <v>0</v>
      </c>
      <c r="BB366" s="53">
        <f t="shared" si="210"/>
        <v>0</v>
      </c>
      <c r="BC366" s="53">
        <f t="shared" si="210"/>
        <v>0</v>
      </c>
      <c r="BD366" s="53">
        <f t="shared" si="210"/>
        <v>0</v>
      </c>
      <c r="BE366" s="53">
        <f t="shared" si="210"/>
        <v>0</v>
      </c>
      <c r="BF366" s="53">
        <f t="shared" si="210"/>
        <v>0</v>
      </c>
      <c r="BG366" s="53">
        <f t="shared" si="210"/>
        <v>0</v>
      </c>
      <c r="BH366" s="53">
        <f t="shared" si="210"/>
        <v>0</v>
      </c>
      <c r="BI366" s="53">
        <f t="shared" si="210"/>
        <v>0</v>
      </c>
      <c r="BJ366" s="53">
        <f t="shared" si="210"/>
        <v>0</v>
      </c>
      <c r="BK366" s="53">
        <f t="shared" si="210"/>
        <v>0</v>
      </c>
      <c r="BL366" s="53">
        <f t="shared" si="210"/>
        <v>0</v>
      </c>
      <c r="BM366" s="53">
        <f t="shared" si="210"/>
        <v>0</v>
      </c>
      <c r="BN366" s="53">
        <f t="shared" si="210"/>
        <v>0</v>
      </c>
      <c r="BO366" s="53">
        <f t="shared" ref="BO366:CX366" si="211">IFERROR(IF(BO$262=0,0,(BO107-BO108)/BO108),0)</f>
        <v>0</v>
      </c>
      <c r="BP366" s="53">
        <f t="shared" si="211"/>
        <v>0</v>
      </c>
      <c r="BQ366" s="53">
        <f t="shared" si="211"/>
        <v>0</v>
      </c>
      <c r="BR366" s="53">
        <f t="shared" si="211"/>
        <v>0</v>
      </c>
      <c r="BS366" s="53">
        <f t="shared" si="211"/>
        <v>0</v>
      </c>
      <c r="BT366" s="53">
        <f t="shared" si="211"/>
        <v>0</v>
      </c>
      <c r="BU366" s="53">
        <f t="shared" si="211"/>
        <v>0</v>
      </c>
      <c r="BV366" s="53">
        <f t="shared" si="211"/>
        <v>0</v>
      </c>
      <c r="BW366" s="53">
        <f t="shared" si="211"/>
        <v>0</v>
      </c>
      <c r="BX366" s="53">
        <f t="shared" si="211"/>
        <v>0</v>
      </c>
      <c r="BY366" s="53">
        <f t="shared" si="211"/>
        <v>0</v>
      </c>
      <c r="BZ366" s="53">
        <f t="shared" si="211"/>
        <v>0</v>
      </c>
      <c r="CA366" s="53">
        <f t="shared" si="211"/>
        <v>0</v>
      </c>
      <c r="CB366" s="53">
        <f t="shared" si="211"/>
        <v>0</v>
      </c>
      <c r="CC366" s="53">
        <f t="shared" si="211"/>
        <v>0</v>
      </c>
      <c r="CD366" s="53">
        <f t="shared" si="211"/>
        <v>0</v>
      </c>
      <c r="CE366" s="53">
        <f t="shared" si="211"/>
        <v>0</v>
      </c>
      <c r="CF366" s="53">
        <f t="shared" si="211"/>
        <v>0</v>
      </c>
      <c r="CG366" s="53">
        <f t="shared" si="211"/>
        <v>0</v>
      </c>
      <c r="CH366" s="53">
        <f t="shared" si="211"/>
        <v>0</v>
      </c>
      <c r="CI366" s="53">
        <f t="shared" si="211"/>
        <v>0</v>
      </c>
      <c r="CJ366" s="53">
        <f t="shared" si="211"/>
        <v>0</v>
      </c>
      <c r="CK366" s="53">
        <f t="shared" si="211"/>
        <v>0</v>
      </c>
      <c r="CL366" s="53">
        <f t="shared" si="211"/>
        <v>0</v>
      </c>
      <c r="CM366" s="53">
        <f t="shared" si="211"/>
        <v>0</v>
      </c>
      <c r="CN366" s="53">
        <f t="shared" si="211"/>
        <v>0</v>
      </c>
      <c r="CO366" s="53">
        <f t="shared" si="211"/>
        <v>0</v>
      </c>
      <c r="CP366" s="53">
        <f t="shared" si="211"/>
        <v>0</v>
      </c>
      <c r="CQ366" s="53">
        <f t="shared" si="211"/>
        <v>0</v>
      </c>
      <c r="CR366" s="53">
        <f t="shared" si="211"/>
        <v>0</v>
      </c>
      <c r="CS366" s="53">
        <f t="shared" si="211"/>
        <v>0</v>
      </c>
      <c r="CT366" s="53">
        <f t="shared" si="211"/>
        <v>0</v>
      </c>
      <c r="CU366" s="53">
        <f t="shared" si="211"/>
        <v>0</v>
      </c>
      <c r="CV366" s="53">
        <f t="shared" si="211"/>
        <v>0</v>
      </c>
      <c r="CW366" s="53">
        <f t="shared" si="211"/>
        <v>0</v>
      </c>
      <c r="CX366" s="53">
        <f t="shared" si="211"/>
        <v>0</v>
      </c>
      <c r="DB366" s="2" vm="615">
        <f ca="1">IF(Returns!A370&lt;&gt;0,Returns!A370,"")</f>
        <v>42758</v>
      </c>
      <c r="DC366" s="11">
        <f ca="1">IF(Returns!B381&gt;0,Returns!B381/Returns!B380-1,"")</f>
        <v>-1.1409350974432297E-2</v>
      </c>
      <c r="DD366" s="11">
        <f ca="1">IF(Returns!D373&gt;0,Returns!D373/Returns!D372-1,"")</f>
        <v>1.7498038814656169E-2</v>
      </c>
    </row>
    <row r="367" spans="2:108" x14ac:dyDescent="0.3">
      <c r="B367" s="57">
        <f t="shared" ca="1" si="135"/>
        <v>2.0107780982954811E-3</v>
      </c>
      <c r="C367" s="53">
        <f t="shared" ref="C367:BN367" si="212">IFERROR(IF(C$262=0,0,(C108-C109)/C109),0)</f>
        <v>0</v>
      </c>
      <c r="D367" s="53">
        <f t="shared" si="212"/>
        <v>0</v>
      </c>
      <c r="E367" s="53">
        <f t="shared" si="212"/>
        <v>0</v>
      </c>
      <c r="F367" s="53">
        <f t="shared" si="212"/>
        <v>0</v>
      </c>
      <c r="G367" s="53">
        <f t="shared" si="212"/>
        <v>0</v>
      </c>
      <c r="H367" s="53">
        <f t="shared" si="212"/>
        <v>0</v>
      </c>
      <c r="I367" s="53">
        <f t="shared" si="212"/>
        <v>0</v>
      </c>
      <c r="J367" s="53">
        <f t="shared" si="212"/>
        <v>0</v>
      </c>
      <c r="K367" s="53">
        <f t="shared" si="212"/>
        <v>0</v>
      </c>
      <c r="L367" s="53">
        <f t="shared" si="212"/>
        <v>0</v>
      </c>
      <c r="M367" s="53">
        <f t="shared" si="212"/>
        <v>0</v>
      </c>
      <c r="N367" s="53">
        <f t="shared" si="212"/>
        <v>0</v>
      </c>
      <c r="O367" s="53">
        <f t="shared" si="212"/>
        <v>0</v>
      </c>
      <c r="P367" s="53">
        <f t="shared" si="212"/>
        <v>0</v>
      </c>
      <c r="Q367" s="53">
        <f t="shared" si="212"/>
        <v>0</v>
      </c>
      <c r="R367" s="53">
        <f t="shared" si="212"/>
        <v>0</v>
      </c>
      <c r="S367" s="53">
        <f t="shared" si="212"/>
        <v>0</v>
      </c>
      <c r="T367" s="53">
        <f t="shared" si="212"/>
        <v>0</v>
      </c>
      <c r="U367" s="53">
        <f t="shared" si="212"/>
        <v>0</v>
      </c>
      <c r="V367" s="53">
        <f t="shared" si="212"/>
        <v>0</v>
      </c>
      <c r="W367" s="53">
        <f t="shared" si="212"/>
        <v>0</v>
      </c>
      <c r="X367" s="53">
        <f t="shared" si="212"/>
        <v>0</v>
      </c>
      <c r="Y367" s="53">
        <f t="shared" si="212"/>
        <v>0</v>
      </c>
      <c r="Z367" s="53">
        <f t="shared" si="212"/>
        <v>0</v>
      </c>
      <c r="AA367" s="53">
        <f t="shared" si="212"/>
        <v>0</v>
      </c>
      <c r="AB367" s="53">
        <f t="shared" si="212"/>
        <v>0</v>
      </c>
      <c r="AC367" s="53">
        <f t="shared" si="212"/>
        <v>0</v>
      </c>
      <c r="AD367" s="53">
        <f t="shared" si="212"/>
        <v>0</v>
      </c>
      <c r="AE367" s="53">
        <f t="shared" si="212"/>
        <v>0</v>
      </c>
      <c r="AF367" s="53">
        <f t="shared" si="212"/>
        <v>0</v>
      </c>
      <c r="AG367" s="53">
        <f t="shared" si="212"/>
        <v>0</v>
      </c>
      <c r="AH367" s="53">
        <f t="shared" si="212"/>
        <v>0</v>
      </c>
      <c r="AI367" s="53">
        <f t="shared" si="212"/>
        <v>0</v>
      </c>
      <c r="AJ367" s="53">
        <f t="shared" si="212"/>
        <v>0</v>
      </c>
      <c r="AK367" s="53">
        <f t="shared" si="212"/>
        <v>0</v>
      </c>
      <c r="AL367" s="53">
        <f t="shared" si="212"/>
        <v>0</v>
      </c>
      <c r="AM367" s="53">
        <f t="shared" si="212"/>
        <v>0</v>
      </c>
      <c r="AN367" s="53">
        <f t="shared" si="212"/>
        <v>0</v>
      </c>
      <c r="AO367" s="53">
        <f t="shared" si="212"/>
        <v>0</v>
      </c>
      <c r="AP367" s="53">
        <f t="shared" si="212"/>
        <v>0</v>
      </c>
      <c r="AQ367" s="53">
        <f t="shared" si="212"/>
        <v>0</v>
      </c>
      <c r="AR367" s="53">
        <f t="shared" si="212"/>
        <v>0</v>
      </c>
      <c r="AS367" s="53">
        <f t="shared" si="212"/>
        <v>0</v>
      </c>
      <c r="AT367" s="53">
        <f t="shared" si="212"/>
        <v>0</v>
      </c>
      <c r="AU367" s="53">
        <f t="shared" si="212"/>
        <v>0</v>
      </c>
      <c r="AV367" s="53">
        <f t="shared" si="212"/>
        <v>0</v>
      </c>
      <c r="AW367" s="53">
        <f t="shared" si="212"/>
        <v>0</v>
      </c>
      <c r="AX367" s="53">
        <f t="shared" si="212"/>
        <v>0</v>
      </c>
      <c r="AY367" s="53">
        <f t="shared" si="212"/>
        <v>0</v>
      </c>
      <c r="AZ367" s="53">
        <f t="shared" si="212"/>
        <v>0</v>
      </c>
      <c r="BA367" s="53">
        <f t="shared" si="212"/>
        <v>0</v>
      </c>
      <c r="BB367" s="53">
        <f t="shared" si="212"/>
        <v>0</v>
      </c>
      <c r="BC367" s="53">
        <f t="shared" si="212"/>
        <v>0</v>
      </c>
      <c r="BD367" s="53">
        <f t="shared" si="212"/>
        <v>0</v>
      </c>
      <c r="BE367" s="53">
        <f t="shared" si="212"/>
        <v>0</v>
      </c>
      <c r="BF367" s="53">
        <f t="shared" si="212"/>
        <v>0</v>
      </c>
      <c r="BG367" s="53">
        <f t="shared" si="212"/>
        <v>0</v>
      </c>
      <c r="BH367" s="53">
        <f t="shared" si="212"/>
        <v>0</v>
      </c>
      <c r="BI367" s="53">
        <f t="shared" si="212"/>
        <v>0</v>
      </c>
      <c r="BJ367" s="53">
        <f t="shared" si="212"/>
        <v>0</v>
      </c>
      <c r="BK367" s="53">
        <f t="shared" si="212"/>
        <v>0</v>
      </c>
      <c r="BL367" s="53">
        <f t="shared" si="212"/>
        <v>0</v>
      </c>
      <c r="BM367" s="53">
        <f t="shared" si="212"/>
        <v>0</v>
      </c>
      <c r="BN367" s="53">
        <f t="shared" si="212"/>
        <v>0</v>
      </c>
      <c r="BO367" s="53">
        <f t="shared" ref="BO367:CX367" si="213">IFERROR(IF(BO$262=0,0,(BO108-BO109)/BO109),0)</f>
        <v>0</v>
      </c>
      <c r="BP367" s="53">
        <f t="shared" si="213"/>
        <v>0</v>
      </c>
      <c r="BQ367" s="53">
        <f t="shared" si="213"/>
        <v>0</v>
      </c>
      <c r="BR367" s="53">
        <f t="shared" si="213"/>
        <v>0</v>
      </c>
      <c r="BS367" s="53">
        <f t="shared" si="213"/>
        <v>0</v>
      </c>
      <c r="BT367" s="53">
        <f t="shared" si="213"/>
        <v>0</v>
      </c>
      <c r="BU367" s="53">
        <f t="shared" si="213"/>
        <v>0</v>
      </c>
      <c r="BV367" s="53">
        <f t="shared" si="213"/>
        <v>0</v>
      </c>
      <c r="BW367" s="53">
        <f t="shared" si="213"/>
        <v>0</v>
      </c>
      <c r="BX367" s="53">
        <f t="shared" si="213"/>
        <v>0</v>
      </c>
      <c r="BY367" s="53">
        <f t="shared" si="213"/>
        <v>0</v>
      </c>
      <c r="BZ367" s="53">
        <f t="shared" si="213"/>
        <v>0</v>
      </c>
      <c r="CA367" s="53">
        <f t="shared" si="213"/>
        <v>0</v>
      </c>
      <c r="CB367" s="53">
        <f t="shared" si="213"/>
        <v>0</v>
      </c>
      <c r="CC367" s="53">
        <f t="shared" si="213"/>
        <v>0</v>
      </c>
      <c r="CD367" s="53">
        <f t="shared" si="213"/>
        <v>0</v>
      </c>
      <c r="CE367" s="53">
        <f t="shared" si="213"/>
        <v>0</v>
      </c>
      <c r="CF367" s="53">
        <f t="shared" si="213"/>
        <v>0</v>
      </c>
      <c r="CG367" s="53">
        <f t="shared" si="213"/>
        <v>0</v>
      </c>
      <c r="CH367" s="53">
        <f t="shared" si="213"/>
        <v>0</v>
      </c>
      <c r="CI367" s="53">
        <f t="shared" si="213"/>
        <v>0</v>
      </c>
      <c r="CJ367" s="53">
        <f t="shared" si="213"/>
        <v>0</v>
      </c>
      <c r="CK367" s="53">
        <f t="shared" si="213"/>
        <v>0</v>
      </c>
      <c r="CL367" s="53">
        <f t="shared" si="213"/>
        <v>0</v>
      </c>
      <c r="CM367" s="53">
        <f t="shared" si="213"/>
        <v>0</v>
      </c>
      <c r="CN367" s="53">
        <f t="shared" si="213"/>
        <v>0</v>
      </c>
      <c r="CO367" s="53">
        <f t="shared" si="213"/>
        <v>0</v>
      </c>
      <c r="CP367" s="53">
        <f t="shared" si="213"/>
        <v>0</v>
      </c>
      <c r="CQ367" s="53">
        <f t="shared" si="213"/>
        <v>0</v>
      </c>
      <c r="CR367" s="53">
        <f t="shared" si="213"/>
        <v>0</v>
      </c>
      <c r="CS367" s="53">
        <f t="shared" si="213"/>
        <v>0</v>
      </c>
      <c r="CT367" s="53">
        <f t="shared" si="213"/>
        <v>0</v>
      </c>
      <c r="CU367" s="53">
        <f t="shared" si="213"/>
        <v>0</v>
      </c>
      <c r="CV367" s="53">
        <f t="shared" si="213"/>
        <v>0</v>
      </c>
      <c r="CW367" s="53">
        <f t="shared" si="213"/>
        <v>0</v>
      </c>
      <c r="CX367" s="53">
        <f t="shared" si="213"/>
        <v>0</v>
      </c>
      <c r="DB367" s="2" vm="616">
        <f ca="1">IF(Returns!A371&lt;&gt;0,Returns!A371,"")</f>
        <v>42765</v>
      </c>
      <c r="DC367" s="11">
        <f ca="1">IF(Returns!B382&gt;0,Returns!B382/Returns!B381-1,"")</f>
        <v>1.5666858828715657E-2</v>
      </c>
      <c r="DD367" s="11">
        <f ca="1">IF(Returns!D374&gt;0,Returns!D374/Returns!D373-1,"")</f>
        <v>9.5864251910926512E-3</v>
      </c>
    </row>
    <row r="368" spans="2:108" x14ac:dyDescent="0.3">
      <c r="B368" s="57">
        <f t="shared" ca="1" si="135"/>
        <v>3.0388302999609081E-4</v>
      </c>
      <c r="C368" s="53">
        <f t="shared" ref="C368:BN368" si="214">IFERROR(IF(C$262=0,0,(C109-C110)/C110),0)</f>
        <v>0</v>
      </c>
      <c r="D368" s="53">
        <f t="shared" si="214"/>
        <v>0</v>
      </c>
      <c r="E368" s="53">
        <f t="shared" si="214"/>
        <v>0</v>
      </c>
      <c r="F368" s="53">
        <f t="shared" si="214"/>
        <v>0</v>
      </c>
      <c r="G368" s="53">
        <f t="shared" si="214"/>
        <v>0</v>
      </c>
      <c r="H368" s="53">
        <f t="shared" si="214"/>
        <v>0</v>
      </c>
      <c r="I368" s="53">
        <f t="shared" si="214"/>
        <v>0</v>
      </c>
      <c r="J368" s="53">
        <f t="shared" si="214"/>
        <v>0</v>
      </c>
      <c r="K368" s="53">
        <f t="shared" si="214"/>
        <v>0</v>
      </c>
      <c r="L368" s="53">
        <f t="shared" si="214"/>
        <v>0</v>
      </c>
      <c r="M368" s="53">
        <f t="shared" si="214"/>
        <v>0</v>
      </c>
      <c r="N368" s="53">
        <f t="shared" si="214"/>
        <v>0</v>
      </c>
      <c r="O368" s="53">
        <f t="shared" si="214"/>
        <v>0</v>
      </c>
      <c r="P368" s="53">
        <f t="shared" si="214"/>
        <v>0</v>
      </c>
      <c r="Q368" s="53">
        <f t="shared" si="214"/>
        <v>0</v>
      </c>
      <c r="R368" s="53">
        <f t="shared" si="214"/>
        <v>0</v>
      </c>
      <c r="S368" s="53">
        <f t="shared" si="214"/>
        <v>0</v>
      </c>
      <c r="T368" s="53">
        <f t="shared" si="214"/>
        <v>0</v>
      </c>
      <c r="U368" s="53">
        <f t="shared" si="214"/>
        <v>0</v>
      </c>
      <c r="V368" s="53">
        <f t="shared" si="214"/>
        <v>0</v>
      </c>
      <c r="W368" s="53">
        <f t="shared" si="214"/>
        <v>0</v>
      </c>
      <c r="X368" s="53">
        <f t="shared" si="214"/>
        <v>0</v>
      </c>
      <c r="Y368" s="53">
        <f t="shared" si="214"/>
        <v>0</v>
      </c>
      <c r="Z368" s="53">
        <f t="shared" si="214"/>
        <v>0</v>
      </c>
      <c r="AA368" s="53">
        <f t="shared" si="214"/>
        <v>0</v>
      </c>
      <c r="AB368" s="53">
        <f t="shared" si="214"/>
        <v>0</v>
      </c>
      <c r="AC368" s="53">
        <f t="shared" si="214"/>
        <v>0</v>
      </c>
      <c r="AD368" s="53">
        <f t="shared" si="214"/>
        <v>0</v>
      </c>
      <c r="AE368" s="53">
        <f t="shared" si="214"/>
        <v>0</v>
      </c>
      <c r="AF368" s="53">
        <f t="shared" si="214"/>
        <v>0</v>
      </c>
      <c r="AG368" s="53">
        <f t="shared" si="214"/>
        <v>0</v>
      </c>
      <c r="AH368" s="53">
        <f t="shared" si="214"/>
        <v>0</v>
      </c>
      <c r="AI368" s="53">
        <f t="shared" si="214"/>
        <v>0</v>
      </c>
      <c r="AJ368" s="53">
        <f t="shared" si="214"/>
        <v>0</v>
      </c>
      <c r="AK368" s="53">
        <f t="shared" si="214"/>
        <v>0</v>
      </c>
      <c r="AL368" s="53">
        <f t="shared" si="214"/>
        <v>0</v>
      </c>
      <c r="AM368" s="53">
        <f t="shared" si="214"/>
        <v>0</v>
      </c>
      <c r="AN368" s="53">
        <f t="shared" si="214"/>
        <v>0</v>
      </c>
      <c r="AO368" s="53">
        <f t="shared" si="214"/>
        <v>0</v>
      </c>
      <c r="AP368" s="53">
        <f t="shared" si="214"/>
        <v>0</v>
      </c>
      <c r="AQ368" s="53">
        <f t="shared" si="214"/>
        <v>0</v>
      </c>
      <c r="AR368" s="53">
        <f t="shared" si="214"/>
        <v>0</v>
      </c>
      <c r="AS368" s="53">
        <f t="shared" si="214"/>
        <v>0</v>
      </c>
      <c r="AT368" s="53">
        <f t="shared" si="214"/>
        <v>0</v>
      </c>
      <c r="AU368" s="53">
        <f t="shared" si="214"/>
        <v>0</v>
      </c>
      <c r="AV368" s="53">
        <f t="shared" si="214"/>
        <v>0</v>
      </c>
      <c r="AW368" s="53">
        <f t="shared" si="214"/>
        <v>0</v>
      </c>
      <c r="AX368" s="53">
        <f t="shared" si="214"/>
        <v>0</v>
      </c>
      <c r="AY368" s="53">
        <f t="shared" si="214"/>
        <v>0</v>
      </c>
      <c r="AZ368" s="53">
        <f t="shared" si="214"/>
        <v>0</v>
      </c>
      <c r="BA368" s="53">
        <f t="shared" si="214"/>
        <v>0</v>
      </c>
      <c r="BB368" s="53">
        <f t="shared" si="214"/>
        <v>0</v>
      </c>
      <c r="BC368" s="53">
        <f t="shared" si="214"/>
        <v>0</v>
      </c>
      <c r="BD368" s="53">
        <f t="shared" si="214"/>
        <v>0</v>
      </c>
      <c r="BE368" s="53">
        <f t="shared" si="214"/>
        <v>0</v>
      </c>
      <c r="BF368" s="53">
        <f t="shared" si="214"/>
        <v>0</v>
      </c>
      <c r="BG368" s="53">
        <f t="shared" si="214"/>
        <v>0</v>
      </c>
      <c r="BH368" s="53">
        <f t="shared" si="214"/>
        <v>0</v>
      </c>
      <c r="BI368" s="53">
        <f t="shared" si="214"/>
        <v>0</v>
      </c>
      <c r="BJ368" s="53">
        <f t="shared" si="214"/>
        <v>0</v>
      </c>
      <c r="BK368" s="53">
        <f t="shared" si="214"/>
        <v>0</v>
      </c>
      <c r="BL368" s="53">
        <f t="shared" si="214"/>
        <v>0</v>
      </c>
      <c r="BM368" s="53">
        <f t="shared" si="214"/>
        <v>0</v>
      </c>
      <c r="BN368" s="53">
        <f t="shared" si="214"/>
        <v>0</v>
      </c>
      <c r="BO368" s="53">
        <f t="shared" ref="BO368:CX368" si="215">IFERROR(IF(BO$262=0,0,(BO109-BO110)/BO110),0)</f>
        <v>0</v>
      </c>
      <c r="BP368" s="53">
        <f t="shared" si="215"/>
        <v>0</v>
      </c>
      <c r="BQ368" s="53">
        <f t="shared" si="215"/>
        <v>0</v>
      </c>
      <c r="BR368" s="53">
        <f t="shared" si="215"/>
        <v>0</v>
      </c>
      <c r="BS368" s="53">
        <f t="shared" si="215"/>
        <v>0</v>
      </c>
      <c r="BT368" s="53">
        <f t="shared" si="215"/>
        <v>0</v>
      </c>
      <c r="BU368" s="53">
        <f t="shared" si="215"/>
        <v>0</v>
      </c>
      <c r="BV368" s="53">
        <f t="shared" si="215"/>
        <v>0</v>
      </c>
      <c r="BW368" s="53">
        <f t="shared" si="215"/>
        <v>0</v>
      </c>
      <c r="BX368" s="53">
        <f t="shared" si="215"/>
        <v>0</v>
      </c>
      <c r="BY368" s="53">
        <f t="shared" si="215"/>
        <v>0</v>
      </c>
      <c r="BZ368" s="53">
        <f t="shared" si="215"/>
        <v>0</v>
      </c>
      <c r="CA368" s="53">
        <f t="shared" si="215"/>
        <v>0</v>
      </c>
      <c r="CB368" s="53">
        <f t="shared" si="215"/>
        <v>0</v>
      </c>
      <c r="CC368" s="53">
        <f t="shared" si="215"/>
        <v>0</v>
      </c>
      <c r="CD368" s="53">
        <f t="shared" si="215"/>
        <v>0</v>
      </c>
      <c r="CE368" s="53">
        <f t="shared" si="215"/>
        <v>0</v>
      </c>
      <c r="CF368" s="53">
        <f t="shared" si="215"/>
        <v>0</v>
      </c>
      <c r="CG368" s="53">
        <f t="shared" si="215"/>
        <v>0</v>
      </c>
      <c r="CH368" s="53">
        <f t="shared" si="215"/>
        <v>0</v>
      </c>
      <c r="CI368" s="53">
        <f t="shared" si="215"/>
        <v>0</v>
      </c>
      <c r="CJ368" s="53">
        <f t="shared" si="215"/>
        <v>0</v>
      </c>
      <c r="CK368" s="53">
        <f t="shared" si="215"/>
        <v>0</v>
      </c>
      <c r="CL368" s="53">
        <f t="shared" si="215"/>
        <v>0</v>
      </c>
      <c r="CM368" s="53">
        <f t="shared" si="215"/>
        <v>0</v>
      </c>
      <c r="CN368" s="53">
        <f t="shared" si="215"/>
        <v>0</v>
      </c>
      <c r="CO368" s="53">
        <f t="shared" si="215"/>
        <v>0</v>
      </c>
      <c r="CP368" s="53">
        <f t="shared" si="215"/>
        <v>0</v>
      </c>
      <c r="CQ368" s="53">
        <f t="shared" si="215"/>
        <v>0</v>
      </c>
      <c r="CR368" s="53">
        <f t="shared" si="215"/>
        <v>0</v>
      </c>
      <c r="CS368" s="53">
        <f t="shared" si="215"/>
        <v>0</v>
      </c>
      <c r="CT368" s="53">
        <f t="shared" si="215"/>
        <v>0</v>
      </c>
      <c r="CU368" s="53">
        <f t="shared" si="215"/>
        <v>0</v>
      </c>
      <c r="CV368" s="53">
        <f t="shared" si="215"/>
        <v>0</v>
      </c>
      <c r="CW368" s="53">
        <f t="shared" si="215"/>
        <v>0</v>
      </c>
      <c r="CX368" s="53">
        <f t="shared" si="215"/>
        <v>0</v>
      </c>
      <c r="DB368" s="2" vm="617">
        <f ca="1">IF(Returns!A372&lt;&gt;0,Returns!A372,"")</f>
        <v>42772</v>
      </c>
      <c r="DC368" s="11">
        <f ca="1">IF(Returns!B383&gt;0,Returns!B383/Returns!B382-1,"")</f>
        <v>2.9448098560982849E-2</v>
      </c>
      <c r="DD368" s="11">
        <f ca="1">IF(Returns!D375&gt;0,Returns!D375/Returns!D374-1,"")</f>
        <v>8.8343062034006437E-3</v>
      </c>
    </row>
    <row r="369" spans="2:108" x14ac:dyDescent="0.3">
      <c r="B369" s="57">
        <f t="shared" ca="1" si="135"/>
        <v>6.6058351277616209E-4</v>
      </c>
      <c r="C369" s="53">
        <f t="shared" ref="C369:BN369" si="216">IFERROR(IF(C$262=0,0,(C110-C111)/C111),0)</f>
        <v>0</v>
      </c>
      <c r="D369" s="53">
        <f t="shared" si="216"/>
        <v>0</v>
      </c>
      <c r="E369" s="53">
        <f t="shared" si="216"/>
        <v>0</v>
      </c>
      <c r="F369" s="53">
        <f t="shared" si="216"/>
        <v>0</v>
      </c>
      <c r="G369" s="53">
        <f t="shared" si="216"/>
        <v>0</v>
      </c>
      <c r="H369" s="53">
        <f t="shared" si="216"/>
        <v>0</v>
      </c>
      <c r="I369" s="53">
        <f t="shared" si="216"/>
        <v>0</v>
      </c>
      <c r="J369" s="53">
        <f t="shared" si="216"/>
        <v>0</v>
      </c>
      <c r="K369" s="53">
        <f t="shared" si="216"/>
        <v>0</v>
      </c>
      <c r="L369" s="53">
        <f t="shared" si="216"/>
        <v>0</v>
      </c>
      <c r="M369" s="53">
        <f t="shared" si="216"/>
        <v>0</v>
      </c>
      <c r="N369" s="53">
        <f t="shared" si="216"/>
        <v>0</v>
      </c>
      <c r="O369" s="53">
        <f t="shared" si="216"/>
        <v>0</v>
      </c>
      <c r="P369" s="53">
        <f t="shared" si="216"/>
        <v>0</v>
      </c>
      <c r="Q369" s="53">
        <f t="shared" si="216"/>
        <v>0</v>
      </c>
      <c r="R369" s="53">
        <f t="shared" si="216"/>
        <v>0</v>
      </c>
      <c r="S369" s="53">
        <f t="shared" si="216"/>
        <v>0</v>
      </c>
      <c r="T369" s="53">
        <f t="shared" si="216"/>
        <v>0</v>
      </c>
      <c r="U369" s="53">
        <f t="shared" si="216"/>
        <v>0</v>
      </c>
      <c r="V369" s="53">
        <f t="shared" si="216"/>
        <v>0</v>
      </c>
      <c r="W369" s="53">
        <f t="shared" si="216"/>
        <v>0</v>
      </c>
      <c r="X369" s="53">
        <f t="shared" si="216"/>
        <v>0</v>
      </c>
      <c r="Y369" s="53">
        <f t="shared" si="216"/>
        <v>0</v>
      </c>
      <c r="Z369" s="53">
        <f t="shared" si="216"/>
        <v>0</v>
      </c>
      <c r="AA369" s="53">
        <f t="shared" si="216"/>
        <v>0</v>
      </c>
      <c r="AB369" s="53">
        <f t="shared" si="216"/>
        <v>0</v>
      </c>
      <c r="AC369" s="53">
        <f t="shared" si="216"/>
        <v>0</v>
      </c>
      <c r="AD369" s="53">
        <f t="shared" si="216"/>
        <v>0</v>
      </c>
      <c r="AE369" s="53">
        <f t="shared" si="216"/>
        <v>0</v>
      </c>
      <c r="AF369" s="53">
        <f t="shared" si="216"/>
        <v>0</v>
      </c>
      <c r="AG369" s="53">
        <f t="shared" si="216"/>
        <v>0</v>
      </c>
      <c r="AH369" s="53">
        <f t="shared" si="216"/>
        <v>0</v>
      </c>
      <c r="AI369" s="53">
        <f t="shared" si="216"/>
        <v>0</v>
      </c>
      <c r="AJ369" s="53">
        <f t="shared" si="216"/>
        <v>0</v>
      </c>
      <c r="AK369" s="53">
        <f t="shared" si="216"/>
        <v>0</v>
      </c>
      <c r="AL369" s="53">
        <f t="shared" si="216"/>
        <v>0</v>
      </c>
      <c r="AM369" s="53">
        <f t="shared" si="216"/>
        <v>0</v>
      </c>
      <c r="AN369" s="53">
        <f t="shared" si="216"/>
        <v>0</v>
      </c>
      <c r="AO369" s="53">
        <f t="shared" si="216"/>
        <v>0</v>
      </c>
      <c r="AP369" s="53">
        <f t="shared" si="216"/>
        <v>0</v>
      </c>
      <c r="AQ369" s="53">
        <f t="shared" si="216"/>
        <v>0</v>
      </c>
      <c r="AR369" s="53">
        <f t="shared" si="216"/>
        <v>0</v>
      </c>
      <c r="AS369" s="53">
        <f t="shared" si="216"/>
        <v>0</v>
      </c>
      <c r="AT369" s="53">
        <f t="shared" si="216"/>
        <v>0</v>
      </c>
      <c r="AU369" s="53">
        <f t="shared" si="216"/>
        <v>0</v>
      </c>
      <c r="AV369" s="53">
        <f t="shared" si="216"/>
        <v>0</v>
      </c>
      <c r="AW369" s="53">
        <f t="shared" si="216"/>
        <v>0</v>
      </c>
      <c r="AX369" s="53">
        <f t="shared" si="216"/>
        <v>0</v>
      </c>
      <c r="AY369" s="53">
        <f t="shared" si="216"/>
        <v>0</v>
      </c>
      <c r="AZ369" s="53">
        <f t="shared" si="216"/>
        <v>0</v>
      </c>
      <c r="BA369" s="53">
        <f t="shared" si="216"/>
        <v>0</v>
      </c>
      <c r="BB369" s="53">
        <f t="shared" si="216"/>
        <v>0</v>
      </c>
      <c r="BC369" s="53">
        <f t="shared" si="216"/>
        <v>0</v>
      </c>
      <c r="BD369" s="53">
        <f t="shared" si="216"/>
        <v>0</v>
      </c>
      <c r="BE369" s="53">
        <f t="shared" si="216"/>
        <v>0</v>
      </c>
      <c r="BF369" s="53">
        <f t="shared" si="216"/>
        <v>0</v>
      </c>
      <c r="BG369" s="53">
        <f t="shared" si="216"/>
        <v>0</v>
      </c>
      <c r="BH369" s="53">
        <f t="shared" si="216"/>
        <v>0</v>
      </c>
      <c r="BI369" s="53">
        <f t="shared" si="216"/>
        <v>0</v>
      </c>
      <c r="BJ369" s="53">
        <f t="shared" si="216"/>
        <v>0</v>
      </c>
      <c r="BK369" s="53">
        <f t="shared" si="216"/>
        <v>0</v>
      </c>
      <c r="BL369" s="53">
        <f t="shared" si="216"/>
        <v>0</v>
      </c>
      <c r="BM369" s="53">
        <f t="shared" si="216"/>
        <v>0</v>
      </c>
      <c r="BN369" s="53">
        <f t="shared" si="216"/>
        <v>0</v>
      </c>
      <c r="BO369" s="53">
        <f t="shared" ref="BO369:CX369" si="217">IFERROR(IF(BO$262=0,0,(BO110-BO111)/BO111),0)</f>
        <v>0</v>
      </c>
      <c r="BP369" s="53">
        <f t="shared" si="217"/>
        <v>0</v>
      </c>
      <c r="BQ369" s="53">
        <f t="shared" si="217"/>
        <v>0</v>
      </c>
      <c r="BR369" s="53">
        <f t="shared" si="217"/>
        <v>0</v>
      </c>
      <c r="BS369" s="53">
        <f t="shared" si="217"/>
        <v>0</v>
      </c>
      <c r="BT369" s="53">
        <f t="shared" si="217"/>
        <v>0</v>
      </c>
      <c r="BU369" s="53">
        <f t="shared" si="217"/>
        <v>0</v>
      </c>
      <c r="BV369" s="53">
        <f t="shared" si="217"/>
        <v>0</v>
      </c>
      <c r="BW369" s="53">
        <f t="shared" si="217"/>
        <v>0</v>
      </c>
      <c r="BX369" s="53">
        <f t="shared" si="217"/>
        <v>0</v>
      </c>
      <c r="BY369" s="53">
        <f t="shared" si="217"/>
        <v>0</v>
      </c>
      <c r="BZ369" s="53">
        <f t="shared" si="217"/>
        <v>0</v>
      </c>
      <c r="CA369" s="53">
        <f t="shared" si="217"/>
        <v>0</v>
      </c>
      <c r="CB369" s="53">
        <f t="shared" si="217"/>
        <v>0</v>
      </c>
      <c r="CC369" s="53">
        <f t="shared" si="217"/>
        <v>0</v>
      </c>
      <c r="CD369" s="53">
        <f t="shared" si="217"/>
        <v>0</v>
      </c>
      <c r="CE369" s="53">
        <f t="shared" si="217"/>
        <v>0</v>
      </c>
      <c r="CF369" s="53">
        <f t="shared" si="217"/>
        <v>0</v>
      </c>
      <c r="CG369" s="53">
        <f t="shared" si="217"/>
        <v>0</v>
      </c>
      <c r="CH369" s="53">
        <f t="shared" si="217"/>
        <v>0</v>
      </c>
      <c r="CI369" s="53">
        <f t="shared" si="217"/>
        <v>0</v>
      </c>
      <c r="CJ369" s="53">
        <f t="shared" si="217"/>
        <v>0</v>
      </c>
      <c r="CK369" s="53">
        <f t="shared" si="217"/>
        <v>0</v>
      </c>
      <c r="CL369" s="53">
        <f t="shared" si="217"/>
        <v>0</v>
      </c>
      <c r="CM369" s="53">
        <f t="shared" si="217"/>
        <v>0</v>
      </c>
      <c r="CN369" s="53">
        <f t="shared" si="217"/>
        <v>0</v>
      </c>
      <c r="CO369" s="53">
        <f t="shared" si="217"/>
        <v>0</v>
      </c>
      <c r="CP369" s="53">
        <f t="shared" si="217"/>
        <v>0</v>
      </c>
      <c r="CQ369" s="53">
        <f t="shared" si="217"/>
        <v>0</v>
      </c>
      <c r="CR369" s="53">
        <f t="shared" si="217"/>
        <v>0</v>
      </c>
      <c r="CS369" s="53">
        <f t="shared" si="217"/>
        <v>0</v>
      </c>
      <c r="CT369" s="53">
        <f t="shared" si="217"/>
        <v>0</v>
      </c>
      <c r="CU369" s="53">
        <f t="shared" si="217"/>
        <v>0</v>
      </c>
      <c r="CV369" s="53">
        <f t="shared" si="217"/>
        <v>0</v>
      </c>
      <c r="CW369" s="53">
        <f t="shared" si="217"/>
        <v>0</v>
      </c>
      <c r="CX369" s="53">
        <f t="shared" si="217"/>
        <v>0</v>
      </c>
      <c r="DB369" s="2" vm="618">
        <f ca="1">IF(Returns!A373&lt;&gt;0,Returns!A373,"")</f>
        <v>42779</v>
      </c>
      <c r="DC369" s="11">
        <f ca="1">IF(Returns!B384&gt;0,Returns!B384/Returns!B383-1,"")</f>
        <v>9.902809760105713E-3</v>
      </c>
      <c r="DD369" s="11">
        <f ca="1">IF(Returns!D376&gt;0,Returns!D376/Returns!D375-1,"")</f>
        <v>-4.8903285104626715E-3</v>
      </c>
    </row>
    <row r="370" spans="2:108" x14ac:dyDescent="0.3">
      <c r="B370" s="57">
        <f t="shared" ca="1" si="135"/>
        <v>1.3873883421103053E-4</v>
      </c>
      <c r="C370" s="53">
        <f t="shared" ref="C370:BN370" si="218">IFERROR(IF(C$262=0,0,(C111-C112)/C112),0)</f>
        <v>0</v>
      </c>
      <c r="D370" s="53">
        <f t="shared" si="218"/>
        <v>0</v>
      </c>
      <c r="E370" s="53">
        <f t="shared" si="218"/>
        <v>0</v>
      </c>
      <c r="F370" s="53">
        <f t="shared" si="218"/>
        <v>0</v>
      </c>
      <c r="G370" s="53">
        <f t="shared" si="218"/>
        <v>0</v>
      </c>
      <c r="H370" s="53">
        <f t="shared" si="218"/>
        <v>0</v>
      </c>
      <c r="I370" s="53">
        <f t="shared" si="218"/>
        <v>0</v>
      </c>
      <c r="J370" s="53">
        <f t="shared" si="218"/>
        <v>0</v>
      </c>
      <c r="K370" s="53">
        <f t="shared" si="218"/>
        <v>0</v>
      </c>
      <c r="L370" s="53">
        <f t="shared" si="218"/>
        <v>0</v>
      </c>
      <c r="M370" s="53">
        <f t="shared" si="218"/>
        <v>0</v>
      </c>
      <c r="N370" s="53">
        <f t="shared" si="218"/>
        <v>0</v>
      </c>
      <c r="O370" s="53">
        <f t="shared" si="218"/>
        <v>0</v>
      </c>
      <c r="P370" s="53">
        <f t="shared" si="218"/>
        <v>0</v>
      </c>
      <c r="Q370" s="53">
        <f t="shared" si="218"/>
        <v>0</v>
      </c>
      <c r="R370" s="53">
        <f t="shared" si="218"/>
        <v>0</v>
      </c>
      <c r="S370" s="53">
        <f t="shared" si="218"/>
        <v>0</v>
      </c>
      <c r="T370" s="53">
        <f t="shared" si="218"/>
        <v>0</v>
      </c>
      <c r="U370" s="53">
        <f t="shared" si="218"/>
        <v>0</v>
      </c>
      <c r="V370" s="53">
        <f t="shared" si="218"/>
        <v>0</v>
      </c>
      <c r="W370" s="53">
        <f t="shared" si="218"/>
        <v>0</v>
      </c>
      <c r="X370" s="53">
        <f t="shared" si="218"/>
        <v>0</v>
      </c>
      <c r="Y370" s="53">
        <f t="shared" si="218"/>
        <v>0</v>
      </c>
      <c r="Z370" s="53">
        <f t="shared" si="218"/>
        <v>0</v>
      </c>
      <c r="AA370" s="53">
        <f t="shared" si="218"/>
        <v>0</v>
      </c>
      <c r="AB370" s="53">
        <f t="shared" si="218"/>
        <v>0</v>
      </c>
      <c r="AC370" s="53">
        <f t="shared" si="218"/>
        <v>0</v>
      </c>
      <c r="AD370" s="53">
        <f t="shared" si="218"/>
        <v>0</v>
      </c>
      <c r="AE370" s="53">
        <f t="shared" si="218"/>
        <v>0</v>
      </c>
      <c r="AF370" s="53">
        <f t="shared" si="218"/>
        <v>0</v>
      </c>
      <c r="AG370" s="53">
        <f t="shared" si="218"/>
        <v>0</v>
      </c>
      <c r="AH370" s="53">
        <f t="shared" si="218"/>
        <v>0</v>
      </c>
      <c r="AI370" s="53">
        <f t="shared" si="218"/>
        <v>0</v>
      </c>
      <c r="AJ370" s="53">
        <f t="shared" si="218"/>
        <v>0</v>
      </c>
      <c r="AK370" s="53">
        <f t="shared" si="218"/>
        <v>0</v>
      </c>
      <c r="AL370" s="53">
        <f t="shared" si="218"/>
        <v>0</v>
      </c>
      <c r="AM370" s="53">
        <f t="shared" si="218"/>
        <v>0</v>
      </c>
      <c r="AN370" s="53">
        <f t="shared" si="218"/>
        <v>0</v>
      </c>
      <c r="AO370" s="53">
        <f t="shared" si="218"/>
        <v>0</v>
      </c>
      <c r="AP370" s="53">
        <f t="shared" si="218"/>
        <v>0</v>
      </c>
      <c r="AQ370" s="53">
        <f t="shared" si="218"/>
        <v>0</v>
      </c>
      <c r="AR370" s="53">
        <f t="shared" si="218"/>
        <v>0</v>
      </c>
      <c r="AS370" s="53">
        <f t="shared" si="218"/>
        <v>0</v>
      </c>
      <c r="AT370" s="53">
        <f t="shared" si="218"/>
        <v>0</v>
      </c>
      <c r="AU370" s="53">
        <f t="shared" si="218"/>
        <v>0</v>
      </c>
      <c r="AV370" s="53">
        <f t="shared" si="218"/>
        <v>0</v>
      </c>
      <c r="AW370" s="53">
        <f t="shared" si="218"/>
        <v>0</v>
      </c>
      <c r="AX370" s="53">
        <f t="shared" si="218"/>
        <v>0</v>
      </c>
      <c r="AY370" s="53">
        <f t="shared" si="218"/>
        <v>0</v>
      </c>
      <c r="AZ370" s="53">
        <f t="shared" si="218"/>
        <v>0</v>
      </c>
      <c r="BA370" s="53">
        <f t="shared" si="218"/>
        <v>0</v>
      </c>
      <c r="BB370" s="53">
        <f t="shared" si="218"/>
        <v>0</v>
      </c>
      <c r="BC370" s="53">
        <f t="shared" si="218"/>
        <v>0</v>
      </c>
      <c r="BD370" s="53">
        <f t="shared" si="218"/>
        <v>0</v>
      </c>
      <c r="BE370" s="53">
        <f t="shared" si="218"/>
        <v>0</v>
      </c>
      <c r="BF370" s="53">
        <f t="shared" si="218"/>
        <v>0</v>
      </c>
      <c r="BG370" s="53">
        <f t="shared" si="218"/>
        <v>0</v>
      </c>
      <c r="BH370" s="53">
        <f t="shared" si="218"/>
        <v>0</v>
      </c>
      <c r="BI370" s="53">
        <f t="shared" si="218"/>
        <v>0</v>
      </c>
      <c r="BJ370" s="53">
        <f t="shared" si="218"/>
        <v>0</v>
      </c>
      <c r="BK370" s="53">
        <f t="shared" si="218"/>
        <v>0</v>
      </c>
      <c r="BL370" s="53">
        <f t="shared" si="218"/>
        <v>0</v>
      </c>
      <c r="BM370" s="53">
        <f t="shared" si="218"/>
        <v>0</v>
      </c>
      <c r="BN370" s="53">
        <f t="shared" si="218"/>
        <v>0</v>
      </c>
      <c r="BO370" s="53">
        <f t="shared" ref="BO370:CX370" si="219">IFERROR(IF(BO$262=0,0,(BO111-BO112)/BO112),0)</f>
        <v>0</v>
      </c>
      <c r="BP370" s="53">
        <f t="shared" si="219"/>
        <v>0</v>
      </c>
      <c r="BQ370" s="53">
        <f t="shared" si="219"/>
        <v>0</v>
      </c>
      <c r="BR370" s="53">
        <f t="shared" si="219"/>
        <v>0</v>
      </c>
      <c r="BS370" s="53">
        <f t="shared" si="219"/>
        <v>0</v>
      </c>
      <c r="BT370" s="53">
        <f t="shared" si="219"/>
        <v>0</v>
      </c>
      <c r="BU370" s="53">
        <f t="shared" si="219"/>
        <v>0</v>
      </c>
      <c r="BV370" s="53">
        <f t="shared" si="219"/>
        <v>0</v>
      </c>
      <c r="BW370" s="53">
        <f t="shared" si="219"/>
        <v>0</v>
      </c>
      <c r="BX370" s="53">
        <f t="shared" si="219"/>
        <v>0</v>
      </c>
      <c r="BY370" s="53">
        <f t="shared" si="219"/>
        <v>0</v>
      </c>
      <c r="BZ370" s="53">
        <f t="shared" si="219"/>
        <v>0</v>
      </c>
      <c r="CA370" s="53">
        <f t="shared" si="219"/>
        <v>0</v>
      </c>
      <c r="CB370" s="53">
        <f t="shared" si="219"/>
        <v>0</v>
      </c>
      <c r="CC370" s="53">
        <f t="shared" si="219"/>
        <v>0</v>
      </c>
      <c r="CD370" s="53">
        <f t="shared" si="219"/>
        <v>0</v>
      </c>
      <c r="CE370" s="53">
        <f t="shared" si="219"/>
        <v>0</v>
      </c>
      <c r="CF370" s="53">
        <f t="shared" si="219"/>
        <v>0</v>
      </c>
      <c r="CG370" s="53">
        <f t="shared" si="219"/>
        <v>0</v>
      </c>
      <c r="CH370" s="53">
        <f t="shared" si="219"/>
        <v>0</v>
      </c>
      <c r="CI370" s="53">
        <f t="shared" si="219"/>
        <v>0</v>
      </c>
      <c r="CJ370" s="53">
        <f t="shared" si="219"/>
        <v>0</v>
      </c>
      <c r="CK370" s="53">
        <f t="shared" si="219"/>
        <v>0</v>
      </c>
      <c r="CL370" s="53">
        <f t="shared" si="219"/>
        <v>0</v>
      </c>
      <c r="CM370" s="53">
        <f t="shared" si="219"/>
        <v>0</v>
      </c>
      <c r="CN370" s="53">
        <f t="shared" si="219"/>
        <v>0</v>
      </c>
      <c r="CO370" s="53">
        <f t="shared" si="219"/>
        <v>0</v>
      </c>
      <c r="CP370" s="53">
        <f t="shared" si="219"/>
        <v>0</v>
      </c>
      <c r="CQ370" s="53">
        <f t="shared" si="219"/>
        <v>0</v>
      </c>
      <c r="CR370" s="53">
        <f t="shared" si="219"/>
        <v>0</v>
      </c>
      <c r="CS370" s="53">
        <f t="shared" si="219"/>
        <v>0</v>
      </c>
      <c r="CT370" s="53">
        <f t="shared" si="219"/>
        <v>0</v>
      </c>
      <c r="CU370" s="53">
        <f t="shared" si="219"/>
        <v>0</v>
      </c>
      <c r="CV370" s="53">
        <f t="shared" si="219"/>
        <v>0</v>
      </c>
      <c r="CW370" s="53">
        <f t="shared" si="219"/>
        <v>0</v>
      </c>
      <c r="CX370" s="53">
        <f t="shared" si="219"/>
        <v>0</v>
      </c>
      <c r="DB370" s="2" vm="619">
        <f ca="1">IF(Returns!A374&lt;&gt;0,Returns!A374,"")</f>
        <v>42787</v>
      </c>
      <c r="DC370" s="11">
        <f ca="1">IF(Returns!B385&gt;0,Returns!B385/Returns!B384-1,"")</f>
        <v>2.9117379435850799E-2</v>
      </c>
      <c r="DD370" s="11">
        <f ca="1">IF(Returns!D377&gt;0,Returns!D377/Returns!D376-1,"")</f>
        <v>5.5696363225843371E-4</v>
      </c>
    </row>
    <row r="371" spans="2:108" x14ac:dyDescent="0.3">
      <c r="B371" s="57">
        <f t="shared" ca="1" si="135"/>
        <v>1.0102500862793906E-4</v>
      </c>
      <c r="C371" s="53">
        <f t="shared" ref="C371:BN371" si="220">IFERROR(IF(C$262=0,0,(C112-C113)/C113),0)</f>
        <v>0</v>
      </c>
      <c r="D371" s="53">
        <f t="shared" si="220"/>
        <v>0</v>
      </c>
      <c r="E371" s="53">
        <f t="shared" si="220"/>
        <v>0</v>
      </c>
      <c r="F371" s="53">
        <f t="shared" si="220"/>
        <v>0</v>
      </c>
      <c r="G371" s="53">
        <f t="shared" si="220"/>
        <v>0</v>
      </c>
      <c r="H371" s="53">
        <f t="shared" si="220"/>
        <v>0</v>
      </c>
      <c r="I371" s="53">
        <f t="shared" si="220"/>
        <v>0</v>
      </c>
      <c r="J371" s="53">
        <f t="shared" si="220"/>
        <v>0</v>
      </c>
      <c r="K371" s="53">
        <f t="shared" si="220"/>
        <v>0</v>
      </c>
      <c r="L371" s="53">
        <f t="shared" si="220"/>
        <v>0</v>
      </c>
      <c r="M371" s="53">
        <f t="shared" si="220"/>
        <v>0</v>
      </c>
      <c r="N371" s="53">
        <f t="shared" si="220"/>
        <v>0</v>
      </c>
      <c r="O371" s="53">
        <f t="shared" si="220"/>
        <v>0</v>
      </c>
      <c r="P371" s="53">
        <f t="shared" si="220"/>
        <v>0</v>
      </c>
      <c r="Q371" s="53">
        <f t="shared" si="220"/>
        <v>0</v>
      </c>
      <c r="R371" s="53">
        <f t="shared" si="220"/>
        <v>0</v>
      </c>
      <c r="S371" s="53">
        <f t="shared" si="220"/>
        <v>0</v>
      </c>
      <c r="T371" s="53">
        <f t="shared" si="220"/>
        <v>0</v>
      </c>
      <c r="U371" s="53">
        <f t="shared" si="220"/>
        <v>0</v>
      </c>
      <c r="V371" s="53">
        <f t="shared" si="220"/>
        <v>0</v>
      </c>
      <c r="W371" s="53">
        <f t="shared" si="220"/>
        <v>0</v>
      </c>
      <c r="X371" s="53">
        <f t="shared" si="220"/>
        <v>0</v>
      </c>
      <c r="Y371" s="53">
        <f t="shared" si="220"/>
        <v>0</v>
      </c>
      <c r="Z371" s="53">
        <f t="shared" si="220"/>
        <v>0</v>
      </c>
      <c r="AA371" s="53">
        <f t="shared" si="220"/>
        <v>0</v>
      </c>
      <c r="AB371" s="53">
        <f t="shared" si="220"/>
        <v>0</v>
      </c>
      <c r="AC371" s="53">
        <f t="shared" si="220"/>
        <v>0</v>
      </c>
      <c r="AD371" s="53">
        <f t="shared" si="220"/>
        <v>0</v>
      </c>
      <c r="AE371" s="53">
        <f t="shared" si="220"/>
        <v>0</v>
      </c>
      <c r="AF371" s="53">
        <f t="shared" si="220"/>
        <v>0</v>
      </c>
      <c r="AG371" s="53">
        <f t="shared" si="220"/>
        <v>0</v>
      </c>
      <c r="AH371" s="53">
        <f t="shared" si="220"/>
        <v>0</v>
      </c>
      <c r="AI371" s="53">
        <f t="shared" si="220"/>
        <v>0</v>
      </c>
      <c r="AJ371" s="53">
        <f t="shared" si="220"/>
        <v>0</v>
      </c>
      <c r="AK371" s="53">
        <f t="shared" si="220"/>
        <v>0</v>
      </c>
      <c r="AL371" s="53">
        <f t="shared" si="220"/>
        <v>0</v>
      </c>
      <c r="AM371" s="53">
        <f t="shared" si="220"/>
        <v>0</v>
      </c>
      <c r="AN371" s="53">
        <f t="shared" si="220"/>
        <v>0</v>
      </c>
      <c r="AO371" s="53">
        <f t="shared" si="220"/>
        <v>0</v>
      </c>
      <c r="AP371" s="53">
        <f t="shared" si="220"/>
        <v>0</v>
      </c>
      <c r="AQ371" s="53">
        <f t="shared" si="220"/>
        <v>0</v>
      </c>
      <c r="AR371" s="53">
        <f t="shared" si="220"/>
        <v>0</v>
      </c>
      <c r="AS371" s="53">
        <f t="shared" si="220"/>
        <v>0</v>
      </c>
      <c r="AT371" s="53">
        <f t="shared" si="220"/>
        <v>0</v>
      </c>
      <c r="AU371" s="53">
        <f t="shared" si="220"/>
        <v>0</v>
      </c>
      <c r="AV371" s="53">
        <f t="shared" si="220"/>
        <v>0</v>
      </c>
      <c r="AW371" s="53">
        <f t="shared" si="220"/>
        <v>0</v>
      </c>
      <c r="AX371" s="53">
        <f t="shared" si="220"/>
        <v>0</v>
      </c>
      <c r="AY371" s="53">
        <f t="shared" si="220"/>
        <v>0</v>
      </c>
      <c r="AZ371" s="53">
        <f t="shared" si="220"/>
        <v>0</v>
      </c>
      <c r="BA371" s="53">
        <f t="shared" si="220"/>
        <v>0</v>
      </c>
      <c r="BB371" s="53">
        <f t="shared" si="220"/>
        <v>0</v>
      </c>
      <c r="BC371" s="53">
        <f t="shared" si="220"/>
        <v>0</v>
      </c>
      <c r="BD371" s="53">
        <f t="shared" si="220"/>
        <v>0</v>
      </c>
      <c r="BE371" s="53">
        <f t="shared" si="220"/>
        <v>0</v>
      </c>
      <c r="BF371" s="53">
        <f t="shared" si="220"/>
        <v>0</v>
      </c>
      <c r="BG371" s="53">
        <f t="shared" si="220"/>
        <v>0</v>
      </c>
      <c r="BH371" s="53">
        <f t="shared" si="220"/>
        <v>0</v>
      </c>
      <c r="BI371" s="53">
        <f t="shared" si="220"/>
        <v>0</v>
      </c>
      <c r="BJ371" s="53">
        <f t="shared" si="220"/>
        <v>0</v>
      </c>
      <c r="BK371" s="53">
        <f t="shared" si="220"/>
        <v>0</v>
      </c>
      <c r="BL371" s="53">
        <f t="shared" si="220"/>
        <v>0</v>
      </c>
      <c r="BM371" s="53">
        <f t="shared" si="220"/>
        <v>0</v>
      </c>
      <c r="BN371" s="53">
        <f t="shared" si="220"/>
        <v>0</v>
      </c>
      <c r="BO371" s="53">
        <f t="shared" ref="BO371:CX371" si="221">IFERROR(IF(BO$262=0,0,(BO112-BO113)/BO113),0)</f>
        <v>0</v>
      </c>
      <c r="BP371" s="53">
        <f t="shared" si="221"/>
        <v>0</v>
      </c>
      <c r="BQ371" s="53">
        <f t="shared" si="221"/>
        <v>0</v>
      </c>
      <c r="BR371" s="53">
        <f t="shared" si="221"/>
        <v>0</v>
      </c>
      <c r="BS371" s="53">
        <f t="shared" si="221"/>
        <v>0</v>
      </c>
      <c r="BT371" s="53">
        <f t="shared" si="221"/>
        <v>0</v>
      </c>
      <c r="BU371" s="53">
        <f t="shared" si="221"/>
        <v>0</v>
      </c>
      <c r="BV371" s="53">
        <f t="shared" si="221"/>
        <v>0</v>
      </c>
      <c r="BW371" s="53">
        <f t="shared" si="221"/>
        <v>0</v>
      </c>
      <c r="BX371" s="53">
        <f t="shared" si="221"/>
        <v>0</v>
      </c>
      <c r="BY371" s="53">
        <f t="shared" si="221"/>
        <v>0</v>
      </c>
      <c r="BZ371" s="53">
        <f t="shared" si="221"/>
        <v>0</v>
      </c>
      <c r="CA371" s="53">
        <f t="shared" si="221"/>
        <v>0</v>
      </c>
      <c r="CB371" s="53">
        <f t="shared" si="221"/>
        <v>0</v>
      </c>
      <c r="CC371" s="53">
        <f t="shared" si="221"/>
        <v>0</v>
      </c>
      <c r="CD371" s="53">
        <f t="shared" si="221"/>
        <v>0</v>
      </c>
      <c r="CE371" s="53">
        <f t="shared" si="221"/>
        <v>0</v>
      </c>
      <c r="CF371" s="53">
        <f t="shared" si="221"/>
        <v>0</v>
      </c>
      <c r="CG371" s="53">
        <f t="shared" si="221"/>
        <v>0</v>
      </c>
      <c r="CH371" s="53">
        <f t="shared" si="221"/>
        <v>0</v>
      </c>
      <c r="CI371" s="53">
        <f t="shared" si="221"/>
        <v>0</v>
      </c>
      <c r="CJ371" s="53">
        <f t="shared" si="221"/>
        <v>0</v>
      </c>
      <c r="CK371" s="53">
        <f t="shared" si="221"/>
        <v>0</v>
      </c>
      <c r="CL371" s="53">
        <f t="shared" si="221"/>
        <v>0</v>
      </c>
      <c r="CM371" s="53">
        <f t="shared" si="221"/>
        <v>0</v>
      </c>
      <c r="CN371" s="53">
        <f t="shared" si="221"/>
        <v>0</v>
      </c>
      <c r="CO371" s="53">
        <f t="shared" si="221"/>
        <v>0</v>
      </c>
      <c r="CP371" s="53">
        <f t="shared" si="221"/>
        <v>0</v>
      </c>
      <c r="CQ371" s="53">
        <f t="shared" si="221"/>
        <v>0</v>
      </c>
      <c r="CR371" s="53">
        <f t="shared" si="221"/>
        <v>0</v>
      </c>
      <c r="CS371" s="53">
        <f t="shared" si="221"/>
        <v>0</v>
      </c>
      <c r="CT371" s="53">
        <f t="shared" si="221"/>
        <v>0</v>
      </c>
      <c r="CU371" s="53">
        <f t="shared" si="221"/>
        <v>0</v>
      </c>
      <c r="CV371" s="53">
        <f t="shared" si="221"/>
        <v>0</v>
      </c>
      <c r="CW371" s="53">
        <f t="shared" si="221"/>
        <v>0</v>
      </c>
      <c r="CX371" s="53">
        <f t="shared" si="221"/>
        <v>0</v>
      </c>
      <c r="DB371" s="2" vm="620">
        <f ca="1">IF(Returns!A375&lt;&gt;0,Returns!A375,"")</f>
        <v>42793</v>
      </c>
      <c r="DC371" s="11">
        <f ca="1">IF(Returns!B386&gt;0,Returns!B386/Returns!B385-1,"")</f>
        <v>-1.5707078587404721E-3</v>
      </c>
      <c r="DD371" s="11">
        <f ca="1">IF(Returns!D378&gt;0,Returns!D378/Returns!D377-1,"")</f>
        <v>-1.5199839033195439E-2</v>
      </c>
    </row>
    <row r="372" spans="2:108" x14ac:dyDescent="0.3">
      <c r="B372" s="57">
        <f t="shared" ca="1" si="135"/>
        <v>1.365147753355903E-3</v>
      </c>
      <c r="C372" s="53">
        <f t="shared" ref="C372:BN372" si="222">IFERROR(IF(C$262=0,0,(C113-C114)/C114),0)</f>
        <v>0</v>
      </c>
      <c r="D372" s="53">
        <f t="shared" si="222"/>
        <v>0</v>
      </c>
      <c r="E372" s="53">
        <f t="shared" si="222"/>
        <v>0</v>
      </c>
      <c r="F372" s="53">
        <f t="shared" si="222"/>
        <v>0</v>
      </c>
      <c r="G372" s="53">
        <f t="shared" si="222"/>
        <v>0</v>
      </c>
      <c r="H372" s="53">
        <f t="shared" si="222"/>
        <v>0</v>
      </c>
      <c r="I372" s="53">
        <f t="shared" si="222"/>
        <v>0</v>
      </c>
      <c r="J372" s="53">
        <f t="shared" si="222"/>
        <v>0</v>
      </c>
      <c r="K372" s="53">
        <f t="shared" si="222"/>
        <v>0</v>
      </c>
      <c r="L372" s="53">
        <f t="shared" si="222"/>
        <v>0</v>
      </c>
      <c r="M372" s="53">
        <f t="shared" si="222"/>
        <v>0</v>
      </c>
      <c r="N372" s="53">
        <f t="shared" si="222"/>
        <v>0</v>
      </c>
      <c r="O372" s="53">
        <f t="shared" si="222"/>
        <v>0</v>
      </c>
      <c r="P372" s="53">
        <f t="shared" si="222"/>
        <v>0</v>
      </c>
      <c r="Q372" s="53">
        <f t="shared" si="222"/>
        <v>0</v>
      </c>
      <c r="R372" s="53">
        <f t="shared" si="222"/>
        <v>0</v>
      </c>
      <c r="S372" s="53">
        <f t="shared" si="222"/>
        <v>0</v>
      </c>
      <c r="T372" s="53">
        <f t="shared" si="222"/>
        <v>0</v>
      </c>
      <c r="U372" s="53">
        <f t="shared" si="222"/>
        <v>0</v>
      </c>
      <c r="V372" s="53">
        <f t="shared" si="222"/>
        <v>0</v>
      </c>
      <c r="W372" s="53">
        <f t="shared" si="222"/>
        <v>0</v>
      </c>
      <c r="X372" s="53">
        <f t="shared" si="222"/>
        <v>0</v>
      </c>
      <c r="Y372" s="53">
        <f t="shared" si="222"/>
        <v>0</v>
      </c>
      <c r="Z372" s="53">
        <f t="shared" si="222"/>
        <v>0</v>
      </c>
      <c r="AA372" s="53">
        <f t="shared" si="222"/>
        <v>0</v>
      </c>
      <c r="AB372" s="53">
        <f t="shared" si="222"/>
        <v>0</v>
      </c>
      <c r="AC372" s="53">
        <f t="shared" si="222"/>
        <v>0</v>
      </c>
      <c r="AD372" s="53">
        <f t="shared" si="222"/>
        <v>0</v>
      </c>
      <c r="AE372" s="53">
        <f t="shared" si="222"/>
        <v>0</v>
      </c>
      <c r="AF372" s="53">
        <f t="shared" si="222"/>
        <v>0</v>
      </c>
      <c r="AG372" s="53">
        <f t="shared" si="222"/>
        <v>0</v>
      </c>
      <c r="AH372" s="53">
        <f t="shared" si="222"/>
        <v>0</v>
      </c>
      <c r="AI372" s="53">
        <f t="shared" si="222"/>
        <v>0</v>
      </c>
      <c r="AJ372" s="53">
        <f t="shared" si="222"/>
        <v>0</v>
      </c>
      <c r="AK372" s="53">
        <f t="shared" si="222"/>
        <v>0</v>
      </c>
      <c r="AL372" s="53">
        <f t="shared" si="222"/>
        <v>0</v>
      </c>
      <c r="AM372" s="53">
        <f t="shared" si="222"/>
        <v>0</v>
      </c>
      <c r="AN372" s="53">
        <f t="shared" si="222"/>
        <v>0</v>
      </c>
      <c r="AO372" s="53">
        <f t="shared" si="222"/>
        <v>0</v>
      </c>
      <c r="AP372" s="53">
        <f t="shared" si="222"/>
        <v>0</v>
      </c>
      <c r="AQ372" s="53">
        <f t="shared" si="222"/>
        <v>0</v>
      </c>
      <c r="AR372" s="53">
        <f t="shared" si="222"/>
        <v>0</v>
      </c>
      <c r="AS372" s="53">
        <f t="shared" si="222"/>
        <v>0</v>
      </c>
      <c r="AT372" s="53">
        <f t="shared" si="222"/>
        <v>0</v>
      </c>
      <c r="AU372" s="53">
        <f t="shared" si="222"/>
        <v>0</v>
      </c>
      <c r="AV372" s="53">
        <f t="shared" si="222"/>
        <v>0</v>
      </c>
      <c r="AW372" s="53">
        <f t="shared" si="222"/>
        <v>0</v>
      </c>
      <c r="AX372" s="53">
        <f t="shared" si="222"/>
        <v>0</v>
      </c>
      <c r="AY372" s="53">
        <f t="shared" si="222"/>
        <v>0</v>
      </c>
      <c r="AZ372" s="53">
        <f t="shared" si="222"/>
        <v>0</v>
      </c>
      <c r="BA372" s="53">
        <f t="shared" si="222"/>
        <v>0</v>
      </c>
      <c r="BB372" s="53">
        <f t="shared" si="222"/>
        <v>0</v>
      </c>
      <c r="BC372" s="53">
        <f t="shared" si="222"/>
        <v>0</v>
      </c>
      <c r="BD372" s="53">
        <f t="shared" si="222"/>
        <v>0</v>
      </c>
      <c r="BE372" s="53">
        <f t="shared" si="222"/>
        <v>0</v>
      </c>
      <c r="BF372" s="53">
        <f t="shared" si="222"/>
        <v>0</v>
      </c>
      <c r="BG372" s="53">
        <f t="shared" si="222"/>
        <v>0</v>
      </c>
      <c r="BH372" s="53">
        <f t="shared" si="222"/>
        <v>0</v>
      </c>
      <c r="BI372" s="53">
        <f t="shared" si="222"/>
        <v>0</v>
      </c>
      <c r="BJ372" s="53">
        <f t="shared" si="222"/>
        <v>0</v>
      </c>
      <c r="BK372" s="53">
        <f t="shared" si="222"/>
        <v>0</v>
      </c>
      <c r="BL372" s="53">
        <f t="shared" si="222"/>
        <v>0</v>
      </c>
      <c r="BM372" s="53">
        <f t="shared" si="222"/>
        <v>0</v>
      </c>
      <c r="BN372" s="53">
        <f t="shared" si="222"/>
        <v>0</v>
      </c>
      <c r="BO372" s="53">
        <f t="shared" ref="BO372:CX372" si="223">IFERROR(IF(BO$262=0,0,(BO113-BO114)/BO114),0)</f>
        <v>0</v>
      </c>
      <c r="BP372" s="53">
        <f t="shared" si="223"/>
        <v>0</v>
      </c>
      <c r="BQ372" s="53">
        <f t="shared" si="223"/>
        <v>0</v>
      </c>
      <c r="BR372" s="53">
        <f t="shared" si="223"/>
        <v>0</v>
      </c>
      <c r="BS372" s="53">
        <f t="shared" si="223"/>
        <v>0</v>
      </c>
      <c r="BT372" s="53">
        <f t="shared" si="223"/>
        <v>0</v>
      </c>
      <c r="BU372" s="53">
        <f t="shared" si="223"/>
        <v>0</v>
      </c>
      <c r="BV372" s="53">
        <f t="shared" si="223"/>
        <v>0</v>
      </c>
      <c r="BW372" s="53">
        <f t="shared" si="223"/>
        <v>0</v>
      </c>
      <c r="BX372" s="53">
        <f t="shared" si="223"/>
        <v>0</v>
      </c>
      <c r="BY372" s="53">
        <f t="shared" si="223"/>
        <v>0</v>
      </c>
      <c r="BZ372" s="53">
        <f t="shared" si="223"/>
        <v>0</v>
      </c>
      <c r="CA372" s="53">
        <f t="shared" si="223"/>
        <v>0</v>
      </c>
      <c r="CB372" s="53">
        <f t="shared" si="223"/>
        <v>0</v>
      </c>
      <c r="CC372" s="53">
        <f t="shared" si="223"/>
        <v>0</v>
      </c>
      <c r="CD372" s="53">
        <f t="shared" si="223"/>
        <v>0</v>
      </c>
      <c r="CE372" s="53">
        <f t="shared" si="223"/>
        <v>0</v>
      </c>
      <c r="CF372" s="53">
        <f t="shared" si="223"/>
        <v>0</v>
      </c>
      <c r="CG372" s="53">
        <f t="shared" si="223"/>
        <v>0</v>
      </c>
      <c r="CH372" s="53">
        <f t="shared" si="223"/>
        <v>0</v>
      </c>
      <c r="CI372" s="53">
        <f t="shared" si="223"/>
        <v>0</v>
      </c>
      <c r="CJ372" s="53">
        <f t="shared" si="223"/>
        <v>0</v>
      </c>
      <c r="CK372" s="53">
        <f t="shared" si="223"/>
        <v>0</v>
      </c>
      <c r="CL372" s="53">
        <f t="shared" si="223"/>
        <v>0</v>
      </c>
      <c r="CM372" s="53">
        <f t="shared" si="223"/>
        <v>0</v>
      </c>
      <c r="CN372" s="53">
        <f t="shared" si="223"/>
        <v>0</v>
      </c>
      <c r="CO372" s="53">
        <f t="shared" si="223"/>
        <v>0</v>
      </c>
      <c r="CP372" s="53">
        <f t="shared" si="223"/>
        <v>0</v>
      </c>
      <c r="CQ372" s="53">
        <f t="shared" si="223"/>
        <v>0</v>
      </c>
      <c r="CR372" s="53">
        <f t="shared" si="223"/>
        <v>0</v>
      </c>
      <c r="CS372" s="53">
        <f t="shared" si="223"/>
        <v>0</v>
      </c>
      <c r="CT372" s="53">
        <f t="shared" si="223"/>
        <v>0</v>
      </c>
      <c r="CU372" s="53">
        <f t="shared" si="223"/>
        <v>0</v>
      </c>
      <c r="CV372" s="53">
        <f t="shared" si="223"/>
        <v>0</v>
      </c>
      <c r="CW372" s="53">
        <f t="shared" si="223"/>
        <v>0</v>
      </c>
      <c r="CX372" s="53">
        <f t="shared" si="223"/>
        <v>0</v>
      </c>
      <c r="DB372" s="2" vm="621">
        <f ca="1">IF(Returns!A376&lt;&gt;0,Returns!A376,"")</f>
        <v>42800</v>
      </c>
      <c r="DC372" s="11">
        <f ca="1">IF(Returns!B387&gt;0,Returns!B387/Returns!B386-1,"")</f>
        <v>3.744374062343736E-2</v>
      </c>
      <c r="DD372" s="11">
        <f ca="1">IF(Returns!D379&gt;0,Returns!D379/Returns!D378-1,"")</f>
        <v>3.2285328639083399E-3</v>
      </c>
    </row>
    <row r="373" spans="2:108" x14ac:dyDescent="0.3">
      <c r="B373" s="57">
        <f t="shared" ca="1" si="135"/>
        <v>5.9165670533732194E-4</v>
      </c>
      <c r="C373" s="53">
        <f t="shared" ref="C373:BN373" si="224">IFERROR(IF(C$262=0,0,(C114-C115)/C115),0)</f>
        <v>0</v>
      </c>
      <c r="D373" s="53">
        <f t="shared" si="224"/>
        <v>0</v>
      </c>
      <c r="E373" s="53">
        <f t="shared" si="224"/>
        <v>0</v>
      </c>
      <c r="F373" s="53">
        <f t="shared" si="224"/>
        <v>0</v>
      </c>
      <c r="G373" s="53">
        <f t="shared" si="224"/>
        <v>0</v>
      </c>
      <c r="H373" s="53">
        <f t="shared" si="224"/>
        <v>0</v>
      </c>
      <c r="I373" s="53">
        <f t="shared" si="224"/>
        <v>0</v>
      </c>
      <c r="J373" s="53">
        <f t="shared" si="224"/>
        <v>0</v>
      </c>
      <c r="K373" s="53">
        <f t="shared" si="224"/>
        <v>0</v>
      </c>
      <c r="L373" s="53">
        <f t="shared" si="224"/>
        <v>0</v>
      </c>
      <c r="M373" s="53">
        <f t="shared" si="224"/>
        <v>0</v>
      </c>
      <c r="N373" s="53">
        <f t="shared" si="224"/>
        <v>0</v>
      </c>
      <c r="O373" s="53">
        <f t="shared" si="224"/>
        <v>0</v>
      </c>
      <c r="P373" s="53">
        <f t="shared" si="224"/>
        <v>0</v>
      </c>
      <c r="Q373" s="53">
        <f t="shared" si="224"/>
        <v>0</v>
      </c>
      <c r="R373" s="53">
        <f t="shared" si="224"/>
        <v>0</v>
      </c>
      <c r="S373" s="53">
        <f t="shared" si="224"/>
        <v>0</v>
      </c>
      <c r="T373" s="53">
        <f t="shared" si="224"/>
        <v>0</v>
      </c>
      <c r="U373" s="53">
        <f t="shared" si="224"/>
        <v>0</v>
      </c>
      <c r="V373" s="53">
        <f t="shared" si="224"/>
        <v>0</v>
      </c>
      <c r="W373" s="53">
        <f t="shared" si="224"/>
        <v>0</v>
      </c>
      <c r="X373" s="53">
        <f t="shared" si="224"/>
        <v>0</v>
      </c>
      <c r="Y373" s="53">
        <f t="shared" si="224"/>
        <v>0</v>
      </c>
      <c r="Z373" s="53">
        <f t="shared" si="224"/>
        <v>0</v>
      </c>
      <c r="AA373" s="53">
        <f t="shared" si="224"/>
        <v>0</v>
      </c>
      <c r="AB373" s="53">
        <f t="shared" si="224"/>
        <v>0</v>
      </c>
      <c r="AC373" s="53">
        <f t="shared" si="224"/>
        <v>0</v>
      </c>
      <c r="AD373" s="53">
        <f t="shared" si="224"/>
        <v>0</v>
      </c>
      <c r="AE373" s="53">
        <f t="shared" si="224"/>
        <v>0</v>
      </c>
      <c r="AF373" s="53">
        <f t="shared" si="224"/>
        <v>0</v>
      </c>
      <c r="AG373" s="53">
        <f t="shared" si="224"/>
        <v>0</v>
      </c>
      <c r="AH373" s="53">
        <f t="shared" si="224"/>
        <v>0</v>
      </c>
      <c r="AI373" s="53">
        <f t="shared" si="224"/>
        <v>0</v>
      </c>
      <c r="AJ373" s="53">
        <f t="shared" si="224"/>
        <v>0</v>
      </c>
      <c r="AK373" s="53">
        <f t="shared" si="224"/>
        <v>0</v>
      </c>
      <c r="AL373" s="53">
        <f t="shared" si="224"/>
        <v>0</v>
      </c>
      <c r="AM373" s="53">
        <f t="shared" si="224"/>
        <v>0</v>
      </c>
      <c r="AN373" s="53">
        <f t="shared" si="224"/>
        <v>0</v>
      </c>
      <c r="AO373" s="53">
        <f t="shared" si="224"/>
        <v>0</v>
      </c>
      <c r="AP373" s="53">
        <f t="shared" si="224"/>
        <v>0</v>
      </c>
      <c r="AQ373" s="53">
        <f t="shared" si="224"/>
        <v>0</v>
      </c>
      <c r="AR373" s="53">
        <f t="shared" si="224"/>
        <v>0</v>
      </c>
      <c r="AS373" s="53">
        <f t="shared" si="224"/>
        <v>0</v>
      </c>
      <c r="AT373" s="53">
        <f t="shared" si="224"/>
        <v>0</v>
      </c>
      <c r="AU373" s="53">
        <f t="shared" si="224"/>
        <v>0</v>
      </c>
      <c r="AV373" s="53">
        <f t="shared" si="224"/>
        <v>0</v>
      </c>
      <c r="AW373" s="53">
        <f t="shared" si="224"/>
        <v>0</v>
      </c>
      <c r="AX373" s="53">
        <f t="shared" si="224"/>
        <v>0</v>
      </c>
      <c r="AY373" s="53">
        <f t="shared" si="224"/>
        <v>0</v>
      </c>
      <c r="AZ373" s="53">
        <f t="shared" si="224"/>
        <v>0</v>
      </c>
      <c r="BA373" s="53">
        <f t="shared" si="224"/>
        <v>0</v>
      </c>
      <c r="BB373" s="53">
        <f t="shared" si="224"/>
        <v>0</v>
      </c>
      <c r="BC373" s="53">
        <f t="shared" si="224"/>
        <v>0</v>
      </c>
      <c r="BD373" s="53">
        <f t="shared" si="224"/>
        <v>0</v>
      </c>
      <c r="BE373" s="53">
        <f t="shared" si="224"/>
        <v>0</v>
      </c>
      <c r="BF373" s="53">
        <f t="shared" si="224"/>
        <v>0</v>
      </c>
      <c r="BG373" s="53">
        <f t="shared" si="224"/>
        <v>0</v>
      </c>
      <c r="BH373" s="53">
        <f t="shared" si="224"/>
        <v>0</v>
      </c>
      <c r="BI373" s="53">
        <f t="shared" si="224"/>
        <v>0</v>
      </c>
      <c r="BJ373" s="53">
        <f t="shared" si="224"/>
        <v>0</v>
      </c>
      <c r="BK373" s="53">
        <f t="shared" si="224"/>
        <v>0</v>
      </c>
      <c r="BL373" s="53">
        <f t="shared" si="224"/>
        <v>0</v>
      </c>
      <c r="BM373" s="53">
        <f t="shared" si="224"/>
        <v>0</v>
      </c>
      <c r="BN373" s="53">
        <f t="shared" si="224"/>
        <v>0</v>
      </c>
      <c r="BO373" s="53">
        <f t="shared" ref="BO373:CX373" si="225">IFERROR(IF(BO$262=0,0,(BO114-BO115)/BO115),0)</f>
        <v>0</v>
      </c>
      <c r="BP373" s="53">
        <f t="shared" si="225"/>
        <v>0</v>
      </c>
      <c r="BQ373" s="53">
        <f t="shared" si="225"/>
        <v>0</v>
      </c>
      <c r="BR373" s="53">
        <f t="shared" si="225"/>
        <v>0</v>
      </c>
      <c r="BS373" s="53">
        <f t="shared" si="225"/>
        <v>0</v>
      </c>
      <c r="BT373" s="53">
        <f t="shared" si="225"/>
        <v>0</v>
      </c>
      <c r="BU373" s="53">
        <f t="shared" si="225"/>
        <v>0</v>
      </c>
      <c r="BV373" s="53">
        <f t="shared" si="225"/>
        <v>0</v>
      </c>
      <c r="BW373" s="53">
        <f t="shared" si="225"/>
        <v>0</v>
      </c>
      <c r="BX373" s="53">
        <f t="shared" si="225"/>
        <v>0</v>
      </c>
      <c r="BY373" s="53">
        <f t="shared" si="225"/>
        <v>0</v>
      </c>
      <c r="BZ373" s="53">
        <f t="shared" si="225"/>
        <v>0</v>
      </c>
      <c r="CA373" s="53">
        <f t="shared" si="225"/>
        <v>0</v>
      </c>
      <c r="CB373" s="53">
        <f t="shared" si="225"/>
        <v>0</v>
      </c>
      <c r="CC373" s="53">
        <f t="shared" si="225"/>
        <v>0</v>
      </c>
      <c r="CD373" s="53">
        <f t="shared" si="225"/>
        <v>0</v>
      </c>
      <c r="CE373" s="53">
        <f t="shared" si="225"/>
        <v>0</v>
      </c>
      <c r="CF373" s="53">
        <f t="shared" si="225"/>
        <v>0</v>
      </c>
      <c r="CG373" s="53">
        <f t="shared" si="225"/>
        <v>0</v>
      </c>
      <c r="CH373" s="53">
        <f t="shared" si="225"/>
        <v>0</v>
      </c>
      <c r="CI373" s="53">
        <f t="shared" si="225"/>
        <v>0</v>
      </c>
      <c r="CJ373" s="53">
        <f t="shared" si="225"/>
        <v>0</v>
      </c>
      <c r="CK373" s="53">
        <f t="shared" si="225"/>
        <v>0</v>
      </c>
      <c r="CL373" s="53">
        <f t="shared" si="225"/>
        <v>0</v>
      </c>
      <c r="CM373" s="53">
        <f t="shared" si="225"/>
        <v>0</v>
      </c>
      <c r="CN373" s="53">
        <f t="shared" si="225"/>
        <v>0</v>
      </c>
      <c r="CO373" s="53">
        <f t="shared" si="225"/>
        <v>0</v>
      </c>
      <c r="CP373" s="53">
        <f t="shared" si="225"/>
        <v>0</v>
      </c>
      <c r="CQ373" s="53">
        <f t="shared" si="225"/>
        <v>0</v>
      </c>
      <c r="CR373" s="53">
        <f t="shared" si="225"/>
        <v>0</v>
      </c>
      <c r="CS373" s="53">
        <f t="shared" si="225"/>
        <v>0</v>
      </c>
      <c r="CT373" s="53">
        <f t="shared" si="225"/>
        <v>0</v>
      </c>
      <c r="CU373" s="53">
        <f t="shared" si="225"/>
        <v>0</v>
      </c>
      <c r="CV373" s="53">
        <f t="shared" si="225"/>
        <v>0</v>
      </c>
      <c r="CW373" s="53">
        <f t="shared" si="225"/>
        <v>0</v>
      </c>
      <c r="CX373" s="53">
        <f t="shared" si="225"/>
        <v>0</v>
      </c>
      <c r="DB373" s="2" vm="622">
        <f ca="1">IF(Returns!A377&lt;&gt;0,Returns!A377,"")</f>
        <v>42807</v>
      </c>
      <c r="DC373" s="11">
        <f ca="1">IF(Returns!B388&gt;0,Returns!B388/Returns!B387-1,"")</f>
        <v>1.0996404828375717E-2</v>
      </c>
      <c r="DD373" s="11">
        <f ca="1">IF(Returns!D380&gt;0,Returns!D380/Returns!D379-1,"")</f>
        <v>-3.4468488555250421E-4</v>
      </c>
    </row>
    <row r="374" spans="2:108" x14ac:dyDescent="0.3">
      <c r="B374" s="57">
        <f t="shared" ca="1" si="135"/>
        <v>2.4261274017205704E-4</v>
      </c>
      <c r="C374" s="53">
        <f t="shared" ref="C374:BN374" si="226">IFERROR(IF(C$262=0,0,(C115-C116)/C116),0)</f>
        <v>0</v>
      </c>
      <c r="D374" s="53">
        <f t="shared" si="226"/>
        <v>0</v>
      </c>
      <c r="E374" s="53">
        <f t="shared" si="226"/>
        <v>0</v>
      </c>
      <c r="F374" s="53">
        <f t="shared" si="226"/>
        <v>0</v>
      </c>
      <c r="G374" s="53">
        <f t="shared" si="226"/>
        <v>0</v>
      </c>
      <c r="H374" s="53">
        <f t="shared" si="226"/>
        <v>0</v>
      </c>
      <c r="I374" s="53">
        <f t="shared" si="226"/>
        <v>0</v>
      </c>
      <c r="J374" s="53">
        <f t="shared" si="226"/>
        <v>0</v>
      </c>
      <c r="K374" s="53">
        <f t="shared" si="226"/>
        <v>0</v>
      </c>
      <c r="L374" s="53">
        <f t="shared" si="226"/>
        <v>0</v>
      </c>
      <c r="M374" s="53">
        <f t="shared" si="226"/>
        <v>0</v>
      </c>
      <c r="N374" s="53">
        <f t="shared" si="226"/>
        <v>0</v>
      </c>
      <c r="O374" s="53">
        <f t="shared" si="226"/>
        <v>0</v>
      </c>
      <c r="P374" s="53">
        <f t="shared" si="226"/>
        <v>0</v>
      </c>
      <c r="Q374" s="53">
        <f t="shared" si="226"/>
        <v>0</v>
      </c>
      <c r="R374" s="53">
        <f t="shared" si="226"/>
        <v>0</v>
      </c>
      <c r="S374" s="53">
        <f t="shared" si="226"/>
        <v>0</v>
      </c>
      <c r="T374" s="53">
        <f t="shared" si="226"/>
        <v>0</v>
      </c>
      <c r="U374" s="53">
        <f t="shared" si="226"/>
        <v>0</v>
      </c>
      <c r="V374" s="53">
        <f t="shared" si="226"/>
        <v>0</v>
      </c>
      <c r="W374" s="53">
        <f t="shared" si="226"/>
        <v>0</v>
      </c>
      <c r="X374" s="53">
        <f t="shared" si="226"/>
        <v>0</v>
      </c>
      <c r="Y374" s="53">
        <f t="shared" si="226"/>
        <v>0</v>
      </c>
      <c r="Z374" s="53">
        <f t="shared" si="226"/>
        <v>0</v>
      </c>
      <c r="AA374" s="53">
        <f t="shared" si="226"/>
        <v>0</v>
      </c>
      <c r="AB374" s="53">
        <f t="shared" si="226"/>
        <v>0</v>
      </c>
      <c r="AC374" s="53">
        <f t="shared" si="226"/>
        <v>0</v>
      </c>
      <c r="AD374" s="53">
        <f t="shared" si="226"/>
        <v>0</v>
      </c>
      <c r="AE374" s="53">
        <f t="shared" si="226"/>
        <v>0</v>
      </c>
      <c r="AF374" s="53">
        <f t="shared" si="226"/>
        <v>0</v>
      </c>
      <c r="AG374" s="53">
        <f t="shared" si="226"/>
        <v>0</v>
      </c>
      <c r="AH374" s="53">
        <f t="shared" si="226"/>
        <v>0</v>
      </c>
      <c r="AI374" s="53">
        <f t="shared" si="226"/>
        <v>0</v>
      </c>
      <c r="AJ374" s="53">
        <f t="shared" si="226"/>
        <v>0</v>
      </c>
      <c r="AK374" s="53">
        <f t="shared" si="226"/>
        <v>0</v>
      </c>
      <c r="AL374" s="53">
        <f t="shared" si="226"/>
        <v>0</v>
      </c>
      <c r="AM374" s="53">
        <f t="shared" si="226"/>
        <v>0</v>
      </c>
      <c r="AN374" s="53">
        <f t="shared" si="226"/>
        <v>0</v>
      </c>
      <c r="AO374" s="53">
        <f t="shared" si="226"/>
        <v>0</v>
      </c>
      <c r="AP374" s="53">
        <f t="shared" si="226"/>
        <v>0</v>
      </c>
      <c r="AQ374" s="53">
        <f t="shared" si="226"/>
        <v>0</v>
      </c>
      <c r="AR374" s="53">
        <f t="shared" si="226"/>
        <v>0</v>
      </c>
      <c r="AS374" s="53">
        <f t="shared" si="226"/>
        <v>0</v>
      </c>
      <c r="AT374" s="53">
        <f t="shared" si="226"/>
        <v>0</v>
      </c>
      <c r="AU374" s="53">
        <f t="shared" si="226"/>
        <v>0</v>
      </c>
      <c r="AV374" s="53">
        <f t="shared" si="226"/>
        <v>0</v>
      </c>
      <c r="AW374" s="53">
        <f t="shared" si="226"/>
        <v>0</v>
      </c>
      <c r="AX374" s="53">
        <f t="shared" si="226"/>
        <v>0</v>
      </c>
      <c r="AY374" s="53">
        <f t="shared" si="226"/>
        <v>0</v>
      </c>
      <c r="AZ374" s="53">
        <f t="shared" si="226"/>
        <v>0</v>
      </c>
      <c r="BA374" s="53">
        <f t="shared" si="226"/>
        <v>0</v>
      </c>
      <c r="BB374" s="53">
        <f t="shared" si="226"/>
        <v>0</v>
      </c>
      <c r="BC374" s="53">
        <f t="shared" si="226"/>
        <v>0</v>
      </c>
      <c r="BD374" s="53">
        <f t="shared" si="226"/>
        <v>0</v>
      </c>
      <c r="BE374" s="53">
        <f t="shared" si="226"/>
        <v>0</v>
      </c>
      <c r="BF374" s="53">
        <f t="shared" si="226"/>
        <v>0</v>
      </c>
      <c r="BG374" s="53">
        <f t="shared" si="226"/>
        <v>0</v>
      </c>
      <c r="BH374" s="53">
        <f t="shared" si="226"/>
        <v>0</v>
      </c>
      <c r="BI374" s="53">
        <f t="shared" si="226"/>
        <v>0</v>
      </c>
      <c r="BJ374" s="53">
        <f t="shared" si="226"/>
        <v>0</v>
      </c>
      <c r="BK374" s="53">
        <f t="shared" si="226"/>
        <v>0</v>
      </c>
      <c r="BL374" s="53">
        <f t="shared" si="226"/>
        <v>0</v>
      </c>
      <c r="BM374" s="53">
        <f t="shared" si="226"/>
        <v>0</v>
      </c>
      <c r="BN374" s="53">
        <f t="shared" si="226"/>
        <v>0</v>
      </c>
      <c r="BO374" s="53">
        <f t="shared" ref="BO374:CX374" si="227">IFERROR(IF(BO$262=0,0,(BO115-BO116)/BO116),0)</f>
        <v>0</v>
      </c>
      <c r="BP374" s="53">
        <f t="shared" si="227"/>
        <v>0</v>
      </c>
      <c r="BQ374" s="53">
        <f t="shared" si="227"/>
        <v>0</v>
      </c>
      <c r="BR374" s="53">
        <f t="shared" si="227"/>
        <v>0</v>
      </c>
      <c r="BS374" s="53">
        <f t="shared" si="227"/>
        <v>0</v>
      </c>
      <c r="BT374" s="53">
        <f t="shared" si="227"/>
        <v>0</v>
      </c>
      <c r="BU374" s="53">
        <f t="shared" si="227"/>
        <v>0</v>
      </c>
      <c r="BV374" s="53">
        <f t="shared" si="227"/>
        <v>0</v>
      </c>
      <c r="BW374" s="53">
        <f t="shared" si="227"/>
        <v>0</v>
      </c>
      <c r="BX374" s="53">
        <f t="shared" si="227"/>
        <v>0</v>
      </c>
      <c r="BY374" s="53">
        <f t="shared" si="227"/>
        <v>0</v>
      </c>
      <c r="BZ374" s="53">
        <f t="shared" si="227"/>
        <v>0</v>
      </c>
      <c r="CA374" s="53">
        <f t="shared" si="227"/>
        <v>0</v>
      </c>
      <c r="CB374" s="53">
        <f t="shared" si="227"/>
        <v>0</v>
      </c>
      <c r="CC374" s="53">
        <f t="shared" si="227"/>
        <v>0</v>
      </c>
      <c r="CD374" s="53">
        <f t="shared" si="227"/>
        <v>0</v>
      </c>
      <c r="CE374" s="53">
        <f t="shared" si="227"/>
        <v>0</v>
      </c>
      <c r="CF374" s="53">
        <f t="shared" si="227"/>
        <v>0</v>
      </c>
      <c r="CG374" s="53">
        <f t="shared" si="227"/>
        <v>0</v>
      </c>
      <c r="CH374" s="53">
        <f t="shared" si="227"/>
        <v>0</v>
      </c>
      <c r="CI374" s="53">
        <f t="shared" si="227"/>
        <v>0</v>
      </c>
      <c r="CJ374" s="53">
        <f t="shared" si="227"/>
        <v>0</v>
      </c>
      <c r="CK374" s="53">
        <f t="shared" si="227"/>
        <v>0</v>
      </c>
      <c r="CL374" s="53">
        <f t="shared" si="227"/>
        <v>0</v>
      </c>
      <c r="CM374" s="53">
        <f t="shared" si="227"/>
        <v>0</v>
      </c>
      <c r="CN374" s="53">
        <f t="shared" si="227"/>
        <v>0</v>
      </c>
      <c r="CO374" s="53">
        <f t="shared" si="227"/>
        <v>0</v>
      </c>
      <c r="CP374" s="53">
        <f t="shared" si="227"/>
        <v>0</v>
      </c>
      <c r="CQ374" s="53">
        <f t="shared" si="227"/>
        <v>0</v>
      </c>
      <c r="CR374" s="53">
        <f t="shared" si="227"/>
        <v>0</v>
      </c>
      <c r="CS374" s="53">
        <f t="shared" si="227"/>
        <v>0</v>
      </c>
      <c r="CT374" s="53">
        <f t="shared" si="227"/>
        <v>0</v>
      </c>
      <c r="CU374" s="53">
        <f t="shared" si="227"/>
        <v>0</v>
      </c>
      <c r="CV374" s="53">
        <f t="shared" si="227"/>
        <v>0</v>
      </c>
      <c r="CW374" s="53">
        <f t="shared" si="227"/>
        <v>0</v>
      </c>
      <c r="CX374" s="53">
        <f t="shared" si="227"/>
        <v>0</v>
      </c>
      <c r="DB374" s="2" vm="623">
        <f ca="1">IF(Returns!A378&lt;&gt;0,Returns!A378,"")</f>
        <v>42814</v>
      </c>
      <c r="DC374" s="11">
        <f ca="1">IF(Returns!B389&gt;0,Returns!B389/Returns!B388-1,"")</f>
        <v>-2.823001201911135E-2</v>
      </c>
      <c r="DD374" s="11">
        <f ca="1">IF(Returns!D381&gt;0,Returns!D381/Returns!D380-1,"")</f>
        <v>-9.8202038034402861E-3</v>
      </c>
    </row>
    <row r="375" spans="2:108" x14ac:dyDescent="0.3">
      <c r="B375" s="57">
        <f t="shared" ca="1" si="135"/>
        <v>6.1081333633065341E-4</v>
      </c>
      <c r="C375" s="53">
        <f t="shared" ref="C375:BN375" si="228">IFERROR(IF(C$262=0,0,(C116-C117)/C117),0)</f>
        <v>0</v>
      </c>
      <c r="D375" s="53">
        <f t="shared" si="228"/>
        <v>0</v>
      </c>
      <c r="E375" s="53">
        <f t="shared" si="228"/>
        <v>0</v>
      </c>
      <c r="F375" s="53">
        <f t="shared" si="228"/>
        <v>0</v>
      </c>
      <c r="G375" s="53">
        <f t="shared" si="228"/>
        <v>0</v>
      </c>
      <c r="H375" s="53">
        <f t="shared" si="228"/>
        <v>0</v>
      </c>
      <c r="I375" s="53">
        <f t="shared" si="228"/>
        <v>0</v>
      </c>
      <c r="J375" s="53">
        <f t="shared" si="228"/>
        <v>0</v>
      </c>
      <c r="K375" s="53">
        <f t="shared" si="228"/>
        <v>0</v>
      </c>
      <c r="L375" s="53">
        <f t="shared" si="228"/>
        <v>0</v>
      </c>
      <c r="M375" s="53">
        <f t="shared" si="228"/>
        <v>0</v>
      </c>
      <c r="N375" s="53">
        <f t="shared" si="228"/>
        <v>0</v>
      </c>
      <c r="O375" s="53">
        <f t="shared" si="228"/>
        <v>0</v>
      </c>
      <c r="P375" s="53">
        <f t="shared" si="228"/>
        <v>0</v>
      </c>
      <c r="Q375" s="53">
        <f t="shared" si="228"/>
        <v>0</v>
      </c>
      <c r="R375" s="53">
        <f t="shared" si="228"/>
        <v>0</v>
      </c>
      <c r="S375" s="53">
        <f t="shared" si="228"/>
        <v>0</v>
      </c>
      <c r="T375" s="53">
        <f t="shared" si="228"/>
        <v>0</v>
      </c>
      <c r="U375" s="53">
        <f t="shared" si="228"/>
        <v>0</v>
      </c>
      <c r="V375" s="53">
        <f t="shared" si="228"/>
        <v>0</v>
      </c>
      <c r="W375" s="53">
        <f t="shared" si="228"/>
        <v>0</v>
      </c>
      <c r="X375" s="53">
        <f t="shared" si="228"/>
        <v>0</v>
      </c>
      <c r="Y375" s="53">
        <f t="shared" si="228"/>
        <v>0</v>
      </c>
      <c r="Z375" s="53">
        <f t="shared" si="228"/>
        <v>0</v>
      </c>
      <c r="AA375" s="53">
        <f t="shared" si="228"/>
        <v>0</v>
      </c>
      <c r="AB375" s="53">
        <f t="shared" si="228"/>
        <v>0</v>
      </c>
      <c r="AC375" s="53">
        <f t="shared" si="228"/>
        <v>0</v>
      </c>
      <c r="AD375" s="53">
        <f t="shared" si="228"/>
        <v>0</v>
      </c>
      <c r="AE375" s="53">
        <f t="shared" si="228"/>
        <v>0</v>
      </c>
      <c r="AF375" s="53">
        <f t="shared" si="228"/>
        <v>0</v>
      </c>
      <c r="AG375" s="53">
        <f t="shared" si="228"/>
        <v>0</v>
      </c>
      <c r="AH375" s="53">
        <f t="shared" si="228"/>
        <v>0</v>
      </c>
      <c r="AI375" s="53">
        <f t="shared" si="228"/>
        <v>0</v>
      </c>
      <c r="AJ375" s="53">
        <f t="shared" si="228"/>
        <v>0</v>
      </c>
      <c r="AK375" s="53">
        <f t="shared" si="228"/>
        <v>0</v>
      </c>
      <c r="AL375" s="53">
        <f t="shared" si="228"/>
        <v>0</v>
      </c>
      <c r="AM375" s="53">
        <f t="shared" si="228"/>
        <v>0</v>
      </c>
      <c r="AN375" s="53">
        <f t="shared" si="228"/>
        <v>0</v>
      </c>
      <c r="AO375" s="53">
        <f t="shared" si="228"/>
        <v>0</v>
      </c>
      <c r="AP375" s="53">
        <f t="shared" si="228"/>
        <v>0</v>
      </c>
      <c r="AQ375" s="53">
        <f t="shared" si="228"/>
        <v>0</v>
      </c>
      <c r="AR375" s="53">
        <f t="shared" si="228"/>
        <v>0</v>
      </c>
      <c r="AS375" s="53">
        <f t="shared" si="228"/>
        <v>0</v>
      </c>
      <c r="AT375" s="53">
        <f t="shared" si="228"/>
        <v>0</v>
      </c>
      <c r="AU375" s="53">
        <f t="shared" si="228"/>
        <v>0</v>
      </c>
      <c r="AV375" s="53">
        <f t="shared" si="228"/>
        <v>0</v>
      </c>
      <c r="AW375" s="53">
        <f t="shared" si="228"/>
        <v>0</v>
      </c>
      <c r="AX375" s="53">
        <f t="shared" si="228"/>
        <v>0</v>
      </c>
      <c r="AY375" s="53">
        <f t="shared" si="228"/>
        <v>0</v>
      </c>
      <c r="AZ375" s="53">
        <f t="shared" si="228"/>
        <v>0</v>
      </c>
      <c r="BA375" s="53">
        <f t="shared" si="228"/>
        <v>0</v>
      </c>
      <c r="BB375" s="53">
        <f t="shared" si="228"/>
        <v>0</v>
      </c>
      <c r="BC375" s="53">
        <f t="shared" si="228"/>
        <v>0</v>
      </c>
      <c r="BD375" s="53">
        <f t="shared" si="228"/>
        <v>0</v>
      </c>
      <c r="BE375" s="53">
        <f t="shared" si="228"/>
        <v>0</v>
      </c>
      <c r="BF375" s="53">
        <f t="shared" si="228"/>
        <v>0</v>
      </c>
      <c r="BG375" s="53">
        <f t="shared" si="228"/>
        <v>0</v>
      </c>
      <c r="BH375" s="53">
        <f t="shared" si="228"/>
        <v>0</v>
      </c>
      <c r="BI375" s="53">
        <f t="shared" si="228"/>
        <v>0</v>
      </c>
      <c r="BJ375" s="53">
        <f t="shared" si="228"/>
        <v>0</v>
      </c>
      <c r="BK375" s="53">
        <f t="shared" si="228"/>
        <v>0</v>
      </c>
      <c r="BL375" s="53">
        <f t="shared" si="228"/>
        <v>0</v>
      </c>
      <c r="BM375" s="53">
        <f t="shared" si="228"/>
        <v>0</v>
      </c>
      <c r="BN375" s="53">
        <f t="shared" si="228"/>
        <v>0</v>
      </c>
      <c r="BO375" s="53">
        <f t="shared" ref="BO375:CX375" si="229">IFERROR(IF(BO$262=0,0,(BO116-BO117)/BO117),0)</f>
        <v>0</v>
      </c>
      <c r="BP375" s="53">
        <f t="shared" si="229"/>
        <v>0</v>
      </c>
      <c r="BQ375" s="53">
        <f t="shared" si="229"/>
        <v>0</v>
      </c>
      <c r="BR375" s="53">
        <f t="shared" si="229"/>
        <v>0</v>
      </c>
      <c r="BS375" s="53">
        <f t="shared" si="229"/>
        <v>0</v>
      </c>
      <c r="BT375" s="53">
        <f t="shared" si="229"/>
        <v>0</v>
      </c>
      <c r="BU375" s="53">
        <f t="shared" si="229"/>
        <v>0</v>
      </c>
      <c r="BV375" s="53">
        <f t="shared" si="229"/>
        <v>0</v>
      </c>
      <c r="BW375" s="53">
        <f t="shared" si="229"/>
        <v>0</v>
      </c>
      <c r="BX375" s="53">
        <f t="shared" si="229"/>
        <v>0</v>
      </c>
      <c r="BY375" s="53">
        <f t="shared" si="229"/>
        <v>0</v>
      </c>
      <c r="BZ375" s="53">
        <f t="shared" si="229"/>
        <v>0</v>
      </c>
      <c r="CA375" s="53">
        <f t="shared" si="229"/>
        <v>0</v>
      </c>
      <c r="CB375" s="53">
        <f t="shared" si="229"/>
        <v>0</v>
      </c>
      <c r="CC375" s="53">
        <f t="shared" si="229"/>
        <v>0</v>
      </c>
      <c r="CD375" s="53">
        <f t="shared" si="229"/>
        <v>0</v>
      </c>
      <c r="CE375" s="53">
        <f t="shared" si="229"/>
        <v>0</v>
      </c>
      <c r="CF375" s="53">
        <f t="shared" si="229"/>
        <v>0</v>
      </c>
      <c r="CG375" s="53">
        <f t="shared" si="229"/>
        <v>0</v>
      </c>
      <c r="CH375" s="53">
        <f t="shared" si="229"/>
        <v>0</v>
      </c>
      <c r="CI375" s="53">
        <f t="shared" si="229"/>
        <v>0</v>
      </c>
      <c r="CJ375" s="53">
        <f t="shared" si="229"/>
        <v>0</v>
      </c>
      <c r="CK375" s="53">
        <f t="shared" si="229"/>
        <v>0</v>
      </c>
      <c r="CL375" s="53">
        <f t="shared" si="229"/>
        <v>0</v>
      </c>
      <c r="CM375" s="53">
        <f t="shared" si="229"/>
        <v>0</v>
      </c>
      <c r="CN375" s="53">
        <f t="shared" si="229"/>
        <v>0</v>
      </c>
      <c r="CO375" s="53">
        <f t="shared" si="229"/>
        <v>0</v>
      </c>
      <c r="CP375" s="53">
        <f t="shared" si="229"/>
        <v>0</v>
      </c>
      <c r="CQ375" s="53">
        <f t="shared" si="229"/>
        <v>0</v>
      </c>
      <c r="CR375" s="53">
        <f t="shared" si="229"/>
        <v>0</v>
      </c>
      <c r="CS375" s="53">
        <f t="shared" si="229"/>
        <v>0</v>
      </c>
      <c r="CT375" s="53">
        <f t="shared" si="229"/>
        <v>0</v>
      </c>
      <c r="CU375" s="53">
        <f t="shared" si="229"/>
        <v>0</v>
      </c>
      <c r="CV375" s="53">
        <f t="shared" si="229"/>
        <v>0</v>
      </c>
      <c r="CW375" s="53">
        <f t="shared" si="229"/>
        <v>0</v>
      </c>
      <c r="CX375" s="53">
        <f t="shared" si="229"/>
        <v>0</v>
      </c>
      <c r="DB375" s="2" vm="624">
        <f ca="1">IF(Returns!A379&lt;&gt;0,Returns!A379,"")</f>
        <v>42821</v>
      </c>
      <c r="DC375" s="11">
        <f ca="1">IF(Returns!B390&gt;0,Returns!B390/Returns!B389-1,"")</f>
        <v>9.6084063333707892E-3</v>
      </c>
      <c r="DD375" s="11">
        <f ca="1">IF(Returns!D382&gt;0,Returns!D382/Returns!D381-1,"")</f>
        <v>4.6206198107852092E-3</v>
      </c>
    </row>
    <row r="376" spans="2:108" x14ac:dyDescent="0.3">
      <c r="B376" s="57">
        <f t="shared" ca="1" si="135"/>
        <v>8.2348582107402311E-4</v>
      </c>
      <c r="C376" s="53">
        <f t="shared" ref="C376:BN376" si="230">IFERROR(IF(C$262=0,0,(C117-C118)/C118),0)</f>
        <v>0</v>
      </c>
      <c r="D376" s="53">
        <f t="shared" si="230"/>
        <v>0</v>
      </c>
      <c r="E376" s="53">
        <f t="shared" si="230"/>
        <v>0</v>
      </c>
      <c r="F376" s="53">
        <f t="shared" si="230"/>
        <v>0</v>
      </c>
      <c r="G376" s="53">
        <f t="shared" si="230"/>
        <v>0</v>
      </c>
      <c r="H376" s="53">
        <f t="shared" si="230"/>
        <v>0</v>
      </c>
      <c r="I376" s="53">
        <f t="shared" si="230"/>
        <v>0</v>
      </c>
      <c r="J376" s="53">
        <f t="shared" si="230"/>
        <v>0</v>
      </c>
      <c r="K376" s="53">
        <f t="shared" si="230"/>
        <v>0</v>
      </c>
      <c r="L376" s="53">
        <f t="shared" si="230"/>
        <v>0</v>
      </c>
      <c r="M376" s="53">
        <f t="shared" si="230"/>
        <v>0</v>
      </c>
      <c r="N376" s="53">
        <f t="shared" si="230"/>
        <v>0</v>
      </c>
      <c r="O376" s="53">
        <f t="shared" si="230"/>
        <v>0</v>
      </c>
      <c r="P376" s="53">
        <f t="shared" si="230"/>
        <v>0</v>
      </c>
      <c r="Q376" s="53">
        <f t="shared" si="230"/>
        <v>0</v>
      </c>
      <c r="R376" s="53">
        <f t="shared" si="230"/>
        <v>0</v>
      </c>
      <c r="S376" s="53">
        <f t="shared" si="230"/>
        <v>0</v>
      </c>
      <c r="T376" s="53">
        <f t="shared" si="230"/>
        <v>0</v>
      </c>
      <c r="U376" s="53">
        <f t="shared" si="230"/>
        <v>0</v>
      </c>
      <c r="V376" s="53">
        <f t="shared" si="230"/>
        <v>0</v>
      </c>
      <c r="W376" s="53">
        <f t="shared" si="230"/>
        <v>0</v>
      </c>
      <c r="X376" s="53">
        <f t="shared" si="230"/>
        <v>0</v>
      </c>
      <c r="Y376" s="53">
        <f t="shared" si="230"/>
        <v>0</v>
      </c>
      <c r="Z376" s="53">
        <f t="shared" si="230"/>
        <v>0</v>
      </c>
      <c r="AA376" s="53">
        <f t="shared" si="230"/>
        <v>0</v>
      </c>
      <c r="AB376" s="53">
        <f t="shared" si="230"/>
        <v>0</v>
      </c>
      <c r="AC376" s="53">
        <f t="shared" si="230"/>
        <v>0</v>
      </c>
      <c r="AD376" s="53">
        <f t="shared" si="230"/>
        <v>0</v>
      </c>
      <c r="AE376" s="53">
        <f t="shared" si="230"/>
        <v>0</v>
      </c>
      <c r="AF376" s="53">
        <f t="shared" si="230"/>
        <v>0</v>
      </c>
      <c r="AG376" s="53">
        <f t="shared" si="230"/>
        <v>0</v>
      </c>
      <c r="AH376" s="53">
        <f t="shared" si="230"/>
        <v>0</v>
      </c>
      <c r="AI376" s="53">
        <f t="shared" si="230"/>
        <v>0</v>
      </c>
      <c r="AJ376" s="53">
        <f t="shared" si="230"/>
        <v>0</v>
      </c>
      <c r="AK376" s="53">
        <f t="shared" si="230"/>
        <v>0</v>
      </c>
      <c r="AL376" s="53">
        <f t="shared" si="230"/>
        <v>0</v>
      </c>
      <c r="AM376" s="53">
        <f t="shared" si="230"/>
        <v>0</v>
      </c>
      <c r="AN376" s="53">
        <f t="shared" si="230"/>
        <v>0</v>
      </c>
      <c r="AO376" s="53">
        <f t="shared" si="230"/>
        <v>0</v>
      </c>
      <c r="AP376" s="53">
        <f t="shared" si="230"/>
        <v>0</v>
      </c>
      <c r="AQ376" s="53">
        <f t="shared" si="230"/>
        <v>0</v>
      </c>
      <c r="AR376" s="53">
        <f t="shared" si="230"/>
        <v>0</v>
      </c>
      <c r="AS376" s="53">
        <f t="shared" si="230"/>
        <v>0</v>
      </c>
      <c r="AT376" s="53">
        <f t="shared" si="230"/>
        <v>0</v>
      </c>
      <c r="AU376" s="53">
        <f t="shared" si="230"/>
        <v>0</v>
      </c>
      <c r="AV376" s="53">
        <f t="shared" si="230"/>
        <v>0</v>
      </c>
      <c r="AW376" s="53">
        <f t="shared" si="230"/>
        <v>0</v>
      </c>
      <c r="AX376" s="53">
        <f t="shared" si="230"/>
        <v>0</v>
      </c>
      <c r="AY376" s="53">
        <f t="shared" si="230"/>
        <v>0</v>
      </c>
      <c r="AZ376" s="53">
        <f t="shared" si="230"/>
        <v>0</v>
      </c>
      <c r="BA376" s="53">
        <f t="shared" si="230"/>
        <v>0</v>
      </c>
      <c r="BB376" s="53">
        <f t="shared" si="230"/>
        <v>0</v>
      </c>
      <c r="BC376" s="53">
        <f t="shared" si="230"/>
        <v>0</v>
      </c>
      <c r="BD376" s="53">
        <f t="shared" si="230"/>
        <v>0</v>
      </c>
      <c r="BE376" s="53">
        <f t="shared" si="230"/>
        <v>0</v>
      </c>
      <c r="BF376" s="53">
        <f t="shared" si="230"/>
        <v>0</v>
      </c>
      <c r="BG376" s="53">
        <f t="shared" si="230"/>
        <v>0</v>
      </c>
      <c r="BH376" s="53">
        <f t="shared" si="230"/>
        <v>0</v>
      </c>
      <c r="BI376" s="53">
        <f t="shared" si="230"/>
        <v>0</v>
      </c>
      <c r="BJ376" s="53">
        <f t="shared" si="230"/>
        <v>0</v>
      </c>
      <c r="BK376" s="53">
        <f t="shared" si="230"/>
        <v>0</v>
      </c>
      <c r="BL376" s="53">
        <f t="shared" si="230"/>
        <v>0</v>
      </c>
      <c r="BM376" s="53">
        <f t="shared" si="230"/>
        <v>0</v>
      </c>
      <c r="BN376" s="53">
        <f t="shared" si="230"/>
        <v>0</v>
      </c>
      <c r="BO376" s="53">
        <f t="shared" ref="BO376:CX376" si="231">IFERROR(IF(BO$262=0,0,(BO117-BO118)/BO118),0)</f>
        <v>0</v>
      </c>
      <c r="BP376" s="53">
        <f t="shared" si="231"/>
        <v>0</v>
      </c>
      <c r="BQ376" s="53">
        <f t="shared" si="231"/>
        <v>0</v>
      </c>
      <c r="BR376" s="53">
        <f t="shared" si="231"/>
        <v>0</v>
      </c>
      <c r="BS376" s="53">
        <f t="shared" si="231"/>
        <v>0</v>
      </c>
      <c r="BT376" s="53">
        <f t="shared" si="231"/>
        <v>0</v>
      </c>
      <c r="BU376" s="53">
        <f t="shared" si="231"/>
        <v>0</v>
      </c>
      <c r="BV376" s="53">
        <f t="shared" si="231"/>
        <v>0</v>
      </c>
      <c r="BW376" s="53">
        <f t="shared" si="231"/>
        <v>0</v>
      </c>
      <c r="BX376" s="53">
        <f t="shared" si="231"/>
        <v>0</v>
      </c>
      <c r="BY376" s="53">
        <f t="shared" si="231"/>
        <v>0</v>
      </c>
      <c r="BZ376" s="53">
        <f t="shared" si="231"/>
        <v>0</v>
      </c>
      <c r="CA376" s="53">
        <f t="shared" si="231"/>
        <v>0</v>
      </c>
      <c r="CB376" s="53">
        <f t="shared" si="231"/>
        <v>0</v>
      </c>
      <c r="CC376" s="53">
        <f t="shared" si="231"/>
        <v>0</v>
      </c>
      <c r="CD376" s="53">
        <f t="shared" si="231"/>
        <v>0</v>
      </c>
      <c r="CE376" s="53">
        <f t="shared" si="231"/>
        <v>0</v>
      </c>
      <c r="CF376" s="53">
        <f t="shared" si="231"/>
        <v>0</v>
      </c>
      <c r="CG376" s="53">
        <f t="shared" si="231"/>
        <v>0</v>
      </c>
      <c r="CH376" s="53">
        <f t="shared" si="231"/>
        <v>0</v>
      </c>
      <c r="CI376" s="53">
        <f t="shared" si="231"/>
        <v>0</v>
      </c>
      <c r="CJ376" s="53">
        <f t="shared" si="231"/>
        <v>0</v>
      </c>
      <c r="CK376" s="53">
        <f t="shared" si="231"/>
        <v>0</v>
      </c>
      <c r="CL376" s="53">
        <f t="shared" si="231"/>
        <v>0</v>
      </c>
      <c r="CM376" s="53">
        <f t="shared" si="231"/>
        <v>0</v>
      </c>
      <c r="CN376" s="53">
        <f t="shared" si="231"/>
        <v>0</v>
      </c>
      <c r="CO376" s="53">
        <f t="shared" si="231"/>
        <v>0</v>
      </c>
      <c r="CP376" s="53">
        <f t="shared" si="231"/>
        <v>0</v>
      </c>
      <c r="CQ376" s="53">
        <f t="shared" si="231"/>
        <v>0</v>
      </c>
      <c r="CR376" s="53">
        <f t="shared" si="231"/>
        <v>0</v>
      </c>
      <c r="CS376" s="53">
        <f t="shared" si="231"/>
        <v>0</v>
      </c>
      <c r="CT376" s="53">
        <f t="shared" si="231"/>
        <v>0</v>
      </c>
      <c r="CU376" s="53">
        <f t="shared" si="231"/>
        <v>0</v>
      </c>
      <c r="CV376" s="53">
        <f t="shared" si="231"/>
        <v>0</v>
      </c>
      <c r="CW376" s="53">
        <f t="shared" si="231"/>
        <v>0</v>
      </c>
      <c r="CX376" s="53">
        <f t="shared" si="231"/>
        <v>0</v>
      </c>
      <c r="DB376" s="2" vm="625">
        <f ca="1">IF(Returns!A380&lt;&gt;0,Returns!A380,"")</f>
        <v>42828</v>
      </c>
      <c r="DC376" s="11">
        <f ca="1">IF(Returns!B391&gt;0,Returns!B391/Returns!B390-1,"")</f>
        <v>1.6229460064188794E-2</v>
      </c>
      <c r="DD376" s="11">
        <f ca="1">IF(Returns!D383&gt;0,Returns!D383/Returns!D382-1,"")</f>
        <v>1.9114055769703819E-2</v>
      </c>
    </row>
    <row r="377" spans="2:108" x14ac:dyDescent="0.3">
      <c r="B377" s="57">
        <f t="shared" ca="1" si="135"/>
        <v>5.0497413990324301E-4</v>
      </c>
      <c r="C377" s="53">
        <f t="shared" ref="C377:BN377" si="232">IFERROR(IF(C$262=0,0,(C118-C119)/C119),0)</f>
        <v>0</v>
      </c>
      <c r="D377" s="53">
        <f t="shared" si="232"/>
        <v>0</v>
      </c>
      <c r="E377" s="53">
        <f t="shared" si="232"/>
        <v>0</v>
      </c>
      <c r="F377" s="53">
        <f t="shared" si="232"/>
        <v>0</v>
      </c>
      <c r="G377" s="53">
        <f t="shared" si="232"/>
        <v>0</v>
      </c>
      <c r="H377" s="53">
        <f t="shared" si="232"/>
        <v>0</v>
      </c>
      <c r="I377" s="53">
        <f t="shared" si="232"/>
        <v>0</v>
      </c>
      <c r="J377" s="53">
        <f t="shared" si="232"/>
        <v>0</v>
      </c>
      <c r="K377" s="53">
        <f t="shared" si="232"/>
        <v>0</v>
      </c>
      <c r="L377" s="53">
        <f t="shared" si="232"/>
        <v>0</v>
      </c>
      <c r="M377" s="53">
        <f t="shared" si="232"/>
        <v>0</v>
      </c>
      <c r="N377" s="53">
        <f t="shared" si="232"/>
        <v>0</v>
      </c>
      <c r="O377" s="53">
        <f t="shared" si="232"/>
        <v>0</v>
      </c>
      <c r="P377" s="53">
        <f t="shared" si="232"/>
        <v>0</v>
      </c>
      <c r="Q377" s="53">
        <f t="shared" si="232"/>
        <v>0</v>
      </c>
      <c r="R377" s="53">
        <f t="shared" si="232"/>
        <v>0</v>
      </c>
      <c r="S377" s="53">
        <f t="shared" si="232"/>
        <v>0</v>
      </c>
      <c r="T377" s="53">
        <f t="shared" si="232"/>
        <v>0</v>
      </c>
      <c r="U377" s="53">
        <f t="shared" si="232"/>
        <v>0</v>
      </c>
      <c r="V377" s="53">
        <f t="shared" si="232"/>
        <v>0</v>
      </c>
      <c r="W377" s="53">
        <f t="shared" si="232"/>
        <v>0</v>
      </c>
      <c r="X377" s="53">
        <f t="shared" si="232"/>
        <v>0</v>
      </c>
      <c r="Y377" s="53">
        <f t="shared" si="232"/>
        <v>0</v>
      </c>
      <c r="Z377" s="53">
        <f t="shared" si="232"/>
        <v>0</v>
      </c>
      <c r="AA377" s="53">
        <f t="shared" si="232"/>
        <v>0</v>
      </c>
      <c r="AB377" s="53">
        <f t="shared" si="232"/>
        <v>0</v>
      </c>
      <c r="AC377" s="53">
        <f t="shared" si="232"/>
        <v>0</v>
      </c>
      <c r="AD377" s="53">
        <f t="shared" si="232"/>
        <v>0</v>
      </c>
      <c r="AE377" s="53">
        <f t="shared" si="232"/>
        <v>0</v>
      </c>
      <c r="AF377" s="53">
        <f t="shared" si="232"/>
        <v>0</v>
      </c>
      <c r="AG377" s="53">
        <f t="shared" si="232"/>
        <v>0</v>
      </c>
      <c r="AH377" s="53">
        <f t="shared" si="232"/>
        <v>0</v>
      </c>
      <c r="AI377" s="53">
        <f t="shared" si="232"/>
        <v>0</v>
      </c>
      <c r="AJ377" s="53">
        <f t="shared" si="232"/>
        <v>0</v>
      </c>
      <c r="AK377" s="53">
        <f t="shared" si="232"/>
        <v>0</v>
      </c>
      <c r="AL377" s="53">
        <f t="shared" si="232"/>
        <v>0</v>
      </c>
      <c r="AM377" s="53">
        <f t="shared" si="232"/>
        <v>0</v>
      </c>
      <c r="AN377" s="53">
        <f t="shared" si="232"/>
        <v>0</v>
      </c>
      <c r="AO377" s="53">
        <f t="shared" si="232"/>
        <v>0</v>
      </c>
      <c r="AP377" s="53">
        <f t="shared" si="232"/>
        <v>0</v>
      </c>
      <c r="AQ377" s="53">
        <f t="shared" si="232"/>
        <v>0</v>
      </c>
      <c r="AR377" s="53">
        <f t="shared" si="232"/>
        <v>0</v>
      </c>
      <c r="AS377" s="53">
        <f t="shared" si="232"/>
        <v>0</v>
      </c>
      <c r="AT377" s="53">
        <f t="shared" si="232"/>
        <v>0</v>
      </c>
      <c r="AU377" s="53">
        <f t="shared" si="232"/>
        <v>0</v>
      </c>
      <c r="AV377" s="53">
        <f t="shared" si="232"/>
        <v>0</v>
      </c>
      <c r="AW377" s="53">
        <f t="shared" si="232"/>
        <v>0</v>
      </c>
      <c r="AX377" s="53">
        <f t="shared" si="232"/>
        <v>0</v>
      </c>
      <c r="AY377" s="53">
        <f t="shared" si="232"/>
        <v>0</v>
      </c>
      <c r="AZ377" s="53">
        <f t="shared" si="232"/>
        <v>0</v>
      </c>
      <c r="BA377" s="53">
        <f t="shared" si="232"/>
        <v>0</v>
      </c>
      <c r="BB377" s="53">
        <f t="shared" si="232"/>
        <v>0</v>
      </c>
      <c r="BC377" s="53">
        <f t="shared" si="232"/>
        <v>0</v>
      </c>
      <c r="BD377" s="53">
        <f t="shared" si="232"/>
        <v>0</v>
      </c>
      <c r="BE377" s="53">
        <f t="shared" si="232"/>
        <v>0</v>
      </c>
      <c r="BF377" s="53">
        <f t="shared" si="232"/>
        <v>0</v>
      </c>
      <c r="BG377" s="53">
        <f t="shared" si="232"/>
        <v>0</v>
      </c>
      <c r="BH377" s="53">
        <f t="shared" si="232"/>
        <v>0</v>
      </c>
      <c r="BI377" s="53">
        <f t="shared" si="232"/>
        <v>0</v>
      </c>
      <c r="BJ377" s="53">
        <f t="shared" si="232"/>
        <v>0</v>
      </c>
      <c r="BK377" s="53">
        <f t="shared" si="232"/>
        <v>0</v>
      </c>
      <c r="BL377" s="53">
        <f t="shared" si="232"/>
        <v>0</v>
      </c>
      <c r="BM377" s="53">
        <f t="shared" si="232"/>
        <v>0</v>
      </c>
      <c r="BN377" s="53">
        <f t="shared" si="232"/>
        <v>0</v>
      </c>
      <c r="BO377" s="53">
        <f t="shared" ref="BO377:CX377" si="233">IFERROR(IF(BO$262=0,0,(BO118-BO119)/BO119),0)</f>
        <v>0</v>
      </c>
      <c r="BP377" s="53">
        <f t="shared" si="233"/>
        <v>0</v>
      </c>
      <c r="BQ377" s="53">
        <f t="shared" si="233"/>
        <v>0</v>
      </c>
      <c r="BR377" s="53">
        <f t="shared" si="233"/>
        <v>0</v>
      </c>
      <c r="BS377" s="53">
        <f t="shared" si="233"/>
        <v>0</v>
      </c>
      <c r="BT377" s="53">
        <f t="shared" si="233"/>
        <v>0</v>
      </c>
      <c r="BU377" s="53">
        <f t="shared" si="233"/>
        <v>0</v>
      </c>
      <c r="BV377" s="53">
        <f t="shared" si="233"/>
        <v>0</v>
      </c>
      <c r="BW377" s="53">
        <f t="shared" si="233"/>
        <v>0</v>
      </c>
      <c r="BX377" s="53">
        <f t="shared" si="233"/>
        <v>0</v>
      </c>
      <c r="BY377" s="53">
        <f t="shared" si="233"/>
        <v>0</v>
      </c>
      <c r="BZ377" s="53">
        <f t="shared" si="233"/>
        <v>0</v>
      </c>
      <c r="CA377" s="53">
        <f t="shared" si="233"/>
        <v>0</v>
      </c>
      <c r="CB377" s="53">
        <f t="shared" si="233"/>
        <v>0</v>
      </c>
      <c r="CC377" s="53">
        <f t="shared" si="233"/>
        <v>0</v>
      </c>
      <c r="CD377" s="53">
        <f t="shared" si="233"/>
        <v>0</v>
      </c>
      <c r="CE377" s="53">
        <f t="shared" si="233"/>
        <v>0</v>
      </c>
      <c r="CF377" s="53">
        <f t="shared" si="233"/>
        <v>0</v>
      </c>
      <c r="CG377" s="53">
        <f t="shared" si="233"/>
        <v>0</v>
      </c>
      <c r="CH377" s="53">
        <f t="shared" si="233"/>
        <v>0</v>
      </c>
      <c r="CI377" s="53">
        <f t="shared" si="233"/>
        <v>0</v>
      </c>
      <c r="CJ377" s="53">
        <f t="shared" si="233"/>
        <v>0</v>
      </c>
      <c r="CK377" s="53">
        <f t="shared" si="233"/>
        <v>0</v>
      </c>
      <c r="CL377" s="53">
        <f t="shared" si="233"/>
        <v>0</v>
      </c>
      <c r="CM377" s="53">
        <f t="shared" si="233"/>
        <v>0</v>
      </c>
      <c r="CN377" s="53">
        <f t="shared" si="233"/>
        <v>0</v>
      </c>
      <c r="CO377" s="53">
        <f t="shared" si="233"/>
        <v>0</v>
      </c>
      <c r="CP377" s="53">
        <f t="shared" si="233"/>
        <v>0</v>
      </c>
      <c r="CQ377" s="53">
        <f t="shared" si="233"/>
        <v>0</v>
      </c>
      <c r="CR377" s="53">
        <f t="shared" si="233"/>
        <v>0</v>
      </c>
      <c r="CS377" s="53">
        <f t="shared" si="233"/>
        <v>0</v>
      </c>
      <c r="CT377" s="53">
        <f t="shared" si="233"/>
        <v>0</v>
      </c>
      <c r="CU377" s="53">
        <f t="shared" si="233"/>
        <v>0</v>
      </c>
      <c r="CV377" s="53">
        <f t="shared" si="233"/>
        <v>0</v>
      </c>
      <c r="CW377" s="53">
        <f t="shared" si="233"/>
        <v>0</v>
      </c>
      <c r="CX377" s="53">
        <f t="shared" si="233"/>
        <v>0</v>
      </c>
      <c r="DB377" s="2" vm="626">
        <f ca="1">IF(Returns!A381&lt;&gt;0,Returns!A381,"")</f>
        <v>42835</v>
      </c>
      <c r="DC377" s="11">
        <f ca="1">IF(Returns!B392&gt;0,Returns!B392/Returns!B391-1,"")</f>
        <v>-3.5606830454101623E-2</v>
      </c>
      <c r="DD377" s="11">
        <f ca="1">IF(Returns!D384&gt;0,Returns!D384/Returns!D383-1,"")</f>
        <v>3.1722580731488037E-3</v>
      </c>
    </row>
    <row r="378" spans="2:108" x14ac:dyDescent="0.3">
      <c r="B378" s="57">
        <f t="shared" ca="1" si="135"/>
        <v>1.151877494674378E-4</v>
      </c>
      <c r="C378" s="53">
        <f t="shared" ref="C378:BN378" si="234">IFERROR(IF(C$262=0,0,(C119-C120)/C120),0)</f>
        <v>0</v>
      </c>
      <c r="D378" s="53">
        <f t="shared" si="234"/>
        <v>0</v>
      </c>
      <c r="E378" s="53">
        <f t="shared" si="234"/>
        <v>0</v>
      </c>
      <c r="F378" s="53">
        <f t="shared" si="234"/>
        <v>0</v>
      </c>
      <c r="G378" s="53">
        <f t="shared" si="234"/>
        <v>0</v>
      </c>
      <c r="H378" s="53">
        <f t="shared" si="234"/>
        <v>0</v>
      </c>
      <c r="I378" s="53">
        <f t="shared" si="234"/>
        <v>0</v>
      </c>
      <c r="J378" s="53">
        <f t="shared" si="234"/>
        <v>0</v>
      </c>
      <c r="K378" s="53">
        <f t="shared" si="234"/>
        <v>0</v>
      </c>
      <c r="L378" s="53">
        <f t="shared" si="234"/>
        <v>0</v>
      </c>
      <c r="M378" s="53">
        <f t="shared" si="234"/>
        <v>0</v>
      </c>
      <c r="N378" s="53">
        <f t="shared" si="234"/>
        <v>0</v>
      </c>
      <c r="O378" s="53">
        <f t="shared" si="234"/>
        <v>0</v>
      </c>
      <c r="P378" s="53">
        <f t="shared" si="234"/>
        <v>0</v>
      </c>
      <c r="Q378" s="53">
        <f t="shared" si="234"/>
        <v>0</v>
      </c>
      <c r="R378" s="53">
        <f t="shared" si="234"/>
        <v>0</v>
      </c>
      <c r="S378" s="53">
        <f t="shared" si="234"/>
        <v>0</v>
      </c>
      <c r="T378" s="53">
        <f t="shared" si="234"/>
        <v>0</v>
      </c>
      <c r="U378" s="53">
        <f t="shared" si="234"/>
        <v>0</v>
      </c>
      <c r="V378" s="53">
        <f t="shared" si="234"/>
        <v>0</v>
      </c>
      <c r="W378" s="53">
        <f t="shared" si="234"/>
        <v>0</v>
      </c>
      <c r="X378" s="53">
        <f t="shared" si="234"/>
        <v>0</v>
      </c>
      <c r="Y378" s="53">
        <f t="shared" si="234"/>
        <v>0</v>
      </c>
      <c r="Z378" s="53">
        <f t="shared" si="234"/>
        <v>0</v>
      </c>
      <c r="AA378" s="53">
        <f t="shared" si="234"/>
        <v>0</v>
      </c>
      <c r="AB378" s="53">
        <f t="shared" si="234"/>
        <v>0</v>
      </c>
      <c r="AC378" s="53">
        <f t="shared" si="234"/>
        <v>0</v>
      </c>
      <c r="AD378" s="53">
        <f t="shared" si="234"/>
        <v>0</v>
      </c>
      <c r="AE378" s="53">
        <f t="shared" si="234"/>
        <v>0</v>
      </c>
      <c r="AF378" s="53">
        <f t="shared" si="234"/>
        <v>0</v>
      </c>
      <c r="AG378" s="53">
        <f t="shared" si="234"/>
        <v>0</v>
      </c>
      <c r="AH378" s="53">
        <f t="shared" si="234"/>
        <v>0</v>
      </c>
      <c r="AI378" s="53">
        <f t="shared" si="234"/>
        <v>0</v>
      </c>
      <c r="AJ378" s="53">
        <f t="shared" si="234"/>
        <v>0</v>
      </c>
      <c r="AK378" s="53">
        <f t="shared" si="234"/>
        <v>0</v>
      </c>
      <c r="AL378" s="53">
        <f t="shared" si="234"/>
        <v>0</v>
      </c>
      <c r="AM378" s="53">
        <f t="shared" si="234"/>
        <v>0</v>
      </c>
      <c r="AN378" s="53">
        <f t="shared" si="234"/>
        <v>0</v>
      </c>
      <c r="AO378" s="53">
        <f t="shared" si="234"/>
        <v>0</v>
      </c>
      <c r="AP378" s="53">
        <f t="shared" si="234"/>
        <v>0</v>
      </c>
      <c r="AQ378" s="53">
        <f t="shared" si="234"/>
        <v>0</v>
      </c>
      <c r="AR378" s="53">
        <f t="shared" si="234"/>
        <v>0</v>
      </c>
      <c r="AS378" s="53">
        <f t="shared" si="234"/>
        <v>0</v>
      </c>
      <c r="AT378" s="53">
        <f t="shared" si="234"/>
        <v>0</v>
      </c>
      <c r="AU378" s="53">
        <f t="shared" si="234"/>
        <v>0</v>
      </c>
      <c r="AV378" s="53">
        <f t="shared" si="234"/>
        <v>0</v>
      </c>
      <c r="AW378" s="53">
        <f t="shared" si="234"/>
        <v>0</v>
      </c>
      <c r="AX378" s="53">
        <f t="shared" si="234"/>
        <v>0</v>
      </c>
      <c r="AY378" s="53">
        <f t="shared" si="234"/>
        <v>0</v>
      </c>
      <c r="AZ378" s="53">
        <f t="shared" si="234"/>
        <v>0</v>
      </c>
      <c r="BA378" s="53">
        <f t="shared" si="234"/>
        <v>0</v>
      </c>
      <c r="BB378" s="53">
        <f t="shared" si="234"/>
        <v>0</v>
      </c>
      <c r="BC378" s="53">
        <f t="shared" si="234"/>
        <v>0</v>
      </c>
      <c r="BD378" s="53">
        <f t="shared" si="234"/>
        <v>0</v>
      </c>
      <c r="BE378" s="53">
        <f t="shared" si="234"/>
        <v>0</v>
      </c>
      <c r="BF378" s="53">
        <f t="shared" si="234"/>
        <v>0</v>
      </c>
      <c r="BG378" s="53">
        <f t="shared" si="234"/>
        <v>0</v>
      </c>
      <c r="BH378" s="53">
        <f t="shared" si="234"/>
        <v>0</v>
      </c>
      <c r="BI378" s="53">
        <f t="shared" si="234"/>
        <v>0</v>
      </c>
      <c r="BJ378" s="53">
        <f t="shared" si="234"/>
        <v>0</v>
      </c>
      <c r="BK378" s="53">
        <f t="shared" si="234"/>
        <v>0</v>
      </c>
      <c r="BL378" s="53">
        <f t="shared" si="234"/>
        <v>0</v>
      </c>
      <c r="BM378" s="53">
        <f t="shared" si="234"/>
        <v>0</v>
      </c>
      <c r="BN378" s="53">
        <f t="shared" si="234"/>
        <v>0</v>
      </c>
      <c r="BO378" s="53">
        <f t="shared" ref="BO378:CX378" si="235">IFERROR(IF(BO$262=0,0,(BO119-BO120)/BO120),0)</f>
        <v>0</v>
      </c>
      <c r="BP378" s="53">
        <f t="shared" si="235"/>
        <v>0</v>
      </c>
      <c r="BQ378" s="53">
        <f t="shared" si="235"/>
        <v>0</v>
      </c>
      <c r="BR378" s="53">
        <f t="shared" si="235"/>
        <v>0</v>
      </c>
      <c r="BS378" s="53">
        <f t="shared" si="235"/>
        <v>0</v>
      </c>
      <c r="BT378" s="53">
        <f t="shared" si="235"/>
        <v>0</v>
      </c>
      <c r="BU378" s="53">
        <f t="shared" si="235"/>
        <v>0</v>
      </c>
      <c r="BV378" s="53">
        <f t="shared" si="235"/>
        <v>0</v>
      </c>
      <c r="BW378" s="53">
        <f t="shared" si="235"/>
        <v>0</v>
      </c>
      <c r="BX378" s="53">
        <f t="shared" si="235"/>
        <v>0</v>
      </c>
      <c r="BY378" s="53">
        <f t="shared" si="235"/>
        <v>0</v>
      </c>
      <c r="BZ378" s="53">
        <f t="shared" si="235"/>
        <v>0</v>
      </c>
      <c r="CA378" s="53">
        <f t="shared" si="235"/>
        <v>0</v>
      </c>
      <c r="CB378" s="53">
        <f t="shared" si="235"/>
        <v>0</v>
      </c>
      <c r="CC378" s="53">
        <f t="shared" si="235"/>
        <v>0</v>
      </c>
      <c r="CD378" s="53">
        <f t="shared" si="235"/>
        <v>0</v>
      </c>
      <c r="CE378" s="53">
        <f t="shared" si="235"/>
        <v>0</v>
      </c>
      <c r="CF378" s="53">
        <f t="shared" si="235"/>
        <v>0</v>
      </c>
      <c r="CG378" s="53">
        <f t="shared" si="235"/>
        <v>0</v>
      </c>
      <c r="CH378" s="53">
        <f t="shared" si="235"/>
        <v>0</v>
      </c>
      <c r="CI378" s="53">
        <f t="shared" si="235"/>
        <v>0</v>
      </c>
      <c r="CJ378" s="53">
        <f t="shared" si="235"/>
        <v>0</v>
      </c>
      <c r="CK378" s="53">
        <f t="shared" si="235"/>
        <v>0</v>
      </c>
      <c r="CL378" s="53">
        <f t="shared" si="235"/>
        <v>0</v>
      </c>
      <c r="CM378" s="53">
        <f t="shared" si="235"/>
        <v>0</v>
      </c>
      <c r="CN378" s="53">
        <f t="shared" si="235"/>
        <v>0</v>
      </c>
      <c r="CO378" s="53">
        <f t="shared" si="235"/>
        <v>0</v>
      </c>
      <c r="CP378" s="53">
        <f t="shared" si="235"/>
        <v>0</v>
      </c>
      <c r="CQ378" s="53">
        <f t="shared" si="235"/>
        <v>0</v>
      </c>
      <c r="CR378" s="53">
        <f t="shared" si="235"/>
        <v>0</v>
      </c>
      <c r="CS378" s="53">
        <f t="shared" si="235"/>
        <v>0</v>
      </c>
      <c r="CT378" s="53">
        <f t="shared" si="235"/>
        <v>0</v>
      </c>
      <c r="CU378" s="53">
        <f t="shared" si="235"/>
        <v>0</v>
      </c>
      <c r="CV378" s="53">
        <f t="shared" si="235"/>
        <v>0</v>
      </c>
      <c r="CW378" s="53">
        <f t="shared" si="235"/>
        <v>0</v>
      </c>
      <c r="CX378" s="53">
        <f t="shared" si="235"/>
        <v>0</v>
      </c>
      <c r="DB378" s="2" vm="627">
        <f ca="1">IF(Returns!A382&lt;&gt;0,Returns!A382,"")</f>
        <v>42842</v>
      </c>
      <c r="DC378" s="11">
        <f ca="1">IF(Returns!B393&gt;0,Returns!B393/Returns!B392-1,"")</f>
        <v>1.1115702479338907E-2</v>
      </c>
      <c r="DD378" s="11">
        <f ca="1">IF(Returns!D385&gt;0,Returns!D385/Returns!D384-1,"")</f>
        <v>-5.2519029415333263E-3</v>
      </c>
    </row>
    <row r="379" spans="2:108" x14ac:dyDescent="0.3">
      <c r="B379" s="57">
        <f t="shared" ca="1" si="135"/>
        <v>6.4743545218921719E-4</v>
      </c>
      <c r="C379" s="53">
        <f t="shared" ref="C379:BN379" si="236">IFERROR(IF(C$262=0,0,(C120-C121)/C121),0)</f>
        <v>0</v>
      </c>
      <c r="D379" s="53">
        <f t="shared" si="236"/>
        <v>0</v>
      </c>
      <c r="E379" s="53">
        <f t="shared" si="236"/>
        <v>0</v>
      </c>
      <c r="F379" s="53">
        <f t="shared" si="236"/>
        <v>0</v>
      </c>
      <c r="G379" s="53">
        <f t="shared" si="236"/>
        <v>0</v>
      </c>
      <c r="H379" s="53">
        <f t="shared" si="236"/>
        <v>0</v>
      </c>
      <c r="I379" s="53">
        <f t="shared" si="236"/>
        <v>0</v>
      </c>
      <c r="J379" s="53">
        <f t="shared" si="236"/>
        <v>0</v>
      </c>
      <c r="K379" s="53">
        <f t="shared" si="236"/>
        <v>0</v>
      </c>
      <c r="L379" s="53">
        <f t="shared" si="236"/>
        <v>0</v>
      </c>
      <c r="M379" s="53">
        <f t="shared" si="236"/>
        <v>0</v>
      </c>
      <c r="N379" s="53">
        <f t="shared" si="236"/>
        <v>0</v>
      </c>
      <c r="O379" s="53">
        <f t="shared" si="236"/>
        <v>0</v>
      </c>
      <c r="P379" s="53">
        <f t="shared" si="236"/>
        <v>0</v>
      </c>
      <c r="Q379" s="53">
        <f t="shared" si="236"/>
        <v>0</v>
      </c>
      <c r="R379" s="53">
        <f t="shared" si="236"/>
        <v>0</v>
      </c>
      <c r="S379" s="53">
        <f t="shared" si="236"/>
        <v>0</v>
      </c>
      <c r="T379" s="53">
        <f t="shared" si="236"/>
        <v>0</v>
      </c>
      <c r="U379" s="53">
        <f t="shared" si="236"/>
        <v>0</v>
      </c>
      <c r="V379" s="53">
        <f t="shared" si="236"/>
        <v>0</v>
      </c>
      <c r="W379" s="53">
        <f t="shared" si="236"/>
        <v>0</v>
      </c>
      <c r="X379" s="53">
        <f t="shared" si="236"/>
        <v>0</v>
      </c>
      <c r="Y379" s="53">
        <f t="shared" si="236"/>
        <v>0</v>
      </c>
      <c r="Z379" s="53">
        <f t="shared" si="236"/>
        <v>0</v>
      </c>
      <c r="AA379" s="53">
        <f t="shared" si="236"/>
        <v>0</v>
      </c>
      <c r="AB379" s="53">
        <f t="shared" si="236"/>
        <v>0</v>
      </c>
      <c r="AC379" s="53">
        <f t="shared" si="236"/>
        <v>0</v>
      </c>
      <c r="AD379" s="53">
        <f t="shared" si="236"/>
        <v>0</v>
      </c>
      <c r="AE379" s="53">
        <f t="shared" si="236"/>
        <v>0</v>
      </c>
      <c r="AF379" s="53">
        <f t="shared" si="236"/>
        <v>0</v>
      </c>
      <c r="AG379" s="53">
        <f t="shared" si="236"/>
        <v>0</v>
      </c>
      <c r="AH379" s="53">
        <f t="shared" si="236"/>
        <v>0</v>
      </c>
      <c r="AI379" s="53">
        <f t="shared" si="236"/>
        <v>0</v>
      </c>
      <c r="AJ379" s="53">
        <f t="shared" si="236"/>
        <v>0</v>
      </c>
      <c r="AK379" s="53">
        <f t="shared" si="236"/>
        <v>0</v>
      </c>
      <c r="AL379" s="53">
        <f t="shared" si="236"/>
        <v>0</v>
      </c>
      <c r="AM379" s="53">
        <f t="shared" si="236"/>
        <v>0</v>
      </c>
      <c r="AN379" s="53">
        <f t="shared" si="236"/>
        <v>0</v>
      </c>
      <c r="AO379" s="53">
        <f t="shared" si="236"/>
        <v>0</v>
      </c>
      <c r="AP379" s="53">
        <f t="shared" si="236"/>
        <v>0</v>
      </c>
      <c r="AQ379" s="53">
        <f t="shared" si="236"/>
        <v>0</v>
      </c>
      <c r="AR379" s="53">
        <f t="shared" si="236"/>
        <v>0</v>
      </c>
      <c r="AS379" s="53">
        <f t="shared" si="236"/>
        <v>0</v>
      </c>
      <c r="AT379" s="53">
        <f t="shared" si="236"/>
        <v>0</v>
      </c>
      <c r="AU379" s="53">
        <f t="shared" si="236"/>
        <v>0</v>
      </c>
      <c r="AV379" s="53">
        <f t="shared" si="236"/>
        <v>0</v>
      </c>
      <c r="AW379" s="53">
        <f t="shared" si="236"/>
        <v>0</v>
      </c>
      <c r="AX379" s="53">
        <f t="shared" si="236"/>
        <v>0</v>
      </c>
      <c r="AY379" s="53">
        <f t="shared" si="236"/>
        <v>0</v>
      </c>
      <c r="AZ379" s="53">
        <f t="shared" si="236"/>
        <v>0</v>
      </c>
      <c r="BA379" s="53">
        <f t="shared" si="236"/>
        <v>0</v>
      </c>
      <c r="BB379" s="53">
        <f t="shared" si="236"/>
        <v>0</v>
      </c>
      <c r="BC379" s="53">
        <f t="shared" si="236"/>
        <v>0</v>
      </c>
      <c r="BD379" s="53">
        <f t="shared" si="236"/>
        <v>0</v>
      </c>
      <c r="BE379" s="53">
        <f t="shared" si="236"/>
        <v>0</v>
      </c>
      <c r="BF379" s="53">
        <f t="shared" si="236"/>
        <v>0</v>
      </c>
      <c r="BG379" s="53">
        <f t="shared" si="236"/>
        <v>0</v>
      </c>
      <c r="BH379" s="53">
        <f t="shared" si="236"/>
        <v>0</v>
      </c>
      <c r="BI379" s="53">
        <f t="shared" si="236"/>
        <v>0</v>
      </c>
      <c r="BJ379" s="53">
        <f t="shared" si="236"/>
        <v>0</v>
      </c>
      <c r="BK379" s="53">
        <f t="shared" si="236"/>
        <v>0</v>
      </c>
      <c r="BL379" s="53">
        <f t="shared" si="236"/>
        <v>0</v>
      </c>
      <c r="BM379" s="53">
        <f t="shared" si="236"/>
        <v>0</v>
      </c>
      <c r="BN379" s="53">
        <f t="shared" si="236"/>
        <v>0</v>
      </c>
      <c r="BO379" s="53">
        <f t="shared" ref="BO379:CX379" si="237">IFERROR(IF(BO$262=0,0,(BO120-BO121)/BO121),0)</f>
        <v>0</v>
      </c>
      <c r="BP379" s="53">
        <f t="shared" si="237"/>
        <v>0</v>
      </c>
      <c r="BQ379" s="53">
        <f t="shared" si="237"/>
        <v>0</v>
      </c>
      <c r="BR379" s="53">
        <f t="shared" si="237"/>
        <v>0</v>
      </c>
      <c r="BS379" s="53">
        <f t="shared" si="237"/>
        <v>0</v>
      </c>
      <c r="BT379" s="53">
        <f t="shared" si="237"/>
        <v>0</v>
      </c>
      <c r="BU379" s="53">
        <f t="shared" si="237"/>
        <v>0</v>
      </c>
      <c r="BV379" s="53">
        <f t="shared" si="237"/>
        <v>0</v>
      </c>
      <c r="BW379" s="53">
        <f t="shared" si="237"/>
        <v>0</v>
      </c>
      <c r="BX379" s="53">
        <f t="shared" si="237"/>
        <v>0</v>
      </c>
      <c r="BY379" s="53">
        <f t="shared" si="237"/>
        <v>0</v>
      </c>
      <c r="BZ379" s="53">
        <f t="shared" si="237"/>
        <v>0</v>
      </c>
      <c r="CA379" s="53">
        <f t="shared" si="237"/>
        <v>0</v>
      </c>
      <c r="CB379" s="53">
        <f t="shared" si="237"/>
        <v>0</v>
      </c>
      <c r="CC379" s="53">
        <f t="shared" si="237"/>
        <v>0</v>
      </c>
      <c r="CD379" s="53">
        <f t="shared" si="237"/>
        <v>0</v>
      </c>
      <c r="CE379" s="53">
        <f t="shared" si="237"/>
        <v>0</v>
      </c>
      <c r="CF379" s="53">
        <f t="shared" si="237"/>
        <v>0</v>
      </c>
      <c r="CG379" s="53">
        <f t="shared" si="237"/>
        <v>0</v>
      </c>
      <c r="CH379" s="53">
        <f t="shared" si="237"/>
        <v>0</v>
      </c>
      <c r="CI379" s="53">
        <f t="shared" si="237"/>
        <v>0</v>
      </c>
      <c r="CJ379" s="53">
        <f t="shared" si="237"/>
        <v>0</v>
      </c>
      <c r="CK379" s="53">
        <f t="shared" si="237"/>
        <v>0</v>
      </c>
      <c r="CL379" s="53">
        <f t="shared" si="237"/>
        <v>0</v>
      </c>
      <c r="CM379" s="53">
        <f t="shared" si="237"/>
        <v>0</v>
      </c>
      <c r="CN379" s="53">
        <f t="shared" si="237"/>
        <v>0</v>
      </c>
      <c r="CO379" s="53">
        <f t="shared" si="237"/>
        <v>0</v>
      </c>
      <c r="CP379" s="53">
        <f t="shared" si="237"/>
        <v>0</v>
      </c>
      <c r="CQ379" s="53">
        <f t="shared" si="237"/>
        <v>0</v>
      </c>
      <c r="CR379" s="53">
        <f t="shared" si="237"/>
        <v>0</v>
      </c>
      <c r="CS379" s="53">
        <f t="shared" si="237"/>
        <v>0</v>
      </c>
      <c r="CT379" s="53">
        <f t="shared" si="237"/>
        <v>0</v>
      </c>
      <c r="CU379" s="53">
        <f t="shared" si="237"/>
        <v>0</v>
      </c>
      <c r="CV379" s="53">
        <f t="shared" si="237"/>
        <v>0</v>
      </c>
      <c r="CW379" s="53">
        <f t="shared" si="237"/>
        <v>0</v>
      </c>
      <c r="CX379" s="53">
        <f t="shared" si="237"/>
        <v>0</v>
      </c>
      <c r="DB379" s="2" vm="628">
        <f ca="1">IF(Returns!A383&lt;&gt;0,Returns!A383,"")</f>
        <v>42849</v>
      </c>
      <c r="DC379" s="11">
        <f ca="1">IF(Returns!B394&gt;0,Returns!B394/Returns!B393-1,"")</f>
        <v>2.3550206383587291E-2</v>
      </c>
      <c r="DD379" s="11">
        <f ca="1">IF(Returns!D386&gt;0,Returns!D386/Returns!D385-1,"")</f>
        <v>-4.3915014222138948E-3</v>
      </c>
    </row>
    <row r="380" spans="2:108" x14ac:dyDescent="0.3">
      <c r="B380" s="57">
        <f t="shared" ca="1" si="135"/>
        <v>7.4067246669455935E-4</v>
      </c>
      <c r="C380" s="53">
        <f t="shared" ref="C380:BN380" si="238">IFERROR(IF(C$262=0,0,(C121-C122)/C122),0)</f>
        <v>0</v>
      </c>
      <c r="D380" s="53">
        <f t="shared" si="238"/>
        <v>0</v>
      </c>
      <c r="E380" s="53">
        <f t="shared" si="238"/>
        <v>0</v>
      </c>
      <c r="F380" s="53">
        <f t="shared" si="238"/>
        <v>0</v>
      </c>
      <c r="G380" s="53">
        <f t="shared" si="238"/>
        <v>0</v>
      </c>
      <c r="H380" s="53">
        <f t="shared" si="238"/>
        <v>0</v>
      </c>
      <c r="I380" s="53">
        <f t="shared" si="238"/>
        <v>0</v>
      </c>
      <c r="J380" s="53">
        <f t="shared" si="238"/>
        <v>0</v>
      </c>
      <c r="K380" s="53">
        <f t="shared" si="238"/>
        <v>0</v>
      </c>
      <c r="L380" s="53">
        <f t="shared" si="238"/>
        <v>0</v>
      </c>
      <c r="M380" s="53">
        <f t="shared" si="238"/>
        <v>0</v>
      </c>
      <c r="N380" s="53">
        <f t="shared" si="238"/>
        <v>0</v>
      </c>
      <c r="O380" s="53">
        <f t="shared" si="238"/>
        <v>0</v>
      </c>
      <c r="P380" s="53">
        <f t="shared" si="238"/>
        <v>0</v>
      </c>
      <c r="Q380" s="53">
        <f t="shared" si="238"/>
        <v>0</v>
      </c>
      <c r="R380" s="53">
        <f t="shared" si="238"/>
        <v>0</v>
      </c>
      <c r="S380" s="53">
        <f t="shared" si="238"/>
        <v>0</v>
      </c>
      <c r="T380" s="53">
        <f t="shared" si="238"/>
        <v>0</v>
      </c>
      <c r="U380" s="53">
        <f t="shared" si="238"/>
        <v>0</v>
      </c>
      <c r="V380" s="53">
        <f t="shared" si="238"/>
        <v>0</v>
      </c>
      <c r="W380" s="53">
        <f t="shared" si="238"/>
        <v>0</v>
      </c>
      <c r="X380" s="53">
        <f t="shared" si="238"/>
        <v>0</v>
      </c>
      <c r="Y380" s="53">
        <f t="shared" si="238"/>
        <v>0</v>
      </c>
      <c r="Z380" s="53">
        <f t="shared" si="238"/>
        <v>0</v>
      </c>
      <c r="AA380" s="53">
        <f t="shared" si="238"/>
        <v>0</v>
      </c>
      <c r="AB380" s="53">
        <f t="shared" si="238"/>
        <v>0</v>
      </c>
      <c r="AC380" s="53">
        <f t="shared" si="238"/>
        <v>0</v>
      </c>
      <c r="AD380" s="53">
        <f t="shared" si="238"/>
        <v>0</v>
      </c>
      <c r="AE380" s="53">
        <f t="shared" si="238"/>
        <v>0</v>
      </c>
      <c r="AF380" s="53">
        <f t="shared" si="238"/>
        <v>0</v>
      </c>
      <c r="AG380" s="53">
        <f t="shared" si="238"/>
        <v>0</v>
      </c>
      <c r="AH380" s="53">
        <f t="shared" si="238"/>
        <v>0</v>
      </c>
      <c r="AI380" s="53">
        <f t="shared" si="238"/>
        <v>0</v>
      </c>
      <c r="AJ380" s="53">
        <f t="shared" si="238"/>
        <v>0</v>
      </c>
      <c r="AK380" s="53">
        <f t="shared" si="238"/>
        <v>0</v>
      </c>
      <c r="AL380" s="53">
        <f t="shared" si="238"/>
        <v>0</v>
      </c>
      <c r="AM380" s="53">
        <f t="shared" si="238"/>
        <v>0</v>
      </c>
      <c r="AN380" s="53">
        <f t="shared" si="238"/>
        <v>0</v>
      </c>
      <c r="AO380" s="53">
        <f t="shared" si="238"/>
        <v>0</v>
      </c>
      <c r="AP380" s="53">
        <f t="shared" si="238"/>
        <v>0</v>
      </c>
      <c r="AQ380" s="53">
        <f t="shared" si="238"/>
        <v>0</v>
      </c>
      <c r="AR380" s="53">
        <f t="shared" si="238"/>
        <v>0</v>
      </c>
      <c r="AS380" s="53">
        <f t="shared" si="238"/>
        <v>0</v>
      </c>
      <c r="AT380" s="53">
        <f t="shared" si="238"/>
        <v>0</v>
      </c>
      <c r="AU380" s="53">
        <f t="shared" si="238"/>
        <v>0</v>
      </c>
      <c r="AV380" s="53">
        <f t="shared" si="238"/>
        <v>0</v>
      </c>
      <c r="AW380" s="53">
        <f t="shared" si="238"/>
        <v>0</v>
      </c>
      <c r="AX380" s="53">
        <f t="shared" si="238"/>
        <v>0</v>
      </c>
      <c r="AY380" s="53">
        <f t="shared" si="238"/>
        <v>0</v>
      </c>
      <c r="AZ380" s="53">
        <f t="shared" si="238"/>
        <v>0</v>
      </c>
      <c r="BA380" s="53">
        <f t="shared" si="238"/>
        <v>0</v>
      </c>
      <c r="BB380" s="53">
        <f t="shared" si="238"/>
        <v>0</v>
      </c>
      <c r="BC380" s="53">
        <f t="shared" si="238"/>
        <v>0</v>
      </c>
      <c r="BD380" s="53">
        <f t="shared" si="238"/>
        <v>0</v>
      </c>
      <c r="BE380" s="53">
        <f t="shared" si="238"/>
        <v>0</v>
      </c>
      <c r="BF380" s="53">
        <f t="shared" si="238"/>
        <v>0</v>
      </c>
      <c r="BG380" s="53">
        <f t="shared" si="238"/>
        <v>0</v>
      </c>
      <c r="BH380" s="53">
        <f t="shared" si="238"/>
        <v>0</v>
      </c>
      <c r="BI380" s="53">
        <f t="shared" si="238"/>
        <v>0</v>
      </c>
      <c r="BJ380" s="53">
        <f t="shared" si="238"/>
        <v>0</v>
      </c>
      <c r="BK380" s="53">
        <f t="shared" si="238"/>
        <v>0</v>
      </c>
      <c r="BL380" s="53">
        <f t="shared" si="238"/>
        <v>0</v>
      </c>
      <c r="BM380" s="53">
        <f t="shared" si="238"/>
        <v>0</v>
      </c>
      <c r="BN380" s="53">
        <f t="shared" si="238"/>
        <v>0</v>
      </c>
      <c r="BO380" s="53">
        <f t="shared" ref="BO380:CX380" si="239">IFERROR(IF(BO$262=0,0,(BO121-BO122)/BO122),0)</f>
        <v>0</v>
      </c>
      <c r="BP380" s="53">
        <f t="shared" si="239"/>
        <v>0</v>
      </c>
      <c r="BQ380" s="53">
        <f t="shared" si="239"/>
        <v>0</v>
      </c>
      <c r="BR380" s="53">
        <f t="shared" si="239"/>
        <v>0</v>
      </c>
      <c r="BS380" s="53">
        <f t="shared" si="239"/>
        <v>0</v>
      </c>
      <c r="BT380" s="53">
        <f t="shared" si="239"/>
        <v>0</v>
      </c>
      <c r="BU380" s="53">
        <f t="shared" si="239"/>
        <v>0</v>
      </c>
      <c r="BV380" s="53">
        <f t="shared" si="239"/>
        <v>0</v>
      </c>
      <c r="BW380" s="53">
        <f t="shared" si="239"/>
        <v>0</v>
      </c>
      <c r="BX380" s="53">
        <f t="shared" si="239"/>
        <v>0</v>
      </c>
      <c r="BY380" s="53">
        <f t="shared" si="239"/>
        <v>0</v>
      </c>
      <c r="BZ380" s="53">
        <f t="shared" si="239"/>
        <v>0</v>
      </c>
      <c r="CA380" s="53">
        <f t="shared" si="239"/>
        <v>0</v>
      </c>
      <c r="CB380" s="53">
        <f t="shared" si="239"/>
        <v>0</v>
      </c>
      <c r="CC380" s="53">
        <f t="shared" si="239"/>
        <v>0</v>
      </c>
      <c r="CD380" s="53">
        <f t="shared" si="239"/>
        <v>0</v>
      </c>
      <c r="CE380" s="53">
        <f t="shared" si="239"/>
        <v>0</v>
      </c>
      <c r="CF380" s="53">
        <f t="shared" si="239"/>
        <v>0</v>
      </c>
      <c r="CG380" s="53">
        <f t="shared" si="239"/>
        <v>0</v>
      </c>
      <c r="CH380" s="53">
        <f t="shared" si="239"/>
        <v>0</v>
      </c>
      <c r="CI380" s="53">
        <f t="shared" si="239"/>
        <v>0</v>
      </c>
      <c r="CJ380" s="53">
        <f t="shared" si="239"/>
        <v>0</v>
      </c>
      <c r="CK380" s="53">
        <f t="shared" si="239"/>
        <v>0</v>
      </c>
      <c r="CL380" s="53">
        <f t="shared" si="239"/>
        <v>0</v>
      </c>
      <c r="CM380" s="53">
        <f t="shared" si="239"/>
        <v>0</v>
      </c>
      <c r="CN380" s="53">
        <f t="shared" si="239"/>
        <v>0</v>
      </c>
      <c r="CO380" s="53">
        <f t="shared" si="239"/>
        <v>0</v>
      </c>
      <c r="CP380" s="53">
        <f t="shared" si="239"/>
        <v>0</v>
      </c>
      <c r="CQ380" s="53">
        <f t="shared" si="239"/>
        <v>0</v>
      </c>
      <c r="CR380" s="53">
        <f t="shared" si="239"/>
        <v>0</v>
      </c>
      <c r="CS380" s="53">
        <f t="shared" si="239"/>
        <v>0</v>
      </c>
      <c r="CT380" s="53">
        <f t="shared" si="239"/>
        <v>0</v>
      </c>
      <c r="CU380" s="53">
        <f t="shared" si="239"/>
        <v>0</v>
      </c>
      <c r="CV380" s="53">
        <f t="shared" si="239"/>
        <v>0</v>
      </c>
      <c r="CW380" s="53">
        <f t="shared" si="239"/>
        <v>0</v>
      </c>
      <c r="CX380" s="53">
        <f t="shared" si="239"/>
        <v>0</v>
      </c>
      <c r="DB380" s="2" vm="629">
        <f ca="1">IF(Returns!A384&lt;&gt;0,Returns!A384,"")</f>
        <v>42856</v>
      </c>
      <c r="DC380" s="11">
        <f ca="1">IF(Returns!B395&gt;0,Returns!B395/Returns!B394-1,"")</f>
        <v>2.3816891426517994E-2</v>
      </c>
      <c r="DD380" s="11">
        <f ca="1">IF(Returns!D387&gt;0,Returns!D387/Returns!D386-1,"")</f>
        <v>1.3239195513898627E-2</v>
      </c>
    </row>
    <row r="381" spans="2:108" x14ac:dyDescent="0.3">
      <c r="B381" s="57">
        <f t="shared" ca="1" si="135"/>
        <v>1.022015562404822E-3</v>
      </c>
      <c r="C381" s="53">
        <f t="shared" ref="C381:BN381" si="240">IFERROR(IF(C$262=0,0,(C122-C123)/C123),0)</f>
        <v>0</v>
      </c>
      <c r="D381" s="53">
        <f t="shared" si="240"/>
        <v>0</v>
      </c>
      <c r="E381" s="53">
        <f t="shared" si="240"/>
        <v>0</v>
      </c>
      <c r="F381" s="53">
        <f t="shared" si="240"/>
        <v>0</v>
      </c>
      <c r="G381" s="53">
        <f t="shared" si="240"/>
        <v>0</v>
      </c>
      <c r="H381" s="53">
        <f t="shared" si="240"/>
        <v>0</v>
      </c>
      <c r="I381" s="53">
        <f t="shared" si="240"/>
        <v>0</v>
      </c>
      <c r="J381" s="53">
        <f t="shared" si="240"/>
        <v>0</v>
      </c>
      <c r="K381" s="53">
        <f t="shared" si="240"/>
        <v>0</v>
      </c>
      <c r="L381" s="53">
        <f t="shared" si="240"/>
        <v>0</v>
      </c>
      <c r="M381" s="53">
        <f t="shared" si="240"/>
        <v>0</v>
      </c>
      <c r="N381" s="53">
        <f t="shared" si="240"/>
        <v>0</v>
      </c>
      <c r="O381" s="53">
        <f t="shared" si="240"/>
        <v>0</v>
      </c>
      <c r="P381" s="53">
        <f t="shared" si="240"/>
        <v>0</v>
      </c>
      <c r="Q381" s="53">
        <f t="shared" si="240"/>
        <v>0</v>
      </c>
      <c r="R381" s="53">
        <f t="shared" si="240"/>
        <v>0</v>
      </c>
      <c r="S381" s="53">
        <f t="shared" si="240"/>
        <v>0</v>
      </c>
      <c r="T381" s="53">
        <f t="shared" si="240"/>
        <v>0</v>
      </c>
      <c r="U381" s="53">
        <f t="shared" si="240"/>
        <v>0</v>
      </c>
      <c r="V381" s="53">
        <f t="shared" si="240"/>
        <v>0</v>
      </c>
      <c r="W381" s="53">
        <f t="shared" si="240"/>
        <v>0</v>
      </c>
      <c r="X381" s="53">
        <f t="shared" si="240"/>
        <v>0</v>
      </c>
      <c r="Y381" s="53">
        <f t="shared" si="240"/>
        <v>0</v>
      </c>
      <c r="Z381" s="53">
        <f t="shared" si="240"/>
        <v>0</v>
      </c>
      <c r="AA381" s="53">
        <f t="shared" si="240"/>
        <v>0</v>
      </c>
      <c r="AB381" s="53">
        <f t="shared" si="240"/>
        <v>0</v>
      </c>
      <c r="AC381" s="53">
        <f t="shared" si="240"/>
        <v>0</v>
      </c>
      <c r="AD381" s="53">
        <f t="shared" si="240"/>
        <v>0</v>
      </c>
      <c r="AE381" s="53">
        <f t="shared" si="240"/>
        <v>0</v>
      </c>
      <c r="AF381" s="53">
        <f t="shared" si="240"/>
        <v>0</v>
      </c>
      <c r="AG381" s="53">
        <f t="shared" si="240"/>
        <v>0</v>
      </c>
      <c r="AH381" s="53">
        <f t="shared" si="240"/>
        <v>0</v>
      </c>
      <c r="AI381" s="53">
        <f t="shared" si="240"/>
        <v>0</v>
      </c>
      <c r="AJ381" s="53">
        <f t="shared" si="240"/>
        <v>0</v>
      </c>
      <c r="AK381" s="53">
        <f t="shared" si="240"/>
        <v>0</v>
      </c>
      <c r="AL381" s="53">
        <f t="shared" si="240"/>
        <v>0</v>
      </c>
      <c r="AM381" s="53">
        <f t="shared" si="240"/>
        <v>0</v>
      </c>
      <c r="AN381" s="53">
        <f t="shared" si="240"/>
        <v>0</v>
      </c>
      <c r="AO381" s="53">
        <f t="shared" si="240"/>
        <v>0</v>
      </c>
      <c r="AP381" s="53">
        <f t="shared" si="240"/>
        <v>0</v>
      </c>
      <c r="AQ381" s="53">
        <f t="shared" si="240"/>
        <v>0</v>
      </c>
      <c r="AR381" s="53">
        <f t="shared" si="240"/>
        <v>0</v>
      </c>
      <c r="AS381" s="53">
        <f t="shared" si="240"/>
        <v>0</v>
      </c>
      <c r="AT381" s="53">
        <f t="shared" si="240"/>
        <v>0</v>
      </c>
      <c r="AU381" s="53">
        <f t="shared" si="240"/>
        <v>0</v>
      </c>
      <c r="AV381" s="53">
        <f t="shared" si="240"/>
        <v>0</v>
      </c>
      <c r="AW381" s="53">
        <f t="shared" si="240"/>
        <v>0</v>
      </c>
      <c r="AX381" s="53">
        <f t="shared" si="240"/>
        <v>0</v>
      </c>
      <c r="AY381" s="53">
        <f t="shared" si="240"/>
        <v>0</v>
      </c>
      <c r="AZ381" s="53">
        <f t="shared" si="240"/>
        <v>0</v>
      </c>
      <c r="BA381" s="53">
        <f t="shared" si="240"/>
        <v>0</v>
      </c>
      <c r="BB381" s="53">
        <f t="shared" si="240"/>
        <v>0</v>
      </c>
      <c r="BC381" s="53">
        <f t="shared" si="240"/>
        <v>0</v>
      </c>
      <c r="BD381" s="53">
        <f t="shared" si="240"/>
        <v>0</v>
      </c>
      <c r="BE381" s="53">
        <f t="shared" si="240"/>
        <v>0</v>
      </c>
      <c r="BF381" s="53">
        <f t="shared" si="240"/>
        <v>0</v>
      </c>
      <c r="BG381" s="53">
        <f t="shared" si="240"/>
        <v>0</v>
      </c>
      <c r="BH381" s="53">
        <f t="shared" si="240"/>
        <v>0</v>
      </c>
      <c r="BI381" s="53">
        <f t="shared" si="240"/>
        <v>0</v>
      </c>
      <c r="BJ381" s="53">
        <f t="shared" si="240"/>
        <v>0</v>
      </c>
      <c r="BK381" s="53">
        <f t="shared" si="240"/>
        <v>0</v>
      </c>
      <c r="BL381" s="53">
        <f t="shared" si="240"/>
        <v>0</v>
      </c>
      <c r="BM381" s="53">
        <f t="shared" si="240"/>
        <v>0</v>
      </c>
      <c r="BN381" s="53">
        <f t="shared" si="240"/>
        <v>0</v>
      </c>
      <c r="BO381" s="53">
        <f t="shared" ref="BO381:CX381" si="241">IFERROR(IF(BO$262=0,0,(BO122-BO123)/BO123),0)</f>
        <v>0</v>
      </c>
      <c r="BP381" s="53">
        <f t="shared" si="241"/>
        <v>0</v>
      </c>
      <c r="BQ381" s="53">
        <f t="shared" si="241"/>
        <v>0</v>
      </c>
      <c r="BR381" s="53">
        <f t="shared" si="241"/>
        <v>0</v>
      </c>
      <c r="BS381" s="53">
        <f t="shared" si="241"/>
        <v>0</v>
      </c>
      <c r="BT381" s="53">
        <f t="shared" si="241"/>
        <v>0</v>
      </c>
      <c r="BU381" s="53">
        <f t="shared" si="241"/>
        <v>0</v>
      </c>
      <c r="BV381" s="53">
        <f t="shared" si="241"/>
        <v>0</v>
      </c>
      <c r="BW381" s="53">
        <f t="shared" si="241"/>
        <v>0</v>
      </c>
      <c r="BX381" s="53">
        <f t="shared" si="241"/>
        <v>0</v>
      </c>
      <c r="BY381" s="53">
        <f t="shared" si="241"/>
        <v>0</v>
      </c>
      <c r="BZ381" s="53">
        <f t="shared" si="241"/>
        <v>0</v>
      </c>
      <c r="CA381" s="53">
        <f t="shared" si="241"/>
        <v>0</v>
      </c>
      <c r="CB381" s="53">
        <f t="shared" si="241"/>
        <v>0</v>
      </c>
      <c r="CC381" s="53">
        <f t="shared" si="241"/>
        <v>0</v>
      </c>
      <c r="CD381" s="53">
        <f t="shared" si="241"/>
        <v>0</v>
      </c>
      <c r="CE381" s="53">
        <f t="shared" si="241"/>
        <v>0</v>
      </c>
      <c r="CF381" s="53">
        <f t="shared" si="241"/>
        <v>0</v>
      </c>
      <c r="CG381" s="53">
        <f t="shared" si="241"/>
        <v>0</v>
      </c>
      <c r="CH381" s="53">
        <f t="shared" si="241"/>
        <v>0</v>
      </c>
      <c r="CI381" s="53">
        <f t="shared" si="241"/>
        <v>0</v>
      </c>
      <c r="CJ381" s="53">
        <f t="shared" si="241"/>
        <v>0</v>
      </c>
      <c r="CK381" s="53">
        <f t="shared" si="241"/>
        <v>0</v>
      </c>
      <c r="CL381" s="53">
        <f t="shared" si="241"/>
        <v>0</v>
      </c>
      <c r="CM381" s="53">
        <f t="shared" si="241"/>
        <v>0</v>
      </c>
      <c r="CN381" s="53">
        <f t="shared" si="241"/>
        <v>0</v>
      </c>
      <c r="CO381" s="53">
        <f t="shared" si="241"/>
        <v>0</v>
      </c>
      <c r="CP381" s="53">
        <f t="shared" si="241"/>
        <v>0</v>
      </c>
      <c r="CQ381" s="53">
        <f t="shared" si="241"/>
        <v>0</v>
      </c>
      <c r="CR381" s="53">
        <f t="shared" si="241"/>
        <v>0</v>
      </c>
      <c r="CS381" s="53">
        <f t="shared" si="241"/>
        <v>0</v>
      </c>
      <c r="CT381" s="53">
        <f t="shared" si="241"/>
        <v>0</v>
      </c>
      <c r="CU381" s="53">
        <f t="shared" si="241"/>
        <v>0</v>
      </c>
      <c r="CV381" s="53">
        <f t="shared" si="241"/>
        <v>0</v>
      </c>
      <c r="CW381" s="53">
        <f t="shared" si="241"/>
        <v>0</v>
      </c>
      <c r="CX381" s="53">
        <f t="shared" si="241"/>
        <v>0</v>
      </c>
      <c r="DB381" s="2" vm="630">
        <f ca="1">IF(Returns!A385&lt;&gt;0,Returns!A385,"")</f>
        <v>42863</v>
      </c>
      <c r="DC381" s="11">
        <f ca="1">IF(Returns!B396&gt;0,Returns!B396/Returns!B395-1,"")</f>
        <v>-5.4890949330680394E-3</v>
      </c>
      <c r="DD381" s="11">
        <f ca="1">IF(Returns!D388&gt;0,Returns!D388/Returns!D387-1,"")</f>
        <v>5.9775761271068095E-3</v>
      </c>
    </row>
    <row r="382" spans="2:108" x14ac:dyDescent="0.3">
      <c r="B382" s="57">
        <f t="shared" ca="1" si="135"/>
        <v>3.8402302456573251E-6</v>
      </c>
      <c r="C382" s="53">
        <f t="shared" ref="C382:BN382" si="242">IFERROR(IF(C$262=0,0,(C123-C124)/C124),0)</f>
        <v>0</v>
      </c>
      <c r="D382" s="53">
        <f t="shared" si="242"/>
        <v>0</v>
      </c>
      <c r="E382" s="53">
        <f t="shared" si="242"/>
        <v>0</v>
      </c>
      <c r="F382" s="53">
        <f t="shared" si="242"/>
        <v>0</v>
      </c>
      <c r="G382" s="53">
        <f t="shared" si="242"/>
        <v>0</v>
      </c>
      <c r="H382" s="53">
        <f t="shared" si="242"/>
        <v>0</v>
      </c>
      <c r="I382" s="53">
        <f t="shared" si="242"/>
        <v>0</v>
      </c>
      <c r="J382" s="53">
        <f t="shared" si="242"/>
        <v>0</v>
      </c>
      <c r="K382" s="53">
        <f t="shared" si="242"/>
        <v>0</v>
      </c>
      <c r="L382" s="53">
        <f t="shared" si="242"/>
        <v>0</v>
      </c>
      <c r="M382" s="53">
        <f t="shared" si="242"/>
        <v>0</v>
      </c>
      <c r="N382" s="53">
        <f t="shared" si="242"/>
        <v>0</v>
      </c>
      <c r="O382" s="53">
        <f t="shared" si="242"/>
        <v>0</v>
      </c>
      <c r="P382" s="53">
        <f t="shared" si="242"/>
        <v>0</v>
      </c>
      <c r="Q382" s="53">
        <f t="shared" si="242"/>
        <v>0</v>
      </c>
      <c r="R382" s="53">
        <f t="shared" si="242"/>
        <v>0</v>
      </c>
      <c r="S382" s="53">
        <f t="shared" si="242"/>
        <v>0</v>
      </c>
      <c r="T382" s="53">
        <f t="shared" si="242"/>
        <v>0</v>
      </c>
      <c r="U382" s="53">
        <f t="shared" si="242"/>
        <v>0</v>
      </c>
      <c r="V382" s="53">
        <f t="shared" si="242"/>
        <v>0</v>
      </c>
      <c r="W382" s="53">
        <f t="shared" si="242"/>
        <v>0</v>
      </c>
      <c r="X382" s="53">
        <f t="shared" si="242"/>
        <v>0</v>
      </c>
      <c r="Y382" s="53">
        <f t="shared" si="242"/>
        <v>0</v>
      </c>
      <c r="Z382" s="53">
        <f t="shared" si="242"/>
        <v>0</v>
      </c>
      <c r="AA382" s="53">
        <f t="shared" si="242"/>
        <v>0</v>
      </c>
      <c r="AB382" s="53">
        <f t="shared" si="242"/>
        <v>0</v>
      </c>
      <c r="AC382" s="53">
        <f t="shared" si="242"/>
        <v>0</v>
      </c>
      <c r="AD382" s="53">
        <f t="shared" si="242"/>
        <v>0</v>
      </c>
      <c r="AE382" s="53">
        <f t="shared" si="242"/>
        <v>0</v>
      </c>
      <c r="AF382" s="53">
        <f t="shared" si="242"/>
        <v>0</v>
      </c>
      <c r="AG382" s="53">
        <f t="shared" si="242"/>
        <v>0</v>
      </c>
      <c r="AH382" s="53">
        <f t="shared" si="242"/>
        <v>0</v>
      </c>
      <c r="AI382" s="53">
        <f t="shared" si="242"/>
        <v>0</v>
      </c>
      <c r="AJ382" s="53">
        <f t="shared" si="242"/>
        <v>0</v>
      </c>
      <c r="AK382" s="53">
        <f t="shared" si="242"/>
        <v>0</v>
      </c>
      <c r="AL382" s="53">
        <f t="shared" si="242"/>
        <v>0</v>
      </c>
      <c r="AM382" s="53">
        <f t="shared" si="242"/>
        <v>0</v>
      </c>
      <c r="AN382" s="53">
        <f t="shared" si="242"/>
        <v>0</v>
      </c>
      <c r="AO382" s="53">
        <f t="shared" si="242"/>
        <v>0</v>
      </c>
      <c r="AP382" s="53">
        <f t="shared" si="242"/>
        <v>0</v>
      </c>
      <c r="AQ382" s="53">
        <f t="shared" si="242"/>
        <v>0</v>
      </c>
      <c r="AR382" s="53">
        <f t="shared" si="242"/>
        <v>0</v>
      </c>
      <c r="AS382" s="53">
        <f t="shared" si="242"/>
        <v>0</v>
      </c>
      <c r="AT382" s="53">
        <f t="shared" si="242"/>
        <v>0</v>
      </c>
      <c r="AU382" s="53">
        <f t="shared" si="242"/>
        <v>0</v>
      </c>
      <c r="AV382" s="53">
        <f t="shared" si="242"/>
        <v>0</v>
      </c>
      <c r="AW382" s="53">
        <f t="shared" si="242"/>
        <v>0</v>
      </c>
      <c r="AX382" s="53">
        <f t="shared" si="242"/>
        <v>0</v>
      </c>
      <c r="AY382" s="53">
        <f t="shared" si="242"/>
        <v>0</v>
      </c>
      <c r="AZ382" s="53">
        <f t="shared" si="242"/>
        <v>0</v>
      </c>
      <c r="BA382" s="53">
        <f t="shared" si="242"/>
        <v>0</v>
      </c>
      <c r="BB382" s="53">
        <f t="shared" si="242"/>
        <v>0</v>
      </c>
      <c r="BC382" s="53">
        <f t="shared" si="242"/>
        <v>0</v>
      </c>
      <c r="BD382" s="53">
        <f t="shared" si="242"/>
        <v>0</v>
      </c>
      <c r="BE382" s="53">
        <f t="shared" si="242"/>
        <v>0</v>
      </c>
      <c r="BF382" s="53">
        <f t="shared" si="242"/>
        <v>0</v>
      </c>
      <c r="BG382" s="53">
        <f t="shared" si="242"/>
        <v>0</v>
      </c>
      <c r="BH382" s="53">
        <f t="shared" si="242"/>
        <v>0</v>
      </c>
      <c r="BI382" s="53">
        <f t="shared" si="242"/>
        <v>0</v>
      </c>
      <c r="BJ382" s="53">
        <f t="shared" si="242"/>
        <v>0</v>
      </c>
      <c r="BK382" s="53">
        <f t="shared" si="242"/>
        <v>0</v>
      </c>
      <c r="BL382" s="53">
        <f t="shared" si="242"/>
        <v>0</v>
      </c>
      <c r="BM382" s="53">
        <f t="shared" si="242"/>
        <v>0</v>
      </c>
      <c r="BN382" s="53">
        <f t="shared" si="242"/>
        <v>0</v>
      </c>
      <c r="BO382" s="53">
        <f t="shared" ref="BO382:CX382" si="243">IFERROR(IF(BO$262=0,0,(BO123-BO124)/BO124),0)</f>
        <v>0</v>
      </c>
      <c r="BP382" s="53">
        <f t="shared" si="243"/>
        <v>0</v>
      </c>
      <c r="BQ382" s="53">
        <f t="shared" si="243"/>
        <v>0</v>
      </c>
      <c r="BR382" s="53">
        <f t="shared" si="243"/>
        <v>0</v>
      </c>
      <c r="BS382" s="53">
        <f t="shared" si="243"/>
        <v>0</v>
      </c>
      <c r="BT382" s="53">
        <f t="shared" si="243"/>
        <v>0</v>
      </c>
      <c r="BU382" s="53">
        <f t="shared" si="243"/>
        <v>0</v>
      </c>
      <c r="BV382" s="53">
        <f t="shared" si="243"/>
        <v>0</v>
      </c>
      <c r="BW382" s="53">
        <f t="shared" si="243"/>
        <v>0</v>
      </c>
      <c r="BX382" s="53">
        <f t="shared" si="243"/>
        <v>0</v>
      </c>
      <c r="BY382" s="53">
        <f t="shared" si="243"/>
        <v>0</v>
      </c>
      <c r="BZ382" s="53">
        <f t="shared" si="243"/>
        <v>0</v>
      </c>
      <c r="CA382" s="53">
        <f t="shared" si="243"/>
        <v>0</v>
      </c>
      <c r="CB382" s="53">
        <f t="shared" si="243"/>
        <v>0</v>
      </c>
      <c r="CC382" s="53">
        <f t="shared" si="243"/>
        <v>0</v>
      </c>
      <c r="CD382" s="53">
        <f t="shared" si="243"/>
        <v>0</v>
      </c>
      <c r="CE382" s="53">
        <f t="shared" si="243"/>
        <v>0</v>
      </c>
      <c r="CF382" s="53">
        <f t="shared" si="243"/>
        <v>0</v>
      </c>
      <c r="CG382" s="53">
        <f t="shared" si="243"/>
        <v>0</v>
      </c>
      <c r="CH382" s="53">
        <f t="shared" si="243"/>
        <v>0</v>
      </c>
      <c r="CI382" s="53">
        <f t="shared" si="243"/>
        <v>0</v>
      </c>
      <c r="CJ382" s="53">
        <f t="shared" si="243"/>
        <v>0</v>
      </c>
      <c r="CK382" s="53">
        <f t="shared" si="243"/>
        <v>0</v>
      </c>
      <c r="CL382" s="53">
        <f t="shared" si="243"/>
        <v>0</v>
      </c>
      <c r="CM382" s="53">
        <f t="shared" si="243"/>
        <v>0</v>
      </c>
      <c r="CN382" s="53">
        <f t="shared" si="243"/>
        <v>0</v>
      </c>
      <c r="CO382" s="53">
        <f t="shared" si="243"/>
        <v>0</v>
      </c>
      <c r="CP382" s="53">
        <f t="shared" si="243"/>
        <v>0</v>
      </c>
      <c r="CQ382" s="53">
        <f t="shared" si="243"/>
        <v>0</v>
      </c>
      <c r="CR382" s="53">
        <f t="shared" si="243"/>
        <v>0</v>
      </c>
      <c r="CS382" s="53">
        <f t="shared" si="243"/>
        <v>0</v>
      </c>
      <c r="CT382" s="53">
        <f t="shared" si="243"/>
        <v>0</v>
      </c>
      <c r="CU382" s="53">
        <f t="shared" si="243"/>
        <v>0</v>
      </c>
      <c r="CV382" s="53">
        <f t="shared" si="243"/>
        <v>0</v>
      </c>
      <c r="CW382" s="53">
        <f t="shared" si="243"/>
        <v>0</v>
      </c>
      <c r="CX382" s="53">
        <f t="shared" si="243"/>
        <v>0</v>
      </c>
      <c r="DB382" s="2" vm="631">
        <f ca="1">IF(Returns!A386&lt;&gt;0,Returns!A386,"")</f>
        <v>42870</v>
      </c>
      <c r="DC382" s="11">
        <f ca="1">IF(Returns!B397&gt;0,Returns!B397/Returns!B396-1,"")</f>
        <v>-3.1822281479157777E-2</v>
      </c>
      <c r="DD382" s="11">
        <f ca="1">IF(Returns!D389&gt;0,Returns!D389/Returns!D388-1,"")</f>
        <v>3.0969722637892438E-3</v>
      </c>
    </row>
    <row r="383" spans="2:108" x14ac:dyDescent="0.3">
      <c r="B383" s="57">
        <f t="shared" ca="1" si="135"/>
        <v>5.954619472719919E-4</v>
      </c>
      <c r="C383" s="53">
        <f t="shared" ref="C383:BN383" si="244">IFERROR(IF(C$262=0,0,(C124-C125)/C125),0)</f>
        <v>0</v>
      </c>
      <c r="D383" s="53">
        <f t="shared" si="244"/>
        <v>0</v>
      </c>
      <c r="E383" s="53">
        <f t="shared" si="244"/>
        <v>0</v>
      </c>
      <c r="F383" s="53">
        <f t="shared" si="244"/>
        <v>0</v>
      </c>
      <c r="G383" s="53">
        <f t="shared" si="244"/>
        <v>0</v>
      </c>
      <c r="H383" s="53">
        <f t="shared" si="244"/>
        <v>0</v>
      </c>
      <c r="I383" s="53">
        <f t="shared" si="244"/>
        <v>0</v>
      </c>
      <c r="J383" s="53">
        <f t="shared" si="244"/>
        <v>0</v>
      </c>
      <c r="K383" s="53">
        <f t="shared" si="244"/>
        <v>0</v>
      </c>
      <c r="L383" s="53">
        <f t="shared" si="244"/>
        <v>0</v>
      </c>
      <c r="M383" s="53">
        <f t="shared" si="244"/>
        <v>0</v>
      </c>
      <c r="N383" s="53">
        <f t="shared" si="244"/>
        <v>0</v>
      </c>
      <c r="O383" s="53">
        <f t="shared" si="244"/>
        <v>0</v>
      </c>
      <c r="P383" s="53">
        <f t="shared" si="244"/>
        <v>0</v>
      </c>
      <c r="Q383" s="53">
        <f t="shared" si="244"/>
        <v>0</v>
      </c>
      <c r="R383" s="53">
        <f t="shared" si="244"/>
        <v>0</v>
      </c>
      <c r="S383" s="53">
        <f t="shared" si="244"/>
        <v>0</v>
      </c>
      <c r="T383" s="53">
        <f t="shared" si="244"/>
        <v>0</v>
      </c>
      <c r="U383" s="53">
        <f t="shared" si="244"/>
        <v>0</v>
      </c>
      <c r="V383" s="53">
        <f t="shared" si="244"/>
        <v>0</v>
      </c>
      <c r="W383" s="53">
        <f t="shared" si="244"/>
        <v>0</v>
      </c>
      <c r="X383" s="53">
        <f t="shared" si="244"/>
        <v>0</v>
      </c>
      <c r="Y383" s="53">
        <f t="shared" si="244"/>
        <v>0</v>
      </c>
      <c r="Z383" s="53">
        <f t="shared" si="244"/>
        <v>0</v>
      </c>
      <c r="AA383" s="53">
        <f t="shared" si="244"/>
        <v>0</v>
      </c>
      <c r="AB383" s="53">
        <f t="shared" si="244"/>
        <v>0</v>
      </c>
      <c r="AC383" s="53">
        <f t="shared" si="244"/>
        <v>0</v>
      </c>
      <c r="AD383" s="53">
        <f t="shared" si="244"/>
        <v>0</v>
      </c>
      <c r="AE383" s="53">
        <f t="shared" si="244"/>
        <v>0</v>
      </c>
      <c r="AF383" s="53">
        <f t="shared" si="244"/>
        <v>0</v>
      </c>
      <c r="AG383" s="53">
        <f t="shared" si="244"/>
        <v>0</v>
      </c>
      <c r="AH383" s="53">
        <f t="shared" si="244"/>
        <v>0</v>
      </c>
      <c r="AI383" s="53">
        <f t="shared" si="244"/>
        <v>0</v>
      </c>
      <c r="AJ383" s="53">
        <f t="shared" si="244"/>
        <v>0</v>
      </c>
      <c r="AK383" s="53">
        <f t="shared" si="244"/>
        <v>0</v>
      </c>
      <c r="AL383" s="53">
        <f t="shared" si="244"/>
        <v>0</v>
      </c>
      <c r="AM383" s="53">
        <f t="shared" si="244"/>
        <v>0</v>
      </c>
      <c r="AN383" s="53">
        <f t="shared" si="244"/>
        <v>0</v>
      </c>
      <c r="AO383" s="53">
        <f t="shared" si="244"/>
        <v>0</v>
      </c>
      <c r="AP383" s="53">
        <f t="shared" si="244"/>
        <v>0</v>
      </c>
      <c r="AQ383" s="53">
        <f t="shared" si="244"/>
        <v>0</v>
      </c>
      <c r="AR383" s="53">
        <f t="shared" si="244"/>
        <v>0</v>
      </c>
      <c r="AS383" s="53">
        <f t="shared" si="244"/>
        <v>0</v>
      </c>
      <c r="AT383" s="53">
        <f t="shared" si="244"/>
        <v>0</v>
      </c>
      <c r="AU383" s="53">
        <f t="shared" si="244"/>
        <v>0</v>
      </c>
      <c r="AV383" s="53">
        <f t="shared" si="244"/>
        <v>0</v>
      </c>
      <c r="AW383" s="53">
        <f t="shared" si="244"/>
        <v>0</v>
      </c>
      <c r="AX383" s="53">
        <f t="shared" si="244"/>
        <v>0</v>
      </c>
      <c r="AY383" s="53">
        <f t="shared" si="244"/>
        <v>0</v>
      </c>
      <c r="AZ383" s="53">
        <f t="shared" si="244"/>
        <v>0</v>
      </c>
      <c r="BA383" s="53">
        <f t="shared" si="244"/>
        <v>0</v>
      </c>
      <c r="BB383" s="53">
        <f t="shared" si="244"/>
        <v>0</v>
      </c>
      <c r="BC383" s="53">
        <f t="shared" si="244"/>
        <v>0</v>
      </c>
      <c r="BD383" s="53">
        <f t="shared" si="244"/>
        <v>0</v>
      </c>
      <c r="BE383" s="53">
        <f t="shared" si="244"/>
        <v>0</v>
      </c>
      <c r="BF383" s="53">
        <f t="shared" si="244"/>
        <v>0</v>
      </c>
      <c r="BG383" s="53">
        <f t="shared" si="244"/>
        <v>0</v>
      </c>
      <c r="BH383" s="53">
        <f t="shared" si="244"/>
        <v>0</v>
      </c>
      <c r="BI383" s="53">
        <f t="shared" si="244"/>
        <v>0</v>
      </c>
      <c r="BJ383" s="53">
        <f t="shared" si="244"/>
        <v>0</v>
      </c>
      <c r="BK383" s="53">
        <f t="shared" si="244"/>
        <v>0</v>
      </c>
      <c r="BL383" s="53">
        <f t="shared" si="244"/>
        <v>0</v>
      </c>
      <c r="BM383" s="53">
        <f t="shared" si="244"/>
        <v>0</v>
      </c>
      <c r="BN383" s="53">
        <f t="shared" si="244"/>
        <v>0</v>
      </c>
      <c r="BO383" s="53">
        <f t="shared" ref="BO383:CX383" si="245">IFERROR(IF(BO$262=0,0,(BO124-BO125)/BO125),0)</f>
        <v>0</v>
      </c>
      <c r="BP383" s="53">
        <f t="shared" si="245"/>
        <v>0</v>
      </c>
      <c r="BQ383" s="53">
        <f t="shared" si="245"/>
        <v>0</v>
      </c>
      <c r="BR383" s="53">
        <f t="shared" si="245"/>
        <v>0</v>
      </c>
      <c r="BS383" s="53">
        <f t="shared" si="245"/>
        <v>0</v>
      </c>
      <c r="BT383" s="53">
        <f t="shared" si="245"/>
        <v>0</v>
      </c>
      <c r="BU383" s="53">
        <f t="shared" si="245"/>
        <v>0</v>
      </c>
      <c r="BV383" s="53">
        <f t="shared" si="245"/>
        <v>0</v>
      </c>
      <c r="BW383" s="53">
        <f t="shared" si="245"/>
        <v>0</v>
      </c>
      <c r="BX383" s="53">
        <f t="shared" si="245"/>
        <v>0</v>
      </c>
      <c r="BY383" s="53">
        <f t="shared" si="245"/>
        <v>0</v>
      </c>
      <c r="BZ383" s="53">
        <f t="shared" si="245"/>
        <v>0</v>
      </c>
      <c r="CA383" s="53">
        <f t="shared" si="245"/>
        <v>0</v>
      </c>
      <c r="CB383" s="53">
        <f t="shared" si="245"/>
        <v>0</v>
      </c>
      <c r="CC383" s="53">
        <f t="shared" si="245"/>
        <v>0</v>
      </c>
      <c r="CD383" s="53">
        <f t="shared" si="245"/>
        <v>0</v>
      </c>
      <c r="CE383" s="53">
        <f t="shared" si="245"/>
        <v>0</v>
      </c>
      <c r="CF383" s="53">
        <f t="shared" si="245"/>
        <v>0</v>
      </c>
      <c r="CG383" s="53">
        <f t="shared" si="245"/>
        <v>0</v>
      </c>
      <c r="CH383" s="53">
        <f t="shared" si="245"/>
        <v>0</v>
      </c>
      <c r="CI383" s="53">
        <f t="shared" si="245"/>
        <v>0</v>
      </c>
      <c r="CJ383" s="53">
        <f t="shared" si="245"/>
        <v>0</v>
      </c>
      <c r="CK383" s="53">
        <f t="shared" si="245"/>
        <v>0</v>
      </c>
      <c r="CL383" s="53">
        <f t="shared" si="245"/>
        <v>0</v>
      </c>
      <c r="CM383" s="53">
        <f t="shared" si="245"/>
        <v>0</v>
      </c>
      <c r="CN383" s="53">
        <f t="shared" si="245"/>
        <v>0</v>
      </c>
      <c r="CO383" s="53">
        <f t="shared" si="245"/>
        <v>0</v>
      </c>
      <c r="CP383" s="53">
        <f t="shared" si="245"/>
        <v>0</v>
      </c>
      <c r="CQ383" s="53">
        <f t="shared" si="245"/>
        <v>0</v>
      </c>
      <c r="CR383" s="53">
        <f t="shared" si="245"/>
        <v>0</v>
      </c>
      <c r="CS383" s="53">
        <f t="shared" si="245"/>
        <v>0</v>
      </c>
      <c r="CT383" s="53">
        <f t="shared" si="245"/>
        <v>0</v>
      </c>
      <c r="CU383" s="53">
        <f t="shared" si="245"/>
        <v>0</v>
      </c>
      <c r="CV383" s="53">
        <f t="shared" si="245"/>
        <v>0</v>
      </c>
      <c r="CW383" s="53">
        <f t="shared" si="245"/>
        <v>0</v>
      </c>
      <c r="CX383" s="53">
        <f t="shared" si="245"/>
        <v>0</v>
      </c>
      <c r="DB383" s="2" vm="632">
        <f ca="1">IF(Returns!A387&lt;&gt;0,Returns!A387,"")</f>
        <v>42877</v>
      </c>
      <c r="DC383" s="11">
        <f ca="1">IF(Returns!B398&gt;0,Returns!B398/Returns!B397-1,"")</f>
        <v>-1.9836367686668299E-2</v>
      </c>
      <c r="DD383" s="11">
        <f ca="1">IF(Returns!D390&gt;0,Returns!D390/Returns!D389-1,"")</f>
        <v>5.2798312092225963E-3</v>
      </c>
    </row>
    <row r="384" spans="2:108" x14ac:dyDescent="0.3">
      <c r="B384" s="57">
        <f t="shared" ca="1" si="135"/>
        <v>6.9527656045065256E-4</v>
      </c>
      <c r="C384" s="53">
        <f t="shared" ref="C384:BN384" si="246">IFERROR(IF(C$262=0,0,(C125-C126)/C126),0)</f>
        <v>0</v>
      </c>
      <c r="D384" s="53">
        <f t="shared" si="246"/>
        <v>0</v>
      </c>
      <c r="E384" s="53">
        <f t="shared" si="246"/>
        <v>0</v>
      </c>
      <c r="F384" s="53">
        <f t="shared" si="246"/>
        <v>0</v>
      </c>
      <c r="G384" s="53">
        <f t="shared" si="246"/>
        <v>0</v>
      </c>
      <c r="H384" s="53">
        <f t="shared" si="246"/>
        <v>0</v>
      </c>
      <c r="I384" s="53">
        <f t="shared" si="246"/>
        <v>0</v>
      </c>
      <c r="J384" s="53">
        <f t="shared" si="246"/>
        <v>0</v>
      </c>
      <c r="K384" s="53">
        <f t="shared" si="246"/>
        <v>0</v>
      </c>
      <c r="L384" s="53">
        <f t="shared" si="246"/>
        <v>0</v>
      </c>
      <c r="M384" s="53">
        <f t="shared" si="246"/>
        <v>0</v>
      </c>
      <c r="N384" s="53">
        <f t="shared" si="246"/>
        <v>0</v>
      </c>
      <c r="O384" s="53">
        <f t="shared" si="246"/>
        <v>0</v>
      </c>
      <c r="P384" s="53">
        <f t="shared" si="246"/>
        <v>0</v>
      </c>
      <c r="Q384" s="53">
        <f t="shared" si="246"/>
        <v>0</v>
      </c>
      <c r="R384" s="53">
        <f t="shared" si="246"/>
        <v>0</v>
      </c>
      <c r="S384" s="53">
        <f t="shared" si="246"/>
        <v>0</v>
      </c>
      <c r="T384" s="53">
        <f t="shared" si="246"/>
        <v>0</v>
      </c>
      <c r="U384" s="53">
        <f t="shared" si="246"/>
        <v>0</v>
      </c>
      <c r="V384" s="53">
        <f t="shared" si="246"/>
        <v>0</v>
      </c>
      <c r="W384" s="53">
        <f t="shared" si="246"/>
        <v>0</v>
      </c>
      <c r="X384" s="53">
        <f t="shared" si="246"/>
        <v>0</v>
      </c>
      <c r="Y384" s="53">
        <f t="shared" si="246"/>
        <v>0</v>
      </c>
      <c r="Z384" s="53">
        <f t="shared" si="246"/>
        <v>0</v>
      </c>
      <c r="AA384" s="53">
        <f t="shared" si="246"/>
        <v>0</v>
      </c>
      <c r="AB384" s="53">
        <f t="shared" si="246"/>
        <v>0</v>
      </c>
      <c r="AC384" s="53">
        <f t="shared" si="246"/>
        <v>0</v>
      </c>
      <c r="AD384" s="53">
        <f t="shared" si="246"/>
        <v>0</v>
      </c>
      <c r="AE384" s="53">
        <f t="shared" si="246"/>
        <v>0</v>
      </c>
      <c r="AF384" s="53">
        <f t="shared" si="246"/>
        <v>0</v>
      </c>
      <c r="AG384" s="53">
        <f t="shared" si="246"/>
        <v>0</v>
      </c>
      <c r="AH384" s="53">
        <f t="shared" si="246"/>
        <v>0</v>
      </c>
      <c r="AI384" s="53">
        <f t="shared" si="246"/>
        <v>0</v>
      </c>
      <c r="AJ384" s="53">
        <f t="shared" si="246"/>
        <v>0</v>
      </c>
      <c r="AK384" s="53">
        <f t="shared" si="246"/>
        <v>0</v>
      </c>
      <c r="AL384" s="53">
        <f t="shared" si="246"/>
        <v>0</v>
      </c>
      <c r="AM384" s="53">
        <f t="shared" si="246"/>
        <v>0</v>
      </c>
      <c r="AN384" s="53">
        <f t="shared" si="246"/>
        <v>0</v>
      </c>
      <c r="AO384" s="53">
        <f t="shared" si="246"/>
        <v>0</v>
      </c>
      <c r="AP384" s="53">
        <f t="shared" si="246"/>
        <v>0</v>
      </c>
      <c r="AQ384" s="53">
        <f t="shared" si="246"/>
        <v>0</v>
      </c>
      <c r="AR384" s="53">
        <f t="shared" si="246"/>
        <v>0</v>
      </c>
      <c r="AS384" s="53">
        <f t="shared" si="246"/>
        <v>0</v>
      </c>
      <c r="AT384" s="53">
        <f t="shared" si="246"/>
        <v>0</v>
      </c>
      <c r="AU384" s="53">
        <f t="shared" si="246"/>
        <v>0</v>
      </c>
      <c r="AV384" s="53">
        <f t="shared" si="246"/>
        <v>0</v>
      </c>
      <c r="AW384" s="53">
        <f t="shared" si="246"/>
        <v>0</v>
      </c>
      <c r="AX384" s="53">
        <f t="shared" si="246"/>
        <v>0</v>
      </c>
      <c r="AY384" s="53">
        <f t="shared" si="246"/>
        <v>0</v>
      </c>
      <c r="AZ384" s="53">
        <f t="shared" si="246"/>
        <v>0</v>
      </c>
      <c r="BA384" s="53">
        <f t="shared" si="246"/>
        <v>0</v>
      </c>
      <c r="BB384" s="53">
        <f t="shared" si="246"/>
        <v>0</v>
      </c>
      <c r="BC384" s="53">
        <f t="shared" si="246"/>
        <v>0</v>
      </c>
      <c r="BD384" s="53">
        <f t="shared" si="246"/>
        <v>0</v>
      </c>
      <c r="BE384" s="53">
        <f t="shared" si="246"/>
        <v>0</v>
      </c>
      <c r="BF384" s="53">
        <f t="shared" si="246"/>
        <v>0</v>
      </c>
      <c r="BG384" s="53">
        <f t="shared" si="246"/>
        <v>0</v>
      </c>
      <c r="BH384" s="53">
        <f t="shared" si="246"/>
        <v>0</v>
      </c>
      <c r="BI384" s="53">
        <f t="shared" si="246"/>
        <v>0</v>
      </c>
      <c r="BJ384" s="53">
        <f t="shared" si="246"/>
        <v>0</v>
      </c>
      <c r="BK384" s="53">
        <f t="shared" si="246"/>
        <v>0</v>
      </c>
      <c r="BL384" s="53">
        <f t="shared" si="246"/>
        <v>0</v>
      </c>
      <c r="BM384" s="53">
        <f t="shared" si="246"/>
        <v>0</v>
      </c>
      <c r="BN384" s="53">
        <f t="shared" si="246"/>
        <v>0</v>
      </c>
      <c r="BO384" s="53">
        <f t="shared" ref="BO384:CX384" si="247">IFERROR(IF(BO$262=0,0,(BO125-BO126)/BO126),0)</f>
        <v>0</v>
      </c>
      <c r="BP384" s="53">
        <f t="shared" si="247"/>
        <v>0</v>
      </c>
      <c r="BQ384" s="53">
        <f t="shared" si="247"/>
        <v>0</v>
      </c>
      <c r="BR384" s="53">
        <f t="shared" si="247"/>
        <v>0</v>
      </c>
      <c r="BS384" s="53">
        <f t="shared" si="247"/>
        <v>0</v>
      </c>
      <c r="BT384" s="53">
        <f t="shared" si="247"/>
        <v>0</v>
      </c>
      <c r="BU384" s="53">
        <f t="shared" si="247"/>
        <v>0</v>
      </c>
      <c r="BV384" s="53">
        <f t="shared" si="247"/>
        <v>0</v>
      </c>
      <c r="BW384" s="53">
        <f t="shared" si="247"/>
        <v>0</v>
      </c>
      <c r="BX384" s="53">
        <f t="shared" si="247"/>
        <v>0</v>
      </c>
      <c r="BY384" s="53">
        <f t="shared" si="247"/>
        <v>0</v>
      </c>
      <c r="BZ384" s="53">
        <f t="shared" si="247"/>
        <v>0</v>
      </c>
      <c r="CA384" s="53">
        <f t="shared" si="247"/>
        <v>0</v>
      </c>
      <c r="CB384" s="53">
        <f t="shared" si="247"/>
        <v>0</v>
      </c>
      <c r="CC384" s="53">
        <f t="shared" si="247"/>
        <v>0</v>
      </c>
      <c r="CD384" s="53">
        <f t="shared" si="247"/>
        <v>0</v>
      </c>
      <c r="CE384" s="53">
        <f t="shared" si="247"/>
        <v>0</v>
      </c>
      <c r="CF384" s="53">
        <f t="shared" si="247"/>
        <v>0</v>
      </c>
      <c r="CG384" s="53">
        <f t="shared" si="247"/>
        <v>0</v>
      </c>
      <c r="CH384" s="53">
        <f t="shared" si="247"/>
        <v>0</v>
      </c>
      <c r="CI384" s="53">
        <f t="shared" si="247"/>
        <v>0</v>
      </c>
      <c r="CJ384" s="53">
        <f t="shared" si="247"/>
        <v>0</v>
      </c>
      <c r="CK384" s="53">
        <f t="shared" si="247"/>
        <v>0</v>
      </c>
      <c r="CL384" s="53">
        <f t="shared" si="247"/>
        <v>0</v>
      </c>
      <c r="CM384" s="53">
        <f t="shared" si="247"/>
        <v>0</v>
      </c>
      <c r="CN384" s="53">
        <f t="shared" si="247"/>
        <v>0</v>
      </c>
      <c r="CO384" s="53">
        <f t="shared" si="247"/>
        <v>0</v>
      </c>
      <c r="CP384" s="53">
        <f t="shared" si="247"/>
        <v>0</v>
      </c>
      <c r="CQ384" s="53">
        <f t="shared" si="247"/>
        <v>0</v>
      </c>
      <c r="CR384" s="53">
        <f t="shared" si="247"/>
        <v>0</v>
      </c>
      <c r="CS384" s="53">
        <f t="shared" si="247"/>
        <v>0</v>
      </c>
      <c r="CT384" s="53">
        <f t="shared" si="247"/>
        <v>0</v>
      </c>
      <c r="CU384" s="53">
        <f t="shared" si="247"/>
        <v>0</v>
      </c>
      <c r="CV384" s="53">
        <f t="shared" si="247"/>
        <v>0</v>
      </c>
      <c r="CW384" s="53">
        <f t="shared" si="247"/>
        <v>0</v>
      </c>
      <c r="CX384" s="53">
        <f t="shared" si="247"/>
        <v>0</v>
      </c>
      <c r="DB384" s="2" vm="633">
        <f ca="1">IF(Returns!A388&lt;&gt;0,Returns!A388,"")</f>
        <v>42885</v>
      </c>
      <c r="DC384" s="11">
        <f ca="1">IF(Returns!B399&gt;0,Returns!B399/Returns!B398-1,"")</f>
        <v>-9.8348123431027945E-3</v>
      </c>
      <c r="DD384" s="11">
        <f ca="1">IF(Returns!D391&gt;0,Returns!D391/Returns!D390-1,"")</f>
        <v>4.8998609506645252E-4</v>
      </c>
    </row>
    <row r="385" spans="2:108" x14ac:dyDescent="0.3">
      <c r="B385" s="57">
        <f t="shared" ca="1" si="135"/>
        <v>1.018422751823666E-4</v>
      </c>
      <c r="C385" s="53">
        <f t="shared" ref="C385:BN385" si="248">IFERROR(IF(C$262=0,0,(C126-C127)/C127),0)</f>
        <v>0</v>
      </c>
      <c r="D385" s="53">
        <f t="shared" si="248"/>
        <v>0</v>
      </c>
      <c r="E385" s="53">
        <f t="shared" si="248"/>
        <v>0</v>
      </c>
      <c r="F385" s="53">
        <f t="shared" si="248"/>
        <v>0</v>
      </c>
      <c r="G385" s="53">
        <f t="shared" si="248"/>
        <v>0</v>
      </c>
      <c r="H385" s="53">
        <f t="shared" si="248"/>
        <v>0</v>
      </c>
      <c r="I385" s="53">
        <f t="shared" si="248"/>
        <v>0</v>
      </c>
      <c r="J385" s="53">
        <f t="shared" si="248"/>
        <v>0</v>
      </c>
      <c r="K385" s="53">
        <f t="shared" si="248"/>
        <v>0</v>
      </c>
      <c r="L385" s="53">
        <f t="shared" si="248"/>
        <v>0</v>
      </c>
      <c r="M385" s="53">
        <f t="shared" si="248"/>
        <v>0</v>
      </c>
      <c r="N385" s="53">
        <f t="shared" si="248"/>
        <v>0</v>
      </c>
      <c r="O385" s="53">
        <f t="shared" si="248"/>
        <v>0</v>
      </c>
      <c r="P385" s="53">
        <f t="shared" si="248"/>
        <v>0</v>
      </c>
      <c r="Q385" s="53">
        <f t="shared" si="248"/>
        <v>0</v>
      </c>
      <c r="R385" s="53">
        <f t="shared" si="248"/>
        <v>0</v>
      </c>
      <c r="S385" s="53">
        <f t="shared" si="248"/>
        <v>0</v>
      </c>
      <c r="T385" s="53">
        <f t="shared" si="248"/>
        <v>0</v>
      </c>
      <c r="U385" s="53">
        <f t="shared" si="248"/>
        <v>0</v>
      </c>
      <c r="V385" s="53">
        <f t="shared" si="248"/>
        <v>0</v>
      </c>
      <c r="W385" s="53">
        <f t="shared" si="248"/>
        <v>0</v>
      </c>
      <c r="X385" s="53">
        <f t="shared" si="248"/>
        <v>0</v>
      </c>
      <c r="Y385" s="53">
        <f t="shared" si="248"/>
        <v>0</v>
      </c>
      <c r="Z385" s="53">
        <f t="shared" si="248"/>
        <v>0</v>
      </c>
      <c r="AA385" s="53">
        <f t="shared" si="248"/>
        <v>0</v>
      </c>
      <c r="AB385" s="53">
        <f t="shared" si="248"/>
        <v>0</v>
      </c>
      <c r="AC385" s="53">
        <f t="shared" si="248"/>
        <v>0</v>
      </c>
      <c r="AD385" s="53">
        <f t="shared" si="248"/>
        <v>0</v>
      </c>
      <c r="AE385" s="53">
        <f t="shared" si="248"/>
        <v>0</v>
      </c>
      <c r="AF385" s="53">
        <f t="shared" si="248"/>
        <v>0</v>
      </c>
      <c r="AG385" s="53">
        <f t="shared" si="248"/>
        <v>0</v>
      </c>
      <c r="AH385" s="53">
        <f t="shared" si="248"/>
        <v>0</v>
      </c>
      <c r="AI385" s="53">
        <f t="shared" si="248"/>
        <v>0</v>
      </c>
      <c r="AJ385" s="53">
        <f t="shared" si="248"/>
        <v>0</v>
      </c>
      <c r="AK385" s="53">
        <f t="shared" si="248"/>
        <v>0</v>
      </c>
      <c r="AL385" s="53">
        <f t="shared" si="248"/>
        <v>0</v>
      </c>
      <c r="AM385" s="53">
        <f t="shared" si="248"/>
        <v>0</v>
      </c>
      <c r="AN385" s="53">
        <f t="shared" si="248"/>
        <v>0</v>
      </c>
      <c r="AO385" s="53">
        <f t="shared" si="248"/>
        <v>0</v>
      </c>
      <c r="AP385" s="53">
        <f t="shared" si="248"/>
        <v>0</v>
      </c>
      <c r="AQ385" s="53">
        <f t="shared" si="248"/>
        <v>0</v>
      </c>
      <c r="AR385" s="53">
        <f t="shared" si="248"/>
        <v>0</v>
      </c>
      <c r="AS385" s="53">
        <f t="shared" si="248"/>
        <v>0</v>
      </c>
      <c r="AT385" s="53">
        <f t="shared" si="248"/>
        <v>0</v>
      </c>
      <c r="AU385" s="53">
        <f t="shared" si="248"/>
        <v>0</v>
      </c>
      <c r="AV385" s="53">
        <f t="shared" si="248"/>
        <v>0</v>
      </c>
      <c r="AW385" s="53">
        <f t="shared" si="248"/>
        <v>0</v>
      </c>
      <c r="AX385" s="53">
        <f t="shared" si="248"/>
        <v>0</v>
      </c>
      <c r="AY385" s="53">
        <f t="shared" si="248"/>
        <v>0</v>
      </c>
      <c r="AZ385" s="53">
        <f t="shared" si="248"/>
        <v>0</v>
      </c>
      <c r="BA385" s="53">
        <f t="shared" si="248"/>
        <v>0</v>
      </c>
      <c r="BB385" s="53">
        <f t="shared" si="248"/>
        <v>0</v>
      </c>
      <c r="BC385" s="53">
        <f t="shared" si="248"/>
        <v>0</v>
      </c>
      <c r="BD385" s="53">
        <f t="shared" si="248"/>
        <v>0</v>
      </c>
      <c r="BE385" s="53">
        <f t="shared" si="248"/>
        <v>0</v>
      </c>
      <c r="BF385" s="53">
        <f t="shared" si="248"/>
        <v>0</v>
      </c>
      <c r="BG385" s="53">
        <f t="shared" si="248"/>
        <v>0</v>
      </c>
      <c r="BH385" s="53">
        <f t="shared" si="248"/>
        <v>0</v>
      </c>
      <c r="BI385" s="53">
        <f t="shared" si="248"/>
        <v>0</v>
      </c>
      <c r="BJ385" s="53">
        <f t="shared" si="248"/>
        <v>0</v>
      </c>
      <c r="BK385" s="53">
        <f t="shared" si="248"/>
        <v>0</v>
      </c>
      <c r="BL385" s="53">
        <f t="shared" si="248"/>
        <v>0</v>
      </c>
      <c r="BM385" s="53">
        <f t="shared" si="248"/>
        <v>0</v>
      </c>
      <c r="BN385" s="53">
        <f t="shared" si="248"/>
        <v>0</v>
      </c>
      <c r="BO385" s="53">
        <f t="shared" ref="BO385:CX385" si="249">IFERROR(IF(BO$262=0,0,(BO126-BO127)/BO127),0)</f>
        <v>0</v>
      </c>
      <c r="BP385" s="53">
        <f t="shared" si="249"/>
        <v>0</v>
      </c>
      <c r="BQ385" s="53">
        <f t="shared" si="249"/>
        <v>0</v>
      </c>
      <c r="BR385" s="53">
        <f t="shared" si="249"/>
        <v>0</v>
      </c>
      <c r="BS385" s="53">
        <f t="shared" si="249"/>
        <v>0</v>
      </c>
      <c r="BT385" s="53">
        <f t="shared" si="249"/>
        <v>0</v>
      </c>
      <c r="BU385" s="53">
        <f t="shared" si="249"/>
        <v>0</v>
      </c>
      <c r="BV385" s="53">
        <f t="shared" si="249"/>
        <v>0</v>
      </c>
      <c r="BW385" s="53">
        <f t="shared" si="249"/>
        <v>0</v>
      </c>
      <c r="BX385" s="53">
        <f t="shared" si="249"/>
        <v>0</v>
      </c>
      <c r="BY385" s="53">
        <f t="shared" si="249"/>
        <v>0</v>
      </c>
      <c r="BZ385" s="53">
        <f t="shared" si="249"/>
        <v>0</v>
      </c>
      <c r="CA385" s="53">
        <f t="shared" si="249"/>
        <v>0</v>
      </c>
      <c r="CB385" s="53">
        <f t="shared" si="249"/>
        <v>0</v>
      </c>
      <c r="CC385" s="53">
        <f t="shared" si="249"/>
        <v>0</v>
      </c>
      <c r="CD385" s="53">
        <f t="shared" si="249"/>
        <v>0</v>
      </c>
      <c r="CE385" s="53">
        <f t="shared" si="249"/>
        <v>0</v>
      </c>
      <c r="CF385" s="53">
        <f t="shared" si="249"/>
        <v>0</v>
      </c>
      <c r="CG385" s="53">
        <f t="shared" si="249"/>
        <v>0</v>
      </c>
      <c r="CH385" s="53">
        <f t="shared" si="249"/>
        <v>0</v>
      </c>
      <c r="CI385" s="53">
        <f t="shared" si="249"/>
        <v>0</v>
      </c>
      <c r="CJ385" s="53">
        <f t="shared" si="249"/>
        <v>0</v>
      </c>
      <c r="CK385" s="53">
        <f t="shared" si="249"/>
        <v>0</v>
      </c>
      <c r="CL385" s="53">
        <f t="shared" si="249"/>
        <v>0</v>
      </c>
      <c r="CM385" s="53">
        <f t="shared" si="249"/>
        <v>0</v>
      </c>
      <c r="CN385" s="53">
        <f t="shared" si="249"/>
        <v>0</v>
      </c>
      <c r="CO385" s="53">
        <f t="shared" si="249"/>
        <v>0</v>
      </c>
      <c r="CP385" s="53">
        <f t="shared" si="249"/>
        <v>0</v>
      </c>
      <c r="CQ385" s="53">
        <f t="shared" si="249"/>
        <v>0</v>
      </c>
      <c r="CR385" s="53">
        <f t="shared" si="249"/>
        <v>0</v>
      </c>
      <c r="CS385" s="53">
        <f t="shared" si="249"/>
        <v>0</v>
      </c>
      <c r="CT385" s="53">
        <f t="shared" si="249"/>
        <v>0</v>
      </c>
      <c r="CU385" s="53">
        <f t="shared" si="249"/>
        <v>0</v>
      </c>
      <c r="CV385" s="53">
        <f t="shared" si="249"/>
        <v>0</v>
      </c>
      <c r="CW385" s="53">
        <f t="shared" si="249"/>
        <v>0</v>
      </c>
      <c r="CX385" s="53">
        <f t="shared" si="249"/>
        <v>0</v>
      </c>
      <c r="DB385" s="2" vm="634">
        <f ca="1">IF(Returns!A389&lt;&gt;0,Returns!A389,"")</f>
        <v>42891</v>
      </c>
      <c r="DC385" s="11">
        <f ca="1">IF(Returns!B400&gt;0,Returns!B400/Returns!B399-1,"")</f>
        <v>-1.3782382338518695E-2</v>
      </c>
      <c r="DD385" s="11">
        <f ca="1">IF(Returns!D392&gt;0,Returns!D392/Returns!D391-1,"")</f>
        <v>-2.1094138745190172E-3</v>
      </c>
    </row>
    <row r="386" spans="2:108" x14ac:dyDescent="0.3">
      <c r="B386" s="57">
        <f t="shared" ca="1" si="135"/>
        <v>4.6715436507002912E-4</v>
      </c>
      <c r="C386" s="53">
        <f t="shared" ref="C386:BN386" si="250">IFERROR(IF(C$262=0,0,(C127-C128)/C128),0)</f>
        <v>0</v>
      </c>
      <c r="D386" s="53">
        <f t="shared" si="250"/>
        <v>0</v>
      </c>
      <c r="E386" s="53">
        <f t="shared" si="250"/>
        <v>0</v>
      </c>
      <c r="F386" s="53">
        <f t="shared" si="250"/>
        <v>0</v>
      </c>
      <c r="G386" s="53">
        <f t="shared" si="250"/>
        <v>0</v>
      </c>
      <c r="H386" s="53">
        <f t="shared" si="250"/>
        <v>0</v>
      </c>
      <c r="I386" s="53">
        <f t="shared" si="250"/>
        <v>0</v>
      </c>
      <c r="J386" s="53">
        <f t="shared" si="250"/>
        <v>0</v>
      </c>
      <c r="K386" s="53">
        <f t="shared" si="250"/>
        <v>0</v>
      </c>
      <c r="L386" s="53">
        <f t="shared" si="250"/>
        <v>0</v>
      </c>
      <c r="M386" s="53">
        <f t="shared" si="250"/>
        <v>0</v>
      </c>
      <c r="N386" s="53">
        <f t="shared" si="250"/>
        <v>0</v>
      </c>
      <c r="O386" s="53">
        <f t="shared" si="250"/>
        <v>0</v>
      </c>
      <c r="P386" s="53">
        <f t="shared" si="250"/>
        <v>0</v>
      </c>
      <c r="Q386" s="53">
        <f t="shared" si="250"/>
        <v>0</v>
      </c>
      <c r="R386" s="53">
        <f t="shared" si="250"/>
        <v>0</v>
      </c>
      <c r="S386" s="53">
        <f t="shared" si="250"/>
        <v>0</v>
      </c>
      <c r="T386" s="53">
        <f t="shared" si="250"/>
        <v>0</v>
      </c>
      <c r="U386" s="53">
        <f t="shared" si="250"/>
        <v>0</v>
      </c>
      <c r="V386" s="53">
        <f t="shared" si="250"/>
        <v>0</v>
      </c>
      <c r="W386" s="53">
        <f t="shared" si="250"/>
        <v>0</v>
      </c>
      <c r="X386" s="53">
        <f t="shared" si="250"/>
        <v>0</v>
      </c>
      <c r="Y386" s="53">
        <f t="shared" si="250"/>
        <v>0</v>
      </c>
      <c r="Z386" s="53">
        <f t="shared" si="250"/>
        <v>0</v>
      </c>
      <c r="AA386" s="53">
        <f t="shared" si="250"/>
        <v>0</v>
      </c>
      <c r="AB386" s="53">
        <f t="shared" si="250"/>
        <v>0</v>
      </c>
      <c r="AC386" s="53">
        <f t="shared" si="250"/>
        <v>0</v>
      </c>
      <c r="AD386" s="53">
        <f t="shared" si="250"/>
        <v>0</v>
      </c>
      <c r="AE386" s="53">
        <f t="shared" si="250"/>
        <v>0</v>
      </c>
      <c r="AF386" s="53">
        <f t="shared" si="250"/>
        <v>0</v>
      </c>
      <c r="AG386" s="53">
        <f t="shared" si="250"/>
        <v>0</v>
      </c>
      <c r="AH386" s="53">
        <f t="shared" si="250"/>
        <v>0</v>
      </c>
      <c r="AI386" s="53">
        <f t="shared" si="250"/>
        <v>0</v>
      </c>
      <c r="AJ386" s="53">
        <f t="shared" si="250"/>
        <v>0</v>
      </c>
      <c r="AK386" s="53">
        <f t="shared" si="250"/>
        <v>0</v>
      </c>
      <c r="AL386" s="53">
        <f t="shared" si="250"/>
        <v>0</v>
      </c>
      <c r="AM386" s="53">
        <f t="shared" si="250"/>
        <v>0</v>
      </c>
      <c r="AN386" s="53">
        <f t="shared" si="250"/>
        <v>0</v>
      </c>
      <c r="AO386" s="53">
        <f t="shared" si="250"/>
        <v>0</v>
      </c>
      <c r="AP386" s="53">
        <f t="shared" si="250"/>
        <v>0</v>
      </c>
      <c r="AQ386" s="53">
        <f t="shared" si="250"/>
        <v>0</v>
      </c>
      <c r="AR386" s="53">
        <f t="shared" si="250"/>
        <v>0</v>
      </c>
      <c r="AS386" s="53">
        <f t="shared" si="250"/>
        <v>0</v>
      </c>
      <c r="AT386" s="53">
        <f t="shared" si="250"/>
        <v>0</v>
      </c>
      <c r="AU386" s="53">
        <f t="shared" si="250"/>
        <v>0</v>
      </c>
      <c r="AV386" s="53">
        <f t="shared" si="250"/>
        <v>0</v>
      </c>
      <c r="AW386" s="53">
        <f t="shared" si="250"/>
        <v>0</v>
      </c>
      <c r="AX386" s="53">
        <f t="shared" si="250"/>
        <v>0</v>
      </c>
      <c r="AY386" s="53">
        <f t="shared" si="250"/>
        <v>0</v>
      </c>
      <c r="AZ386" s="53">
        <f t="shared" si="250"/>
        <v>0</v>
      </c>
      <c r="BA386" s="53">
        <f t="shared" si="250"/>
        <v>0</v>
      </c>
      <c r="BB386" s="53">
        <f t="shared" si="250"/>
        <v>0</v>
      </c>
      <c r="BC386" s="53">
        <f t="shared" si="250"/>
        <v>0</v>
      </c>
      <c r="BD386" s="53">
        <f t="shared" si="250"/>
        <v>0</v>
      </c>
      <c r="BE386" s="53">
        <f t="shared" si="250"/>
        <v>0</v>
      </c>
      <c r="BF386" s="53">
        <f t="shared" si="250"/>
        <v>0</v>
      </c>
      <c r="BG386" s="53">
        <f t="shared" si="250"/>
        <v>0</v>
      </c>
      <c r="BH386" s="53">
        <f t="shared" si="250"/>
        <v>0</v>
      </c>
      <c r="BI386" s="53">
        <f t="shared" si="250"/>
        <v>0</v>
      </c>
      <c r="BJ386" s="53">
        <f t="shared" si="250"/>
        <v>0</v>
      </c>
      <c r="BK386" s="53">
        <f t="shared" si="250"/>
        <v>0</v>
      </c>
      <c r="BL386" s="53">
        <f t="shared" si="250"/>
        <v>0</v>
      </c>
      <c r="BM386" s="53">
        <f t="shared" si="250"/>
        <v>0</v>
      </c>
      <c r="BN386" s="53">
        <f t="shared" si="250"/>
        <v>0</v>
      </c>
      <c r="BO386" s="53">
        <f t="shared" ref="BO386:CX386" si="251">IFERROR(IF(BO$262=0,0,(BO127-BO128)/BO128),0)</f>
        <v>0</v>
      </c>
      <c r="BP386" s="53">
        <f t="shared" si="251"/>
        <v>0</v>
      </c>
      <c r="BQ386" s="53">
        <f t="shared" si="251"/>
        <v>0</v>
      </c>
      <c r="BR386" s="53">
        <f t="shared" si="251"/>
        <v>0</v>
      </c>
      <c r="BS386" s="53">
        <f t="shared" si="251"/>
        <v>0</v>
      </c>
      <c r="BT386" s="53">
        <f t="shared" si="251"/>
        <v>0</v>
      </c>
      <c r="BU386" s="53">
        <f t="shared" si="251"/>
        <v>0</v>
      </c>
      <c r="BV386" s="53">
        <f t="shared" si="251"/>
        <v>0</v>
      </c>
      <c r="BW386" s="53">
        <f t="shared" si="251"/>
        <v>0</v>
      </c>
      <c r="BX386" s="53">
        <f t="shared" si="251"/>
        <v>0</v>
      </c>
      <c r="BY386" s="53">
        <f t="shared" si="251"/>
        <v>0</v>
      </c>
      <c r="BZ386" s="53">
        <f t="shared" si="251"/>
        <v>0</v>
      </c>
      <c r="CA386" s="53">
        <f t="shared" si="251"/>
        <v>0</v>
      </c>
      <c r="CB386" s="53">
        <f t="shared" si="251"/>
        <v>0</v>
      </c>
      <c r="CC386" s="53">
        <f t="shared" si="251"/>
        <v>0</v>
      </c>
      <c r="CD386" s="53">
        <f t="shared" si="251"/>
        <v>0</v>
      </c>
      <c r="CE386" s="53">
        <f t="shared" si="251"/>
        <v>0</v>
      </c>
      <c r="CF386" s="53">
        <f t="shared" si="251"/>
        <v>0</v>
      </c>
      <c r="CG386" s="53">
        <f t="shared" si="251"/>
        <v>0</v>
      </c>
      <c r="CH386" s="53">
        <f t="shared" si="251"/>
        <v>0</v>
      </c>
      <c r="CI386" s="53">
        <f t="shared" si="251"/>
        <v>0</v>
      </c>
      <c r="CJ386" s="53">
        <f t="shared" si="251"/>
        <v>0</v>
      </c>
      <c r="CK386" s="53">
        <f t="shared" si="251"/>
        <v>0</v>
      </c>
      <c r="CL386" s="53">
        <f t="shared" si="251"/>
        <v>0</v>
      </c>
      <c r="CM386" s="53">
        <f t="shared" si="251"/>
        <v>0</v>
      </c>
      <c r="CN386" s="53">
        <f t="shared" si="251"/>
        <v>0</v>
      </c>
      <c r="CO386" s="53">
        <f t="shared" si="251"/>
        <v>0</v>
      </c>
      <c r="CP386" s="53">
        <f t="shared" si="251"/>
        <v>0</v>
      </c>
      <c r="CQ386" s="53">
        <f t="shared" si="251"/>
        <v>0</v>
      </c>
      <c r="CR386" s="53">
        <f t="shared" si="251"/>
        <v>0</v>
      </c>
      <c r="CS386" s="53">
        <f t="shared" si="251"/>
        <v>0</v>
      </c>
      <c r="CT386" s="53">
        <f t="shared" si="251"/>
        <v>0</v>
      </c>
      <c r="CU386" s="53">
        <f t="shared" si="251"/>
        <v>0</v>
      </c>
      <c r="CV386" s="53">
        <f t="shared" si="251"/>
        <v>0</v>
      </c>
      <c r="CW386" s="53">
        <f t="shared" si="251"/>
        <v>0</v>
      </c>
      <c r="CX386" s="53">
        <f t="shared" si="251"/>
        <v>0</v>
      </c>
      <c r="DB386" s="2" vm="635">
        <f ca="1">IF(Returns!A390&lt;&gt;0,Returns!A390,"")</f>
        <v>42898</v>
      </c>
      <c r="DC386" s="11">
        <f ca="1">IF(Returns!B401&gt;0,Returns!B401/Returns!B400-1,"")</f>
        <v>3.4900450669657079E-2</v>
      </c>
      <c r="DD386" s="11">
        <f ca="1">IF(Returns!D393&gt;0,Returns!D393/Returns!D392-1,"")</f>
        <v>3.0312753132339942E-3</v>
      </c>
    </row>
    <row r="387" spans="2:108" x14ac:dyDescent="0.3">
      <c r="B387" s="57">
        <f t="shared" ca="1" si="135"/>
        <v>5.174086659245525E-4</v>
      </c>
      <c r="C387" s="53">
        <f t="shared" ref="C387:BN387" si="252">IFERROR(IF(C$262=0,0,(C128-C129)/C129),0)</f>
        <v>0</v>
      </c>
      <c r="D387" s="53">
        <f t="shared" si="252"/>
        <v>0</v>
      </c>
      <c r="E387" s="53">
        <f t="shared" si="252"/>
        <v>0</v>
      </c>
      <c r="F387" s="53">
        <f t="shared" si="252"/>
        <v>0</v>
      </c>
      <c r="G387" s="53">
        <f t="shared" si="252"/>
        <v>0</v>
      </c>
      <c r="H387" s="53">
        <f t="shared" si="252"/>
        <v>0</v>
      </c>
      <c r="I387" s="53">
        <f t="shared" si="252"/>
        <v>0</v>
      </c>
      <c r="J387" s="53">
        <f t="shared" si="252"/>
        <v>0</v>
      </c>
      <c r="K387" s="53">
        <f t="shared" si="252"/>
        <v>0</v>
      </c>
      <c r="L387" s="53">
        <f t="shared" si="252"/>
        <v>0</v>
      </c>
      <c r="M387" s="53">
        <f t="shared" si="252"/>
        <v>0</v>
      </c>
      <c r="N387" s="53">
        <f t="shared" si="252"/>
        <v>0</v>
      </c>
      <c r="O387" s="53">
        <f t="shared" si="252"/>
        <v>0</v>
      </c>
      <c r="P387" s="53">
        <f t="shared" si="252"/>
        <v>0</v>
      </c>
      <c r="Q387" s="53">
        <f t="shared" si="252"/>
        <v>0</v>
      </c>
      <c r="R387" s="53">
        <f t="shared" si="252"/>
        <v>0</v>
      </c>
      <c r="S387" s="53">
        <f t="shared" si="252"/>
        <v>0</v>
      </c>
      <c r="T387" s="53">
        <f t="shared" si="252"/>
        <v>0</v>
      </c>
      <c r="U387" s="53">
        <f t="shared" si="252"/>
        <v>0</v>
      </c>
      <c r="V387" s="53">
        <f t="shared" si="252"/>
        <v>0</v>
      </c>
      <c r="W387" s="53">
        <f t="shared" si="252"/>
        <v>0</v>
      </c>
      <c r="X387" s="53">
        <f t="shared" si="252"/>
        <v>0</v>
      </c>
      <c r="Y387" s="53">
        <f t="shared" si="252"/>
        <v>0</v>
      </c>
      <c r="Z387" s="53">
        <f t="shared" si="252"/>
        <v>0</v>
      </c>
      <c r="AA387" s="53">
        <f t="shared" si="252"/>
        <v>0</v>
      </c>
      <c r="AB387" s="53">
        <f t="shared" si="252"/>
        <v>0</v>
      </c>
      <c r="AC387" s="53">
        <f t="shared" si="252"/>
        <v>0</v>
      </c>
      <c r="AD387" s="53">
        <f t="shared" si="252"/>
        <v>0</v>
      </c>
      <c r="AE387" s="53">
        <f t="shared" si="252"/>
        <v>0</v>
      </c>
      <c r="AF387" s="53">
        <f t="shared" si="252"/>
        <v>0</v>
      </c>
      <c r="AG387" s="53">
        <f t="shared" si="252"/>
        <v>0</v>
      </c>
      <c r="AH387" s="53">
        <f t="shared" si="252"/>
        <v>0</v>
      </c>
      <c r="AI387" s="53">
        <f t="shared" si="252"/>
        <v>0</v>
      </c>
      <c r="AJ387" s="53">
        <f t="shared" si="252"/>
        <v>0</v>
      </c>
      <c r="AK387" s="53">
        <f t="shared" si="252"/>
        <v>0</v>
      </c>
      <c r="AL387" s="53">
        <f t="shared" si="252"/>
        <v>0</v>
      </c>
      <c r="AM387" s="53">
        <f t="shared" si="252"/>
        <v>0</v>
      </c>
      <c r="AN387" s="53">
        <f t="shared" si="252"/>
        <v>0</v>
      </c>
      <c r="AO387" s="53">
        <f t="shared" si="252"/>
        <v>0</v>
      </c>
      <c r="AP387" s="53">
        <f t="shared" si="252"/>
        <v>0</v>
      </c>
      <c r="AQ387" s="53">
        <f t="shared" si="252"/>
        <v>0</v>
      </c>
      <c r="AR387" s="53">
        <f t="shared" si="252"/>
        <v>0</v>
      </c>
      <c r="AS387" s="53">
        <f t="shared" si="252"/>
        <v>0</v>
      </c>
      <c r="AT387" s="53">
        <f t="shared" si="252"/>
        <v>0</v>
      </c>
      <c r="AU387" s="53">
        <f t="shared" si="252"/>
        <v>0</v>
      </c>
      <c r="AV387" s="53">
        <f t="shared" si="252"/>
        <v>0</v>
      </c>
      <c r="AW387" s="53">
        <f t="shared" si="252"/>
        <v>0</v>
      </c>
      <c r="AX387" s="53">
        <f t="shared" si="252"/>
        <v>0</v>
      </c>
      <c r="AY387" s="53">
        <f t="shared" si="252"/>
        <v>0</v>
      </c>
      <c r="AZ387" s="53">
        <f t="shared" si="252"/>
        <v>0</v>
      </c>
      <c r="BA387" s="53">
        <f t="shared" si="252"/>
        <v>0</v>
      </c>
      <c r="BB387" s="53">
        <f t="shared" si="252"/>
        <v>0</v>
      </c>
      <c r="BC387" s="53">
        <f t="shared" si="252"/>
        <v>0</v>
      </c>
      <c r="BD387" s="53">
        <f t="shared" si="252"/>
        <v>0</v>
      </c>
      <c r="BE387" s="53">
        <f t="shared" si="252"/>
        <v>0</v>
      </c>
      <c r="BF387" s="53">
        <f t="shared" si="252"/>
        <v>0</v>
      </c>
      <c r="BG387" s="53">
        <f t="shared" si="252"/>
        <v>0</v>
      </c>
      <c r="BH387" s="53">
        <f t="shared" si="252"/>
        <v>0</v>
      </c>
      <c r="BI387" s="53">
        <f t="shared" si="252"/>
        <v>0</v>
      </c>
      <c r="BJ387" s="53">
        <f t="shared" si="252"/>
        <v>0</v>
      </c>
      <c r="BK387" s="53">
        <f t="shared" si="252"/>
        <v>0</v>
      </c>
      <c r="BL387" s="53">
        <f t="shared" si="252"/>
        <v>0</v>
      </c>
      <c r="BM387" s="53">
        <f t="shared" si="252"/>
        <v>0</v>
      </c>
      <c r="BN387" s="53">
        <f t="shared" si="252"/>
        <v>0</v>
      </c>
      <c r="BO387" s="53">
        <f t="shared" ref="BO387:CX387" si="253">IFERROR(IF(BO$262=0,0,(BO128-BO129)/BO129),0)</f>
        <v>0</v>
      </c>
      <c r="BP387" s="53">
        <f t="shared" si="253"/>
        <v>0</v>
      </c>
      <c r="BQ387" s="53">
        <f t="shared" si="253"/>
        <v>0</v>
      </c>
      <c r="BR387" s="53">
        <f t="shared" si="253"/>
        <v>0</v>
      </c>
      <c r="BS387" s="53">
        <f t="shared" si="253"/>
        <v>0</v>
      </c>
      <c r="BT387" s="53">
        <f t="shared" si="253"/>
        <v>0</v>
      </c>
      <c r="BU387" s="53">
        <f t="shared" si="253"/>
        <v>0</v>
      </c>
      <c r="BV387" s="53">
        <f t="shared" si="253"/>
        <v>0</v>
      </c>
      <c r="BW387" s="53">
        <f t="shared" si="253"/>
        <v>0</v>
      </c>
      <c r="BX387" s="53">
        <f t="shared" si="253"/>
        <v>0</v>
      </c>
      <c r="BY387" s="53">
        <f t="shared" si="253"/>
        <v>0</v>
      </c>
      <c r="BZ387" s="53">
        <f t="shared" si="253"/>
        <v>0</v>
      </c>
      <c r="CA387" s="53">
        <f t="shared" si="253"/>
        <v>0</v>
      </c>
      <c r="CB387" s="53">
        <f t="shared" si="253"/>
        <v>0</v>
      </c>
      <c r="CC387" s="53">
        <f t="shared" si="253"/>
        <v>0</v>
      </c>
      <c r="CD387" s="53">
        <f t="shared" si="253"/>
        <v>0</v>
      </c>
      <c r="CE387" s="53">
        <f t="shared" si="253"/>
        <v>0</v>
      </c>
      <c r="CF387" s="53">
        <f t="shared" si="253"/>
        <v>0</v>
      </c>
      <c r="CG387" s="53">
        <f t="shared" si="253"/>
        <v>0</v>
      </c>
      <c r="CH387" s="53">
        <f t="shared" si="253"/>
        <v>0</v>
      </c>
      <c r="CI387" s="53">
        <f t="shared" si="253"/>
        <v>0</v>
      </c>
      <c r="CJ387" s="53">
        <f t="shared" si="253"/>
        <v>0</v>
      </c>
      <c r="CK387" s="53">
        <f t="shared" si="253"/>
        <v>0</v>
      </c>
      <c r="CL387" s="53">
        <f t="shared" si="253"/>
        <v>0</v>
      </c>
      <c r="CM387" s="53">
        <f t="shared" si="253"/>
        <v>0</v>
      </c>
      <c r="CN387" s="53">
        <f t="shared" si="253"/>
        <v>0</v>
      </c>
      <c r="CO387" s="53">
        <f t="shared" si="253"/>
        <v>0</v>
      </c>
      <c r="CP387" s="53">
        <f t="shared" si="253"/>
        <v>0</v>
      </c>
      <c r="CQ387" s="53">
        <f t="shared" si="253"/>
        <v>0</v>
      </c>
      <c r="CR387" s="53">
        <f t="shared" si="253"/>
        <v>0</v>
      </c>
      <c r="CS387" s="53">
        <f t="shared" si="253"/>
        <v>0</v>
      </c>
      <c r="CT387" s="53">
        <f t="shared" si="253"/>
        <v>0</v>
      </c>
      <c r="CU387" s="53">
        <f t="shared" si="253"/>
        <v>0</v>
      </c>
      <c r="CV387" s="53">
        <f t="shared" si="253"/>
        <v>0</v>
      </c>
      <c r="CW387" s="53">
        <f t="shared" si="253"/>
        <v>0</v>
      </c>
      <c r="CX387" s="53">
        <f t="shared" si="253"/>
        <v>0</v>
      </c>
      <c r="DB387" s="2" vm="636">
        <f ca="1">IF(Returns!A391&lt;&gt;0,Returns!A391,"")</f>
        <v>42905</v>
      </c>
      <c r="DC387" s="11">
        <f ca="1">IF(Returns!B402&gt;0,Returns!B402/Returns!B401-1,"")</f>
        <v>-1.2624584717607967E-2</v>
      </c>
      <c r="DD387" s="11">
        <f ca="1">IF(Returns!D394&gt;0,Returns!D394/Returns!D393-1,"")</f>
        <v>1.0431890642274899E-2</v>
      </c>
    </row>
    <row r="388" spans="2:108" x14ac:dyDescent="0.3">
      <c r="B388" s="57">
        <f t="shared" ca="1" si="135"/>
        <v>1.6817283734660194E-3</v>
      </c>
      <c r="C388" s="53">
        <f t="shared" ref="C388:BN388" si="254">IFERROR(IF(C$262=0,0,(C129-C130)/C130),0)</f>
        <v>0</v>
      </c>
      <c r="D388" s="53">
        <f t="shared" si="254"/>
        <v>0</v>
      </c>
      <c r="E388" s="53">
        <f t="shared" si="254"/>
        <v>0</v>
      </c>
      <c r="F388" s="53">
        <f t="shared" si="254"/>
        <v>0</v>
      </c>
      <c r="G388" s="53">
        <f t="shared" si="254"/>
        <v>0</v>
      </c>
      <c r="H388" s="53">
        <f t="shared" si="254"/>
        <v>0</v>
      </c>
      <c r="I388" s="53">
        <f t="shared" si="254"/>
        <v>0</v>
      </c>
      <c r="J388" s="53">
        <f t="shared" si="254"/>
        <v>0</v>
      </c>
      <c r="K388" s="53">
        <f t="shared" si="254"/>
        <v>0</v>
      </c>
      <c r="L388" s="53">
        <f t="shared" si="254"/>
        <v>0</v>
      </c>
      <c r="M388" s="53">
        <f t="shared" si="254"/>
        <v>0</v>
      </c>
      <c r="N388" s="53">
        <f t="shared" si="254"/>
        <v>0</v>
      </c>
      <c r="O388" s="53">
        <f t="shared" si="254"/>
        <v>0</v>
      </c>
      <c r="P388" s="53">
        <f t="shared" si="254"/>
        <v>0</v>
      </c>
      <c r="Q388" s="53">
        <f t="shared" si="254"/>
        <v>0</v>
      </c>
      <c r="R388" s="53">
        <f t="shared" si="254"/>
        <v>0</v>
      </c>
      <c r="S388" s="53">
        <f t="shared" si="254"/>
        <v>0</v>
      </c>
      <c r="T388" s="53">
        <f t="shared" si="254"/>
        <v>0</v>
      </c>
      <c r="U388" s="53">
        <f t="shared" si="254"/>
        <v>0</v>
      </c>
      <c r="V388" s="53">
        <f t="shared" si="254"/>
        <v>0</v>
      </c>
      <c r="W388" s="53">
        <f t="shared" si="254"/>
        <v>0</v>
      </c>
      <c r="X388" s="53">
        <f t="shared" si="254"/>
        <v>0</v>
      </c>
      <c r="Y388" s="53">
        <f t="shared" si="254"/>
        <v>0</v>
      </c>
      <c r="Z388" s="53">
        <f t="shared" si="254"/>
        <v>0</v>
      </c>
      <c r="AA388" s="53">
        <f t="shared" si="254"/>
        <v>0</v>
      </c>
      <c r="AB388" s="53">
        <f t="shared" si="254"/>
        <v>0</v>
      </c>
      <c r="AC388" s="53">
        <f t="shared" si="254"/>
        <v>0</v>
      </c>
      <c r="AD388" s="53">
        <f t="shared" si="254"/>
        <v>0</v>
      </c>
      <c r="AE388" s="53">
        <f t="shared" si="254"/>
        <v>0</v>
      </c>
      <c r="AF388" s="53">
        <f t="shared" si="254"/>
        <v>0</v>
      </c>
      <c r="AG388" s="53">
        <f t="shared" si="254"/>
        <v>0</v>
      </c>
      <c r="AH388" s="53">
        <f t="shared" si="254"/>
        <v>0</v>
      </c>
      <c r="AI388" s="53">
        <f t="shared" si="254"/>
        <v>0</v>
      </c>
      <c r="AJ388" s="53">
        <f t="shared" si="254"/>
        <v>0</v>
      </c>
      <c r="AK388" s="53">
        <f t="shared" si="254"/>
        <v>0</v>
      </c>
      <c r="AL388" s="53">
        <f t="shared" si="254"/>
        <v>0</v>
      </c>
      <c r="AM388" s="53">
        <f t="shared" si="254"/>
        <v>0</v>
      </c>
      <c r="AN388" s="53">
        <f t="shared" si="254"/>
        <v>0</v>
      </c>
      <c r="AO388" s="53">
        <f t="shared" si="254"/>
        <v>0</v>
      </c>
      <c r="AP388" s="53">
        <f t="shared" si="254"/>
        <v>0</v>
      </c>
      <c r="AQ388" s="53">
        <f t="shared" si="254"/>
        <v>0</v>
      </c>
      <c r="AR388" s="53">
        <f t="shared" si="254"/>
        <v>0</v>
      </c>
      <c r="AS388" s="53">
        <f t="shared" si="254"/>
        <v>0</v>
      </c>
      <c r="AT388" s="53">
        <f t="shared" si="254"/>
        <v>0</v>
      </c>
      <c r="AU388" s="53">
        <f t="shared" si="254"/>
        <v>0</v>
      </c>
      <c r="AV388" s="53">
        <f t="shared" si="254"/>
        <v>0</v>
      </c>
      <c r="AW388" s="53">
        <f t="shared" si="254"/>
        <v>0</v>
      </c>
      <c r="AX388" s="53">
        <f t="shared" si="254"/>
        <v>0</v>
      </c>
      <c r="AY388" s="53">
        <f t="shared" si="254"/>
        <v>0</v>
      </c>
      <c r="AZ388" s="53">
        <f t="shared" si="254"/>
        <v>0</v>
      </c>
      <c r="BA388" s="53">
        <f t="shared" si="254"/>
        <v>0</v>
      </c>
      <c r="BB388" s="53">
        <f t="shared" si="254"/>
        <v>0</v>
      </c>
      <c r="BC388" s="53">
        <f t="shared" si="254"/>
        <v>0</v>
      </c>
      <c r="BD388" s="53">
        <f t="shared" si="254"/>
        <v>0</v>
      </c>
      <c r="BE388" s="53">
        <f t="shared" si="254"/>
        <v>0</v>
      </c>
      <c r="BF388" s="53">
        <f t="shared" si="254"/>
        <v>0</v>
      </c>
      <c r="BG388" s="53">
        <f t="shared" si="254"/>
        <v>0</v>
      </c>
      <c r="BH388" s="53">
        <f t="shared" si="254"/>
        <v>0</v>
      </c>
      <c r="BI388" s="53">
        <f t="shared" si="254"/>
        <v>0</v>
      </c>
      <c r="BJ388" s="53">
        <f t="shared" si="254"/>
        <v>0</v>
      </c>
      <c r="BK388" s="53">
        <f t="shared" si="254"/>
        <v>0</v>
      </c>
      <c r="BL388" s="53">
        <f t="shared" si="254"/>
        <v>0</v>
      </c>
      <c r="BM388" s="53">
        <f t="shared" si="254"/>
        <v>0</v>
      </c>
      <c r="BN388" s="53">
        <f t="shared" si="254"/>
        <v>0</v>
      </c>
      <c r="BO388" s="53">
        <f t="shared" ref="BO388:CX388" si="255">IFERROR(IF(BO$262=0,0,(BO129-BO130)/BO130),0)</f>
        <v>0</v>
      </c>
      <c r="BP388" s="53">
        <f t="shared" si="255"/>
        <v>0</v>
      </c>
      <c r="BQ388" s="53">
        <f t="shared" si="255"/>
        <v>0</v>
      </c>
      <c r="BR388" s="53">
        <f t="shared" si="255"/>
        <v>0</v>
      </c>
      <c r="BS388" s="53">
        <f t="shared" si="255"/>
        <v>0</v>
      </c>
      <c r="BT388" s="53">
        <f t="shared" si="255"/>
        <v>0</v>
      </c>
      <c r="BU388" s="53">
        <f t="shared" si="255"/>
        <v>0</v>
      </c>
      <c r="BV388" s="53">
        <f t="shared" si="255"/>
        <v>0</v>
      </c>
      <c r="BW388" s="53">
        <f t="shared" si="255"/>
        <v>0</v>
      </c>
      <c r="BX388" s="53">
        <f t="shared" si="255"/>
        <v>0</v>
      </c>
      <c r="BY388" s="53">
        <f t="shared" si="255"/>
        <v>0</v>
      </c>
      <c r="BZ388" s="53">
        <f t="shared" si="255"/>
        <v>0</v>
      </c>
      <c r="CA388" s="53">
        <f t="shared" si="255"/>
        <v>0</v>
      </c>
      <c r="CB388" s="53">
        <f t="shared" si="255"/>
        <v>0</v>
      </c>
      <c r="CC388" s="53">
        <f t="shared" si="255"/>
        <v>0</v>
      </c>
      <c r="CD388" s="53">
        <f t="shared" si="255"/>
        <v>0</v>
      </c>
      <c r="CE388" s="53">
        <f t="shared" si="255"/>
        <v>0</v>
      </c>
      <c r="CF388" s="53">
        <f t="shared" si="255"/>
        <v>0</v>
      </c>
      <c r="CG388" s="53">
        <f t="shared" si="255"/>
        <v>0</v>
      </c>
      <c r="CH388" s="53">
        <f t="shared" si="255"/>
        <v>0</v>
      </c>
      <c r="CI388" s="53">
        <f t="shared" si="255"/>
        <v>0</v>
      </c>
      <c r="CJ388" s="53">
        <f t="shared" si="255"/>
        <v>0</v>
      </c>
      <c r="CK388" s="53">
        <f t="shared" si="255"/>
        <v>0</v>
      </c>
      <c r="CL388" s="53">
        <f t="shared" si="255"/>
        <v>0</v>
      </c>
      <c r="CM388" s="53">
        <f t="shared" si="255"/>
        <v>0</v>
      </c>
      <c r="CN388" s="53">
        <f t="shared" si="255"/>
        <v>0</v>
      </c>
      <c r="CO388" s="53">
        <f t="shared" si="255"/>
        <v>0</v>
      </c>
      <c r="CP388" s="53">
        <f t="shared" si="255"/>
        <v>0</v>
      </c>
      <c r="CQ388" s="53">
        <f t="shared" si="255"/>
        <v>0</v>
      </c>
      <c r="CR388" s="53">
        <f t="shared" si="255"/>
        <v>0</v>
      </c>
      <c r="CS388" s="53">
        <f t="shared" si="255"/>
        <v>0</v>
      </c>
      <c r="CT388" s="53">
        <f t="shared" si="255"/>
        <v>0</v>
      </c>
      <c r="CU388" s="53">
        <f t="shared" si="255"/>
        <v>0</v>
      </c>
      <c r="CV388" s="53">
        <f t="shared" si="255"/>
        <v>0</v>
      </c>
      <c r="CW388" s="53">
        <f t="shared" si="255"/>
        <v>0</v>
      </c>
      <c r="CX388" s="53">
        <f t="shared" si="255"/>
        <v>0</v>
      </c>
      <c r="DB388" s="2" vm="637">
        <f ca="1">IF(Returns!A392&lt;&gt;0,Returns!A392,"")</f>
        <v>42912</v>
      </c>
      <c r="DC388" s="11">
        <f ca="1">IF(Returns!B403&gt;0,Returns!B403/Returns!B402-1,"")</f>
        <v>2.1627497670566376E-2</v>
      </c>
      <c r="DD388" s="11">
        <f ca="1">IF(Returns!D395&gt;0,Returns!D395/Returns!D394-1,"")</f>
        <v>-2.6649229106522343E-3</v>
      </c>
    </row>
    <row r="389" spans="2:108" x14ac:dyDescent="0.3">
      <c r="B389" s="57">
        <f t="shared" ca="1" si="135"/>
        <v>2.0969471499747175E-4</v>
      </c>
      <c r="C389" s="53">
        <f t="shared" ref="C389:BN389" si="256">IFERROR(IF(C$262=0,0,(C130-C131)/C131),0)</f>
        <v>0</v>
      </c>
      <c r="D389" s="53">
        <f t="shared" si="256"/>
        <v>0</v>
      </c>
      <c r="E389" s="53">
        <f t="shared" si="256"/>
        <v>0</v>
      </c>
      <c r="F389" s="53">
        <f t="shared" si="256"/>
        <v>0</v>
      </c>
      <c r="G389" s="53">
        <f t="shared" si="256"/>
        <v>0</v>
      </c>
      <c r="H389" s="53">
        <f t="shared" si="256"/>
        <v>0</v>
      </c>
      <c r="I389" s="53">
        <f t="shared" si="256"/>
        <v>0</v>
      </c>
      <c r="J389" s="53">
        <f t="shared" si="256"/>
        <v>0</v>
      </c>
      <c r="K389" s="53">
        <f t="shared" si="256"/>
        <v>0</v>
      </c>
      <c r="L389" s="53">
        <f t="shared" si="256"/>
        <v>0</v>
      </c>
      <c r="M389" s="53">
        <f t="shared" si="256"/>
        <v>0</v>
      </c>
      <c r="N389" s="53">
        <f t="shared" si="256"/>
        <v>0</v>
      </c>
      <c r="O389" s="53">
        <f t="shared" si="256"/>
        <v>0</v>
      </c>
      <c r="P389" s="53">
        <f t="shared" si="256"/>
        <v>0</v>
      </c>
      <c r="Q389" s="53">
        <f t="shared" si="256"/>
        <v>0</v>
      </c>
      <c r="R389" s="53">
        <f t="shared" si="256"/>
        <v>0</v>
      </c>
      <c r="S389" s="53">
        <f t="shared" si="256"/>
        <v>0</v>
      </c>
      <c r="T389" s="53">
        <f t="shared" si="256"/>
        <v>0</v>
      </c>
      <c r="U389" s="53">
        <f t="shared" si="256"/>
        <v>0</v>
      </c>
      <c r="V389" s="53">
        <f t="shared" si="256"/>
        <v>0</v>
      </c>
      <c r="W389" s="53">
        <f t="shared" si="256"/>
        <v>0</v>
      </c>
      <c r="X389" s="53">
        <f t="shared" si="256"/>
        <v>0</v>
      </c>
      <c r="Y389" s="53">
        <f t="shared" si="256"/>
        <v>0</v>
      </c>
      <c r="Z389" s="53">
        <f t="shared" si="256"/>
        <v>0</v>
      </c>
      <c r="AA389" s="53">
        <f t="shared" si="256"/>
        <v>0</v>
      </c>
      <c r="AB389" s="53">
        <f t="shared" si="256"/>
        <v>0</v>
      </c>
      <c r="AC389" s="53">
        <f t="shared" si="256"/>
        <v>0</v>
      </c>
      <c r="AD389" s="53">
        <f t="shared" si="256"/>
        <v>0</v>
      </c>
      <c r="AE389" s="53">
        <f t="shared" si="256"/>
        <v>0</v>
      </c>
      <c r="AF389" s="53">
        <f t="shared" si="256"/>
        <v>0</v>
      </c>
      <c r="AG389" s="53">
        <f t="shared" si="256"/>
        <v>0</v>
      </c>
      <c r="AH389" s="53">
        <f t="shared" si="256"/>
        <v>0</v>
      </c>
      <c r="AI389" s="53">
        <f t="shared" si="256"/>
        <v>0</v>
      </c>
      <c r="AJ389" s="53">
        <f t="shared" si="256"/>
        <v>0</v>
      </c>
      <c r="AK389" s="53">
        <f t="shared" si="256"/>
        <v>0</v>
      </c>
      <c r="AL389" s="53">
        <f t="shared" si="256"/>
        <v>0</v>
      </c>
      <c r="AM389" s="53">
        <f t="shared" si="256"/>
        <v>0</v>
      </c>
      <c r="AN389" s="53">
        <f t="shared" si="256"/>
        <v>0</v>
      </c>
      <c r="AO389" s="53">
        <f t="shared" si="256"/>
        <v>0</v>
      </c>
      <c r="AP389" s="53">
        <f t="shared" si="256"/>
        <v>0</v>
      </c>
      <c r="AQ389" s="53">
        <f t="shared" si="256"/>
        <v>0</v>
      </c>
      <c r="AR389" s="53">
        <f t="shared" si="256"/>
        <v>0</v>
      </c>
      <c r="AS389" s="53">
        <f t="shared" si="256"/>
        <v>0</v>
      </c>
      <c r="AT389" s="53">
        <f t="shared" si="256"/>
        <v>0</v>
      </c>
      <c r="AU389" s="53">
        <f t="shared" si="256"/>
        <v>0</v>
      </c>
      <c r="AV389" s="53">
        <f t="shared" si="256"/>
        <v>0</v>
      </c>
      <c r="AW389" s="53">
        <f t="shared" si="256"/>
        <v>0</v>
      </c>
      <c r="AX389" s="53">
        <f t="shared" si="256"/>
        <v>0</v>
      </c>
      <c r="AY389" s="53">
        <f t="shared" si="256"/>
        <v>0</v>
      </c>
      <c r="AZ389" s="53">
        <f t="shared" si="256"/>
        <v>0</v>
      </c>
      <c r="BA389" s="53">
        <f t="shared" si="256"/>
        <v>0</v>
      </c>
      <c r="BB389" s="53">
        <f t="shared" si="256"/>
        <v>0</v>
      </c>
      <c r="BC389" s="53">
        <f t="shared" si="256"/>
        <v>0</v>
      </c>
      <c r="BD389" s="53">
        <f t="shared" si="256"/>
        <v>0</v>
      </c>
      <c r="BE389" s="53">
        <f t="shared" si="256"/>
        <v>0</v>
      </c>
      <c r="BF389" s="53">
        <f t="shared" si="256"/>
        <v>0</v>
      </c>
      <c r="BG389" s="53">
        <f t="shared" si="256"/>
        <v>0</v>
      </c>
      <c r="BH389" s="53">
        <f t="shared" si="256"/>
        <v>0</v>
      </c>
      <c r="BI389" s="53">
        <f t="shared" si="256"/>
        <v>0</v>
      </c>
      <c r="BJ389" s="53">
        <f t="shared" si="256"/>
        <v>0</v>
      </c>
      <c r="BK389" s="53">
        <f t="shared" si="256"/>
        <v>0</v>
      </c>
      <c r="BL389" s="53">
        <f t="shared" si="256"/>
        <v>0</v>
      </c>
      <c r="BM389" s="53">
        <f t="shared" si="256"/>
        <v>0</v>
      </c>
      <c r="BN389" s="53">
        <f t="shared" si="256"/>
        <v>0</v>
      </c>
      <c r="BO389" s="53">
        <f t="shared" ref="BO389:CX389" si="257">IFERROR(IF(BO$262=0,0,(BO130-BO131)/BO131),0)</f>
        <v>0</v>
      </c>
      <c r="BP389" s="53">
        <f t="shared" si="257"/>
        <v>0</v>
      </c>
      <c r="BQ389" s="53">
        <f t="shared" si="257"/>
        <v>0</v>
      </c>
      <c r="BR389" s="53">
        <f t="shared" si="257"/>
        <v>0</v>
      </c>
      <c r="BS389" s="53">
        <f t="shared" si="257"/>
        <v>0</v>
      </c>
      <c r="BT389" s="53">
        <f t="shared" si="257"/>
        <v>0</v>
      </c>
      <c r="BU389" s="53">
        <f t="shared" si="257"/>
        <v>0</v>
      </c>
      <c r="BV389" s="53">
        <f t="shared" si="257"/>
        <v>0</v>
      </c>
      <c r="BW389" s="53">
        <f t="shared" si="257"/>
        <v>0</v>
      </c>
      <c r="BX389" s="53">
        <f t="shared" si="257"/>
        <v>0</v>
      </c>
      <c r="BY389" s="53">
        <f t="shared" si="257"/>
        <v>0</v>
      </c>
      <c r="BZ389" s="53">
        <f t="shared" si="257"/>
        <v>0</v>
      </c>
      <c r="CA389" s="53">
        <f t="shared" si="257"/>
        <v>0</v>
      </c>
      <c r="CB389" s="53">
        <f t="shared" si="257"/>
        <v>0</v>
      </c>
      <c r="CC389" s="53">
        <f t="shared" si="257"/>
        <v>0</v>
      </c>
      <c r="CD389" s="53">
        <f t="shared" si="257"/>
        <v>0</v>
      </c>
      <c r="CE389" s="53">
        <f t="shared" si="257"/>
        <v>0</v>
      </c>
      <c r="CF389" s="53">
        <f t="shared" si="257"/>
        <v>0</v>
      </c>
      <c r="CG389" s="53">
        <f t="shared" si="257"/>
        <v>0</v>
      </c>
      <c r="CH389" s="53">
        <f t="shared" si="257"/>
        <v>0</v>
      </c>
      <c r="CI389" s="53">
        <f t="shared" si="257"/>
        <v>0</v>
      </c>
      <c r="CJ389" s="53">
        <f t="shared" si="257"/>
        <v>0</v>
      </c>
      <c r="CK389" s="53">
        <f t="shared" si="257"/>
        <v>0</v>
      </c>
      <c r="CL389" s="53">
        <f t="shared" si="257"/>
        <v>0</v>
      </c>
      <c r="CM389" s="53">
        <f t="shared" si="257"/>
        <v>0</v>
      </c>
      <c r="CN389" s="53">
        <f t="shared" si="257"/>
        <v>0</v>
      </c>
      <c r="CO389" s="53">
        <f t="shared" si="257"/>
        <v>0</v>
      </c>
      <c r="CP389" s="53">
        <f t="shared" si="257"/>
        <v>0</v>
      </c>
      <c r="CQ389" s="53">
        <f t="shared" si="257"/>
        <v>0</v>
      </c>
      <c r="CR389" s="53">
        <f t="shared" si="257"/>
        <v>0</v>
      </c>
      <c r="CS389" s="53">
        <f t="shared" si="257"/>
        <v>0</v>
      </c>
      <c r="CT389" s="53">
        <f t="shared" si="257"/>
        <v>0</v>
      </c>
      <c r="CU389" s="53">
        <f t="shared" si="257"/>
        <v>0</v>
      </c>
      <c r="CV389" s="53">
        <f t="shared" si="257"/>
        <v>0</v>
      </c>
      <c r="CW389" s="53">
        <f t="shared" si="257"/>
        <v>0</v>
      </c>
      <c r="CX389" s="53">
        <f t="shared" si="257"/>
        <v>0</v>
      </c>
      <c r="DB389" s="2" vm="638">
        <f ca="1">IF(Returns!A393&lt;&gt;0,Returns!A393,"")</f>
        <v>42919</v>
      </c>
      <c r="DC389" s="11">
        <f ca="1">IF(Returns!B404&gt;0,Returns!B404/Returns!B403-1,"")</f>
        <v>-3.2114228964622682E-2</v>
      </c>
      <c r="DD389" s="11">
        <f ca="1">IF(Returns!D396&gt;0,Returns!D396/Returns!D395-1,"")</f>
        <v>1.1595766700277732E-2</v>
      </c>
    </row>
    <row r="390" spans="2:108" x14ac:dyDescent="0.3">
      <c r="B390" s="57">
        <f t="shared" ca="1" si="135"/>
        <v>3.00624987323356E-3</v>
      </c>
      <c r="C390" s="53">
        <f t="shared" ref="C390:BN390" si="258">IFERROR(IF(C$262=0,0,(C131-C132)/C132),0)</f>
        <v>0</v>
      </c>
      <c r="D390" s="53">
        <f t="shared" si="258"/>
        <v>0</v>
      </c>
      <c r="E390" s="53">
        <f t="shared" si="258"/>
        <v>0</v>
      </c>
      <c r="F390" s="53">
        <f t="shared" si="258"/>
        <v>0</v>
      </c>
      <c r="G390" s="53">
        <f t="shared" si="258"/>
        <v>0</v>
      </c>
      <c r="H390" s="53">
        <f t="shared" si="258"/>
        <v>0</v>
      </c>
      <c r="I390" s="53">
        <f t="shared" si="258"/>
        <v>0</v>
      </c>
      <c r="J390" s="53">
        <f t="shared" si="258"/>
        <v>0</v>
      </c>
      <c r="K390" s="53">
        <f t="shared" si="258"/>
        <v>0</v>
      </c>
      <c r="L390" s="53">
        <f t="shared" si="258"/>
        <v>0</v>
      </c>
      <c r="M390" s="53">
        <f t="shared" si="258"/>
        <v>0</v>
      </c>
      <c r="N390" s="53">
        <f t="shared" si="258"/>
        <v>0</v>
      </c>
      <c r="O390" s="53">
        <f t="shared" si="258"/>
        <v>0</v>
      </c>
      <c r="P390" s="53">
        <f t="shared" si="258"/>
        <v>0</v>
      </c>
      <c r="Q390" s="53">
        <f t="shared" si="258"/>
        <v>0</v>
      </c>
      <c r="R390" s="53">
        <f t="shared" si="258"/>
        <v>0</v>
      </c>
      <c r="S390" s="53">
        <f t="shared" si="258"/>
        <v>0</v>
      </c>
      <c r="T390" s="53">
        <f t="shared" si="258"/>
        <v>0</v>
      </c>
      <c r="U390" s="53">
        <f t="shared" si="258"/>
        <v>0</v>
      </c>
      <c r="V390" s="53">
        <f t="shared" si="258"/>
        <v>0</v>
      </c>
      <c r="W390" s="53">
        <f t="shared" si="258"/>
        <v>0</v>
      </c>
      <c r="X390" s="53">
        <f t="shared" si="258"/>
        <v>0</v>
      </c>
      <c r="Y390" s="53">
        <f t="shared" si="258"/>
        <v>0</v>
      </c>
      <c r="Z390" s="53">
        <f t="shared" si="258"/>
        <v>0</v>
      </c>
      <c r="AA390" s="53">
        <f t="shared" si="258"/>
        <v>0</v>
      </c>
      <c r="AB390" s="53">
        <f t="shared" si="258"/>
        <v>0</v>
      </c>
      <c r="AC390" s="53">
        <f t="shared" si="258"/>
        <v>0</v>
      </c>
      <c r="AD390" s="53">
        <f t="shared" si="258"/>
        <v>0</v>
      </c>
      <c r="AE390" s="53">
        <f t="shared" si="258"/>
        <v>0</v>
      </c>
      <c r="AF390" s="53">
        <f t="shared" si="258"/>
        <v>0</v>
      </c>
      <c r="AG390" s="53">
        <f t="shared" si="258"/>
        <v>0</v>
      </c>
      <c r="AH390" s="53">
        <f t="shared" si="258"/>
        <v>0</v>
      </c>
      <c r="AI390" s="53">
        <f t="shared" si="258"/>
        <v>0</v>
      </c>
      <c r="AJ390" s="53">
        <f t="shared" si="258"/>
        <v>0</v>
      </c>
      <c r="AK390" s="53">
        <f t="shared" si="258"/>
        <v>0</v>
      </c>
      <c r="AL390" s="53">
        <f t="shared" si="258"/>
        <v>0</v>
      </c>
      <c r="AM390" s="53">
        <f t="shared" si="258"/>
        <v>0</v>
      </c>
      <c r="AN390" s="53">
        <f t="shared" si="258"/>
        <v>0</v>
      </c>
      <c r="AO390" s="53">
        <f t="shared" si="258"/>
        <v>0</v>
      </c>
      <c r="AP390" s="53">
        <f t="shared" si="258"/>
        <v>0</v>
      </c>
      <c r="AQ390" s="53">
        <f t="shared" si="258"/>
        <v>0</v>
      </c>
      <c r="AR390" s="53">
        <f t="shared" si="258"/>
        <v>0</v>
      </c>
      <c r="AS390" s="53">
        <f t="shared" si="258"/>
        <v>0</v>
      </c>
      <c r="AT390" s="53">
        <f t="shared" si="258"/>
        <v>0</v>
      </c>
      <c r="AU390" s="53">
        <f t="shared" si="258"/>
        <v>0</v>
      </c>
      <c r="AV390" s="53">
        <f t="shared" si="258"/>
        <v>0</v>
      </c>
      <c r="AW390" s="53">
        <f t="shared" si="258"/>
        <v>0</v>
      </c>
      <c r="AX390" s="53">
        <f t="shared" si="258"/>
        <v>0</v>
      </c>
      <c r="AY390" s="53">
        <f t="shared" si="258"/>
        <v>0</v>
      </c>
      <c r="AZ390" s="53">
        <f t="shared" si="258"/>
        <v>0</v>
      </c>
      <c r="BA390" s="53">
        <f t="shared" si="258"/>
        <v>0</v>
      </c>
      <c r="BB390" s="53">
        <f t="shared" si="258"/>
        <v>0</v>
      </c>
      <c r="BC390" s="53">
        <f t="shared" si="258"/>
        <v>0</v>
      </c>
      <c r="BD390" s="53">
        <f t="shared" si="258"/>
        <v>0</v>
      </c>
      <c r="BE390" s="53">
        <f t="shared" si="258"/>
        <v>0</v>
      </c>
      <c r="BF390" s="53">
        <f t="shared" si="258"/>
        <v>0</v>
      </c>
      <c r="BG390" s="53">
        <f t="shared" si="258"/>
        <v>0</v>
      </c>
      <c r="BH390" s="53">
        <f t="shared" si="258"/>
        <v>0</v>
      </c>
      <c r="BI390" s="53">
        <f t="shared" si="258"/>
        <v>0</v>
      </c>
      <c r="BJ390" s="53">
        <f t="shared" si="258"/>
        <v>0</v>
      </c>
      <c r="BK390" s="53">
        <f t="shared" si="258"/>
        <v>0</v>
      </c>
      <c r="BL390" s="53">
        <f t="shared" si="258"/>
        <v>0</v>
      </c>
      <c r="BM390" s="53">
        <f t="shared" si="258"/>
        <v>0</v>
      </c>
      <c r="BN390" s="53">
        <f t="shared" si="258"/>
        <v>0</v>
      </c>
      <c r="BO390" s="53">
        <f t="shared" ref="BO390:CX390" si="259">IFERROR(IF(BO$262=0,0,(BO131-BO132)/BO132),0)</f>
        <v>0</v>
      </c>
      <c r="BP390" s="53">
        <f t="shared" si="259"/>
        <v>0</v>
      </c>
      <c r="BQ390" s="53">
        <f t="shared" si="259"/>
        <v>0</v>
      </c>
      <c r="BR390" s="53">
        <f t="shared" si="259"/>
        <v>0</v>
      </c>
      <c r="BS390" s="53">
        <f t="shared" si="259"/>
        <v>0</v>
      </c>
      <c r="BT390" s="53">
        <f t="shared" si="259"/>
        <v>0</v>
      </c>
      <c r="BU390" s="53">
        <f t="shared" si="259"/>
        <v>0</v>
      </c>
      <c r="BV390" s="53">
        <f t="shared" si="259"/>
        <v>0</v>
      </c>
      <c r="BW390" s="53">
        <f t="shared" si="259"/>
        <v>0</v>
      </c>
      <c r="BX390" s="53">
        <f t="shared" si="259"/>
        <v>0</v>
      </c>
      <c r="BY390" s="53">
        <f t="shared" si="259"/>
        <v>0</v>
      </c>
      <c r="BZ390" s="53">
        <f t="shared" si="259"/>
        <v>0</v>
      </c>
      <c r="CA390" s="53">
        <f t="shared" si="259"/>
        <v>0</v>
      </c>
      <c r="CB390" s="53">
        <f t="shared" si="259"/>
        <v>0</v>
      </c>
      <c r="CC390" s="53">
        <f t="shared" si="259"/>
        <v>0</v>
      </c>
      <c r="CD390" s="53">
        <f t="shared" si="259"/>
        <v>0</v>
      </c>
      <c r="CE390" s="53">
        <f t="shared" si="259"/>
        <v>0</v>
      </c>
      <c r="CF390" s="53">
        <f t="shared" si="259"/>
        <v>0</v>
      </c>
      <c r="CG390" s="53">
        <f t="shared" si="259"/>
        <v>0</v>
      </c>
      <c r="CH390" s="53">
        <f t="shared" si="259"/>
        <v>0</v>
      </c>
      <c r="CI390" s="53">
        <f t="shared" si="259"/>
        <v>0</v>
      </c>
      <c r="CJ390" s="53">
        <f t="shared" si="259"/>
        <v>0</v>
      </c>
      <c r="CK390" s="53">
        <f t="shared" si="259"/>
        <v>0</v>
      </c>
      <c r="CL390" s="53">
        <f t="shared" si="259"/>
        <v>0</v>
      </c>
      <c r="CM390" s="53">
        <f t="shared" si="259"/>
        <v>0</v>
      </c>
      <c r="CN390" s="53">
        <f t="shared" si="259"/>
        <v>0</v>
      </c>
      <c r="CO390" s="53">
        <f t="shared" si="259"/>
        <v>0</v>
      </c>
      <c r="CP390" s="53">
        <f t="shared" si="259"/>
        <v>0</v>
      </c>
      <c r="CQ390" s="53">
        <f t="shared" si="259"/>
        <v>0</v>
      </c>
      <c r="CR390" s="53">
        <f t="shared" si="259"/>
        <v>0</v>
      </c>
      <c r="CS390" s="53">
        <f t="shared" si="259"/>
        <v>0</v>
      </c>
      <c r="CT390" s="53">
        <f t="shared" si="259"/>
        <v>0</v>
      </c>
      <c r="CU390" s="53">
        <f t="shared" si="259"/>
        <v>0</v>
      </c>
      <c r="CV390" s="53">
        <f t="shared" si="259"/>
        <v>0</v>
      </c>
      <c r="CW390" s="53">
        <f t="shared" si="259"/>
        <v>0</v>
      </c>
      <c r="CX390" s="53">
        <f t="shared" si="259"/>
        <v>0</v>
      </c>
      <c r="DB390" s="2" vm="639">
        <f ca="1">IF(Returns!A394&lt;&gt;0,Returns!A394,"")</f>
        <v>42926</v>
      </c>
      <c r="DC390" s="11">
        <f ca="1">IF(Returns!B405&gt;0,Returns!B405/Returns!B404-1,"")</f>
        <v>6.5438174013192629E-3</v>
      </c>
      <c r="DD390" s="11">
        <f ca="1">IF(Returns!D397&gt;0,Returns!D397/Returns!D396-1,"")</f>
        <v>1.2024381952008056E-2</v>
      </c>
    </row>
    <row r="391" spans="2:108" x14ac:dyDescent="0.3">
      <c r="B391" s="57">
        <f t="shared" ca="1" si="135"/>
        <v>5.5697932798390141E-4</v>
      </c>
      <c r="C391" s="53">
        <f t="shared" ref="C391:BN391" si="260">IFERROR(IF(C$262=0,0,(C132-C133)/C133),0)</f>
        <v>0</v>
      </c>
      <c r="D391" s="53">
        <f t="shared" si="260"/>
        <v>0</v>
      </c>
      <c r="E391" s="53">
        <f t="shared" si="260"/>
        <v>0</v>
      </c>
      <c r="F391" s="53">
        <f t="shared" si="260"/>
        <v>0</v>
      </c>
      <c r="G391" s="53">
        <f t="shared" si="260"/>
        <v>0</v>
      </c>
      <c r="H391" s="53">
        <f t="shared" si="260"/>
        <v>0</v>
      </c>
      <c r="I391" s="53">
        <f t="shared" si="260"/>
        <v>0</v>
      </c>
      <c r="J391" s="53">
        <f t="shared" si="260"/>
        <v>0</v>
      </c>
      <c r="K391" s="53">
        <f t="shared" si="260"/>
        <v>0</v>
      </c>
      <c r="L391" s="53">
        <f t="shared" si="260"/>
        <v>0</v>
      </c>
      <c r="M391" s="53">
        <f t="shared" si="260"/>
        <v>0</v>
      </c>
      <c r="N391" s="53">
        <f t="shared" si="260"/>
        <v>0</v>
      </c>
      <c r="O391" s="53">
        <f t="shared" si="260"/>
        <v>0</v>
      </c>
      <c r="P391" s="53">
        <f t="shared" si="260"/>
        <v>0</v>
      </c>
      <c r="Q391" s="53">
        <f t="shared" si="260"/>
        <v>0</v>
      </c>
      <c r="R391" s="53">
        <f t="shared" si="260"/>
        <v>0</v>
      </c>
      <c r="S391" s="53">
        <f t="shared" si="260"/>
        <v>0</v>
      </c>
      <c r="T391" s="53">
        <f t="shared" si="260"/>
        <v>0</v>
      </c>
      <c r="U391" s="53">
        <f t="shared" si="260"/>
        <v>0</v>
      </c>
      <c r="V391" s="53">
        <f t="shared" si="260"/>
        <v>0</v>
      </c>
      <c r="W391" s="53">
        <f t="shared" si="260"/>
        <v>0</v>
      </c>
      <c r="X391" s="53">
        <f t="shared" si="260"/>
        <v>0</v>
      </c>
      <c r="Y391" s="53">
        <f t="shared" si="260"/>
        <v>0</v>
      </c>
      <c r="Z391" s="53">
        <f t="shared" si="260"/>
        <v>0</v>
      </c>
      <c r="AA391" s="53">
        <f t="shared" si="260"/>
        <v>0</v>
      </c>
      <c r="AB391" s="53">
        <f t="shared" si="260"/>
        <v>0</v>
      </c>
      <c r="AC391" s="53">
        <f t="shared" si="260"/>
        <v>0</v>
      </c>
      <c r="AD391" s="53">
        <f t="shared" si="260"/>
        <v>0</v>
      </c>
      <c r="AE391" s="53">
        <f t="shared" si="260"/>
        <v>0</v>
      </c>
      <c r="AF391" s="53">
        <f t="shared" si="260"/>
        <v>0</v>
      </c>
      <c r="AG391" s="53">
        <f t="shared" si="260"/>
        <v>0</v>
      </c>
      <c r="AH391" s="53">
        <f t="shared" si="260"/>
        <v>0</v>
      </c>
      <c r="AI391" s="53">
        <f t="shared" si="260"/>
        <v>0</v>
      </c>
      <c r="AJ391" s="53">
        <f t="shared" si="260"/>
        <v>0</v>
      </c>
      <c r="AK391" s="53">
        <f t="shared" si="260"/>
        <v>0</v>
      </c>
      <c r="AL391" s="53">
        <f t="shared" si="260"/>
        <v>0</v>
      </c>
      <c r="AM391" s="53">
        <f t="shared" si="260"/>
        <v>0</v>
      </c>
      <c r="AN391" s="53">
        <f t="shared" si="260"/>
        <v>0</v>
      </c>
      <c r="AO391" s="53">
        <f t="shared" si="260"/>
        <v>0</v>
      </c>
      <c r="AP391" s="53">
        <f t="shared" si="260"/>
        <v>0</v>
      </c>
      <c r="AQ391" s="53">
        <f t="shared" si="260"/>
        <v>0</v>
      </c>
      <c r="AR391" s="53">
        <f t="shared" si="260"/>
        <v>0</v>
      </c>
      <c r="AS391" s="53">
        <f t="shared" si="260"/>
        <v>0</v>
      </c>
      <c r="AT391" s="53">
        <f t="shared" si="260"/>
        <v>0</v>
      </c>
      <c r="AU391" s="53">
        <f t="shared" si="260"/>
        <v>0</v>
      </c>
      <c r="AV391" s="53">
        <f t="shared" si="260"/>
        <v>0</v>
      </c>
      <c r="AW391" s="53">
        <f t="shared" si="260"/>
        <v>0</v>
      </c>
      <c r="AX391" s="53">
        <f t="shared" si="260"/>
        <v>0</v>
      </c>
      <c r="AY391" s="53">
        <f t="shared" si="260"/>
        <v>0</v>
      </c>
      <c r="AZ391" s="53">
        <f t="shared" si="260"/>
        <v>0</v>
      </c>
      <c r="BA391" s="53">
        <f t="shared" si="260"/>
        <v>0</v>
      </c>
      <c r="BB391" s="53">
        <f t="shared" si="260"/>
        <v>0</v>
      </c>
      <c r="BC391" s="53">
        <f t="shared" si="260"/>
        <v>0</v>
      </c>
      <c r="BD391" s="53">
        <f t="shared" si="260"/>
        <v>0</v>
      </c>
      <c r="BE391" s="53">
        <f t="shared" si="260"/>
        <v>0</v>
      </c>
      <c r="BF391" s="53">
        <f t="shared" si="260"/>
        <v>0</v>
      </c>
      <c r="BG391" s="53">
        <f t="shared" si="260"/>
        <v>0</v>
      </c>
      <c r="BH391" s="53">
        <f t="shared" si="260"/>
        <v>0</v>
      </c>
      <c r="BI391" s="53">
        <f t="shared" si="260"/>
        <v>0</v>
      </c>
      <c r="BJ391" s="53">
        <f t="shared" si="260"/>
        <v>0</v>
      </c>
      <c r="BK391" s="53">
        <f t="shared" si="260"/>
        <v>0</v>
      </c>
      <c r="BL391" s="53">
        <f t="shared" si="260"/>
        <v>0</v>
      </c>
      <c r="BM391" s="53">
        <f t="shared" si="260"/>
        <v>0</v>
      </c>
      <c r="BN391" s="53">
        <f t="shared" si="260"/>
        <v>0</v>
      </c>
      <c r="BO391" s="53">
        <f t="shared" ref="BO391:CX391" si="261">IFERROR(IF(BO$262=0,0,(BO132-BO133)/BO133),0)</f>
        <v>0</v>
      </c>
      <c r="BP391" s="53">
        <f t="shared" si="261"/>
        <v>0</v>
      </c>
      <c r="BQ391" s="53">
        <f t="shared" si="261"/>
        <v>0</v>
      </c>
      <c r="BR391" s="53">
        <f t="shared" si="261"/>
        <v>0</v>
      </c>
      <c r="BS391" s="53">
        <f t="shared" si="261"/>
        <v>0</v>
      </c>
      <c r="BT391" s="53">
        <f t="shared" si="261"/>
        <v>0</v>
      </c>
      <c r="BU391" s="53">
        <f t="shared" si="261"/>
        <v>0</v>
      </c>
      <c r="BV391" s="53">
        <f t="shared" si="261"/>
        <v>0</v>
      </c>
      <c r="BW391" s="53">
        <f t="shared" si="261"/>
        <v>0</v>
      </c>
      <c r="BX391" s="53">
        <f t="shared" si="261"/>
        <v>0</v>
      </c>
      <c r="BY391" s="53">
        <f t="shared" si="261"/>
        <v>0</v>
      </c>
      <c r="BZ391" s="53">
        <f t="shared" si="261"/>
        <v>0</v>
      </c>
      <c r="CA391" s="53">
        <f t="shared" si="261"/>
        <v>0</v>
      </c>
      <c r="CB391" s="53">
        <f t="shared" si="261"/>
        <v>0</v>
      </c>
      <c r="CC391" s="53">
        <f t="shared" si="261"/>
        <v>0</v>
      </c>
      <c r="CD391" s="53">
        <f t="shared" si="261"/>
        <v>0</v>
      </c>
      <c r="CE391" s="53">
        <f t="shared" si="261"/>
        <v>0</v>
      </c>
      <c r="CF391" s="53">
        <f t="shared" si="261"/>
        <v>0</v>
      </c>
      <c r="CG391" s="53">
        <f t="shared" si="261"/>
        <v>0</v>
      </c>
      <c r="CH391" s="53">
        <f t="shared" si="261"/>
        <v>0</v>
      </c>
      <c r="CI391" s="53">
        <f t="shared" si="261"/>
        <v>0</v>
      </c>
      <c r="CJ391" s="53">
        <f t="shared" si="261"/>
        <v>0</v>
      </c>
      <c r="CK391" s="53">
        <f t="shared" si="261"/>
        <v>0</v>
      </c>
      <c r="CL391" s="53">
        <f t="shared" si="261"/>
        <v>0</v>
      </c>
      <c r="CM391" s="53">
        <f t="shared" si="261"/>
        <v>0</v>
      </c>
      <c r="CN391" s="53">
        <f t="shared" si="261"/>
        <v>0</v>
      </c>
      <c r="CO391" s="53">
        <f t="shared" si="261"/>
        <v>0</v>
      </c>
      <c r="CP391" s="53">
        <f t="shared" si="261"/>
        <v>0</v>
      </c>
      <c r="CQ391" s="53">
        <f t="shared" si="261"/>
        <v>0</v>
      </c>
      <c r="CR391" s="53">
        <f t="shared" si="261"/>
        <v>0</v>
      </c>
      <c r="CS391" s="53">
        <f t="shared" si="261"/>
        <v>0</v>
      </c>
      <c r="CT391" s="53">
        <f t="shared" si="261"/>
        <v>0</v>
      </c>
      <c r="CU391" s="53">
        <f t="shared" si="261"/>
        <v>0</v>
      </c>
      <c r="CV391" s="53">
        <f t="shared" si="261"/>
        <v>0</v>
      </c>
      <c r="CW391" s="53">
        <f t="shared" si="261"/>
        <v>0</v>
      </c>
      <c r="CX391" s="53">
        <f t="shared" si="261"/>
        <v>0</v>
      </c>
      <c r="DB391" s="2" vm="640">
        <f ca="1">IF(Returns!A395&lt;&gt;0,Returns!A395,"")</f>
        <v>42933</v>
      </c>
      <c r="DC391" s="11">
        <f ca="1">IF(Returns!B406&gt;0,Returns!B406/Returns!B405-1,"")</f>
        <v>2.9364955531284043E-2</v>
      </c>
      <c r="DD391" s="11">
        <f ca="1">IF(Returns!D398&gt;0,Returns!D398/Returns!D397-1,"")</f>
        <v>-1.0613698742638622E-2</v>
      </c>
    </row>
    <row r="392" spans="2:108" x14ac:dyDescent="0.3">
      <c r="B392" s="57">
        <f t="shared" ca="1" si="135"/>
        <v>5.243777801550582E-4</v>
      </c>
      <c r="C392" s="53">
        <f t="shared" ref="C392:BN392" si="262">IFERROR(IF(C$262=0,0,(C133-C134)/C134),0)</f>
        <v>0</v>
      </c>
      <c r="D392" s="53">
        <f t="shared" si="262"/>
        <v>0</v>
      </c>
      <c r="E392" s="53">
        <f t="shared" si="262"/>
        <v>0</v>
      </c>
      <c r="F392" s="53">
        <f t="shared" si="262"/>
        <v>0</v>
      </c>
      <c r="G392" s="53">
        <f t="shared" si="262"/>
        <v>0</v>
      </c>
      <c r="H392" s="53">
        <f t="shared" si="262"/>
        <v>0</v>
      </c>
      <c r="I392" s="53">
        <f t="shared" si="262"/>
        <v>0</v>
      </c>
      <c r="J392" s="53">
        <f t="shared" si="262"/>
        <v>0</v>
      </c>
      <c r="K392" s="53">
        <f t="shared" si="262"/>
        <v>0</v>
      </c>
      <c r="L392" s="53">
        <f t="shared" si="262"/>
        <v>0</v>
      </c>
      <c r="M392" s="53">
        <f t="shared" si="262"/>
        <v>0</v>
      </c>
      <c r="N392" s="53">
        <f t="shared" si="262"/>
        <v>0</v>
      </c>
      <c r="O392" s="53">
        <f t="shared" si="262"/>
        <v>0</v>
      </c>
      <c r="P392" s="53">
        <f t="shared" si="262"/>
        <v>0</v>
      </c>
      <c r="Q392" s="53">
        <f t="shared" si="262"/>
        <v>0</v>
      </c>
      <c r="R392" s="53">
        <f t="shared" si="262"/>
        <v>0</v>
      </c>
      <c r="S392" s="53">
        <f t="shared" si="262"/>
        <v>0</v>
      </c>
      <c r="T392" s="53">
        <f t="shared" si="262"/>
        <v>0</v>
      </c>
      <c r="U392" s="53">
        <f t="shared" si="262"/>
        <v>0</v>
      </c>
      <c r="V392" s="53">
        <f t="shared" si="262"/>
        <v>0</v>
      </c>
      <c r="W392" s="53">
        <f t="shared" si="262"/>
        <v>0</v>
      </c>
      <c r="X392" s="53">
        <f t="shared" si="262"/>
        <v>0</v>
      </c>
      <c r="Y392" s="53">
        <f t="shared" si="262"/>
        <v>0</v>
      </c>
      <c r="Z392" s="53">
        <f t="shared" si="262"/>
        <v>0</v>
      </c>
      <c r="AA392" s="53">
        <f t="shared" si="262"/>
        <v>0</v>
      </c>
      <c r="AB392" s="53">
        <f t="shared" si="262"/>
        <v>0</v>
      </c>
      <c r="AC392" s="53">
        <f t="shared" si="262"/>
        <v>0</v>
      </c>
      <c r="AD392" s="53">
        <f t="shared" si="262"/>
        <v>0</v>
      </c>
      <c r="AE392" s="53">
        <f t="shared" si="262"/>
        <v>0</v>
      </c>
      <c r="AF392" s="53">
        <f t="shared" si="262"/>
        <v>0</v>
      </c>
      <c r="AG392" s="53">
        <f t="shared" si="262"/>
        <v>0</v>
      </c>
      <c r="AH392" s="53">
        <f t="shared" si="262"/>
        <v>0</v>
      </c>
      <c r="AI392" s="53">
        <f t="shared" si="262"/>
        <v>0</v>
      </c>
      <c r="AJ392" s="53">
        <f t="shared" si="262"/>
        <v>0</v>
      </c>
      <c r="AK392" s="53">
        <f t="shared" si="262"/>
        <v>0</v>
      </c>
      <c r="AL392" s="53">
        <f t="shared" si="262"/>
        <v>0</v>
      </c>
      <c r="AM392" s="53">
        <f t="shared" si="262"/>
        <v>0</v>
      </c>
      <c r="AN392" s="53">
        <f t="shared" si="262"/>
        <v>0</v>
      </c>
      <c r="AO392" s="53">
        <f t="shared" si="262"/>
        <v>0</v>
      </c>
      <c r="AP392" s="53">
        <f t="shared" si="262"/>
        <v>0</v>
      </c>
      <c r="AQ392" s="53">
        <f t="shared" si="262"/>
        <v>0</v>
      </c>
      <c r="AR392" s="53">
        <f t="shared" si="262"/>
        <v>0</v>
      </c>
      <c r="AS392" s="53">
        <f t="shared" si="262"/>
        <v>0</v>
      </c>
      <c r="AT392" s="53">
        <f t="shared" si="262"/>
        <v>0</v>
      </c>
      <c r="AU392" s="53">
        <f t="shared" si="262"/>
        <v>0</v>
      </c>
      <c r="AV392" s="53">
        <f t="shared" si="262"/>
        <v>0</v>
      </c>
      <c r="AW392" s="53">
        <f t="shared" si="262"/>
        <v>0</v>
      </c>
      <c r="AX392" s="53">
        <f t="shared" si="262"/>
        <v>0</v>
      </c>
      <c r="AY392" s="53">
        <f t="shared" si="262"/>
        <v>0</v>
      </c>
      <c r="AZ392" s="53">
        <f t="shared" si="262"/>
        <v>0</v>
      </c>
      <c r="BA392" s="53">
        <f t="shared" si="262"/>
        <v>0</v>
      </c>
      <c r="BB392" s="53">
        <f t="shared" si="262"/>
        <v>0</v>
      </c>
      <c r="BC392" s="53">
        <f t="shared" si="262"/>
        <v>0</v>
      </c>
      <c r="BD392" s="53">
        <f t="shared" si="262"/>
        <v>0</v>
      </c>
      <c r="BE392" s="53">
        <f t="shared" si="262"/>
        <v>0</v>
      </c>
      <c r="BF392" s="53">
        <f t="shared" si="262"/>
        <v>0</v>
      </c>
      <c r="BG392" s="53">
        <f t="shared" si="262"/>
        <v>0</v>
      </c>
      <c r="BH392" s="53">
        <f t="shared" si="262"/>
        <v>0</v>
      </c>
      <c r="BI392" s="53">
        <f t="shared" si="262"/>
        <v>0</v>
      </c>
      <c r="BJ392" s="53">
        <f t="shared" si="262"/>
        <v>0</v>
      </c>
      <c r="BK392" s="53">
        <f t="shared" si="262"/>
        <v>0</v>
      </c>
      <c r="BL392" s="53">
        <f t="shared" si="262"/>
        <v>0</v>
      </c>
      <c r="BM392" s="53">
        <f t="shared" si="262"/>
        <v>0</v>
      </c>
      <c r="BN392" s="53">
        <f t="shared" si="262"/>
        <v>0</v>
      </c>
      <c r="BO392" s="53">
        <f t="shared" ref="BO392:CX392" si="263">IFERROR(IF(BO$262=0,0,(BO133-BO134)/BO134),0)</f>
        <v>0</v>
      </c>
      <c r="BP392" s="53">
        <f t="shared" si="263"/>
        <v>0</v>
      </c>
      <c r="BQ392" s="53">
        <f t="shared" si="263"/>
        <v>0</v>
      </c>
      <c r="BR392" s="53">
        <f t="shared" si="263"/>
        <v>0</v>
      </c>
      <c r="BS392" s="53">
        <f t="shared" si="263"/>
        <v>0</v>
      </c>
      <c r="BT392" s="53">
        <f t="shared" si="263"/>
        <v>0</v>
      </c>
      <c r="BU392" s="53">
        <f t="shared" si="263"/>
        <v>0</v>
      </c>
      <c r="BV392" s="53">
        <f t="shared" si="263"/>
        <v>0</v>
      </c>
      <c r="BW392" s="53">
        <f t="shared" si="263"/>
        <v>0</v>
      </c>
      <c r="BX392" s="53">
        <f t="shared" si="263"/>
        <v>0</v>
      </c>
      <c r="BY392" s="53">
        <f t="shared" si="263"/>
        <v>0</v>
      </c>
      <c r="BZ392" s="53">
        <f t="shared" si="263"/>
        <v>0</v>
      </c>
      <c r="CA392" s="53">
        <f t="shared" si="263"/>
        <v>0</v>
      </c>
      <c r="CB392" s="53">
        <f t="shared" si="263"/>
        <v>0</v>
      </c>
      <c r="CC392" s="53">
        <f t="shared" si="263"/>
        <v>0</v>
      </c>
      <c r="CD392" s="53">
        <f t="shared" si="263"/>
        <v>0</v>
      </c>
      <c r="CE392" s="53">
        <f t="shared" si="263"/>
        <v>0</v>
      </c>
      <c r="CF392" s="53">
        <f t="shared" si="263"/>
        <v>0</v>
      </c>
      <c r="CG392" s="53">
        <f t="shared" si="263"/>
        <v>0</v>
      </c>
      <c r="CH392" s="53">
        <f t="shared" si="263"/>
        <v>0</v>
      </c>
      <c r="CI392" s="53">
        <f t="shared" si="263"/>
        <v>0</v>
      </c>
      <c r="CJ392" s="53">
        <f t="shared" si="263"/>
        <v>0</v>
      </c>
      <c r="CK392" s="53">
        <f t="shared" si="263"/>
        <v>0</v>
      </c>
      <c r="CL392" s="53">
        <f t="shared" si="263"/>
        <v>0</v>
      </c>
      <c r="CM392" s="53">
        <f t="shared" si="263"/>
        <v>0</v>
      </c>
      <c r="CN392" s="53">
        <f t="shared" si="263"/>
        <v>0</v>
      </c>
      <c r="CO392" s="53">
        <f t="shared" si="263"/>
        <v>0</v>
      </c>
      <c r="CP392" s="53">
        <f t="shared" si="263"/>
        <v>0</v>
      </c>
      <c r="CQ392" s="53">
        <f t="shared" si="263"/>
        <v>0</v>
      </c>
      <c r="CR392" s="53">
        <f t="shared" si="263"/>
        <v>0</v>
      </c>
      <c r="CS392" s="53">
        <f t="shared" si="263"/>
        <v>0</v>
      </c>
      <c r="CT392" s="53">
        <f t="shared" si="263"/>
        <v>0</v>
      </c>
      <c r="CU392" s="53">
        <f t="shared" si="263"/>
        <v>0</v>
      </c>
      <c r="CV392" s="53">
        <f t="shared" si="263"/>
        <v>0</v>
      </c>
      <c r="CW392" s="53">
        <f t="shared" si="263"/>
        <v>0</v>
      </c>
      <c r="CX392" s="53">
        <f t="shared" si="263"/>
        <v>0</v>
      </c>
      <c r="DB392" s="2" vm="641">
        <f ca="1">IF(Returns!A396&lt;&gt;0,Returns!A396,"")</f>
        <v>42940</v>
      </c>
      <c r="DC392" s="11">
        <f ca="1">IF(Returns!B407&gt;0,Returns!B407/Returns!B406-1,"")</f>
        <v>1.3500677054912202E-2</v>
      </c>
      <c r="DD392" s="11">
        <f ca="1">IF(Returns!D399&gt;0,Returns!D399/Returns!D398-1,"")</f>
        <v>-8.409099751157556E-3</v>
      </c>
    </row>
    <row r="393" spans="2:108" x14ac:dyDescent="0.3">
      <c r="B393" s="57">
        <f t="shared" ref="B393:B456" ca="1" si="264">IF(B391=0,0,(B134-B135)/B135)</f>
        <v>7.5469591209930111E-5</v>
      </c>
      <c r="C393" s="53">
        <f t="shared" ref="C393:BN393" si="265">IFERROR(IF(C$262=0,0,(C134-C135)/C135),0)</f>
        <v>0</v>
      </c>
      <c r="D393" s="53">
        <f t="shared" si="265"/>
        <v>0</v>
      </c>
      <c r="E393" s="53">
        <f t="shared" si="265"/>
        <v>0</v>
      </c>
      <c r="F393" s="53">
        <f t="shared" si="265"/>
        <v>0</v>
      </c>
      <c r="G393" s="53">
        <f t="shared" si="265"/>
        <v>0</v>
      </c>
      <c r="H393" s="53">
        <f t="shared" si="265"/>
        <v>0</v>
      </c>
      <c r="I393" s="53">
        <f t="shared" si="265"/>
        <v>0</v>
      </c>
      <c r="J393" s="53">
        <f t="shared" si="265"/>
        <v>0</v>
      </c>
      <c r="K393" s="53">
        <f t="shared" si="265"/>
        <v>0</v>
      </c>
      <c r="L393" s="53">
        <f t="shared" si="265"/>
        <v>0</v>
      </c>
      <c r="M393" s="53">
        <f t="shared" si="265"/>
        <v>0</v>
      </c>
      <c r="N393" s="53">
        <f t="shared" si="265"/>
        <v>0</v>
      </c>
      <c r="O393" s="53">
        <f t="shared" si="265"/>
        <v>0</v>
      </c>
      <c r="P393" s="53">
        <f t="shared" si="265"/>
        <v>0</v>
      </c>
      <c r="Q393" s="53">
        <f t="shared" si="265"/>
        <v>0</v>
      </c>
      <c r="R393" s="53">
        <f t="shared" si="265"/>
        <v>0</v>
      </c>
      <c r="S393" s="53">
        <f t="shared" si="265"/>
        <v>0</v>
      </c>
      <c r="T393" s="53">
        <f t="shared" si="265"/>
        <v>0</v>
      </c>
      <c r="U393" s="53">
        <f t="shared" si="265"/>
        <v>0</v>
      </c>
      <c r="V393" s="53">
        <f t="shared" si="265"/>
        <v>0</v>
      </c>
      <c r="W393" s="53">
        <f t="shared" si="265"/>
        <v>0</v>
      </c>
      <c r="X393" s="53">
        <f t="shared" si="265"/>
        <v>0</v>
      </c>
      <c r="Y393" s="53">
        <f t="shared" si="265"/>
        <v>0</v>
      </c>
      <c r="Z393" s="53">
        <f t="shared" si="265"/>
        <v>0</v>
      </c>
      <c r="AA393" s="53">
        <f t="shared" si="265"/>
        <v>0</v>
      </c>
      <c r="AB393" s="53">
        <f t="shared" si="265"/>
        <v>0</v>
      </c>
      <c r="AC393" s="53">
        <f t="shared" si="265"/>
        <v>0</v>
      </c>
      <c r="AD393" s="53">
        <f t="shared" si="265"/>
        <v>0</v>
      </c>
      <c r="AE393" s="53">
        <f t="shared" si="265"/>
        <v>0</v>
      </c>
      <c r="AF393" s="53">
        <f t="shared" si="265"/>
        <v>0</v>
      </c>
      <c r="AG393" s="53">
        <f t="shared" si="265"/>
        <v>0</v>
      </c>
      <c r="AH393" s="53">
        <f t="shared" si="265"/>
        <v>0</v>
      </c>
      <c r="AI393" s="53">
        <f t="shared" si="265"/>
        <v>0</v>
      </c>
      <c r="AJ393" s="53">
        <f t="shared" si="265"/>
        <v>0</v>
      </c>
      <c r="AK393" s="53">
        <f t="shared" si="265"/>
        <v>0</v>
      </c>
      <c r="AL393" s="53">
        <f t="shared" si="265"/>
        <v>0</v>
      </c>
      <c r="AM393" s="53">
        <f t="shared" si="265"/>
        <v>0</v>
      </c>
      <c r="AN393" s="53">
        <f t="shared" si="265"/>
        <v>0</v>
      </c>
      <c r="AO393" s="53">
        <f t="shared" si="265"/>
        <v>0</v>
      </c>
      <c r="AP393" s="53">
        <f t="shared" si="265"/>
        <v>0</v>
      </c>
      <c r="AQ393" s="53">
        <f t="shared" si="265"/>
        <v>0</v>
      </c>
      <c r="AR393" s="53">
        <f t="shared" si="265"/>
        <v>0</v>
      </c>
      <c r="AS393" s="53">
        <f t="shared" si="265"/>
        <v>0</v>
      </c>
      <c r="AT393" s="53">
        <f t="shared" si="265"/>
        <v>0</v>
      </c>
      <c r="AU393" s="53">
        <f t="shared" si="265"/>
        <v>0</v>
      </c>
      <c r="AV393" s="53">
        <f t="shared" si="265"/>
        <v>0</v>
      </c>
      <c r="AW393" s="53">
        <f t="shared" si="265"/>
        <v>0</v>
      </c>
      <c r="AX393" s="53">
        <f t="shared" si="265"/>
        <v>0</v>
      </c>
      <c r="AY393" s="53">
        <f t="shared" si="265"/>
        <v>0</v>
      </c>
      <c r="AZ393" s="53">
        <f t="shared" si="265"/>
        <v>0</v>
      </c>
      <c r="BA393" s="53">
        <f t="shared" si="265"/>
        <v>0</v>
      </c>
      <c r="BB393" s="53">
        <f t="shared" si="265"/>
        <v>0</v>
      </c>
      <c r="BC393" s="53">
        <f t="shared" si="265"/>
        <v>0</v>
      </c>
      <c r="BD393" s="53">
        <f t="shared" si="265"/>
        <v>0</v>
      </c>
      <c r="BE393" s="53">
        <f t="shared" si="265"/>
        <v>0</v>
      </c>
      <c r="BF393" s="53">
        <f t="shared" si="265"/>
        <v>0</v>
      </c>
      <c r="BG393" s="53">
        <f t="shared" si="265"/>
        <v>0</v>
      </c>
      <c r="BH393" s="53">
        <f t="shared" si="265"/>
        <v>0</v>
      </c>
      <c r="BI393" s="53">
        <f t="shared" si="265"/>
        <v>0</v>
      </c>
      <c r="BJ393" s="53">
        <f t="shared" si="265"/>
        <v>0</v>
      </c>
      <c r="BK393" s="53">
        <f t="shared" si="265"/>
        <v>0</v>
      </c>
      <c r="BL393" s="53">
        <f t="shared" si="265"/>
        <v>0</v>
      </c>
      <c r="BM393" s="53">
        <f t="shared" si="265"/>
        <v>0</v>
      </c>
      <c r="BN393" s="53">
        <f t="shared" si="265"/>
        <v>0</v>
      </c>
      <c r="BO393" s="53">
        <f t="shared" ref="BO393:CX393" si="266">IFERROR(IF(BO$262=0,0,(BO134-BO135)/BO135),0)</f>
        <v>0</v>
      </c>
      <c r="BP393" s="53">
        <f t="shared" si="266"/>
        <v>0</v>
      </c>
      <c r="BQ393" s="53">
        <f t="shared" si="266"/>
        <v>0</v>
      </c>
      <c r="BR393" s="53">
        <f t="shared" si="266"/>
        <v>0</v>
      </c>
      <c r="BS393" s="53">
        <f t="shared" si="266"/>
        <v>0</v>
      </c>
      <c r="BT393" s="53">
        <f t="shared" si="266"/>
        <v>0</v>
      </c>
      <c r="BU393" s="53">
        <f t="shared" si="266"/>
        <v>0</v>
      </c>
      <c r="BV393" s="53">
        <f t="shared" si="266"/>
        <v>0</v>
      </c>
      <c r="BW393" s="53">
        <f t="shared" si="266"/>
        <v>0</v>
      </c>
      <c r="BX393" s="53">
        <f t="shared" si="266"/>
        <v>0</v>
      </c>
      <c r="BY393" s="53">
        <f t="shared" si="266"/>
        <v>0</v>
      </c>
      <c r="BZ393" s="53">
        <f t="shared" si="266"/>
        <v>0</v>
      </c>
      <c r="CA393" s="53">
        <f t="shared" si="266"/>
        <v>0</v>
      </c>
      <c r="CB393" s="53">
        <f t="shared" si="266"/>
        <v>0</v>
      </c>
      <c r="CC393" s="53">
        <f t="shared" si="266"/>
        <v>0</v>
      </c>
      <c r="CD393" s="53">
        <f t="shared" si="266"/>
        <v>0</v>
      </c>
      <c r="CE393" s="53">
        <f t="shared" si="266"/>
        <v>0</v>
      </c>
      <c r="CF393" s="53">
        <f t="shared" si="266"/>
        <v>0</v>
      </c>
      <c r="CG393" s="53">
        <f t="shared" si="266"/>
        <v>0</v>
      </c>
      <c r="CH393" s="53">
        <f t="shared" si="266"/>
        <v>0</v>
      </c>
      <c r="CI393" s="53">
        <f t="shared" si="266"/>
        <v>0</v>
      </c>
      <c r="CJ393" s="53">
        <f t="shared" si="266"/>
        <v>0</v>
      </c>
      <c r="CK393" s="53">
        <f t="shared" si="266"/>
        <v>0</v>
      </c>
      <c r="CL393" s="53">
        <f t="shared" si="266"/>
        <v>0</v>
      </c>
      <c r="CM393" s="53">
        <f t="shared" si="266"/>
        <v>0</v>
      </c>
      <c r="CN393" s="53">
        <f t="shared" si="266"/>
        <v>0</v>
      </c>
      <c r="CO393" s="53">
        <f t="shared" si="266"/>
        <v>0</v>
      </c>
      <c r="CP393" s="53">
        <f t="shared" si="266"/>
        <v>0</v>
      </c>
      <c r="CQ393" s="53">
        <f t="shared" si="266"/>
        <v>0</v>
      </c>
      <c r="CR393" s="53">
        <f t="shared" si="266"/>
        <v>0</v>
      </c>
      <c r="CS393" s="53">
        <f t="shared" si="266"/>
        <v>0</v>
      </c>
      <c r="CT393" s="53">
        <f t="shared" si="266"/>
        <v>0</v>
      </c>
      <c r="CU393" s="53">
        <f t="shared" si="266"/>
        <v>0</v>
      </c>
      <c r="CV393" s="53">
        <f t="shared" si="266"/>
        <v>0</v>
      </c>
      <c r="CW393" s="53">
        <f t="shared" si="266"/>
        <v>0</v>
      </c>
      <c r="CX393" s="53">
        <f t="shared" si="266"/>
        <v>0</v>
      </c>
      <c r="DB393" s="2" vm="642">
        <f ca="1">IF(Returns!A397&lt;&gt;0,Returns!A397,"")</f>
        <v>42947</v>
      </c>
      <c r="DC393" s="11">
        <f ca="1">IF(Returns!B408&gt;0,Returns!B408/Returns!B407-1,"")</f>
        <v>-1.9971284423794033E-2</v>
      </c>
      <c r="DD393" s="11">
        <f ca="1">IF(Returns!D400&gt;0,Returns!D400/Returns!D399-1,"")</f>
        <v>6.4203429355180752E-3</v>
      </c>
    </row>
    <row r="394" spans="2:108" x14ac:dyDescent="0.3">
      <c r="B394" s="57">
        <f t="shared" ca="1" si="264"/>
        <v>4.4836770362790374E-4</v>
      </c>
      <c r="C394" s="53">
        <f t="shared" ref="C394:BN394" si="267">IFERROR(IF(C$262=0,0,(C135-C136)/C136),0)</f>
        <v>0</v>
      </c>
      <c r="D394" s="53">
        <f t="shared" si="267"/>
        <v>0</v>
      </c>
      <c r="E394" s="53">
        <f t="shared" si="267"/>
        <v>0</v>
      </c>
      <c r="F394" s="53">
        <f t="shared" si="267"/>
        <v>0</v>
      </c>
      <c r="G394" s="53">
        <f t="shared" si="267"/>
        <v>0</v>
      </c>
      <c r="H394" s="53">
        <f t="shared" si="267"/>
        <v>0</v>
      </c>
      <c r="I394" s="53">
        <f t="shared" si="267"/>
        <v>0</v>
      </c>
      <c r="J394" s="53">
        <f t="shared" si="267"/>
        <v>0</v>
      </c>
      <c r="K394" s="53">
        <f t="shared" si="267"/>
        <v>0</v>
      </c>
      <c r="L394" s="53">
        <f t="shared" si="267"/>
        <v>0</v>
      </c>
      <c r="M394" s="53">
        <f t="shared" si="267"/>
        <v>0</v>
      </c>
      <c r="N394" s="53">
        <f t="shared" si="267"/>
        <v>0</v>
      </c>
      <c r="O394" s="53">
        <f t="shared" si="267"/>
        <v>0</v>
      </c>
      <c r="P394" s="53">
        <f t="shared" si="267"/>
        <v>0</v>
      </c>
      <c r="Q394" s="53">
        <f t="shared" si="267"/>
        <v>0</v>
      </c>
      <c r="R394" s="53">
        <f t="shared" si="267"/>
        <v>0</v>
      </c>
      <c r="S394" s="53">
        <f t="shared" si="267"/>
        <v>0</v>
      </c>
      <c r="T394" s="53">
        <f t="shared" si="267"/>
        <v>0</v>
      </c>
      <c r="U394" s="53">
        <f t="shared" si="267"/>
        <v>0</v>
      </c>
      <c r="V394" s="53">
        <f t="shared" si="267"/>
        <v>0</v>
      </c>
      <c r="W394" s="53">
        <f t="shared" si="267"/>
        <v>0</v>
      </c>
      <c r="X394" s="53">
        <f t="shared" si="267"/>
        <v>0</v>
      </c>
      <c r="Y394" s="53">
        <f t="shared" si="267"/>
        <v>0</v>
      </c>
      <c r="Z394" s="53">
        <f t="shared" si="267"/>
        <v>0</v>
      </c>
      <c r="AA394" s="53">
        <f t="shared" si="267"/>
        <v>0</v>
      </c>
      <c r="AB394" s="53">
        <f t="shared" si="267"/>
        <v>0</v>
      </c>
      <c r="AC394" s="53">
        <f t="shared" si="267"/>
        <v>0</v>
      </c>
      <c r="AD394" s="53">
        <f t="shared" si="267"/>
        <v>0</v>
      </c>
      <c r="AE394" s="53">
        <f t="shared" si="267"/>
        <v>0</v>
      </c>
      <c r="AF394" s="53">
        <f t="shared" si="267"/>
        <v>0</v>
      </c>
      <c r="AG394" s="53">
        <f t="shared" si="267"/>
        <v>0</v>
      </c>
      <c r="AH394" s="53">
        <f t="shared" si="267"/>
        <v>0</v>
      </c>
      <c r="AI394" s="53">
        <f t="shared" si="267"/>
        <v>0</v>
      </c>
      <c r="AJ394" s="53">
        <f t="shared" si="267"/>
        <v>0</v>
      </c>
      <c r="AK394" s="53">
        <f t="shared" si="267"/>
        <v>0</v>
      </c>
      <c r="AL394" s="53">
        <f t="shared" si="267"/>
        <v>0</v>
      </c>
      <c r="AM394" s="53">
        <f t="shared" si="267"/>
        <v>0</v>
      </c>
      <c r="AN394" s="53">
        <f t="shared" si="267"/>
        <v>0</v>
      </c>
      <c r="AO394" s="53">
        <f t="shared" si="267"/>
        <v>0</v>
      </c>
      <c r="AP394" s="53">
        <f t="shared" si="267"/>
        <v>0</v>
      </c>
      <c r="AQ394" s="53">
        <f t="shared" si="267"/>
        <v>0</v>
      </c>
      <c r="AR394" s="53">
        <f t="shared" si="267"/>
        <v>0</v>
      </c>
      <c r="AS394" s="53">
        <f t="shared" si="267"/>
        <v>0</v>
      </c>
      <c r="AT394" s="53">
        <f t="shared" si="267"/>
        <v>0</v>
      </c>
      <c r="AU394" s="53">
        <f t="shared" si="267"/>
        <v>0</v>
      </c>
      <c r="AV394" s="53">
        <f t="shared" si="267"/>
        <v>0</v>
      </c>
      <c r="AW394" s="53">
        <f t="shared" si="267"/>
        <v>0</v>
      </c>
      <c r="AX394" s="53">
        <f t="shared" si="267"/>
        <v>0</v>
      </c>
      <c r="AY394" s="53">
        <f t="shared" si="267"/>
        <v>0</v>
      </c>
      <c r="AZ394" s="53">
        <f t="shared" si="267"/>
        <v>0</v>
      </c>
      <c r="BA394" s="53">
        <f t="shared" si="267"/>
        <v>0</v>
      </c>
      <c r="BB394" s="53">
        <f t="shared" si="267"/>
        <v>0</v>
      </c>
      <c r="BC394" s="53">
        <f t="shared" si="267"/>
        <v>0</v>
      </c>
      <c r="BD394" s="53">
        <f t="shared" si="267"/>
        <v>0</v>
      </c>
      <c r="BE394" s="53">
        <f t="shared" si="267"/>
        <v>0</v>
      </c>
      <c r="BF394" s="53">
        <f t="shared" si="267"/>
        <v>0</v>
      </c>
      <c r="BG394" s="53">
        <f t="shared" si="267"/>
        <v>0</v>
      </c>
      <c r="BH394" s="53">
        <f t="shared" si="267"/>
        <v>0</v>
      </c>
      <c r="BI394" s="53">
        <f t="shared" si="267"/>
        <v>0</v>
      </c>
      <c r="BJ394" s="53">
        <f t="shared" si="267"/>
        <v>0</v>
      </c>
      <c r="BK394" s="53">
        <f t="shared" si="267"/>
        <v>0</v>
      </c>
      <c r="BL394" s="53">
        <f t="shared" si="267"/>
        <v>0</v>
      </c>
      <c r="BM394" s="53">
        <f t="shared" si="267"/>
        <v>0</v>
      </c>
      <c r="BN394" s="53">
        <f t="shared" si="267"/>
        <v>0</v>
      </c>
      <c r="BO394" s="53">
        <f t="shared" ref="BO394:CX394" si="268">IFERROR(IF(BO$262=0,0,(BO135-BO136)/BO136),0)</f>
        <v>0</v>
      </c>
      <c r="BP394" s="53">
        <f t="shared" si="268"/>
        <v>0</v>
      </c>
      <c r="BQ394" s="53">
        <f t="shared" si="268"/>
        <v>0</v>
      </c>
      <c r="BR394" s="53">
        <f t="shared" si="268"/>
        <v>0</v>
      </c>
      <c r="BS394" s="53">
        <f t="shared" si="268"/>
        <v>0</v>
      </c>
      <c r="BT394" s="53">
        <f t="shared" si="268"/>
        <v>0</v>
      </c>
      <c r="BU394" s="53">
        <f t="shared" si="268"/>
        <v>0</v>
      </c>
      <c r="BV394" s="53">
        <f t="shared" si="268"/>
        <v>0</v>
      </c>
      <c r="BW394" s="53">
        <f t="shared" si="268"/>
        <v>0</v>
      </c>
      <c r="BX394" s="53">
        <f t="shared" si="268"/>
        <v>0</v>
      </c>
      <c r="BY394" s="53">
        <f t="shared" si="268"/>
        <v>0</v>
      </c>
      <c r="BZ394" s="53">
        <f t="shared" si="268"/>
        <v>0</v>
      </c>
      <c r="CA394" s="53">
        <f t="shared" si="268"/>
        <v>0</v>
      </c>
      <c r="CB394" s="53">
        <f t="shared" si="268"/>
        <v>0</v>
      </c>
      <c r="CC394" s="53">
        <f t="shared" si="268"/>
        <v>0</v>
      </c>
      <c r="CD394" s="53">
        <f t="shared" si="268"/>
        <v>0</v>
      </c>
      <c r="CE394" s="53">
        <f t="shared" si="268"/>
        <v>0</v>
      </c>
      <c r="CF394" s="53">
        <f t="shared" si="268"/>
        <v>0</v>
      </c>
      <c r="CG394" s="53">
        <f t="shared" si="268"/>
        <v>0</v>
      </c>
      <c r="CH394" s="53">
        <f t="shared" si="268"/>
        <v>0</v>
      </c>
      <c r="CI394" s="53">
        <f t="shared" si="268"/>
        <v>0</v>
      </c>
      <c r="CJ394" s="53">
        <f t="shared" si="268"/>
        <v>0</v>
      </c>
      <c r="CK394" s="53">
        <f t="shared" si="268"/>
        <v>0</v>
      </c>
      <c r="CL394" s="53">
        <f t="shared" si="268"/>
        <v>0</v>
      </c>
      <c r="CM394" s="53">
        <f t="shared" si="268"/>
        <v>0</v>
      </c>
      <c r="CN394" s="53">
        <f t="shared" si="268"/>
        <v>0</v>
      </c>
      <c r="CO394" s="53">
        <f t="shared" si="268"/>
        <v>0</v>
      </c>
      <c r="CP394" s="53">
        <f t="shared" si="268"/>
        <v>0</v>
      </c>
      <c r="CQ394" s="53">
        <f t="shared" si="268"/>
        <v>0</v>
      </c>
      <c r="CR394" s="53">
        <f t="shared" si="268"/>
        <v>0</v>
      </c>
      <c r="CS394" s="53">
        <f t="shared" si="268"/>
        <v>0</v>
      </c>
      <c r="CT394" s="53">
        <f t="shared" si="268"/>
        <v>0</v>
      </c>
      <c r="CU394" s="53">
        <f t="shared" si="268"/>
        <v>0</v>
      </c>
      <c r="CV394" s="53">
        <f t="shared" si="268"/>
        <v>0</v>
      </c>
      <c r="CW394" s="53">
        <f t="shared" si="268"/>
        <v>0</v>
      </c>
      <c r="CX394" s="53">
        <f t="shared" si="268"/>
        <v>0</v>
      </c>
      <c r="DB394" s="2" vm="643">
        <f ca="1">IF(Returns!A398&lt;&gt;0,Returns!A398,"")</f>
        <v>42954</v>
      </c>
      <c r="DC394" s="11">
        <f ca="1">IF(Returns!B409&gt;0,Returns!B409/Returns!B408-1,"")</f>
        <v>0.12009237875288692</v>
      </c>
      <c r="DD394" s="11">
        <f ca="1">IF(Returns!D401&gt;0,Returns!D401/Returns!D400-1,"")</f>
        <v>7.9714280813034666E-3</v>
      </c>
    </row>
    <row r="395" spans="2:108" x14ac:dyDescent="0.3">
      <c r="B395" s="57">
        <f t="shared" ca="1" si="264"/>
        <v>1.924973400277447E-3</v>
      </c>
      <c r="C395" s="53">
        <f t="shared" ref="C395:BN395" si="269">IFERROR(IF(C$262=0,0,(C136-C137)/C137),0)</f>
        <v>0</v>
      </c>
      <c r="D395" s="53">
        <f t="shared" si="269"/>
        <v>0</v>
      </c>
      <c r="E395" s="53">
        <f t="shared" si="269"/>
        <v>0</v>
      </c>
      <c r="F395" s="53">
        <f t="shared" si="269"/>
        <v>0</v>
      </c>
      <c r="G395" s="53">
        <f t="shared" si="269"/>
        <v>0</v>
      </c>
      <c r="H395" s="53">
        <f t="shared" si="269"/>
        <v>0</v>
      </c>
      <c r="I395" s="53">
        <f t="shared" si="269"/>
        <v>0</v>
      </c>
      <c r="J395" s="53">
        <f t="shared" si="269"/>
        <v>0</v>
      </c>
      <c r="K395" s="53">
        <f t="shared" si="269"/>
        <v>0</v>
      </c>
      <c r="L395" s="53">
        <f t="shared" si="269"/>
        <v>0</v>
      </c>
      <c r="M395" s="53">
        <f t="shared" si="269"/>
        <v>0</v>
      </c>
      <c r="N395" s="53">
        <f t="shared" si="269"/>
        <v>0</v>
      </c>
      <c r="O395" s="53">
        <f t="shared" si="269"/>
        <v>0</v>
      </c>
      <c r="P395" s="53">
        <f t="shared" si="269"/>
        <v>0</v>
      </c>
      <c r="Q395" s="53">
        <f t="shared" si="269"/>
        <v>0</v>
      </c>
      <c r="R395" s="53">
        <f t="shared" si="269"/>
        <v>0</v>
      </c>
      <c r="S395" s="53">
        <f t="shared" si="269"/>
        <v>0</v>
      </c>
      <c r="T395" s="53">
        <f t="shared" si="269"/>
        <v>0</v>
      </c>
      <c r="U395" s="53">
        <f t="shared" si="269"/>
        <v>0</v>
      </c>
      <c r="V395" s="53">
        <f t="shared" si="269"/>
        <v>0</v>
      </c>
      <c r="W395" s="53">
        <f t="shared" si="269"/>
        <v>0</v>
      </c>
      <c r="X395" s="53">
        <f t="shared" si="269"/>
        <v>0</v>
      </c>
      <c r="Y395" s="53">
        <f t="shared" si="269"/>
        <v>0</v>
      </c>
      <c r="Z395" s="53">
        <f t="shared" si="269"/>
        <v>0</v>
      </c>
      <c r="AA395" s="53">
        <f t="shared" si="269"/>
        <v>0</v>
      </c>
      <c r="AB395" s="53">
        <f t="shared" si="269"/>
        <v>0</v>
      </c>
      <c r="AC395" s="53">
        <f t="shared" si="269"/>
        <v>0</v>
      </c>
      <c r="AD395" s="53">
        <f t="shared" si="269"/>
        <v>0</v>
      </c>
      <c r="AE395" s="53">
        <f t="shared" si="269"/>
        <v>0</v>
      </c>
      <c r="AF395" s="53">
        <f t="shared" si="269"/>
        <v>0</v>
      </c>
      <c r="AG395" s="53">
        <f t="shared" si="269"/>
        <v>0</v>
      </c>
      <c r="AH395" s="53">
        <f t="shared" si="269"/>
        <v>0</v>
      </c>
      <c r="AI395" s="53">
        <f t="shared" si="269"/>
        <v>0</v>
      </c>
      <c r="AJ395" s="53">
        <f t="shared" si="269"/>
        <v>0</v>
      </c>
      <c r="AK395" s="53">
        <f t="shared" si="269"/>
        <v>0</v>
      </c>
      <c r="AL395" s="53">
        <f t="shared" si="269"/>
        <v>0</v>
      </c>
      <c r="AM395" s="53">
        <f t="shared" si="269"/>
        <v>0</v>
      </c>
      <c r="AN395" s="53">
        <f t="shared" si="269"/>
        <v>0</v>
      </c>
      <c r="AO395" s="53">
        <f t="shared" si="269"/>
        <v>0</v>
      </c>
      <c r="AP395" s="53">
        <f t="shared" si="269"/>
        <v>0</v>
      </c>
      <c r="AQ395" s="53">
        <f t="shared" si="269"/>
        <v>0</v>
      </c>
      <c r="AR395" s="53">
        <f t="shared" si="269"/>
        <v>0</v>
      </c>
      <c r="AS395" s="53">
        <f t="shared" si="269"/>
        <v>0</v>
      </c>
      <c r="AT395" s="53">
        <f t="shared" si="269"/>
        <v>0</v>
      </c>
      <c r="AU395" s="53">
        <f t="shared" si="269"/>
        <v>0</v>
      </c>
      <c r="AV395" s="53">
        <f t="shared" si="269"/>
        <v>0</v>
      </c>
      <c r="AW395" s="53">
        <f t="shared" si="269"/>
        <v>0</v>
      </c>
      <c r="AX395" s="53">
        <f t="shared" si="269"/>
        <v>0</v>
      </c>
      <c r="AY395" s="53">
        <f t="shared" si="269"/>
        <v>0</v>
      </c>
      <c r="AZ395" s="53">
        <f t="shared" si="269"/>
        <v>0</v>
      </c>
      <c r="BA395" s="53">
        <f t="shared" si="269"/>
        <v>0</v>
      </c>
      <c r="BB395" s="53">
        <f t="shared" si="269"/>
        <v>0</v>
      </c>
      <c r="BC395" s="53">
        <f t="shared" si="269"/>
        <v>0</v>
      </c>
      <c r="BD395" s="53">
        <f t="shared" si="269"/>
        <v>0</v>
      </c>
      <c r="BE395" s="53">
        <f t="shared" si="269"/>
        <v>0</v>
      </c>
      <c r="BF395" s="53">
        <f t="shared" si="269"/>
        <v>0</v>
      </c>
      <c r="BG395" s="53">
        <f t="shared" si="269"/>
        <v>0</v>
      </c>
      <c r="BH395" s="53">
        <f t="shared" si="269"/>
        <v>0</v>
      </c>
      <c r="BI395" s="53">
        <f t="shared" si="269"/>
        <v>0</v>
      </c>
      <c r="BJ395" s="53">
        <f t="shared" si="269"/>
        <v>0</v>
      </c>
      <c r="BK395" s="53">
        <f t="shared" si="269"/>
        <v>0</v>
      </c>
      <c r="BL395" s="53">
        <f t="shared" si="269"/>
        <v>0</v>
      </c>
      <c r="BM395" s="53">
        <f t="shared" si="269"/>
        <v>0</v>
      </c>
      <c r="BN395" s="53">
        <f t="shared" si="269"/>
        <v>0</v>
      </c>
      <c r="BO395" s="53">
        <f t="shared" ref="BO395:CX395" si="270">IFERROR(IF(BO$262=0,0,(BO136-BO137)/BO137),0)</f>
        <v>0</v>
      </c>
      <c r="BP395" s="53">
        <f t="shared" si="270"/>
        <v>0</v>
      </c>
      <c r="BQ395" s="53">
        <f t="shared" si="270"/>
        <v>0</v>
      </c>
      <c r="BR395" s="53">
        <f t="shared" si="270"/>
        <v>0</v>
      </c>
      <c r="BS395" s="53">
        <f t="shared" si="270"/>
        <v>0</v>
      </c>
      <c r="BT395" s="53">
        <f t="shared" si="270"/>
        <v>0</v>
      </c>
      <c r="BU395" s="53">
        <f t="shared" si="270"/>
        <v>0</v>
      </c>
      <c r="BV395" s="53">
        <f t="shared" si="270"/>
        <v>0</v>
      </c>
      <c r="BW395" s="53">
        <f t="shared" si="270"/>
        <v>0</v>
      </c>
      <c r="BX395" s="53">
        <f t="shared" si="270"/>
        <v>0</v>
      </c>
      <c r="BY395" s="53">
        <f t="shared" si="270"/>
        <v>0</v>
      </c>
      <c r="BZ395" s="53">
        <f t="shared" si="270"/>
        <v>0</v>
      </c>
      <c r="CA395" s="53">
        <f t="shared" si="270"/>
        <v>0</v>
      </c>
      <c r="CB395" s="53">
        <f t="shared" si="270"/>
        <v>0</v>
      </c>
      <c r="CC395" s="53">
        <f t="shared" si="270"/>
        <v>0</v>
      </c>
      <c r="CD395" s="53">
        <f t="shared" si="270"/>
        <v>0</v>
      </c>
      <c r="CE395" s="53">
        <f t="shared" si="270"/>
        <v>0</v>
      </c>
      <c r="CF395" s="53">
        <f t="shared" si="270"/>
        <v>0</v>
      </c>
      <c r="CG395" s="53">
        <f t="shared" si="270"/>
        <v>0</v>
      </c>
      <c r="CH395" s="53">
        <f t="shared" si="270"/>
        <v>0</v>
      </c>
      <c r="CI395" s="53">
        <f t="shared" si="270"/>
        <v>0</v>
      </c>
      <c r="CJ395" s="53">
        <f t="shared" si="270"/>
        <v>0</v>
      </c>
      <c r="CK395" s="53">
        <f t="shared" si="270"/>
        <v>0</v>
      </c>
      <c r="CL395" s="53">
        <f t="shared" si="270"/>
        <v>0</v>
      </c>
      <c r="CM395" s="53">
        <f t="shared" si="270"/>
        <v>0</v>
      </c>
      <c r="CN395" s="53">
        <f t="shared" si="270"/>
        <v>0</v>
      </c>
      <c r="CO395" s="53">
        <f t="shared" si="270"/>
        <v>0</v>
      </c>
      <c r="CP395" s="53">
        <f t="shared" si="270"/>
        <v>0</v>
      </c>
      <c r="CQ395" s="53">
        <f t="shared" si="270"/>
        <v>0</v>
      </c>
      <c r="CR395" s="53">
        <f t="shared" si="270"/>
        <v>0</v>
      </c>
      <c r="CS395" s="53">
        <f t="shared" si="270"/>
        <v>0</v>
      </c>
      <c r="CT395" s="53">
        <f t="shared" si="270"/>
        <v>0</v>
      </c>
      <c r="CU395" s="53">
        <f t="shared" si="270"/>
        <v>0</v>
      </c>
      <c r="CV395" s="53">
        <f t="shared" si="270"/>
        <v>0</v>
      </c>
      <c r="CW395" s="53">
        <f t="shared" si="270"/>
        <v>0</v>
      </c>
      <c r="CX395" s="53">
        <f t="shared" si="270"/>
        <v>0</v>
      </c>
      <c r="DB395" s="2" vm="644">
        <f ca="1">IF(Returns!A399&lt;&gt;0,Returns!A399,"")</f>
        <v>42961</v>
      </c>
      <c r="DC395" s="11">
        <f ca="1">IF(Returns!B410&gt;0,Returns!B410/Returns!B409-1,"")</f>
        <v>9.6734638266950945E-3</v>
      </c>
      <c r="DD395" s="11">
        <f ca="1">IF(Returns!D402&gt;0,Returns!D402/Returns!D401-1,"")</f>
        <v>-8.6304635614365965E-3</v>
      </c>
    </row>
    <row r="396" spans="2:108" x14ac:dyDescent="0.3">
      <c r="B396" s="57">
        <f t="shared" ca="1" si="264"/>
        <v>4.1915161434354455E-4</v>
      </c>
      <c r="C396" s="53">
        <f t="shared" ref="C396:BN396" si="271">IFERROR(IF(C$262=0,0,(C137-C138)/C138),0)</f>
        <v>0</v>
      </c>
      <c r="D396" s="53">
        <f t="shared" si="271"/>
        <v>0</v>
      </c>
      <c r="E396" s="53">
        <f t="shared" si="271"/>
        <v>0</v>
      </c>
      <c r="F396" s="53">
        <f t="shared" si="271"/>
        <v>0</v>
      </c>
      <c r="G396" s="53">
        <f t="shared" si="271"/>
        <v>0</v>
      </c>
      <c r="H396" s="53">
        <f t="shared" si="271"/>
        <v>0</v>
      </c>
      <c r="I396" s="53">
        <f t="shared" si="271"/>
        <v>0</v>
      </c>
      <c r="J396" s="53">
        <f t="shared" si="271"/>
        <v>0</v>
      </c>
      <c r="K396" s="53">
        <f t="shared" si="271"/>
        <v>0</v>
      </c>
      <c r="L396" s="53">
        <f t="shared" si="271"/>
        <v>0</v>
      </c>
      <c r="M396" s="53">
        <f t="shared" si="271"/>
        <v>0</v>
      </c>
      <c r="N396" s="53">
        <f t="shared" si="271"/>
        <v>0</v>
      </c>
      <c r="O396" s="53">
        <f t="shared" si="271"/>
        <v>0</v>
      </c>
      <c r="P396" s="53">
        <f t="shared" si="271"/>
        <v>0</v>
      </c>
      <c r="Q396" s="53">
        <f t="shared" si="271"/>
        <v>0</v>
      </c>
      <c r="R396" s="53">
        <f t="shared" si="271"/>
        <v>0</v>
      </c>
      <c r="S396" s="53">
        <f t="shared" si="271"/>
        <v>0</v>
      </c>
      <c r="T396" s="53">
        <f t="shared" si="271"/>
        <v>0</v>
      </c>
      <c r="U396" s="53">
        <f t="shared" si="271"/>
        <v>0</v>
      </c>
      <c r="V396" s="53">
        <f t="shared" si="271"/>
        <v>0</v>
      </c>
      <c r="W396" s="53">
        <f t="shared" si="271"/>
        <v>0</v>
      </c>
      <c r="X396" s="53">
        <f t="shared" si="271"/>
        <v>0</v>
      </c>
      <c r="Y396" s="53">
        <f t="shared" si="271"/>
        <v>0</v>
      </c>
      <c r="Z396" s="53">
        <f t="shared" si="271"/>
        <v>0</v>
      </c>
      <c r="AA396" s="53">
        <f t="shared" si="271"/>
        <v>0</v>
      </c>
      <c r="AB396" s="53">
        <f t="shared" si="271"/>
        <v>0</v>
      </c>
      <c r="AC396" s="53">
        <f t="shared" si="271"/>
        <v>0</v>
      </c>
      <c r="AD396" s="53">
        <f t="shared" si="271"/>
        <v>0</v>
      </c>
      <c r="AE396" s="53">
        <f t="shared" si="271"/>
        <v>0</v>
      </c>
      <c r="AF396" s="53">
        <f t="shared" si="271"/>
        <v>0</v>
      </c>
      <c r="AG396" s="53">
        <f t="shared" si="271"/>
        <v>0</v>
      </c>
      <c r="AH396" s="53">
        <f t="shared" si="271"/>
        <v>0</v>
      </c>
      <c r="AI396" s="53">
        <f t="shared" si="271"/>
        <v>0</v>
      </c>
      <c r="AJ396" s="53">
        <f t="shared" si="271"/>
        <v>0</v>
      </c>
      <c r="AK396" s="53">
        <f t="shared" si="271"/>
        <v>0</v>
      </c>
      <c r="AL396" s="53">
        <f t="shared" si="271"/>
        <v>0</v>
      </c>
      <c r="AM396" s="53">
        <f t="shared" si="271"/>
        <v>0</v>
      </c>
      <c r="AN396" s="53">
        <f t="shared" si="271"/>
        <v>0</v>
      </c>
      <c r="AO396" s="53">
        <f t="shared" si="271"/>
        <v>0</v>
      </c>
      <c r="AP396" s="53">
        <f t="shared" si="271"/>
        <v>0</v>
      </c>
      <c r="AQ396" s="53">
        <f t="shared" si="271"/>
        <v>0</v>
      </c>
      <c r="AR396" s="53">
        <f t="shared" si="271"/>
        <v>0</v>
      </c>
      <c r="AS396" s="53">
        <f t="shared" si="271"/>
        <v>0</v>
      </c>
      <c r="AT396" s="53">
        <f t="shared" si="271"/>
        <v>0</v>
      </c>
      <c r="AU396" s="53">
        <f t="shared" si="271"/>
        <v>0</v>
      </c>
      <c r="AV396" s="53">
        <f t="shared" si="271"/>
        <v>0</v>
      </c>
      <c r="AW396" s="53">
        <f t="shared" si="271"/>
        <v>0</v>
      </c>
      <c r="AX396" s="53">
        <f t="shared" si="271"/>
        <v>0</v>
      </c>
      <c r="AY396" s="53">
        <f t="shared" si="271"/>
        <v>0</v>
      </c>
      <c r="AZ396" s="53">
        <f t="shared" si="271"/>
        <v>0</v>
      </c>
      <c r="BA396" s="53">
        <f t="shared" si="271"/>
        <v>0</v>
      </c>
      <c r="BB396" s="53">
        <f t="shared" si="271"/>
        <v>0</v>
      </c>
      <c r="BC396" s="53">
        <f t="shared" si="271"/>
        <v>0</v>
      </c>
      <c r="BD396" s="53">
        <f t="shared" si="271"/>
        <v>0</v>
      </c>
      <c r="BE396" s="53">
        <f t="shared" si="271"/>
        <v>0</v>
      </c>
      <c r="BF396" s="53">
        <f t="shared" si="271"/>
        <v>0</v>
      </c>
      <c r="BG396" s="53">
        <f t="shared" si="271"/>
        <v>0</v>
      </c>
      <c r="BH396" s="53">
        <f t="shared" si="271"/>
        <v>0</v>
      </c>
      <c r="BI396" s="53">
        <f t="shared" si="271"/>
        <v>0</v>
      </c>
      <c r="BJ396" s="53">
        <f t="shared" si="271"/>
        <v>0</v>
      </c>
      <c r="BK396" s="53">
        <f t="shared" si="271"/>
        <v>0</v>
      </c>
      <c r="BL396" s="53">
        <f t="shared" si="271"/>
        <v>0</v>
      </c>
      <c r="BM396" s="53">
        <f t="shared" si="271"/>
        <v>0</v>
      </c>
      <c r="BN396" s="53">
        <f t="shared" si="271"/>
        <v>0</v>
      </c>
      <c r="BO396" s="53">
        <f t="shared" ref="BO396:CX396" si="272">IFERROR(IF(BO$262=0,0,(BO137-BO138)/BO138),0)</f>
        <v>0</v>
      </c>
      <c r="BP396" s="53">
        <f t="shared" si="272"/>
        <v>0</v>
      </c>
      <c r="BQ396" s="53">
        <f t="shared" si="272"/>
        <v>0</v>
      </c>
      <c r="BR396" s="53">
        <f t="shared" si="272"/>
        <v>0</v>
      </c>
      <c r="BS396" s="53">
        <f t="shared" si="272"/>
        <v>0</v>
      </c>
      <c r="BT396" s="53">
        <f t="shared" si="272"/>
        <v>0</v>
      </c>
      <c r="BU396" s="53">
        <f t="shared" si="272"/>
        <v>0</v>
      </c>
      <c r="BV396" s="53">
        <f t="shared" si="272"/>
        <v>0</v>
      </c>
      <c r="BW396" s="53">
        <f t="shared" si="272"/>
        <v>0</v>
      </c>
      <c r="BX396" s="53">
        <f t="shared" si="272"/>
        <v>0</v>
      </c>
      <c r="BY396" s="53">
        <f t="shared" si="272"/>
        <v>0</v>
      </c>
      <c r="BZ396" s="53">
        <f t="shared" si="272"/>
        <v>0</v>
      </c>
      <c r="CA396" s="53">
        <f t="shared" si="272"/>
        <v>0</v>
      </c>
      <c r="CB396" s="53">
        <f t="shared" si="272"/>
        <v>0</v>
      </c>
      <c r="CC396" s="53">
        <f t="shared" si="272"/>
        <v>0</v>
      </c>
      <c r="CD396" s="53">
        <f t="shared" si="272"/>
        <v>0</v>
      </c>
      <c r="CE396" s="53">
        <f t="shared" si="272"/>
        <v>0</v>
      </c>
      <c r="CF396" s="53">
        <f t="shared" si="272"/>
        <v>0</v>
      </c>
      <c r="CG396" s="53">
        <f t="shared" si="272"/>
        <v>0</v>
      </c>
      <c r="CH396" s="53">
        <f t="shared" si="272"/>
        <v>0</v>
      </c>
      <c r="CI396" s="53">
        <f t="shared" si="272"/>
        <v>0</v>
      </c>
      <c r="CJ396" s="53">
        <f t="shared" si="272"/>
        <v>0</v>
      </c>
      <c r="CK396" s="53">
        <f t="shared" si="272"/>
        <v>0</v>
      </c>
      <c r="CL396" s="53">
        <f t="shared" si="272"/>
        <v>0</v>
      </c>
      <c r="CM396" s="53">
        <f t="shared" si="272"/>
        <v>0</v>
      </c>
      <c r="CN396" s="53">
        <f t="shared" si="272"/>
        <v>0</v>
      </c>
      <c r="CO396" s="53">
        <f t="shared" si="272"/>
        <v>0</v>
      </c>
      <c r="CP396" s="53">
        <f t="shared" si="272"/>
        <v>0</v>
      </c>
      <c r="CQ396" s="53">
        <f t="shared" si="272"/>
        <v>0</v>
      </c>
      <c r="CR396" s="53">
        <f t="shared" si="272"/>
        <v>0</v>
      </c>
      <c r="CS396" s="53">
        <f t="shared" si="272"/>
        <v>0</v>
      </c>
      <c r="CT396" s="53">
        <f t="shared" si="272"/>
        <v>0</v>
      </c>
      <c r="CU396" s="53">
        <f t="shared" si="272"/>
        <v>0</v>
      </c>
      <c r="CV396" s="53">
        <f t="shared" si="272"/>
        <v>0</v>
      </c>
      <c r="CW396" s="53">
        <f t="shared" si="272"/>
        <v>0</v>
      </c>
      <c r="CX396" s="53">
        <f t="shared" si="272"/>
        <v>0</v>
      </c>
      <c r="DB396" s="2" vm="645">
        <f ca="1">IF(Returns!A400&lt;&gt;0,Returns!A400,"")</f>
        <v>42968</v>
      </c>
      <c r="DC396" s="11">
        <f ca="1">IF(Returns!B411&gt;0,Returns!B411/Returns!B410-1,"")</f>
        <v>1.2369557394746211E-2</v>
      </c>
      <c r="DD396" s="11">
        <f ca="1">IF(Returns!D403&gt;0,Returns!D403/Returns!D402-1,"")</f>
        <v>2.1587098191146792E-2</v>
      </c>
    </row>
    <row r="397" spans="2:108" x14ac:dyDescent="0.3">
      <c r="B397" s="57">
        <f t="shared" ca="1" si="264"/>
        <v>1.1151030364666963E-3</v>
      </c>
      <c r="C397" s="53">
        <f t="shared" ref="C397:BN397" si="273">IFERROR(IF(C$262=0,0,(C138-C139)/C139),0)</f>
        <v>0</v>
      </c>
      <c r="D397" s="53">
        <f t="shared" si="273"/>
        <v>0</v>
      </c>
      <c r="E397" s="53">
        <f t="shared" si="273"/>
        <v>0</v>
      </c>
      <c r="F397" s="53">
        <f t="shared" si="273"/>
        <v>0</v>
      </c>
      <c r="G397" s="53">
        <f t="shared" si="273"/>
        <v>0</v>
      </c>
      <c r="H397" s="53">
        <f t="shared" si="273"/>
        <v>0</v>
      </c>
      <c r="I397" s="53">
        <f t="shared" si="273"/>
        <v>0</v>
      </c>
      <c r="J397" s="53">
        <f t="shared" si="273"/>
        <v>0</v>
      </c>
      <c r="K397" s="53">
        <f t="shared" si="273"/>
        <v>0</v>
      </c>
      <c r="L397" s="53">
        <f t="shared" si="273"/>
        <v>0</v>
      </c>
      <c r="M397" s="53">
        <f t="shared" si="273"/>
        <v>0</v>
      </c>
      <c r="N397" s="53">
        <f t="shared" si="273"/>
        <v>0</v>
      </c>
      <c r="O397" s="53">
        <f t="shared" si="273"/>
        <v>0</v>
      </c>
      <c r="P397" s="53">
        <f t="shared" si="273"/>
        <v>0</v>
      </c>
      <c r="Q397" s="53">
        <f t="shared" si="273"/>
        <v>0</v>
      </c>
      <c r="R397" s="53">
        <f t="shared" si="273"/>
        <v>0</v>
      </c>
      <c r="S397" s="53">
        <f t="shared" si="273"/>
        <v>0</v>
      </c>
      <c r="T397" s="53">
        <f t="shared" si="273"/>
        <v>0</v>
      </c>
      <c r="U397" s="53">
        <f t="shared" si="273"/>
        <v>0</v>
      </c>
      <c r="V397" s="53">
        <f t="shared" si="273"/>
        <v>0</v>
      </c>
      <c r="W397" s="53">
        <f t="shared" si="273"/>
        <v>0</v>
      </c>
      <c r="X397" s="53">
        <f t="shared" si="273"/>
        <v>0</v>
      </c>
      <c r="Y397" s="53">
        <f t="shared" si="273"/>
        <v>0</v>
      </c>
      <c r="Z397" s="53">
        <f t="shared" si="273"/>
        <v>0</v>
      </c>
      <c r="AA397" s="53">
        <f t="shared" si="273"/>
        <v>0</v>
      </c>
      <c r="AB397" s="53">
        <f t="shared" si="273"/>
        <v>0</v>
      </c>
      <c r="AC397" s="53">
        <f t="shared" si="273"/>
        <v>0</v>
      </c>
      <c r="AD397" s="53">
        <f t="shared" si="273"/>
        <v>0</v>
      </c>
      <c r="AE397" s="53">
        <f t="shared" si="273"/>
        <v>0</v>
      </c>
      <c r="AF397" s="53">
        <f t="shared" si="273"/>
        <v>0</v>
      </c>
      <c r="AG397" s="53">
        <f t="shared" si="273"/>
        <v>0</v>
      </c>
      <c r="AH397" s="53">
        <f t="shared" si="273"/>
        <v>0</v>
      </c>
      <c r="AI397" s="53">
        <f t="shared" si="273"/>
        <v>0</v>
      </c>
      <c r="AJ397" s="53">
        <f t="shared" si="273"/>
        <v>0</v>
      </c>
      <c r="AK397" s="53">
        <f t="shared" si="273"/>
        <v>0</v>
      </c>
      <c r="AL397" s="53">
        <f t="shared" si="273"/>
        <v>0</v>
      </c>
      <c r="AM397" s="53">
        <f t="shared" si="273"/>
        <v>0</v>
      </c>
      <c r="AN397" s="53">
        <f t="shared" si="273"/>
        <v>0</v>
      </c>
      <c r="AO397" s="53">
        <f t="shared" si="273"/>
        <v>0</v>
      </c>
      <c r="AP397" s="53">
        <f t="shared" si="273"/>
        <v>0</v>
      </c>
      <c r="AQ397" s="53">
        <f t="shared" si="273"/>
        <v>0</v>
      </c>
      <c r="AR397" s="53">
        <f t="shared" si="273"/>
        <v>0</v>
      </c>
      <c r="AS397" s="53">
        <f t="shared" si="273"/>
        <v>0</v>
      </c>
      <c r="AT397" s="53">
        <f t="shared" si="273"/>
        <v>0</v>
      </c>
      <c r="AU397" s="53">
        <f t="shared" si="273"/>
        <v>0</v>
      </c>
      <c r="AV397" s="53">
        <f t="shared" si="273"/>
        <v>0</v>
      </c>
      <c r="AW397" s="53">
        <f t="shared" si="273"/>
        <v>0</v>
      </c>
      <c r="AX397" s="53">
        <f t="shared" si="273"/>
        <v>0</v>
      </c>
      <c r="AY397" s="53">
        <f t="shared" si="273"/>
        <v>0</v>
      </c>
      <c r="AZ397" s="53">
        <f t="shared" si="273"/>
        <v>0</v>
      </c>
      <c r="BA397" s="53">
        <f t="shared" si="273"/>
        <v>0</v>
      </c>
      <c r="BB397" s="53">
        <f t="shared" si="273"/>
        <v>0</v>
      </c>
      <c r="BC397" s="53">
        <f t="shared" si="273"/>
        <v>0</v>
      </c>
      <c r="BD397" s="53">
        <f t="shared" si="273"/>
        <v>0</v>
      </c>
      <c r="BE397" s="53">
        <f t="shared" si="273"/>
        <v>0</v>
      </c>
      <c r="BF397" s="53">
        <f t="shared" si="273"/>
        <v>0</v>
      </c>
      <c r="BG397" s="53">
        <f t="shared" si="273"/>
        <v>0</v>
      </c>
      <c r="BH397" s="53">
        <f t="shared" si="273"/>
        <v>0</v>
      </c>
      <c r="BI397" s="53">
        <f t="shared" si="273"/>
        <v>0</v>
      </c>
      <c r="BJ397" s="53">
        <f t="shared" si="273"/>
        <v>0</v>
      </c>
      <c r="BK397" s="53">
        <f t="shared" si="273"/>
        <v>0</v>
      </c>
      <c r="BL397" s="53">
        <f t="shared" si="273"/>
        <v>0</v>
      </c>
      <c r="BM397" s="53">
        <f t="shared" si="273"/>
        <v>0</v>
      </c>
      <c r="BN397" s="53">
        <f t="shared" si="273"/>
        <v>0</v>
      </c>
      <c r="BO397" s="53">
        <f t="shared" ref="BO397:CX397" si="274">IFERROR(IF(BO$262=0,0,(BO138-BO139)/BO139),0)</f>
        <v>0</v>
      </c>
      <c r="BP397" s="53">
        <f t="shared" si="274"/>
        <v>0</v>
      </c>
      <c r="BQ397" s="53">
        <f t="shared" si="274"/>
        <v>0</v>
      </c>
      <c r="BR397" s="53">
        <f t="shared" si="274"/>
        <v>0</v>
      </c>
      <c r="BS397" s="53">
        <f t="shared" si="274"/>
        <v>0</v>
      </c>
      <c r="BT397" s="53">
        <f t="shared" si="274"/>
        <v>0</v>
      </c>
      <c r="BU397" s="53">
        <f t="shared" si="274"/>
        <v>0</v>
      </c>
      <c r="BV397" s="53">
        <f t="shared" si="274"/>
        <v>0</v>
      </c>
      <c r="BW397" s="53">
        <f t="shared" si="274"/>
        <v>0</v>
      </c>
      <c r="BX397" s="53">
        <f t="shared" si="274"/>
        <v>0</v>
      </c>
      <c r="BY397" s="53">
        <f t="shared" si="274"/>
        <v>0</v>
      </c>
      <c r="BZ397" s="53">
        <f t="shared" si="274"/>
        <v>0</v>
      </c>
      <c r="CA397" s="53">
        <f t="shared" si="274"/>
        <v>0</v>
      </c>
      <c r="CB397" s="53">
        <f t="shared" si="274"/>
        <v>0</v>
      </c>
      <c r="CC397" s="53">
        <f t="shared" si="274"/>
        <v>0</v>
      </c>
      <c r="CD397" s="53">
        <f t="shared" si="274"/>
        <v>0</v>
      </c>
      <c r="CE397" s="53">
        <f t="shared" si="274"/>
        <v>0</v>
      </c>
      <c r="CF397" s="53">
        <f t="shared" si="274"/>
        <v>0</v>
      </c>
      <c r="CG397" s="53">
        <f t="shared" si="274"/>
        <v>0</v>
      </c>
      <c r="CH397" s="53">
        <f t="shared" si="274"/>
        <v>0</v>
      </c>
      <c r="CI397" s="53">
        <f t="shared" si="274"/>
        <v>0</v>
      </c>
      <c r="CJ397" s="53">
        <f t="shared" si="274"/>
        <v>0</v>
      </c>
      <c r="CK397" s="53">
        <f t="shared" si="274"/>
        <v>0</v>
      </c>
      <c r="CL397" s="53">
        <f t="shared" si="274"/>
        <v>0</v>
      </c>
      <c r="CM397" s="53">
        <f t="shared" si="274"/>
        <v>0</v>
      </c>
      <c r="CN397" s="53">
        <f t="shared" si="274"/>
        <v>0</v>
      </c>
      <c r="CO397" s="53">
        <f t="shared" si="274"/>
        <v>0</v>
      </c>
      <c r="CP397" s="53">
        <f t="shared" si="274"/>
        <v>0</v>
      </c>
      <c r="CQ397" s="53">
        <f t="shared" si="274"/>
        <v>0</v>
      </c>
      <c r="CR397" s="53">
        <f t="shared" si="274"/>
        <v>0</v>
      </c>
      <c r="CS397" s="53">
        <f t="shared" si="274"/>
        <v>0</v>
      </c>
      <c r="CT397" s="53">
        <f t="shared" si="274"/>
        <v>0</v>
      </c>
      <c r="CU397" s="53">
        <f t="shared" si="274"/>
        <v>0</v>
      </c>
      <c r="CV397" s="53">
        <f t="shared" si="274"/>
        <v>0</v>
      </c>
      <c r="CW397" s="53">
        <f t="shared" si="274"/>
        <v>0</v>
      </c>
      <c r="CX397" s="53">
        <f t="shared" si="274"/>
        <v>0</v>
      </c>
      <c r="DB397" s="2" vm="646">
        <f ca="1">IF(Returns!A401&lt;&gt;0,Returns!A401,"")</f>
        <v>42975</v>
      </c>
      <c r="DC397" s="11">
        <f ca="1">IF(Returns!B412&gt;0,Returns!B412/Returns!B411-1,"")</f>
        <v>4.0254143155462607E-3</v>
      </c>
      <c r="DD397" s="11">
        <f ca="1">IF(Returns!D404&gt;0,Returns!D404/Returns!D403-1,"")</f>
        <v>3.6485963783514652E-3</v>
      </c>
    </row>
    <row r="398" spans="2:108" x14ac:dyDescent="0.3">
      <c r="B398" s="57">
        <f t="shared" ca="1" si="264"/>
        <v>1.1669731897083263E-3</v>
      </c>
      <c r="C398" s="53">
        <f t="shared" ref="C398:BN398" si="275">IFERROR(IF(C$262=0,0,(C139-C140)/C140),0)</f>
        <v>0</v>
      </c>
      <c r="D398" s="53">
        <f t="shared" si="275"/>
        <v>0</v>
      </c>
      <c r="E398" s="53">
        <f t="shared" si="275"/>
        <v>0</v>
      </c>
      <c r="F398" s="53">
        <f t="shared" si="275"/>
        <v>0</v>
      </c>
      <c r="G398" s="53">
        <f t="shared" si="275"/>
        <v>0</v>
      </c>
      <c r="H398" s="53">
        <f t="shared" si="275"/>
        <v>0</v>
      </c>
      <c r="I398" s="53">
        <f t="shared" si="275"/>
        <v>0</v>
      </c>
      <c r="J398" s="53">
        <f t="shared" si="275"/>
        <v>0</v>
      </c>
      <c r="K398" s="53">
        <f t="shared" si="275"/>
        <v>0</v>
      </c>
      <c r="L398" s="53">
        <f t="shared" si="275"/>
        <v>0</v>
      </c>
      <c r="M398" s="53">
        <f t="shared" si="275"/>
        <v>0</v>
      </c>
      <c r="N398" s="53">
        <f t="shared" si="275"/>
        <v>0</v>
      </c>
      <c r="O398" s="53">
        <f t="shared" si="275"/>
        <v>0</v>
      </c>
      <c r="P398" s="53">
        <f t="shared" si="275"/>
        <v>0</v>
      </c>
      <c r="Q398" s="53">
        <f t="shared" si="275"/>
        <v>0</v>
      </c>
      <c r="R398" s="53">
        <f t="shared" si="275"/>
        <v>0</v>
      </c>
      <c r="S398" s="53">
        <f t="shared" si="275"/>
        <v>0</v>
      </c>
      <c r="T398" s="53">
        <f t="shared" si="275"/>
        <v>0</v>
      </c>
      <c r="U398" s="53">
        <f t="shared" si="275"/>
        <v>0</v>
      </c>
      <c r="V398" s="53">
        <f t="shared" si="275"/>
        <v>0</v>
      </c>
      <c r="W398" s="53">
        <f t="shared" si="275"/>
        <v>0</v>
      </c>
      <c r="X398" s="53">
        <f t="shared" si="275"/>
        <v>0</v>
      </c>
      <c r="Y398" s="53">
        <f t="shared" si="275"/>
        <v>0</v>
      </c>
      <c r="Z398" s="53">
        <f t="shared" si="275"/>
        <v>0</v>
      </c>
      <c r="AA398" s="53">
        <f t="shared" si="275"/>
        <v>0</v>
      </c>
      <c r="AB398" s="53">
        <f t="shared" si="275"/>
        <v>0</v>
      </c>
      <c r="AC398" s="53">
        <f t="shared" si="275"/>
        <v>0</v>
      </c>
      <c r="AD398" s="53">
        <f t="shared" si="275"/>
        <v>0</v>
      </c>
      <c r="AE398" s="53">
        <f t="shared" si="275"/>
        <v>0</v>
      </c>
      <c r="AF398" s="53">
        <f t="shared" si="275"/>
        <v>0</v>
      </c>
      <c r="AG398" s="53">
        <f t="shared" si="275"/>
        <v>0</v>
      </c>
      <c r="AH398" s="53">
        <f t="shared" si="275"/>
        <v>0</v>
      </c>
      <c r="AI398" s="53">
        <f t="shared" si="275"/>
        <v>0</v>
      </c>
      <c r="AJ398" s="53">
        <f t="shared" si="275"/>
        <v>0</v>
      </c>
      <c r="AK398" s="53">
        <f t="shared" si="275"/>
        <v>0</v>
      </c>
      <c r="AL398" s="53">
        <f t="shared" si="275"/>
        <v>0</v>
      </c>
      <c r="AM398" s="53">
        <f t="shared" si="275"/>
        <v>0</v>
      </c>
      <c r="AN398" s="53">
        <f t="shared" si="275"/>
        <v>0</v>
      </c>
      <c r="AO398" s="53">
        <f t="shared" si="275"/>
        <v>0</v>
      </c>
      <c r="AP398" s="53">
        <f t="shared" si="275"/>
        <v>0</v>
      </c>
      <c r="AQ398" s="53">
        <f t="shared" si="275"/>
        <v>0</v>
      </c>
      <c r="AR398" s="53">
        <f t="shared" si="275"/>
        <v>0</v>
      </c>
      <c r="AS398" s="53">
        <f t="shared" si="275"/>
        <v>0</v>
      </c>
      <c r="AT398" s="53">
        <f t="shared" si="275"/>
        <v>0</v>
      </c>
      <c r="AU398" s="53">
        <f t="shared" si="275"/>
        <v>0</v>
      </c>
      <c r="AV398" s="53">
        <f t="shared" si="275"/>
        <v>0</v>
      </c>
      <c r="AW398" s="53">
        <f t="shared" si="275"/>
        <v>0</v>
      </c>
      <c r="AX398" s="53">
        <f t="shared" si="275"/>
        <v>0</v>
      </c>
      <c r="AY398" s="53">
        <f t="shared" si="275"/>
        <v>0</v>
      </c>
      <c r="AZ398" s="53">
        <f t="shared" si="275"/>
        <v>0</v>
      </c>
      <c r="BA398" s="53">
        <f t="shared" si="275"/>
        <v>0</v>
      </c>
      <c r="BB398" s="53">
        <f t="shared" si="275"/>
        <v>0</v>
      </c>
      <c r="BC398" s="53">
        <f t="shared" si="275"/>
        <v>0</v>
      </c>
      <c r="BD398" s="53">
        <f t="shared" si="275"/>
        <v>0</v>
      </c>
      <c r="BE398" s="53">
        <f t="shared" si="275"/>
        <v>0</v>
      </c>
      <c r="BF398" s="53">
        <f t="shared" si="275"/>
        <v>0</v>
      </c>
      <c r="BG398" s="53">
        <f t="shared" si="275"/>
        <v>0</v>
      </c>
      <c r="BH398" s="53">
        <f t="shared" si="275"/>
        <v>0</v>
      </c>
      <c r="BI398" s="53">
        <f t="shared" si="275"/>
        <v>0</v>
      </c>
      <c r="BJ398" s="53">
        <f t="shared" si="275"/>
        <v>0</v>
      </c>
      <c r="BK398" s="53">
        <f t="shared" si="275"/>
        <v>0</v>
      </c>
      <c r="BL398" s="53">
        <f t="shared" si="275"/>
        <v>0</v>
      </c>
      <c r="BM398" s="53">
        <f t="shared" si="275"/>
        <v>0</v>
      </c>
      <c r="BN398" s="53">
        <f t="shared" si="275"/>
        <v>0</v>
      </c>
      <c r="BO398" s="53">
        <f t="shared" ref="BO398:CX398" si="276">IFERROR(IF(BO$262=0,0,(BO139-BO140)/BO140),0)</f>
        <v>0</v>
      </c>
      <c r="BP398" s="53">
        <f t="shared" si="276"/>
        <v>0</v>
      </c>
      <c r="BQ398" s="53">
        <f t="shared" si="276"/>
        <v>0</v>
      </c>
      <c r="BR398" s="53">
        <f t="shared" si="276"/>
        <v>0</v>
      </c>
      <c r="BS398" s="53">
        <f t="shared" si="276"/>
        <v>0</v>
      </c>
      <c r="BT398" s="53">
        <f t="shared" si="276"/>
        <v>0</v>
      </c>
      <c r="BU398" s="53">
        <f t="shared" si="276"/>
        <v>0</v>
      </c>
      <c r="BV398" s="53">
        <f t="shared" si="276"/>
        <v>0</v>
      </c>
      <c r="BW398" s="53">
        <f t="shared" si="276"/>
        <v>0</v>
      </c>
      <c r="BX398" s="53">
        <f t="shared" si="276"/>
        <v>0</v>
      </c>
      <c r="BY398" s="53">
        <f t="shared" si="276"/>
        <v>0</v>
      </c>
      <c r="BZ398" s="53">
        <f t="shared" si="276"/>
        <v>0</v>
      </c>
      <c r="CA398" s="53">
        <f t="shared" si="276"/>
        <v>0</v>
      </c>
      <c r="CB398" s="53">
        <f t="shared" si="276"/>
        <v>0</v>
      </c>
      <c r="CC398" s="53">
        <f t="shared" si="276"/>
        <v>0</v>
      </c>
      <c r="CD398" s="53">
        <f t="shared" si="276"/>
        <v>0</v>
      </c>
      <c r="CE398" s="53">
        <f t="shared" si="276"/>
        <v>0</v>
      </c>
      <c r="CF398" s="53">
        <f t="shared" si="276"/>
        <v>0</v>
      </c>
      <c r="CG398" s="53">
        <f t="shared" si="276"/>
        <v>0</v>
      </c>
      <c r="CH398" s="53">
        <f t="shared" si="276"/>
        <v>0</v>
      </c>
      <c r="CI398" s="53">
        <f t="shared" si="276"/>
        <v>0</v>
      </c>
      <c r="CJ398" s="53">
        <f t="shared" si="276"/>
        <v>0</v>
      </c>
      <c r="CK398" s="53">
        <f t="shared" si="276"/>
        <v>0</v>
      </c>
      <c r="CL398" s="53">
        <f t="shared" si="276"/>
        <v>0</v>
      </c>
      <c r="CM398" s="53">
        <f t="shared" si="276"/>
        <v>0</v>
      </c>
      <c r="CN398" s="53">
        <f t="shared" si="276"/>
        <v>0</v>
      </c>
      <c r="CO398" s="53">
        <f t="shared" si="276"/>
        <v>0</v>
      </c>
      <c r="CP398" s="53">
        <f t="shared" si="276"/>
        <v>0</v>
      </c>
      <c r="CQ398" s="53">
        <f t="shared" si="276"/>
        <v>0</v>
      </c>
      <c r="CR398" s="53">
        <f t="shared" si="276"/>
        <v>0</v>
      </c>
      <c r="CS398" s="53">
        <f t="shared" si="276"/>
        <v>0</v>
      </c>
      <c r="CT398" s="53">
        <f t="shared" si="276"/>
        <v>0</v>
      </c>
      <c r="CU398" s="53">
        <f t="shared" si="276"/>
        <v>0</v>
      </c>
      <c r="CV398" s="53">
        <f t="shared" si="276"/>
        <v>0</v>
      </c>
      <c r="CW398" s="53">
        <f t="shared" si="276"/>
        <v>0</v>
      </c>
      <c r="CX398" s="53">
        <f t="shared" si="276"/>
        <v>0</v>
      </c>
      <c r="DB398" s="2" vm="647">
        <f ca="1">IF(Returns!A402&lt;&gt;0,Returns!A402,"")</f>
        <v>42983</v>
      </c>
      <c r="DC398" s="11">
        <f ca="1">IF(Returns!B413&gt;0,Returns!B413/Returns!B412-1,"")</f>
        <v>4.9668991397316509E-2</v>
      </c>
      <c r="DD398" s="11">
        <f ca="1">IF(Returns!D405&gt;0,Returns!D405/Returns!D404-1,"")</f>
        <v>2.4831146361308232E-3</v>
      </c>
    </row>
    <row r="399" spans="2:108" x14ac:dyDescent="0.3">
      <c r="B399" s="57">
        <f t="shared" ca="1" si="264"/>
        <v>2.859894012535439E-4</v>
      </c>
      <c r="C399" s="53">
        <f t="shared" ref="C399:BN399" si="277">IFERROR(IF(C$262=0,0,(C140-C141)/C141),0)</f>
        <v>0</v>
      </c>
      <c r="D399" s="53">
        <f t="shared" si="277"/>
        <v>0</v>
      </c>
      <c r="E399" s="53">
        <f t="shared" si="277"/>
        <v>0</v>
      </c>
      <c r="F399" s="53">
        <f t="shared" si="277"/>
        <v>0</v>
      </c>
      <c r="G399" s="53">
        <f t="shared" si="277"/>
        <v>0</v>
      </c>
      <c r="H399" s="53">
        <f t="shared" si="277"/>
        <v>0</v>
      </c>
      <c r="I399" s="53">
        <f t="shared" si="277"/>
        <v>0</v>
      </c>
      <c r="J399" s="53">
        <f t="shared" si="277"/>
        <v>0</v>
      </c>
      <c r="K399" s="53">
        <f t="shared" si="277"/>
        <v>0</v>
      </c>
      <c r="L399" s="53">
        <f t="shared" si="277"/>
        <v>0</v>
      </c>
      <c r="M399" s="53">
        <f t="shared" si="277"/>
        <v>0</v>
      </c>
      <c r="N399" s="53">
        <f t="shared" si="277"/>
        <v>0</v>
      </c>
      <c r="O399" s="53">
        <f t="shared" si="277"/>
        <v>0</v>
      </c>
      <c r="P399" s="53">
        <f t="shared" si="277"/>
        <v>0</v>
      </c>
      <c r="Q399" s="53">
        <f t="shared" si="277"/>
        <v>0</v>
      </c>
      <c r="R399" s="53">
        <f t="shared" si="277"/>
        <v>0</v>
      </c>
      <c r="S399" s="53">
        <f t="shared" si="277"/>
        <v>0</v>
      </c>
      <c r="T399" s="53">
        <f t="shared" si="277"/>
        <v>0</v>
      </c>
      <c r="U399" s="53">
        <f t="shared" si="277"/>
        <v>0</v>
      </c>
      <c r="V399" s="53">
        <f t="shared" si="277"/>
        <v>0</v>
      </c>
      <c r="W399" s="53">
        <f t="shared" si="277"/>
        <v>0</v>
      </c>
      <c r="X399" s="53">
        <f t="shared" si="277"/>
        <v>0</v>
      </c>
      <c r="Y399" s="53">
        <f t="shared" si="277"/>
        <v>0</v>
      </c>
      <c r="Z399" s="53">
        <f t="shared" si="277"/>
        <v>0</v>
      </c>
      <c r="AA399" s="53">
        <f t="shared" si="277"/>
        <v>0</v>
      </c>
      <c r="AB399" s="53">
        <f t="shared" si="277"/>
        <v>0</v>
      </c>
      <c r="AC399" s="53">
        <f t="shared" si="277"/>
        <v>0</v>
      </c>
      <c r="AD399" s="53">
        <f t="shared" si="277"/>
        <v>0</v>
      </c>
      <c r="AE399" s="53">
        <f t="shared" si="277"/>
        <v>0</v>
      </c>
      <c r="AF399" s="53">
        <f t="shared" si="277"/>
        <v>0</v>
      </c>
      <c r="AG399" s="53">
        <f t="shared" si="277"/>
        <v>0</v>
      </c>
      <c r="AH399" s="53">
        <f t="shared" si="277"/>
        <v>0</v>
      </c>
      <c r="AI399" s="53">
        <f t="shared" si="277"/>
        <v>0</v>
      </c>
      <c r="AJ399" s="53">
        <f t="shared" si="277"/>
        <v>0</v>
      </c>
      <c r="AK399" s="53">
        <f t="shared" si="277"/>
        <v>0</v>
      </c>
      <c r="AL399" s="53">
        <f t="shared" si="277"/>
        <v>0</v>
      </c>
      <c r="AM399" s="53">
        <f t="shared" si="277"/>
        <v>0</v>
      </c>
      <c r="AN399" s="53">
        <f t="shared" si="277"/>
        <v>0</v>
      </c>
      <c r="AO399" s="53">
        <f t="shared" si="277"/>
        <v>0</v>
      </c>
      <c r="AP399" s="53">
        <f t="shared" si="277"/>
        <v>0</v>
      </c>
      <c r="AQ399" s="53">
        <f t="shared" si="277"/>
        <v>0</v>
      </c>
      <c r="AR399" s="53">
        <f t="shared" si="277"/>
        <v>0</v>
      </c>
      <c r="AS399" s="53">
        <f t="shared" si="277"/>
        <v>0</v>
      </c>
      <c r="AT399" s="53">
        <f t="shared" si="277"/>
        <v>0</v>
      </c>
      <c r="AU399" s="53">
        <f t="shared" si="277"/>
        <v>0</v>
      </c>
      <c r="AV399" s="53">
        <f t="shared" si="277"/>
        <v>0</v>
      </c>
      <c r="AW399" s="53">
        <f t="shared" si="277"/>
        <v>0</v>
      </c>
      <c r="AX399" s="53">
        <f t="shared" si="277"/>
        <v>0</v>
      </c>
      <c r="AY399" s="53">
        <f t="shared" si="277"/>
        <v>0</v>
      </c>
      <c r="AZ399" s="53">
        <f t="shared" si="277"/>
        <v>0</v>
      </c>
      <c r="BA399" s="53">
        <f t="shared" si="277"/>
        <v>0</v>
      </c>
      <c r="BB399" s="53">
        <f t="shared" si="277"/>
        <v>0</v>
      </c>
      <c r="BC399" s="53">
        <f t="shared" si="277"/>
        <v>0</v>
      </c>
      <c r="BD399" s="53">
        <f t="shared" si="277"/>
        <v>0</v>
      </c>
      <c r="BE399" s="53">
        <f t="shared" si="277"/>
        <v>0</v>
      </c>
      <c r="BF399" s="53">
        <f t="shared" si="277"/>
        <v>0</v>
      </c>
      <c r="BG399" s="53">
        <f t="shared" si="277"/>
        <v>0</v>
      </c>
      <c r="BH399" s="53">
        <f t="shared" si="277"/>
        <v>0</v>
      </c>
      <c r="BI399" s="53">
        <f t="shared" si="277"/>
        <v>0</v>
      </c>
      <c r="BJ399" s="53">
        <f t="shared" si="277"/>
        <v>0</v>
      </c>
      <c r="BK399" s="53">
        <f t="shared" si="277"/>
        <v>0</v>
      </c>
      <c r="BL399" s="53">
        <f t="shared" si="277"/>
        <v>0</v>
      </c>
      <c r="BM399" s="53">
        <f t="shared" si="277"/>
        <v>0</v>
      </c>
      <c r="BN399" s="53">
        <f t="shared" si="277"/>
        <v>0</v>
      </c>
      <c r="BO399" s="53">
        <f t="shared" ref="BO399:CX399" si="278">IFERROR(IF(BO$262=0,0,(BO140-BO141)/BO141),0)</f>
        <v>0</v>
      </c>
      <c r="BP399" s="53">
        <f t="shared" si="278"/>
        <v>0</v>
      </c>
      <c r="BQ399" s="53">
        <f t="shared" si="278"/>
        <v>0</v>
      </c>
      <c r="BR399" s="53">
        <f t="shared" si="278"/>
        <v>0</v>
      </c>
      <c r="BS399" s="53">
        <f t="shared" si="278"/>
        <v>0</v>
      </c>
      <c r="BT399" s="53">
        <f t="shared" si="278"/>
        <v>0</v>
      </c>
      <c r="BU399" s="53">
        <f t="shared" si="278"/>
        <v>0</v>
      </c>
      <c r="BV399" s="53">
        <f t="shared" si="278"/>
        <v>0</v>
      </c>
      <c r="BW399" s="53">
        <f t="shared" si="278"/>
        <v>0</v>
      </c>
      <c r="BX399" s="53">
        <f t="shared" si="278"/>
        <v>0</v>
      </c>
      <c r="BY399" s="53">
        <f t="shared" si="278"/>
        <v>0</v>
      </c>
      <c r="BZ399" s="53">
        <f t="shared" si="278"/>
        <v>0</v>
      </c>
      <c r="CA399" s="53">
        <f t="shared" si="278"/>
        <v>0</v>
      </c>
      <c r="CB399" s="53">
        <f t="shared" si="278"/>
        <v>0</v>
      </c>
      <c r="CC399" s="53">
        <f t="shared" si="278"/>
        <v>0</v>
      </c>
      <c r="CD399" s="53">
        <f t="shared" si="278"/>
        <v>0</v>
      </c>
      <c r="CE399" s="53">
        <f t="shared" si="278"/>
        <v>0</v>
      </c>
      <c r="CF399" s="53">
        <f t="shared" si="278"/>
        <v>0</v>
      </c>
      <c r="CG399" s="53">
        <f t="shared" si="278"/>
        <v>0</v>
      </c>
      <c r="CH399" s="53">
        <f t="shared" si="278"/>
        <v>0</v>
      </c>
      <c r="CI399" s="53">
        <f t="shared" si="278"/>
        <v>0</v>
      </c>
      <c r="CJ399" s="53">
        <f t="shared" si="278"/>
        <v>0</v>
      </c>
      <c r="CK399" s="53">
        <f t="shared" si="278"/>
        <v>0</v>
      </c>
      <c r="CL399" s="53">
        <f t="shared" si="278"/>
        <v>0</v>
      </c>
      <c r="CM399" s="53">
        <f t="shared" si="278"/>
        <v>0</v>
      </c>
      <c r="CN399" s="53">
        <f t="shared" si="278"/>
        <v>0</v>
      </c>
      <c r="CO399" s="53">
        <f t="shared" si="278"/>
        <v>0</v>
      </c>
      <c r="CP399" s="53">
        <f t="shared" si="278"/>
        <v>0</v>
      </c>
      <c r="CQ399" s="53">
        <f t="shared" si="278"/>
        <v>0</v>
      </c>
      <c r="CR399" s="53">
        <f t="shared" si="278"/>
        <v>0</v>
      </c>
      <c r="CS399" s="53">
        <f t="shared" si="278"/>
        <v>0</v>
      </c>
      <c r="CT399" s="53">
        <f t="shared" si="278"/>
        <v>0</v>
      </c>
      <c r="CU399" s="53">
        <f t="shared" si="278"/>
        <v>0</v>
      </c>
      <c r="CV399" s="53">
        <f t="shared" si="278"/>
        <v>0</v>
      </c>
      <c r="CW399" s="53">
        <f t="shared" si="278"/>
        <v>0</v>
      </c>
      <c r="CX399" s="53">
        <f t="shared" si="278"/>
        <v>0</v>
      </c>
      <c r="DB399" s="2" vm="648">
        <f ca="1">IF(Returns!A403&lt;&gt;0,Returns!A403,"")</f>
        <v>42989</v>
      </c>
      <c r="DC399" s="11">
        <f ca="1">IF(Returns!B414&gt;0,Returns!B414/Returns!B413-1,"")</f>
        <v>-1.9940978077571669E-2</v>
      </c>
      <c r="DD399" s="11">
        <f ca="1">IF(Returns!D406&gt;0,Returns!D406/Returns!D405-1,"")</f>
        <v>1.6450624230950561E-2</v>
      </c>
    </row>
    <row r="400" spans="2:108" x14ac:dyDescent="0.3">
      <c r="B400" s="57">
        <f t="shared" ca="1" si="264"/>
        <v>5.6853381567401067E-5</v>
      </c>
      <c r="C400" s="53">
        <f t="shared" ref="C400:BN400" si="279">IFERROR(IF(C$262=0,0,(C141-C142)/C142),0)</f>
        <v>0</v>
      </c>
      <c r="D400" s="53">
        <f t="shared" si="279"/>
        <v>0</v>
      </c>
      <c r="E400" s="53">
        <f t="shared" si="279"/>
        <v>0</v>
      </c>
      <c r="F400" s="53">
        <f t="shared" si="279"/>
        <v>0</v>
      </c>
      <c r="G400" s="53">
        <f t="shared" si="279"/>
        <v>0</v>
      </c>
      <c r="H400" s="53">
        <f t="shared" si="279"/>
        <v>0</v>
      </c>
      <c r="I400" s="53">
        <f t="shared" si="279"/>
        <v>0</v>
      </c>
      <c r="J400" s="53">
        <f t="shared" si="279"/>
        <v>0</v>
      </c>
      <c r="K400" s="53">
        <f t="shared" si="279"/>
        <v>0</v>
      </c>
      <c r="L400" s="53">
        <f t="shared" si="279"/>
        <v>0</v>
      </c>
      <c r="M400" s="53">
        <f t="shared" si="279"/>
        <v>0</v>
      </c>
      <c r="N400" s="53">
        <f t="shared" si="279"/>
        <v>0</v>
      </c>
      <c r="O400" s="53">
        <f t="shared" si="279"/>
        <v>0</v>
      </c>
      <c r="P400" s="53">
        <f t="shared" si="279"/>
        <v>0</v>
      </c>
      <c r="Q400" s="53">
        <f t="shared" si="279"/>
        <v>0</v>
      </c>
      <c r="R400" s="53">
        <f t="shared" si="279"/>
        <v>0</v>
      </c>
      <c r="S400" s="53">
        <f t="shared" si="279"/>
        <v>0</v>
      </c>
      <c r="T400" s="53">
        <f t="shared" si="279"/>
        <v>0</v>
      </c>
      <c r="U400" s="53">
        <f t="shared" si="279"/>
        <v>0</v>
      </c>
      <c r="V400" s="53">
        <f t="shared" si="279"/>
        <v>0</v>
      </c>
      <c r="W400" s="53">
        <f t="shared" si="279"/>
        <v>0</v>
      </c>
      <c r="X400" s="53">
        <f t="shared" si="279"/>
        <v>0</v>
      </c>
      <c r="Y400" s="53">
        <f t="shared" si="279"/>
        <v>0</v>
      </c>
      <c r="Z400" s="53">
        <f t="shared" si="279"/>
        <v>0</v>
      </c>
      <c r="AA400" s="53">
        <f t="shared" si="279"/>
        <v>0</v>
      </c>
      <c r="AB400" s="53">
        <f t="shared" si="279"/>
        <v>0</v>
      </c>
      <c r="AC400" s="53">
        <f t="shared" si="279"/>
        <v>0</v>
      </c>
      <c r="AD400" s="53">
        <f t="shared" si="279"/>
        <v>0</v>
      </c>
      <c r="AE400" s="53">
        <f t="shared" si="279"/>
        <v>0</v>
      </c>
      <c r="AF400" s="53">
        <f t="shared" si="279"/>
        <v>0</v>
      </c>
      <c r="AG400" s="53">
        <f t="shared" si="279"/>
        <v>0</v>
      </c>
      <c r="AH400" s="53">
        <f t="shared" si="279"/>
        <v>0</v>
      </c>
      <c r="AI400" s="53">
        <f t="shared" si="279"/>
        <v>0</v>
      </c>
      <c r="AJ400" s="53">
        <f t="shared" si="279"/>
        <v>0</v>
      </c>
      <c r="AK400" s="53">
        <f t="shared" si="279"/>
        <v>0</v>
      </c>
      <c r="AL400" s="53">
        <f t="shared" si="279"/>
        <v>0</v>
      </c>
      <c r="AM400" s="53">
        <f t="shared" si="279"/>
        <v>0</v>
      </c>
      <c r="AN400" s="53">
        <f t="shared" si="279"/>
        <v>0</v>
      </c>
      <c r="AO400" s="53">
        <f t="shared" si="279"/>
        <v>0</v>
      </c>
      <c r="AP400" s="53">
        <f t="shared" si="279"/>
        <v>0</v>
      </c>
      <c r="AQ400" s="53">
        <f t="shared" si="279"/>
        <v>0</v>
      </c>
      <c r="AR400" s="53">
        <f t="shared" si="279"/>
        <v>0</v>
      </c>
      <c r="AS400" s="53">
        <f t="shared" si="279"/>
        <v>0</v>
      </c>
      <c r="AT400" s="53">
        <f t="shared" si="279"/>
        <v>0</v>
      </c>
      <c r="AU400" s="53">
        <f t="shared" si="279"/>
        <v>0</v>
      </c>
      <c r="AV400" s="53">
        <f t="shared" si="279"/>
        <v>0</v>
      </c>
      <c r="AW400" s="53">
        <f t="shared" si="279"/>
        <v>0</v>
      </c>
      <c r="AX400" s="53">
        <f t="shared" si="279"/>
        <v>0</v>
      </c>
      <c r="AY400" s="53">
        <f t="shared" si="279"/>
        <v>0</v>
      </c>
      <c r="AZ400" s="53">
        <f t="shared" si="279"/>
        <v>0</v>
      </c>
      <c r="BA400" s="53">
        <f t="shared" si="279"/>
        <v>0</v>
      </c>
      <c r="BB400" s="53">
        <f t="shared" si="279"/>
        <v>0</v>
      </c>
      <c r="BC400" s="53">
        <f t="shared" si="279"/>
        <v>0</v>
      </c>
      <c r="BD400" s="53">
        <f t="shared" si="279"/>
        <v>0</v>
      </c>
      <c r="BE400" s="53">
        <f t="shared" si="279"/>
        <v>0</v>
      </c>
      <c r="BF400" s="53">
        <f t="shared" si="279"/>
        <v>0</v>
      </c>
      <c r="BG400" s="53">
        <f t="shared" si="279"/>
        <v>0</v>
      </c>
      <c r="BH400" s="53">
        <f t="shared" si="279"/>
        <v>0</v>
      </c>
      <c r="BI400" s="53">
        <f t="shared" si="279"/>
        <v>0</v>
      </c>
      <c r="BJ400" s="53">
        <f t="shared" si="279"/>
        <v>0</v>
      </c>
      <c r="BK400" s="53">
        <f t="shared" si="279"/>
        <v>0</v>
      </c>
      <c r="BL400" s="53">
        <f t="shared" si="279"/>
        <v>0</v>
      </c>
      <c r="BM400" s="53">
        <f t="shared" si="279"/>
        <v>0</v>
      </c>
      <c r="BN400" s="53">
        <f t="shared" si="279"/>
        <v>0</v>
      </c>
      <c r="BO400" s="53">
        <f t="shared" ref="BO400:CX400" si="280">IFERROR(IF(BO$262=0,0,(BO141-BO142)/BO142),0)</f>
        <v>0</v>
      </c>
      <c r="BP400" s="53">
        <f t="shared" si="280"/>
        <v>0</v>
      </c>
      <c r="BQ400" s="53">
        <f t="shared" si="280"/>
        <v>0</v>
      </c>
      <c r="BR400" s="53">
        <f t="shared" si="280"/>
        <v>0</v>
      </c>
      <c r="BS400" s="53">
        <f t="shared" si="280"/>
        <v>0</v>
      </c>
      <c r="BT400" s="53">
        <f t="shared" si="280"/>
        <v>0</v>
      </c>
      <c r="BU400" s="53">
        <f t="shared" si="280"/>
        <v>0</v>
      </c>
      <c r="BV400" s="53">
        <f t="shared" si="280"/>
        <v>0</v>
      </c>
      <c r="BW400" s="53">
        <f t="shared" si="280"/>
        <v>0</v>
      </c>
      <c r="BX400" s="53">
        <f t="shared" si="280"/>
        <v>0</v>
      </c>
      <c r="BY400" s="53">
        <f t="shared" si="280"/>
        <v>0</v>
      </c>
      <c r="BZ400" s="53">
        <f t="shared" si="280"/>
        <v>0</v>
      </c>
      <c r="CA400" s="53">
        <f t="shared" si="280"/>
        <v>0</v>
      </c>
      <c r="CB400" s="53">
        <f t="shared" si="280"/>
        <v>0</v>
      </c>
      <c r="CC400" s="53">
        <f t="shared" si="280"/>
        <v>0</v>
      </c>
      <c r="CD400" s="53">
        <f t="shared" si="280"/>
        <v>0</v>
      </c>
      <c r="CE400" s="53">
        <f t="shared" si="280"/>
        <v>0</v>
      </c>
      <c r="CF400" s="53">
        <f t="shared" si="280"/>
        <v>0</v>
      </c>
      <c r="CG400" s="53">
        <f t="shared" si="280"/>
        <v>0</v>
      </c>
      <c r="CH400" s="53">
        <f t="shared" si="280"/>
        <v>0</v>
      </c>
      <c r="CI400" s="53">
        <f t="shared" si="280"/>
        <v>0</v>
      </c>
      <c r="CJ400" s="53">
        <f t="shared" si="280"/>
        <v>0</v>
      </c>
      <c r="CK400" s="53">
        <f t="shared" si="280"/>
        <v>0</v>
      </c>
      <c r="CL400" s="53">
        <f t="shared" si="280"/>
        <v>0</v>
      </c>
      <c r="CM400" s="53">
        <f t="shared" si="280"/>
        <v>0</v>
      </c>
      <c r="CN400" s="53">
        <f t="shared" si="280"/>
        <v>0</v>
      </c>
      <c r="CO400" s="53">
        <f t="shared" si="280"/>
        <v>0</v>
      </c>
      <c r="CP400" s="53">
        <f t="shared" si="280"/>
        <v>0</v>
      </c>
      <c r="CQ400" s="53">
        <f t="shared" si="280"/>
        <v>0</v>
      </c>
      <c r="CR400" s="53">
        <f t="shared" si="280"/>
        <v>0</v>
      </c>
      <c r="CS400" s="53">
        <f t="shared" si="280"/>
        <v>0</v>
      </c>
      <c r="CT400" s="53">
        <f t="shared" si="280"/>
        <v>0</v>
      </c>
      <c r="CU400" s="53">
        <f t="shared" si="280"/>
        <v>0</v>
      </c>
      <c r="CV400" s="53">
        <f t="shared" si="280"/>
        <v>0</v>
      </c>
      <c r="CW400" s="53">
        <f t="shared" si="280"/>
        <v>0</v>
      </c>
      <c r="CX400" s="53">
        <f t="shared" si="280"/>
        <v>0</v>
      </c>
      <c r="DB400" s="2" vm="649">
        <f ca="1">IF(Returns!A404&lt;&gt;0,Returns!A404,"")</f>
        <v>42996</v>
      </c>
      <c r="DC400" s="11">
        <f ca="1">IF(Returns!B415&gt;0,Returns!B415/Returns!B414-1,"")</f>
        <v>-3.011141222523106E-4</v>
      </c>
      <c r="DD400" s="11">
        <f ca="1">IF(Returns!D407&gt;0,Returns!D407/Returns!D406-1,"")</f>
        <v>4.3053541307864762E-3</v>
      </c>
    </row>
    <row r="401" spans="2:108" x14ac:dyDescent="0.3">
      <c r="B401" s="57">
        <f t="shared" ca="1" si="264"/>
        <v>1.649755248315307E-4</v>
      </c>
      <c r="C401" s="53">
        <f t="shared" ref="C401:BN401" si="281">IFERROR(IF(C$262=0,0,(C142-C143)/C143),0)</f>
        <v>0</v>
      </c>
      <c r="D401" s="53">
        <f t="shared" si="281"/>
        <v>0</v>
      </c>
      <c r="E401" s="53">
        <f t="shared" si="281"/>
        <v>0</v>
      </c>
      <c r="F401" s="53">
        <f t="shared" si="281"/>
        <v>0</v>
      </c>
      <c r="G401" s="53">
        <f t="shared" si="281"/>
        <v>0</v>
      </c>
      <c r="H401" s="53">
        <f t="shared" si="281"/>
        <v>0</v>
      </c>
      <c r="I401" s="53">
        <f t="shared" si="281"/>
        <v>0</v>
      </c>
      <c r="J401" s="53">
        <f t="shared" si="281"/>
        <v>0</v>
      </c>
      <c r="K401" s="53">
        <f t="shared" si="281"/>
        <v>0</v>
      </c>
      <c r="L401" s="53">
        <f t="shared" si="281"/>
        <v>0</v>
      </c>
      <c r="M401" s="53">
        <f t="shared" si="281"/>
        <v>0</v>
      </c>
      <c r="N401" s="53">
        <f t="shared" si="281"/>
        <v>0</v>
      </c>
      <c r="O401" s="53">
        <f t="shared" si="281"/>
        <v>0</v>
      </c>
      <c r="P401" s="53">
        <f t="shared" si="281"/>
        <v>0</v>
      </c>
      <c r="Q401" s="53">
        <f t="shared" si="281"/>
        <v>0</v>
      </c>
      <c r="R401" s="53">
        <f t="shared" si="281"/>
        <v>0</v>
      </c>
      <c r="S401" s="53">
        <f t="shared" si="281"/>
        <v>0</v>
      </c>
      <c r="T401" s="53">
        <f t="shared" si="281"/>
        <v>0</v>
      </c>
      <c r="U401" s="53">
        <f t="shared" si="281"/>
        <v>0</v>
      </c>
      <c r="V401" s="53">
        <f t="shared" si="281"/>
        <v>0</v>
      </c>
      <c r="W401" s="53">
        <f t="shared" si="281"/>
        <v>0</v>
      </c>
      <c r="X401" s="53">
        <f t="shared" si="281"/>
        <v>0</v>
      </c>
      <c r="Y401" s="53">
        <f t="shared" si="281"/>
        <v>0</v>
      </c>
      <c r="Z401" s="53">
        <f t="shared" si="281"/>
        <v>0</v>
      </c>
      <c r="AA401" s="53">
        <f t="shared" si="281"/>
        <v>0</v>
      </c>
      <c r="AB401" s="53">
        <f t="shared" si="281"/>
        <v>0</v>
      </c>
      <c r="AC401" s="53">
        <f t="shared" si="281"/>
        <v>0</v>
      </c>
      <c r="AD401" s="53">
        <f t="shared" si="281"/>
        <v>0</v>
      </c>
      <c r="AE401" s="53">
        <f t="shared" si="281"/>
        <v>0</v>
      </c>
      <c r="AF401" s="53">
        <f t="shared" si="281"/>
        <v>0</v>
      </c>
      <c r="AG401" s="53">
        <f t="shared" si="281"/>
        <v>0</v>
      </c>
      <c r="AH401" s="53">
        <f t="shared" si="281"/>
        <v>0</v>
      </c>
      <c r="AI401" s="53">
        <f t="shared" si="281"/>
        <v>0</v>
      </c>
      <c r="AJ401" s="53">
        <f t="shared" si="281"/>
        <v>0</v>
      </c>
      <c r="AK401" s="53">
        <f t="shared" si="281"/>
        <v>0</v>
      </c>
      <c r="AL401" s="53">
        <f t="shared" si="281"/>
        <v>0</v>
      </c>
      <c r="AM401" s="53">
        <f t="shared" si="281"/>
        <v>0</v>
      </c>
      <c r="AN401" s="53">
        <f t="shared" si="281"/>
        <v>0</v>
      </c>
      <c r="AO401" s="53">
        <f t="shared" si="281"/>
        <v>0</v>
      </c>
      <c r="AP401" s="53">
        <f t="shared" si="281"/>
        <v>0</v>
      </c>
      <c r="AQ401" s="53">
        <f t="shared" si="281"/>
        <v>0</v>
      </c>
      <c r="AR401" s="53">
        <f t="shared" si="281"/>
        <v>0</v>
      </c>
      <c r="AS401" s="53">
        <f t="shared" si="281"/>
        <v>0</v>
      </c>
      <c r="AT401" s="53">
        <f t="shared" si="281"/>
        <v>0</v>
      </c>
      <c r="AU401" s="53">
        <f t="shared" si="281"/>
        <v>0</v>
      </c>
      <c r="AV401" s="53">
        <f t="shared" si="281"/>
        <v>0</v>
      </c>
      <c r="AW401" s="53">
        <f t="shared" si="281"/>
        <v>0</v>
      </c>
      <c r="AX401" s="53">
        <f t="shared" si="281"/>
        <v>0</v>
      </c>
      <c r="AY401" s="53">
        <f t="shared" si="281"/>
        <v>0</v>
      </c>
      <c r="AZ401" s="53">
        <f t="shared" si="281"/>
        <v>0</v>
      </c>
      <c r="BA401" s="53">
        <f t="shared" si="281"/>
        <v>0</v>
      </c>
      <c r="BB401" s="53">
        <f t="shared" si="281"/>
        <v>0</v>
      </c>
      <c r="BC401" s="53">
        <f t="shared" si="281"/>
        <v>0</v>
      </c>
      <c r="BD401" s="53">
        <f t="shared" si="281"/>
        <v>0</v>
      </c>
      <c r="BE401" s="53">
        <f t="shared" si="281"/>
        <v>0</v>
      </c>
      <c r="BF401" s="53">
        <f t="shared" si="281"/>
        <v>0</v>
      </c>
      <c r="BG401" s="53">
        <f t="shared" si="281"/>
        <v>0</v>
      </c>
      <c r="BH401" s="53">
        <f t="shared" si="281"/>
        <v>0</v>
      </c>
      <c r="BI401" s="53">
        <f t="shared" si="281"/>
        <v>0</v>
      </c>
      <c r="BJ401" s="53">
        <f t="shared" si="281"/>
        <v>0</v>
      </c>
      <c r="BK401" s="53">
        <f t="shared" si="281"/>
        <v>0</v>
      </c>
      <c r="BL401" s="53">
        <f t="shared" si="281"/>
        <v>0</v>
      </c>
      <c r="BM401" s="53">
        <f t="shared" si="281"/>
        <v>0</v>
      </c>
      <c r="BN401" s="53">
        <f t="shared" si="281"/>
        <v>0</v>
      </c>
      <c r="BO401" s="53">
        <f t="shared" ref="BO401:CX401" si="282">IFERROR(IF(BO$262=0,0,(BO142-BO143)/BO143),0)</f>
        <v>0</v>
      </c>
      <c r="BP401" s="53">
        <f t="shared" si="282"/>
        <v>0</v>
      </c>
      <c r="BQ401" s="53">
        <f t="shared" si="282"/>
        <v>0</v>
      </c>
      <c r="BR401" s="53">
        <f t="shared" si="282"/>
        <v>0</v>
      </c>
      <c r="BS401" s="53">
        <f t="shared" si="282"/>
        <v>0</v>
      </c>
      <c r="BT401" s="53">
        <f t="shared" si="282"/>
        <v>0</v>
      </c>
      <c r="BU401" s="53">
        <f t="shared" si="282"/>
        <v>0</v>
      </c>
      <c r="BV401" s="53">
        <f t="shared" si="282"/>
        <v>0</v>
      </c>
      <c r="BW401" s="53">
        <f t="shared" si="282"/>
        <v>0</v>
      </c>
      <c r="BX401" s="53">
        <f t="shared" si="282"/>
        <v>0</v>
      </c>
      <c r="BY401" s="53">
        <f t="shared" si="282"/>
        <v>0</v>
      </c>
      <c r="BZ401" s="53">
        <f t="shared" si="282"/>
        <v>0</v>
      </c>
      <c r="CA401" s="53">
        <f t="shared" si="282"/>
        <v>0</v>
      </c>
      <c r="CB401" s="53">
        <f t="shared" si="282"/>
        <v>0</v>
      </c>
      <c r="CC401" s="53">
        <f t="shared" si="282"/>
        <v>0</v>
      </c>
      <c r="CD401" s="53">
        <f t="shared" si="282"/>
        <v>0</v>
      </c>
      <c r="CE401" s="53">
        <f t="shared" si="282"/>
        <v>0</v>
      </c>
      <c r="CF401" s="53">
        <f t="shared" si="282"/>
        <v>0</v>
      </c>
      <c r="CG401" s="53">
        <f t="shared" si="282"/>
        <v>0</v>
      </c>
      <c r="CH401" s="53">
        <f t="shared" si="282"/>
        <v>0</v>
      </c>
      <c r="CI401" s="53">
        <f t="shared" si="282"/>
        <v>0</v>
      </c>
      <c r="CJ401" s="53">
        <f t="shared" si="282"/>
        <v>0</v>
      </c>
      <c r="CK401" s="53">
        <f t="shared" si="282"/>
        <v>0</v>
      </c>
      <c r="CL401" s="53">
        <f t="shared" si="282"/>
        <v>0</v>
      </c>
      <c r="CM401" s="53">
        <f t="shared" si="282"/>
        <v>0</v>
      </c>
      <c r="CN401" s="53">
        <f t="shared" si="282"/>
        <v>0</v>
      </c>
      <c r="CO401" s="53">
        <f t="shared" si="282"/>
        <v>0</v>
      </c>
      <c r="CP401" s="53">
        <f t="shared" si="282"/>
        <v>0</v>
      </c>
      <c r="CQ401" s="53">
        <f t="shared" si="282"/>
        <v>0</v>
      </c>
      <c r="CR401" s="53">
        <f t="shared" si="282"/>
        <v>0</v>
      </c>
      <c r="CS401" s="53">
        <f t="shared" si="282"/>
        <v>0</v>
      </c>
      <c r="CT401" s="53">
        <f t="shared" si="282"/>
        <v>0</v>
      </c>
      <c r="CU401" s="53">
        <f t="shared" si="282"/>
        <v>0</v>
      </c>
      <c r="CV401" s="53">
        <f t="shared" si="282"/>
        <v>0</v>
      </c>
      <c r="CW401" s="53">
        <f t="shared" si="282"/>
        <v>0</v>
      </c>
      <c r="CX401" s="53">
        <f t="shared" si="282"/>
        <v>0</v>
      </c>
      <c r="DB401" s="2" vm="650">
        <f ca="1">IF(Returns!A405&lt;&gt;0,Returns!A405,"")</f>
        <v>43003</v>
      </c>
      <c r="DC401" s="11">
        <f ca="1">IF(Returns!B416&gt;0,Returns!B416/Returns!B415-1,"")</f>
        <v>1.4750430292598926E-2</v>
      </c>
      <c r="DD401" s="11">
        <f ca="1">IF(Returns!D408&gt;0,Returns!D408/Returns!D407-1,"")</f>
        <v>1.9977421544865814E-2</v>
      </c>
    </row>
    <row r="402" spans="2:108" x14ac:dyDescent="0.3">
      <c r="B402" s="57">
        <f t="shared" ca="1" si="264"/>
        <v>1.2586599479326719E-3</v>
      </c>
      <c r="C402" s="53">
        <f t="shared" ref="C402:BN402" si="283">IFERROR(IF(C$262=0,0,(C143-C144)/C144),0)</f>
        <v>0</v>
      </c>
      <c r="D402" s="53">
        <f t="shared" si="283"/>
        <v>0</v>
      </c>
      <c r="E402" s="53">
        <f t="shared" si="283"/>
        <v>0</v>
      </c>
      <c r="F402" s="53">
        <f t="shared" si="283"/>
        <v>0</v>
      </c>
      <c r="G402" s="53">
        <f t="shared" si="283"/>
        <v>0</v>
      </c>
      <c r="H402" s="53">
        <f t="shared" si="283"/>
        <v>0</v>
      </c>
      <c r="I402" s="53">
        <f t="shared" si="283"/>
        <v>0</v>
      </c>
      <c r="J402" s="53">
        <f t="shared" si="283"/>
        <v>0</v>
      </c>
      <c r="K402" s="53">
        <f t="shared" si="283"/>
        <v>0</v>
      </c>
      <c r="L402" s="53">
        <f t="shared" si="283"/>
        <v>0</v>
      </c>
      <c r="M402" s="53">
        <f t="shared" si="283"/>
        <v>0</v>
      </c>
      <c r="N402" s="53">
        <f t="shared" si="283"/>
        <v>0</v>
      </c>
      <c r="O402" s="53">
        <f t="shared" si="283"/>
        <v>0</v>
      </c>
      <c r="P402" s="53">
        <f t="shared" si="283"/>
        <v>0</v>
      </c>
      <c r="Q402" s="53">
        <f t="shared" si="283"/>
        <v>0</v>
      </c>
      <c r="R402" s="53">
        <f t="shared" si="283"/>
        <v>0</v>
      </c>
      <c r="S402" s="53">
        <f t="shared" si="283"/>
        <v>0</v>
      </c>
      <c r="T402" s="53">
        <f t="shared" si="283"/>
        <v>0</v>
      </c>
      <c r="U402" s="53">
        <f t="shared" si="283"/>
        <v>0</v>
      </c>
      <c r="V402" s="53">
        <f t="shared" si="283"/>
        <v>0</v>
      </c>
      <c r="W402" s="53">
        <f t="shared" si="283"/>
        <v>0</v>
      </c>
      <c r="X402" s="53">
        <f t="shared" si="283"/>
        <v>0</v>
      </c>
      <c r="Y402" s="53">
        <f t="shared" si="283"/>
        <v>0</v>
      </c>
      <c r="Z402" s="53">
        <f t="shared" si="283"/>
        <v>0</v>
      </c>
      <c r="AA402" s="53">
        <f t="shared" si="283"/>
        <v>0</v>
      </c>
      <c r="AB402" s="53">
        <f t="shared" si="283"/>
        <v>0</v>
      </c>
      <c r="AC402" s="53">
        <f t="shared" si="283"/>
        <v>0</v>
      </c>
      <c r="AD402" s="53">
        <f t="shared" si="283"/>
        <v>0</v>
      </c>
      <c r="AE402" s="53">
        <f t="shared" si="283"/>
        <v>0</v>
      </c>
      <c r="AF402" s="53">
        <f t="shared" si="283"/>
        <v>0</v>
      </c>
      <c r="AG402" s="53">
        <f t="shared" si="283"/>
        <v>0</v>
      </c>
      <c r="AH402" s="53">
        <f t="shared" si="283"/>
        <v>0</v>
      </c>
      <c r="AI402" s="53">
        <f t="shared" si="283"/>
        <v>0</v>
      </c>
      <c r="AJ402" s="53">
        <f t="shared" si="283"/>
        <v>0</v>
      </c>
      <c r="AK402" s="53">
        <f t="shared" si="283"/>
        <v>0</v>
      </c>
      <c r="AL402" s="53">
        <f t="shared" si="283"/>
        <v>0</v>
      </c>
      <c r="AM402" s="53">
        <f t="shared" si="283"/>
        <v>0</v>
      </c>
      <c r="AN402" s="53">
        <f t="shared" si="283"/>
        <v>0</v>
      </c>
      <c r="AO402" s="53">
        <f t="shared" si="283"/>
        <v>0</v>
      </c>
      <c r="AP402" s="53">
        <f t="shared" si="283"/>
        <v>0</v>
      </c>
      <c r="AQ402" s="53">
        <f t="shared" si="283"/>
        <v>0</v>
      </c>
      <c r="AR402" s="53">
        <f t="shared" si="283"/>
        <v>0</v>
      </c>
      <c r="AS402" s="53">
        <f t="shared" si="283"/>
        <v>0</v>
      </c>
      <c r="AT402" s="53">
        <f t="shared" si="283"/>
        <v>0</v>
      </c>
      <c r="AU402" s="53">
        <f t="shared" si="283"/>
        <v>0</v>
      </c>
      <c r="AV402" s="53">
        <f t="shared" si="283"/>
        <v>0</v>
      </c>
      <c r="AW402" s="53">
        <f t="shared" si="283"/>
        <v>0</v>
      </c>
      <c r="AX402" s="53">
        <f t="shared" si="283"/>
        <v>0</v>
      </c>
      <c r="AY402" s="53">
        <f t="shared" si="283"/>
        <v>0</v>
      </c>
      <c r="AZ402" s="53">
        <f t="shared" si="283"/>
        <v>0</v>
      </c>
      <c r="BA402" s="53">
        <f t="shared" si="283"/>
        <v>0</v>
      </c>
      <c r="BB402" s="53">
        <f t="shared" si="283"/>
        <v>0</v>
      </c>
      <c r="BC402" s="53">
        <f t="shared" si="283"/>
        <v>0</v>
      </c>
      <c r="BD402" s="53">
        <f t="shared" si="283"/>
        <v>0</v>
      </c>
      <c r="BE402" s="53">
        <f t="shared" si="283"/>
        <v>0</v>
      </c>
      <c r="BF402" s="53">
        <f t="shared" si="283"/>
        <v>0</v>
      </c>
      <c r="BG402" s="53">
        <f t="shared" si="283"/>
        <v>0</v>
      </c>
      <c r="BH402" s="53">
        <f t="shared" si="283"/>
        <v>0</v>
      </c>
      <c r="BI402" s="53">
        <f t="shared" si="283"/>
        <v>0</v>
      </c>
      <c r="BJ402" s="53">
        <f t="shared" si="283"/>
        <v>0</v>
      </c>
      <c r="BK402" s="53">
        <f t="shared" si="283"/>
        <v>0</v>
      </c>
      <c r="BL402" s="53">
        <f t="shared" si="283"/>
        <v>0</v>
      </c>
      <c r="BM402" s="53">
        <f t="shared" si="283"/>
        <v>0</v>
      </c>
      <c r="BN402" s="53">
        <f t="shared" si="283"/>
        <v>0</v>
      </c>
      <c r="BO402" s="53">
        <f t="shared" ref="BO402:CX402" si="284">IFERROR(IF(BO$262=0,0,(BO143-BO144)/BO144),0)</f>
        <v>0</v>
      </c>
      <c r="BP402" s="53">
        <f t="shared" si="284"/>
        <v>0</v>
      </c>
      <c r="BQ402" s="53">
        <f t="shared" si="284"/>
        <v>0</v>
      </c>
      <c r="BR402" s="53">
        <f t="shared" si="284"/>
        <v>0</v>
      </c>
      <c r="BS402" s="53">
        <f t="shared" si="284"/>
        <v>0</v>
      </c>
      <c r="BT402" s="53">
        <f t="shared" si="284"/>
        <v>0</v>
      </c>
      <c r="BU402" s="53">
        <f t="shared" si="284"/>
        <v>0</v>
      </c>
      <c r="BV402" s="53">
        <f t="shared" si="284"/>
        <v>0</v>
      </c>
      <c r="BW402" s="53">
        <f t="shared" si="284"/>
        <v>0</v>
      </c>
      <c r="BX402" s="53">
        <f t="shared" si="284"/>
        <v>0</v>
      </c>
      <c r="BY402" s="53">
        <f t="shared" si="284"/>
        <v>0</v>
      </c>
      <c r="BZ402" s="53">
        <f t="shared" si="284"/>
        <v>0</v>
      </c>
      <c r="CA402" s="53">
        <f t="shared" si="284"/>
        <v>0</v>
      </c>
      <c r="CB402" s="53">
        <f t="shared" si="284"/>
        <v>0</v>
      </c>
      <c r="CC402" s="53">
        <f t="shared" si="284"/>
        <v>0</v>
      </c>
      <c r="CD402" s="53">
        <f t="shared" si="284"/>
        <v>0</v>
      </c>
      <c r="CE402" s="53">
        <f t="shared" si="284"/>
        <v>0</v>
      </c>
      <c r="CF402" s="53">
        <f t="shared" si="284"/>
        <v>0</v>
      </c>
      <c r="CG402" s="53">
        <f t="shared" si="284"/>
        <v>0</v>
      </c>
      <c r="CH402" s="53">
        <f t="shared" si="284"/>
        <v>0</v>
      </c>
      <c r="CI402" s="53">
        <f t="shared" si="284"/>
        <v>0</v>
      </c>
      <c r="CJ402" s="53">
        <f t="shared" si="284"/>
        <v>0</v>
      </c>
      <c r="CK402" s="53">
        <f t="shared" si="284"/>
        <v>0</v>
      </c>
      <c r="CL402" s="53">
        <f t="shared" si="284"/>
        <v>0</v>
      </c>
      <c r="CM402" s="53">
        <f t="shared" si="284"/>
        <v>0</v>
      </c>
      <c r="CN402" s="53">
        <f t="shared" si="284"/>
        <v>0</v>
      </c>
      <c r="CO402" s="53">
        <f t="shared" si="284"/>
        <v>0</v>
      </c>
      <c r="CP402" s="53">
        <f t="shared" si="284"/>
        <v>0</v>
      </c>
      <c r="CQ402" s="53">
        <f t="shared" si="284"/>
        <v>0</v>
      </c>
      <c r="CR402" s="53">
        <f t="shared" si="284"/>
        <v>0</v>
      </c>
      <c r="CS402" s="53">
        <f t="shared" si="284"/>
        <v>0</v>
      </c>
      <c r="CT402" s="53">
        <f t="shared" si="284"/>
        <v>0</v>
      </c>
      <c r="CU402" s="53">
        <f t="shared" si="284"/>
        <v>0</v>
      </c>
      <c r="CV402" s="53">
        <f t="shared" si="284"/>
        <v>0</v>
      </c>
      <c r="CW402" s="53">
        <f t="shared" si="284"/>
        <v>0</v>
      </c>
      <c r="CX402" s="53">
        <f t="shared" si="284"/>
        <v>0</v>
      </c>
      <c r="DB402" s="2" vm="651">
        <f ca="1">IF(Returns!A406&lt;&gt;0,Returns!A406,"")</f>
        <v>43010</v>
      </c>
      <c r="DC402" s="11">
        <f ca="1">IF(Returns!B417&gt;0,Returns!B417/Returns!B416-1,"")</f>
        <v>-9.1422562206353586E-3</v>
      </c>
      <c r="DD402" s="11">
        <f ca="1">IF(Returns!D409&gt;0,Returns!D409/Returns!D408-1,"")</f>
        <v>4.524645685094475E-3</v>
      </c>
    </row>
    <row r="403" spans="2:108" x14ac:dyDescent="0.3">
      <c r="B403" s="57">
        <f t="shared" ca="1" si="264"/>
        <v>4.5223209409004994E-4</v>
      </c>
      <c r="C403" s="53">
        <f t="shared" ref="C403:BN403" si="285">IFERROR(IF(C$262=0,0,(C144-C145)/C145),0)</f>
        <v>0</v>
      </c>
      <c r="D403" s="53">
        <f t="shared" si="285"/>
        <v>0</v>
      </c>
      <c r="E403" s="53">
        <f t="shared" si="285"/>
        <v>0</v>
      </c>
      <c r="F403" s="53">
        <f t="shared" si="285"/>
        <v>0</v>
      </c>
      <c r="G403" s="53">
        <f t="shared" si="285"/>
        <v>0</v>
      </c>
      <c r="H403" s="53">
        <f t="shared" si="285"/>
        <v>0</v>
      </c>
      <c r="I403" s="53">
        <f t="shared" si="285"/>
        <v>0</v>
      </c>
      <c r="J403" s="53">
        <f t="shared" si="285"/>
        <v>0</v>
      </c>
      <c r="K403" s="53">
        <f t="shared" si="285"/>
        <v>0</v>
      </c>
      <c r="L403" s="53">
        <f t="shared" si="285"/>
        <v>0</v>
      </c>
      <c r="M403" s="53">
        <f t="shared" si="285"/>
        <v>0</v>
      </c>
      <c r="N403" s="53">
        <f t="shared" si="285"/>
        <v>0</v>
      </c>
      <c r="O403" s="53">
        <f t="shared" si="285"/>
        <v>0</v>
      </c>
      <c r="P403" s="53">
        <f t="shared" si="285"/>
        <v>0</v>
      </c>
      <c r="Q403" s="53">
        <f t="shared" si="285"/>
        <v>0</v>
      </c>
      <c r="R403" s="53">
        <f t="shared" si="285"/>
        <v>0</v>
      </c>
      <c r="S403" s="53">
        <f t="shared" si="285"/>
        <v>0</v>
      </c>
      <c r="T403" s="53">
        <f t="shared" si="285"/>
        <v>0</v>
      </c>
      <c r="U403" s="53">
        <f t="shared" si="285"/>
        <v>0</v>
      </c>
      <c r="V403" s="53">
        <f t="shared" si="285"/>
        <v>0</v>
      </c>
      <c r="W403" s="53">
        <f t="shared" si="285"/>
        <v>0</v>
      </c>
      <c r="X403" s="53">
        <f t="shared" si="285"/>
        <v>0</v>
      </c>
      <c r="Y403" s="53">
        <f t="shared" si="285"/>
        <v>0</v>
      </c>
      <c r="Z403" s="53">
        <f t="shared" si="285"/>
        <v>0</v>
      </c>
      <c r="AA403" s="53">
        <f t="shared" si="285"/>
        <v>0</v>
      </c>
      <c r="AB403" s="53">
        <f t="shared" si="285"/>
        <v>0</v>
      </c>
      <c r="AC403" s="53">
        <f t="shared" si="285"/>
        <v>0</v>
      </c>
      <c r="AD403" s="53">
        <f t="shared" si="285"/>
        <v>0</v>
      </c>
      <c r="AE403" s="53">
        <f t="shared" si="285"/>
        <v>0</v>
      </c>
      <c r="AF403" s="53">
        <f t="shared" si="285"/>
        <v>0</v>
      </c>
      <c r="AG403" s="53">
        <f t="shared" si="285"/>
        <v>0</v>
      </c>
      <c r="AH403" s="53">
        <f t="shared" si="285"/>
        <v>0</v>
      </c>
      <c r="AI403" s="53">
        <f t="shared" si="285"/>
        <v>0</v>
      </c>
      <c r="AJ403" s="53">
        <f t="shared" si="285"/>
        <v>0</v>
      </c>
      <c r="AK403" s="53">
        <f t="shared" si="285"/>
        <v>0</v>
      </c>
      <c r="AL403" s="53">
        <f t="shared" si="285"/>
        <v>0</v>
      </c>
      <c r="AM403" s="53">
        <f t="shared" si="285"/>
        <v>0</v>
      </c>
      <c r="AN403" s="53">
        <f t="shared" si="285"/>
        <v>0</v>
      </c>
      <c r="AO403" s="53">
        <f t="shared" si="285"/>
        <v>0</v>
      </c>
      <c r="AP403" s="53">
        <f t="shared" si="285"/>
        <v>0</v>
      </c>
      <c r="AQ403" s="53">
        <f t="shared" si="285"/>
        <v>0</v>
      </c>
      <c r="AR403" s="53">
        <f t="shared" si="285"/>
        <v>0</v>
      </c>
      <c r="AS403" s="53">
        <f t="shared" si="285"/>
        <v>0</v>
      </c>
      <c r="AT403" s="53">
        <f t="shared" si="285"/>
        <v>0</v>
      </c>
      <c r="AU403" s="53">
        <f t="shared" si="285"/>
        <v>0</v>
      </c>
      <c r="AV403" s="53">
        <f t="shared" si="285"/>
        <v>0</v>
      </c>
      <c r="AW403" s="53">
        <f t="shared" si="285"/>
        <v>0</v>
      </c>
      <c r="AX403" s="53">
        <f t="shared" si="285"/>
        <v>0</v>
      </c>
      <c r="AY403" s="53">
        <f t="shared" si="285"/>
        <v>0</v>
      </c>
      <c r="AZ403" s="53">
        <f t="shared" si="285"/>
        <v>0</v>
      </c>
      <c r="BA403" s="53">
        <f t="shared" si="285"/>
        <v>0</v>
      </c>
      <c r="BB403" s="53">
        <f t="shared" si="285"/>
        <v>0</v>
      </c>
      <c r="BC403" s="53">
        <f t="shared" si="285"/>
        <v>0</v>
      </c>
      <c r="BD403" s="53">
        <f t="shared" si="285"/>
        <v>0</v>
      </c>
      <c r="BE403" s="53">
        <f t="shared" si="285"/>
        <v>0</v>
      </c>
      <c r="BF403" s="53">
        <f t="shared" si="285"/>
        <v>0</v>
      </c>
      <c r="BG403" s="53">
        <f t="shared" si="285"/>
        <v>0</v>
      </c>
      <c r="BH403" s="53">
        <f t="shared" si="285"/>
        <v>0</v>
      </c>
      <c r="BI403" s="53">
        <f t="shared" si="285"/>
        <v>0</v>
      </c>
      <c r="BJ403" s="53">
        <f t="shared" si="285"/>
        <v>0</v>
      </c>
      <c r="BK403" s="53">
        <f t="shared" si="285"/>
        <v>0</v>
      </c>
      <c r="BL403" s="53">
        <f t="shared" si="285"/>
        <v>0</v>
      </c>
      <c r="BM403" s="53">
        <f t="shared" si="285"/>
        <v>0</v>
      </c>
      <c r="BN403" s="53">
        <f t="shared" si="285"/>
        <v>0</v>
      </c>
      <c r="BO403" s="53">
        <f t="shared" ref="BO403:CX403" si="286">IFERROR(IF(BO$262=0,0,(BO144-BO145)/BO145),0)</f>
        <v>0</v>
      </c>
      <c r="BP403" s="53">
        <f t="shared" si="286"/>
        <v>0</v>
      </c>
      <c r="BQ403" s="53">
        <f t="shared" si="286"/>
        <v>0</v>
      </c>
      <c r="BR403" s="53">
        <f t="shared" si="286"/>
        <v>0</v>
      </c>
      <c r="BS403" s="53">
        <f t="shared" si="286"/>
        <v>0</v>
      </c>
      <c r="BT403" s="53">
        <f t="shared" si="286"/>
        <v>0</v>
      </c>
      <c r="BU403" s="53">
        <f t="shared" si="286"/>
        <v>0</v>
      </c>
      <c r="BV403" s="53">
        <f t="shared" si="286"/>
        <v>0</v>
      </c>
      <c r="BW403" s="53">
        <f t="shared" si="286"/>
        <v>0</v>
      </c>
      <c r="BX403" s="53">
        <f t="shared" si="286"/>
        <v>0</v>
      </c>
      <c r="BY403" s="53">
        <f t="shared" si="286"/>
        <v>0</v>
      </c>
      <c r="BZ403" s="53">
        <f t="shared" si="286"/>
        <v>0</v>
      </c>
      <c r="CA403" s="53">
        <f t="shared" si="286"/>
        <v>0</v>
      </c>
      <c r="CB403" s="53">
        <f t="shared" si="286"/>
        <v>0</v>
      </c>
      <c r="CC403" s="53">
        <f t="shared" si="286"/>
        <v>0</v>
      </c>
      <c r="CD403" s="53">
        <f t="shared" si="286"/>
        <v>0</v>
      </c>
      <c r="CE403" s="53">
        <f t="shared" si="286"/>
        <v>0</v>
      </c>
      <c r="CF403" s="53">
        <f t="shared" si="286"/>
        <v>0</v>
      </c>
      <c r="CG403" s="53">
        <f t="shared" si="286"/>
        <v>0</v>
      </c>
      <c r="CH403" s="53">
        <f t="shared" si="286"/>
        <v>0</v>
      </c>
      <c r="CI403" s="53">
        <f t="shared" si="286"/>
        <v>0</v>
      </c>
      <c r="CJ403" s="53">
        <f t="shared" si="286"/>
        <v>0</v>
      </c>
      <c r="CK403" s="53">
        <f t="shared" si="286"/>
        <v>0</v>
      </c>
      <c r="CL403" s="53">
        <f t="shared" si="286"/>
        <v>0</v>
      </c>
      <c r="CM403" s="53">
        <f t="shared" si="286"/>
        <v>0</v>
      </c>
      <c r="CN403" s="53">
        <f t="shared" si="286"/>
        <v>0</v>
      </c>
      <c r="CO403" s="53">
        <f t="shared" si="286"/>
        <v>0</v>
      </c>
      <c r="CP403" s="53">
        <f t="shared" si="286"/>
        <v>0</v>
      </c>
      <c r="CQ403" s="53">
        <f t="shared" si="286"/>
        <v>0</v>
      </c>
      <c r="CR403" s="53">
        <f t="shared" si="286"/>
        <v>0</v>
      </c>
      <c r="CS403" s="53">
        <f t="shared" si="286"/>
        <v>0</v>
      </c>
      <c r="CT403" s="53">
        <f t="shared" si="286"/>
        <v>0</v>
      </c>
      <c r="CU403" s="53">
        <f t="shared" si="286"/>
        <v>0</v>
      </c>
      <c r="CV403" s="53">
        <f t="shared" si="286"/>
        <v>0</v>
      </c>
      <c r="CW403" s="53">
        <f t="shared" si="286"/>
        <v>0</v>
      </c>
      <c r="CX403" s="53">
        <f t="shared" si="286"/>
        <v>0</v>
      </c>
      <c r="DB403" s="2" vm="652">
        <f ca="1">IF(Returns!A407&lt;&gt;0,Returns!A407,"")</f>
        <v>43017</v>
      </c>
      <c r="DC403" s="11">
        <f ca="1">IF(Returns!B418&gt;0,Returns!B418/Returns!B417-1,"")</f>
        <v>9.500496422336635E-4</v>
      </c>
      <c r="DD403" s="11">
        <f ca="1">IF(Returns!D410&gt;0,Returns!D410/Returns!D409-1,"")</f>
        <v>4.4807613574102678E-3</v>
      </c>
    </row>
    <row r="404" spans="2:108" x14ac:dyDescent="0.3">
      <c r="B404" s="57">
        <f t="shared" ca="1" si="264"/>
        <v>7.2125848528636113E-5</v>
      </c>
      <c r="C404" s="53">
        <f t="shared" ref="C404:BN404" si="287">IFERROR(IF(C$262=0,0,(C145-C146)/C146),0)</f>
        <v>0</v>
      </c>
      <c r="D404" s="53">
        <f t="shared" si="287"/>
        <v>0</v>
      </c>
      <c r="E404" s="53">
        <f t="shared" si="287"/>
        <v>0</v>
      </c>
      <c r="F404" s="53">
        <f t="shared" si="287"/>
        <v>0</v>
      </c>
      <c r="G404" s="53">
        <f t="shared" si="287"/>
        <v>0</v>
      </c>
      <c r="H404" s="53">
        <f t="shared" si="287"/>
        <v>0</v>
      </c>
      <c r="I404" s="53">
        <f t="shared" si="287"/>
        <v>0</v>
      </c>
      <c r="J404" s="53">
        <f t="shared" si="287"/>
        <v>0</v>
      </c>
      <c r="K404" s="53">
        <f t="shared" si="287"/>
        <v>0</v>
      </c>
      <c r="L404" s="53">
        <f t="shared" si="287"/>
        <v>0</v>
      </c>
      <c r="M404" s="53">
        <f t="shared" si="287"/>
        <v>0</v>
      </c>
      <c r="N404" s="53">
        <f t="shared" si="287"/>
        <v>0</v>
      </c>
      <c r="O404" s="53">
        <f t="shared" si="287"/>
        <v>0</v>
      </c>
      <c r="P404" s="53">
        <f t="shared" si="287"/>
        <v>0</v>
      </c>
      <c r="Q404" s="53">
        <f t="shared" si="287"/>
        <v>0</v>
      </c>
      <c r="R404" s="53">
        <f t="shared" si="287"/>
        <v>0</v>
      </c>
      <c r="S404" s="53">
        <f t="shared" si="287"/>
        <v>0</v>
      </c>
      <c r="T404" s="53">
        <f t="shared" si="287"/>
        <v>0</v>
      </c>
      <c r="U404" s="53">
        <f t="shared" si="287"/>
        <v>0</v>
      </c>
      <c r="V404" s="53">
        <f t="shared" si="287"/>
        <v>0</v>
      </c>
      <c r="W404" s="53">
        <f t="shared" si="287"/>
        <v>0</v>
      </c>
      <c r="X404" s="53">
        <f t="shared" si="287"/>
        <v>0</v>
      </c>
      <c r="Y404" s="53">
        <f t="shared" si="287"/>
        <v>0</v>
      </c>
      <c r="Z404" s="53">
        <f t="shared" si="287"/>
        <v>0</v>
      </c>
      <c r="AA404" s="53">
        <f t="shared" si="287"/>
        <v>0</v>
      </c>
      <c r="AB404" s="53">
        <f t="shared" si="287"/>
        <v>0</v>
      </c>
      <c r="AC404" s="53">
        <f t="shared" si="287"/>
        <v>0</v>
      </c>
      <c r="AD404" s="53">
        <f t="shared" si="287"/>
        <v>0</v>
      </c>
      <c r="AE404" s="53">
        <f t="shared" si="287"/>
        <v>0</v>
      </c>
      <c r="AF404" s="53">
        <f t="shared" si="287"/>
        <v>0</v>
      </c>
      <c r="AG404" s="53">
        <f t="shared" si="287"/>
        <v>0</v>
      </c>
      <c r="AH404" s="53">
        <f t="shared" si="287"/>
        <v>0</v>
      </c>
      <c r="AI404" s="53">
        <f t="shared" si="287"/>
        <v>0</v>
      </c>
      <c r="AJ404" s="53">
        <f t="shared" si="287"/>
        <v>0</v>
      </c>
      <c r="AK404" s="53">
        <f t="shared" si="287"/>
        <v>0</v>
      </c>
      <c r="AL404" s="53">
        <f t="shared" si="287"/>
        <v>0</v>
      </c>
      <c r="AM404" s="53">
        <f t="shared" si="287"/>
        <v>0</v>
      </c>
      <c r="AN404" s="53">
        <f t="shared" si="287"/>
        <v>0</v>
      </c>
      <c r="AO404" s="53">
        <f t="shared" si="287"/>
        <v>0</v>
      </c>
      <c r="AP404" s="53">
        <f t="shared" si="287"/>
        <v>0</v>
      </c>
      <c r="AQ404" s="53">
        <f t="shared" si="287"/>
        <v>0</v>
      </c>
      <c r="AR404" s="53">
        <f t="shared" si="287"/>
        <v>0</v>
      </c>
      <c r="AS404" s="53">
        <f t="shared" si="287"/>
        <v>0</v>
      </c>
      <c r="AT404" s="53">
        <f t="shared" si="287"/>
        <v>0</v>
      </c>
      <c r="AU404" s="53">
        <f t="shared" si="287"/>
        <v>0</v>
      </c>
      <c r="AV404" s="53">
        <f t="shared" si="287"/>
        <v>0</v>
      </c>
      <c r="AW404" s="53">
        <f t="shared" si="287"/>
        <v>0</v>
      </c>
      <c r="AX404" s="53">
        <f t="shared" si="287"/>
        <v>0</v>
      </c>
      <c r="AY404" s="53">
        <f t="shared" si="287"/>
        <v>0</v>
      </c>
      <c r="AZ404" s="53">
        <f t="shared" si="287"/>
        <v>0</v>
      </c>
      <c r="BA404" s="53">
        <f t="shared" si="287"/>
        <v>0</v>
      </c>
      <c r="BB404" s="53">
        <f t="shared" si="287"/>
        <v>0</v>
      </c>
      <c r="BC404" s="53">
        <f t="shared" si="287"/>
        <v>0</v>
      </c>
      <c r="BD404" s="53">
        <f t="shared" si="287"/>
        <v>0</v>
      </c>
      <c r="BE404" s="53">
        <f t="shared" si="287"/>
        <v>0</v>
      </c>
      <c r="BF404" s="53">
        <f t="shared" si="287"/>
        <v>0</v>
      </c>
      <c r="BG404" s="53">
        <f t="shared" si="287"/>
        <v>0</v>
      </c>
      <c r="BH404" s="53">
        <f t="shared" si="287"/>
        <v>0</v>
      </c>
      <c r="BI404" s="53">
        <f t="shared" si="287"/>
        <v>0</v>
      </c>
      <c r="BJ404" s="53">
        <f t="shared" si="287"/>
        <v>0</v>
      </c>
      <c r="BK404" s="53">
        <f t="shared" si="287"/>
        <v>0</v>
      </c>
      <c r="BL404" s="53">
        <f t="shared" si="287"/>
        <v>0</v>
      </c>
      <c r="BM404" s="53">
        <f t="shared" si="287"/>
        <v>0</v>
      </c>
      <c r="BN404" s="53">
        <f t="shared" si="287"/>
        <v>0</v>
      </c>
      <c r="BO404" s="53">
        <f t="shared" ref="BO404:CX404" si="288">IFERROR(IF(BO$262=0,0,(BO145-BO146)/BO146),0)</f>
        <v>0</v>
      </c>
      <c r="BP404" s="53">
        <f t="shared" si="288"/>
        <v>0</v>
      </c>
      <c r="BQ404" s="53">
        <f t="shared" si="288"/>
        <v>0</v>
      </c>
      <c r="BR404" s="53">
        <f t="shared" si="288"/>
        <v>0</v>
      </c>
      <c r="BS404" s="53">
        <f t="shared" si="288"/>
        <v>0</v>
      </c>
      <c r="BT404" s="53">
        <f t="shared" si="288"/>
        <v>0</v>
      </c>
      <c r="BU404" s="53">
        <f t="shared" si="288"/>
        <v>0</v>
      </c>
      <c r="BV404" s="53">
        <f t="shared" si="288"/>
        <v>0</v>
      </c>
      <c r="BW404" s="53">
        <f t="shared" si="288"/>
        <v>0</v>
      </c>
      <c r="BX404" s="53">
        <f t="shared" si="288"/>
        <v>0</v>
      </c>
      <c r="BY404" s="53">
        <f t="shared" si="288"/>
        <v>0</v>
      </c>
      <c r="BZ404" s="53">
        <f t="shared" si="288"/>
        <v>0</v>
      </c>
      <c r="CA404" s="53">
        <f t="shared" si="288"/>
        <v>0</v>
      </c>
      <c r="CB404" s="53">
        <f t="shared" si="288"/>
        <v>0</v>
      </c>
      <c r="CC404" s="53">
        <f t="shared" si="288"/>
        <v>0</v>
      </c>
      <c r="CD404" s="53">
        <f t="shared" si="288"/>
        <v>0</v>
      </c>
      <c r="CE404" s="53">
        <f t="shared" si="288"/>
        <v>0</v>
      </c>
      <c r="CF404" s="53">
        <f t="shared" si="288"/>
        <v>0</v>
      </c>
      <c r="CG404" s="53">
        <f t="shared" si="288"/>
        <v>0</v>
      </c>
      <c r="CH404" s="53">
        <f t="shared" si="288"/>
        <v>0</v>
      </c>
      <c r="CI404" s="53">
        <f t="shared" si="288"/>
        <v>0</v>
      </c>
      <c r="CJ404" s="53">
        <f t="shared" si="288"/>
        <v>0</v>
      </c>
      <c r="CK404" s="53">
        <f t="shared" si="288"/>
        <v>0</v>
      </c>
      <c r="CL404" s="53">
        <f t="shared" si="288"/>
        <v>0</v>
      </c>
      <c r="CM404" s="53">
        <f t="shared" si="288"/>
        <v>0</v>
      </c>
      <c r="CN404" s="53">
        <f t="shared" si="288"/>
        <v>0</v>
      </c>
      <c r="CO404" s="53">
        <f t="shared" si="288"/>
        <v>0</v>
      </c>
      <c r="CP404" s="53">
        <f t="shared" si="288"/>
        <v>0</v>
      </c>
      <c r="CQ404" s="53">
        <f t="shared" si="288"/>
        <v>0</v>
      </c>
      <c r="CR404" s="53">
        <f t="shared" si="288"/>
        <v>0</v>
      </c>
      <c r="CS404" s="53">
        <f t="shared" si="288"/>
        <v>0</v>
      </c>
      <c r="CT404" s="53">
        <f t="shared" si="288"/>
        <v>0</v>
      </c>
      <c r="CU404" s="53">
        <f t="shared" si="288"/>
        <v>0</v>
      </c>
      <c r="CV404" s="53">
        <f t="shared" si="288"/>
        <v>0</v>
      </c>
      <c r="CW404" s="53">
        <f t="shared" si="288"/>
        <v>0</v>
      </c>
      <c r="CX404" s="53">
        <f t="shared" si="288"/>
        <v>0</v>
      </c>
      <c r="DB404" s="2" vm="653">
        <f ca="1">IF(Returns!A408&lt;&gt;0,Returns!A408,"")</f>
        <v>43024</v>
      </c>
      <c r="DC404" s="11">
        <f ca="1">IF(Returns!B419&gt;0,Returns!B419/Returns!B418-1,"")</f>
        <v>5.1023113034109446E-2</v>
      </c>
      <c r="DD404" s="11">
        <f ca="1">IF(Returns!D411&gt;0,Returns!D411/Returns!D410-1,"")</f>
        <v>-4.9697376801421944E-3</v>
      </c>
    </row>
    <row r="405" spans="2:108" x14ac:dyDescent="0.3">
      <c r="B405" s="57">
        <f t="shared" ca="1" si="264"/>
        <v>2.4723522472655648E-4</v>
      </c>
      <c r="C405" s="53">
        <f t="shared" ref="C405:BN405" si="289">IFERROR(IF(C$262=0,0,(C146-C147)/C147),0)</f>
        <v>0</v>
      </c>
      <c r="D405" s="53">
        <f t="shared" si="289"/>
        <v>0</v>
      </c>
      <c r="E405" s="53">
        <f t="shared" si="289"/>
        <v>0</v>
      </c>
      <c r="F405" s="53">
        <f t="shared" si="289"/>
        <v>0</v>
      </c>
      <c r="G405" s="53">
        <f t="shared" si="289"/>
        <v>0</v>
      </c>
      <c r="H405" s="53">
        <f t="shared" si="289"/>
        <v>0</v>
      </c>
      <c r="I405" s="53">
        <f t="shared" si="289"/>
        <v>0</v>
      </c>
      <c r="J405" s="53">
        <f t="shared" si="289"/>
        <v>0</v>
      </c>
      <c r="K405" s="53">
        <f t="shared" si="289"/>
        <v>0</v>
      </c>
      <c r="L405" s="53">
        <f t="shared" si="289"/>
        <v>0</v>
      </c>
      <c r="M405" s="53">
        <f t="shared" si="289"/>
        <v>0</v>
      </c>
      <c r="N405" s="53">
        <f t="shared" si="289"/>
        <v>0</v>
      </c>
      <c r="O405" s="53">
        <f t="shared" si="289"/>
        <v>0</v>
      </c>
      <c r="P405" s="53">
        <f t="shared" si="289"/>
        <v>0</v>
      </c>
      <c r="Q405" s="53">
        <f t="shared" si="289"/>
        <v>0</v>
      </c>
      <c r="R405" s="53">
        <f t="shared" si="289"/>
        <v>0</v>
      </c>
      <c r="S405" s="53">
        <f t="shared" si="289"/>
        <v>0</v>
      </c>
      <c r="T405" s="53">
        <f t="shared" si="289"/>
        <v>0</v>
      </c>
      <c r="U405" s="53">
        <f t="shared" si="289"/>
        <v>0</v>
      </c>
      <c r="V405" s="53">
        <f t="shared" si="289"/>
        <v>0</v>
      </c>
      <c r="W405" s="53">
        <f t="shared" si="289"/>
        <v>0</v>
      </c>
      <c r="X405" s="53">
        <f t="shared" si="289"/>
        <v>0</v>
      </c>
      <c r="Y405" s="53">
        <f t="shared" si="289"/>
        <v>0</v>
      </c>
      <c r="Z405" s="53">
        <f t="shared" si="289"/>
        <v>0</v>
      </c>
      <c r="AA405" s="53">
        <f t="shared" si="289"/>
        <v>0</v>
      </c>
      <c r="AB405" s="53">
        <f t="shared" si="289"/>
        <v>0</v>
      </c>
      <c r="AC405" s="53">
        <f t="shared" si="289"/>
        <v>0</v>
      </c>
      <c r="AD405" s="53">
        <f t="shared" si="289"/>
        <v>0</v>
      </c>
      <c r="AE405" s="53">
        <f t="shared" si="289"/>
        <v>0</v>
      </c>
      <c r="AF405" s="53">
        <f t="shared" si="289"/>
        <v>0</v>
      </c>
      <c r="AG405" s="53">
        <f t="shared" si="289"/>
        <v>0</v>
      </c>
      <c r="AH405" s="53">
        <f t="shared" si="289"/>
        <v>0</v>
      </c>
      <c r="AI405" s="53">
        <f t="shared" si="289"/>
        <v>0</v>
      </c>
      <c r="AJ405" s="53">
        <f t="shared" si="289"/>
        <v>0</v>
      </c>
      <c r="AK405" s="53">
        <f t="shared" si="289"/>
        <v>0</v>
      </c>
      <c r="AL405" s="53">
        <f t="shared" si="289"/>
        <v>0</v>
      </c>
      <c r="AM405" s="53">
        <f t="shared" si="289"/>
        <v>0</v>
      </c>
      <c r="AN405" s="53">
        <f t="shared" si="289"/>
        <v>0</v>
      </c>
      <c r="AO405" s="53">
        <f t="shared" si="289"/>
        <v>0</v>
      </c>
      <c r="AP405" s="53">
        <f t="shared" si="289"/>
        <v>0</v>
      </c>
      <c r="AQ405" s="53">
        <f t="shared" si="289"/>
        <v>0</v>
      </c>
      <c r="AR405" s="53">
        <f t="shared" si="289"/>
        <v>0</v>
      </c>
      <c r="AS405" s="53">
        <f t="shared" si="289"/>
        <v>0</v>
      </c>
      <c r="AT405" s="53">
        <f t="shared" si="289"/>
        <v>0</v>
      </c>
      <c r="AU405" s="53">
        <f t="shared" si="289"/>
        <v>0</v>
      </c>
      <c r="AV405" s="53">
        <f t="shared" si="289"/>
        <v>0</v>
      </c>
      <c r="AW405" s="53">
        <f t="shared" si="289"/>
        <v>0</v>
      </c>
      <c r="AX405" s="53">
        <f t="shared" si="289"/>
        <v>0</v>
      </c>
      <c r="AY405" s="53">
        <f t="shared" si="289"/>
        <v>0</v>
      </c>
      <c r="AZ405" s="53">
        <f t="shared" si="289"/>
        <v>0</v>
      </c>
      <c r="BA405" s="53">
        <f t="shared" si="289"/>
        <v>0</v>
      </c>
      <c r="BB405" s="53">
        <f t="shared" si="289"/>
        <v>0</v>
      </c>
      <c r="BC405" s="53">
        <f t="shared" si="289"/>
        <v>0</v>
      </c>
      <c r="BD405" s="53">
        <f t="shared" si="289"/>
        <v>0</v>
      </c>
      <c r="BE405" s="53">
        <f t="shared" si="289"/>
        <v>0</v>
      </c>
      <c r="BF405" s="53">
        <f t="shared" si="289"/>
        <v>0</v>
      </c>
      <c r="BG405" s="53">
        <f t="shared" si="289"/>
        <v>0</v>
      </c>
      <c r="BH405" s="53">
        <f t="shared" si="289"/>
        <v>0</v>
      </c>
      <c r="BI405" s="53">
        <f t="shared" si="289"/>
        <v>0</v>
      </c>
      <c r="BJ405" s="53">
        <f t="shared" si="289"/>
        <v>0</v>
      </c>
      <c r="BK405" s="53">
        <f t="shared" si="289"/>
        <v>0</v>
      </c>
      <c r="BL405" s="53">
        <f t="shared" si="289"/>
        <v>0</v>
      </c>
      <c r="BM405" s="53">
        <f t="shared" si="289"/>
        <v>0</v>
      </c>
      <c r="BN405" s="53">
        <f t="shared" si="289"/>
        <v>0</v>
      </c>
      <c r="BO405" s="53">
        <f t="shared" ref="BO405:CX405" si="290">IFERROR(IF(BO$262=0,0,(BO146-BO147)/BO147),0)</f>
        <v>0</v>
      </c>
      <c r="BP405" s="53">
        <f t="shared" si="290"/>
        <v>0</v>
      </c>
      <c r="BQ405" s="53">
        <f t="shared" si="290"/>
        <v>0</v>
      </c>
      <c r="BR405" s="53">
        <f t="shared" si="290"/>
        <v>0</v>
      </c>
      <c r="BS405" s="53">
        <f t="shared" si="290"/>
        <v>0</v>
      </c>
      <c r="BT405" s="53">
        <f t="shared" si="290"/>
        <v>0</v>
      </c>
      <c r="BU405" s="53">
        <f t="shared" si="290"/>
        <v>0</v>
      </c>
      <c r="BV405" s="53">
        <f t="shared" si="290"/>
        <v>0</v>
      </c>
      <c r="BW405" s="53">
        <f t="shared" si="290"/>
        <v>0</v>
      </c>
      <c r="BX405" s="53">
        <f t="shared" si="290"/>
        <v>0</v>
      </c>
      <c r="BY405" s="53">
        <f t="shared" si="290"/>
        <v>0</v>
      </c>
      <c r="BZ405" s="53">
        <f t="shared" si="290"/>
        <v>0</v>
      </c>
      <c r="CA405" s="53">
        <f t="shared" si="290"/>
        <v>0</v>
      </c>
      <c r="CB405" s="53">
        <f t="shared" si="290"/>
        <v>0</v>
      </c>
      <c r="CC405" s="53">
        <f t="shared" si="290"/>
        <v>0</v>
      </c>
      <c r="CD405" s="53">
        <f t="shared" si="290"/>
        <v>0</v>
      </c>
      <c r="CE405" s="53">
        <f t="shared" si="290"/>
        <v>0</v>
      </c>
      <c r="CF405" s="53">
        <f t="shared" si="290"/>
        <v>0</v>
      </c>
      <c r="CG405" s="53">
        <f t="shared" si="290"/>
        <v>0</v>
      </c>
      <c r="CH405" s="53">
        <f t="shared" si="290"/>
        <v>0</v>
      </c>
      <c r="CI405" s="53">
        <f t="shared" si="290"/>
        <v>0</v>
      </c>
      <c r="CJ405" s="53">
        <f t="shared" si="290"/>
        <v>0</v>
      </c>
      <c r="CK405" s="53">
        <f t="shared" si="290"/>
        <v>0</v>
      </c>
      <c r="CL405" s="53">
        <f t="shared" si="290"/>
        <v>0</v>
      </c>
      <c r="CM405" s="53">
        <f t="shared" si="290"/>
        <v>0</v>
      </c>
      <c r="CN405" s="53">
        <f t="shared" si="290"/>
        <v>0</v>
      </c>
      <c r="CO405" s="53">
        <f t="shared" si="290"/>
        <v>0</v>
      </c>
      <c r="CP405" s="53">
        <f t="shared" si="290"/>
        <v>0</v>
      </c>
      <c r="CQ405" s="53">
        <f t="shared" si="290"/>
        <v>0</v>
      </c>
      <c r="CR405" s="53">
        <f t="shared" si="290"/>
        <v>0</v>
      </c>
      <c r="CS405" s="53">
        <f t="shared" si="290"/>
        <v>0</v>
      </c>
      <c r="CT405" s="53">
        <f t="shared" si="290"/>
        <v>0</v>
      </c>
      <c r="CU405" s="53">
        <f t="shared" si="290"/>
        <v>0</v>
      </c>
      <c r="CV405" s="53">
        <f t="shared" si="290"/>
        <v>0</v>
      </c>
      <c r="CW405" s="53">
        <f t="shared" si="290"/>
        <v>0</v>
      </c>
      <c r="CX405" s="53">
        <f t="shared" si="290"/>
        <v>0</v>
      </c>
      <c r="DB405" s="2" vm="654">
        <f ca="1">IF(Returns!A409&lt;&gt;0,Returns!A409,"")</f>
        <v>43031</v>
      </c>
      <c r="DC405" s="11">
        <f ca="1">IF(Returns!B420&gt;0,Returns!B420/Returns!B419-1,"")</f>
        <v>6.1880664529671225E-2</v>
      </c>
      <c r="DD405" s="11">
        <f ca="1">IF(Returns!D412&gt;0,Returns!D412/Returns!D411-1,"")</f>
        <v>-2.7309894992174621E-3</v>
      </c>
    </row>
    <row r="406" spans="2:108" x14ac:dyDescent="0.3">
      <c r="B406" s="57">
        <f t="shared" ca="1" si="264"/>
        <v>1.1208977090814266E-3</v>
      </c>
      <c r="C406" s="53">
        <f t="shared" ref="C406:BN406" si="291">IFERROR(IF(C$262=0,0,(C147-C148)/C148),0)</f>
        <v>0</v>
      </c>
      <c r="D406" s="53">
        <f t="shared" si="291"/>
        <v>0</v>
      </c>
      <c r="E406" s="53">
        <f t="shared" si="291"/>
        <v>0</v>
      </c>
      <c r="F406" s="53">
        <f t="shared" si="291"/>
        <v>0</v>
      </c>
      <c r="G406" s="53">
        <f t="shared" si="291"/>
        <v>0</v>
      </c>
      <c r="H406" s="53">
        <f t="shared" si="291"/>
        <v>0</v>
      </c>
      <c r="I406" s="53">
        <f t="shared" si="291"/>
        <v>0</v>
      </c>
      <c r="J406" s="53">
        <f t="shared" si="291"/>
        <v>0</v>
      </c>
      <c r="K406" s="53">
        <f t="shared" si="291"/>
        <v>0</v>
      </c>
      <c r="L406" s="53">
        <f t="shared" si="291"/>
        <v>0</v>
      </c>
      <c r="M406" s="53">
        <f t="shared" si="291"/>
        <v>0</v>
      </c>
      <c r="N406" s="53">
        <f t="shared" si="291"/>
        <v>0</v>
      </c>
      <c r="O406" s="53">
        <f t="shared" si="291"/>
        <v>0</v>
      </c>
      <c r="P406" s="53">
        <f t="shared" si="291"/>
        <v>0</v>
      </c>
      <c r="Q406" s="53">
        <f t="shared" si="291"/>
        <v>0</v>
      </c>
      <c r="R406" s="53">
        <f t="shared" si="291"/>
        <v>0</v>
      </c>
      <c r="S406" s="53">
        <f t="shared" si="291"/>
        <v>0</v>
      </c>
      <c r="T406" s="53">
        <f t="shared" si="291"/>
        <v>0</v>
      </c>
      <c r="U406" s="53">
        <f t="shared" si="291"/>
        <v>0</v>
      </c>
      <c r="V406" s="53">
        <f t="shared" si="291"/>
        <v>0</v>
      </c>
      <c r="W406" s="53">
        <f t="shared" si="291"/>
        <v>0</v>
      </c>
      <c r="X406" s="53">
        <f t="shared" si="291"/>
        <v>0</v>
      </c>
      <c r="Y406" s="53">
        <f t="shared" si="291"/>
        <v>0</v>
      </c>
      <c r="Z406" s="53">
        <f t="shared" si="291"/>
        <v>0</v>
      </c>
      <c r="AA406" s="53">
        <f t="shared" si="291"/>
        <v>0</v>
      </c>
      <c r="AB406" s="53">
        <f t="shared" si="291"/>
        <v>0</v>
      </c>
      <c r="AC406" s="53">
        <f t="shared" si="291"/>
        <v>0</v>
      </c>
      <c r="AD406" s="53">
        <f t="shared" si="291"/>
        <v>0</v>
      </c>
      <c r="AE406" s="53">
        <f t="shared" si="291"/>
        <v>0</v>
      </c>
      <c r="AF406" s="53">
        <f t="shared" si="291"/>
        <v>0</v>
      </c>
      <c r="AG406" s="53">
        <f t="shared" si="291"/>
        <v>0</v>
      </c>
      <c r="AH406" s="53">
        <f t="shared" si="291"/>
        <v>0</v>
      </c>
      <c r="AI406" s="53">
        <f t="shared" si="291"/>
        <v>0</v>
      </c>
      <c r="AJ406" s="53">
        <f t="shared" si="291"/>
        <v>0</v>
      </c>
      <c r="AK406" s="53">
        <f t="shared" si="291"/>
        <v>0</v>
      </c>
      <c r="AL406" s="53">
        <f t="shared" si="291"/>
        <v>0</v>
      </c>
      <c r="AM406" s="53">
        <f t="shared" si="291"/>
        <v>0</v>
      </c>
      <c r="AN406" s="53">
        <f t="shared" si="291"/>
        <v>0</v>
      </c>
      <c r="AO406" s="53">
        <f t="shared" si="291"/>
        <v>0</v>
      </c>
      <c r="AP406" s="53">
        <f t="shared" si="291"/>
        <v>0</v>
      </c>
      <c r="AQ406" s="53">
        <f t="shared" si="291"/>
        <v>0</v>
      </c>
      <c r="AR406" s="53">
        <f t="shared" si="291"/>
        <v>0</v>
      </c>
      <c r="AS406" s="53">
        <f t="shared" si="291"/>
        <v>0</v>
      </c>
      <c r="AT406" s="53">
        <f t="shared" si="291"/>
        <v>0</v>
      </c>
      <c r="AU406" s="53">
        <f t="shared" si="291"/>
        <v>0</v>
      </c>
      <c r="AV406" s="53">
        <f t="shared" si="291"/>
        <v>0</v>
      </c>
      <c r="AW406" s="53">
        <f t="shared" si="291"/>
        <v>0</v>
      </c>
      <c r="AX406" s="53">
        <f t="shared" si="291"/>
        <v>0</v>
      </c>
      <c r="AY406" s="53">
        <f t="shared" si="291"/>
        <v>0</v>
      </c>
      <c r="AZ406" s="53">
        <f t="shared" si="291"/>
        <v>0</v>
      </c>
      <c r="BA406" s="53">
        <f t="shared" si="291"/>
        <v>0</v>
      </c>
      <c r="BB406" s="53">
        <f t="shared" si="291"/>
        <v>0</v>
      </c>
      <c r="BC406" s="53">
        <f t="shared" si="291"/>
        <v>0</v>
      </c>
      <c r="BD406" s="53">
        <f t="shared" si="291"/>
        <v>0</v>
      </c>
      <c r="BE406" s="53">
        <f t="shared" si="291"/>
        <v>0</v>
      </c>
      <c r="BF406" s="53">
        <f t="shared" si="291"/>
        <v>0</v>
      </c>
      <c r="BG406" s="53">
        <f t="shared" si="291"/>
        <v>0</v>
      </c>
      <c r="BH406" s="53">
        <f t="shared" si="291"/>
        <v>0</v>
      </c>
      <c r="BI406" s="53">
        <f t="shared" si="291"/>
        <v>0</v>
      </c>
      <c r="BJ406" s="53">
        <f t="shared" si="291"/>
        <v>0</v>
      </c>
      <c r="BK406" s="53">
        <f t="shared" si="291"/>
        <v>0</v>
      </c>
      <c r="BL406" s="53">
        <f t="shared" si="291"/>
        <v>0</v>
      </c>
      <c r="BM406" s="53">
        <f t="shared" si="291"/>
        <v>0</v>
      </c>
      <c r="BN406" s="53">
        <f t="shared" si="291"/>
        <v>0</v>
      </c>
      <c r="BO406" s="53">
        <f t="shared" ref="BO406:CX406" si="292">IFERROR(IF(BO$262=0,0,(BO147-BO148)/BO148),0)</f>
        <v>0</v>
      </c>
      <c r="BP406" s="53">
        <f t="shared" si="292"/>
        <v>0</v>
      </c>
      <c r="BQ406" s="53">
        <f t="shared" si="292"/>
        <v>0</v>
      </c>
      <c r="BR406" s="53">
        <f t="shared" si="292"/>
        <v>0</v>
      </c>
      <c r="BS406" s="53">
        <f t="shared" si="292"/>
        <v>0</v>
      </c>
      <c r="BT406" s="53">
        <f t="shared" si="292"/>
        <v>0</v>
      </c>
      <c r="BU406" s="53">
        <f t="shared" si="292"/>
        <v>0</v>
      </c>
      <c r="BV406" s="53">
        <f t="shared" si="292"/>
        <v>0</v>
      </c>
      <c r="BW406" s="53">
        <f t="shared" si="292"/>
        <v>0</v>
      </c>
      <c r="BX406" s="53">
        <f t="shared" si="292"/>
        <v>0</v>
      </c>
      <c r="BY406" s="53">
        <f t="shared" si="292"/>
        <v>0</v>
      </c>
      <c r="BZ406" s="53">
        <f t="shared" si="292"/>
        <v>0</v>
      </c>
      <c r="CA406" s="53">
        <f t="shared" si="292"/>
        <v>0</v>
      </c>
      <c r="CB406" s="53">
        <f t="shared" si="292"/>
        <v>0</v>
      </c>
      <c r="CC406" s="53">
        <f t="shared" si="292"/>
        <v>0</v>
      </c>
      <c r="CD406" s="53">
        <f t="shared" si="292"/>
        <v>0</v>
      </c>
      <c r="CE406" s="53">
        <f t="shared" si="292"/>
        <v>0</v>
      </c>
      <c r="CF406" s="53">
        <f t="shared" si="292"/>
        <v>0</v>
      </c>
      <c r="CG406" s="53">
        <f t="shared" si="292"/>
        <v>0</v>
      </c>
      <c r="CH406" s="53">
        <f t="shared" si="292"/>
        <v>0</v>
      </c>
      <c r="CI406" s="53">
        <f t="shared" si="292"/>
        <v>0</v>
      </c>
      <c r="CJ406" s="53">
        <f t="shared" si="292"/>
        <v>0</v>
      </c>
      <c r="CK406" s="53">
        <f t="shared" si="292"/>
        <v>0</v>
      </c>
      <c r="CL406" s="53">
        <f t="shared" si="292"/>
        <v>0</v>
      </c>
      <c r="CM406" s="53">
        <f t="shared" si="292"/>
        <v>0</v>
      </c>
      <c r="CN406" s="53">
        <f t="shared" si="292"/>
        <v>0</v>
      </c>
      <c r="CO406" s="53">
        <f t="shared" si="292"/>
        <v>0</v>
      </c>
      <c r="CP406" s="53">
        <f t="shared" si="292"/>
        <v>0</v>
      </c>
      <c r="CQ406" s="53">
        <f t="shared" si="292"/>
        <v>0</v>
      </c>
      <c r="CR406" s="53">
        <f t="shared" si="292"/>
        <v>0</v>
      </c>
      <c r="CS406" s="53">
        <f t="shared" si="292"/>
        <v>0</v>
      </c>
      <c r="CT406" s="53">
        <f t="shared" si="292"/>
        <v>0</v>
      </c>
      <c r="CU406" s="53">
        <f t="shared" si="292"/>
        <v>0</v>
      </c>
      <c r="CV406" s="53">
        <f t="shared" si="292"/>
        <v>0</v>
      </c>
      <c r="CW406" s="53">
        <f t="shared" si="292"/>
        <v>0</v>
      </c>
      <c r="CX406" s="53">
        <f t="shared" si="292"/>
        <v>0</v>
      </c>
      <c r="DB406" s="2" vm="655">
        <f ca="1">IF(Returns!A410&lt;&gt;0,Returns!A410,"")</f>
        <v>43038</v>
      </c>
      <c r="DC406" s="11">
        <f ca="1">IF(Returns!B421&gt;0,Returns!B421/Returns!B420-1,"")</f>
        <v>-8.136684033098418E-3</v>
      </c>
      <c r="DD406" s="11">
        <f ca="1">IF(Returns!D413&gt;0,Returns!D413/Returns!D412-1,"")</f>
        <v>8.5514445443659604E-3</v>
      </c>
    </row>
    <row r="407" spans="2:108" x14ac:dyDescent="0.3">
      <c r="B407" s="57">
        <f t="shared" ca="1" si="264"/>
        <v>5.0756721072181788E-5</v>
      </c>
      <c r="C407" s="53">
        <f t="shared" ref="C407:BN407" si="293">IFERROR(IF(C$262=0,0,(C148-C149)/C149),0)</f>
        <v>0</v>
      </c>
      <c r="D407" s="53">
        <f t="shared" si="293"/>
        <v>0</v>
      </c>
      <c r="E407" s="53">
        <f t="shared" si="293"/>
        <v>0</v>
      </c>
      <c r="F407" s="53">
        <f t="shared" si="293"/>
        <v>0</v>
      </c>
      <c r="G407" s="53">
        <f t="shared" si="293"/>
        <v>0</v>
      </c>
      <c r="H407" s="53">
        <f t="shared" si="293"/>
        <v>0</v>
      </c>
      <c r="I407" s="53">
        <f t="shared" si="293"/>
        <v>0</v>
      </c>
      <c r="J407" s="53">
        <f t="shared" si="293"/>
        <v>0</v>
      </c>
      <c r="K407" s="53">
        <f t="shared" si="293"/>
        <v>0</v>
      </c>
      <c r="L407" s="53">
        <f t="shared" si="293"/>
        <v>0</v>
      </c>
      <c r="M407" s="53">
        <f t="shared" si="293"/>
        <v>0</v>
      </c>
      <c r="N407" s="53">
        <f t="shared" si="293"/>
        <v>0</v>
      </c>
      <c r="O407" s="53">
        <f t="shared" si="293"/>
        <v>0</v>
      </c>
      <c r="P407" s="53">
        <f t="shared" si="293"/>
        <v>0</v>
      </c>
      <c r="Q407" s="53">
        <f t="shared" si="293"/>
        <v>0</v>
      </c>
      <c r="R407" s="53">
        <f t="shared" si="293"/>
        <v>0</v>
      </c>
      <c r="S407" s="53">
        <f t="shared" si="293"/>
        <v>0</v>
      </c>
      <c r="T407" s="53">
        <f t="shared" si="293"/>
        <v>0</v>
      </c>
      <c r="U407" s="53">
        <f t="shared" si="293"/>
        <v>0</v>
      </c>
      <c r="V407" s="53">
        <f t="shared" si="293"/>
        <v>0</v>
      </c>
      <c r="W407" s="53">
        <f t="shared" si="293"/>
        <v>0</v>
      </c>
      <c r="X407" s="53">
        <f t="shared" si="293"/>
        <v>0</v>
      </c>
      <c r="Y407" s="53">
        <f t="shared" si="293"/>
        <v>0</v>
      </c>
      <c r="Z407" s="53">
        <f t="shared" si="293"/>
        <v>0</v>
      </c>
      <c r="AA407" s="53">
        <f t="shared" si="293"/>
        <v>0</v>
      </c>
      <c r="AB407" s="53">
        <f t="shared" si="293"/>
        <v>0</v>
      </c>
      <c r="AC407" s="53">
        <f t="shared" si="293"/>
        <v>0</v>
      </c>
      <c r="AD407" s="53">
        <f t="shared" si="293"/>
        <v>0</v>
      </c>
      <c r="AE407" s="53">
        <f t="shared" si="293"/>
        <v>0</v>
      </c>
      <c r="AF407" s="53">
        <f t="shared" si="293"/>
        <v>0</v>
      </c>
      <c r="AG407" s="53">
        <f t="shared" si="293"/>
        <v>0</v>
      </c>
      <c r="AH407" s="53">
        <f t="shared" si="293"/>
        <v>0</v>
      </c>
      <c r="AI407" s="53">
        <f t="shared" si="293"/>
        <v>0</v>
      </c>
      <c r="AJ407" s="53">
        <f t="shared" si="293"/>
        <v>0</v>
      </c>
      <c r="AK407" s="53">
        <f t="shared" si="293"/>
        <v>0</v>
      </c>
      <c r="AL407" s="53">
        <f t="shared" si="293"/>
        <v>0</v>
      </c>
      <c r="AM407" s="53">
        <f t="shared" si="293"/>
        <v>0</v>
      </c>
      <c r="AN407" s="53">
        <f t="shared" si="293"/>
        <v>0</v>
      </c>
      <c r="AO407" s="53">
        <f t="shared" si="293"/>
        <v>0</v>
      </c>
      <c r="AP407" s="53">
        <f t="shared" si="293"/>
        <v>0</v>
      </c>
      <c r="AQ407" s="53">
        <f t="shared" si="293"/>
        <v>0</v>
      </c>
      <c r="AR407" s="53">
        <f t="shared" si="293"/>
        <v>0</v>
      </c>
      <c r="AS407" s="53">
        <f t="shared" si="293"/>
        <v>0</v>
      </c>
      <c r="AT407" s="53">
        <f t="shared" si="293"/>
        <v>0</v>
      </c>
      <c r="AU407" s="53">
        <f t="shared" si="293"/>
        <v>0</v>
      </c>
      <c r="AV407" s="53">
        <f t="shared" si="293"/>
        <v>0</v>
      </c>
      <c r="AW407" s="53">
        <f t="shared" si="293"/>
        <v>0</v>
      </c>
      <c r="AX407" s="53">
        <f t="shared" si="293"/>
        <v>0</v>
      </c>
      <c r="AY407" s="53">
        <f t="shared" si="293"/>
        <v>0</v>
      </c>
      <c r="AZ407" s="53">
        <f t="shared" si="293"/>
        <v>0</v>
      </c>
      <c r="BA407" s="53">
        <f t="shared" si="293"/>
        <v>0</v>
      </c>
      <c r="BB407" s="53">
        <f t="shared" si="293"/>
        <v>0</v>
      </c>
      <c r="BC407" s="53">
        <f t="shared" si="293"/>
        <v>0</v>
      </c>
      <c r="BD407" s="53">
        <f t="shared" si="293"/>
        <v>0</v>
      </c>
      <c r="BE407" s="53">
        <f t="shared" si="293"/>
        <v>0</v>
      </c>
      <c r="BF407" s="53">
        <f t="shared" si="293"/>
        <v>0</v>
      </c>
      <c r="BG407" s="53">
        <f t="shared" si="293"/>
        <v>0</v>
      </c>
      <c r="BH407" s="53">
        <f t="shared" si="293"/>
        <v>0</v>
      </c>
      <c r="BI407" s="53">
        <f t="shared" si="293"/>
        <v>0</v>
      </c>
      <c r="BJ407" s="53">
        <f t="shared" si="293"/>
        <v>0</v>
      </c>
      <c r="BK407" s="53">
        <f t="shared" si="293"/>
        <v>0</v>
      </c>
      <c r="BL407" s="53">
        <f t="shared" si="293"/>
        <v>0</v>
      </c>
      <c r="BM407" s="53">
        <f t="shared" si="293"/>
        <v>0</v>
      </c>
      <c r="BN407" s="53">
        <f t="shared" si="293"/>
        <v>0</v>
      </c>
      <c r="BO407" s="53">
        <f t="shared" ref="BO407:CX407" si="294">IFERROR(IF(BO$262=0,0,(BO148-BO149)/BO149),0)</f>
        <v>0</v>
      </c>
      <c r="BP407" s="53">
        <f t="shared" si="294"/>
        <v>0</v>
      </c>
      <c r="BQ407" s="53">
        <f t="shared" si="294"/>
        <v>0</v>
      </c>
      <c r="BR407" s="53">
        <f t="shared" si="294"/>
        <v>0</v>
      </c>
      <c r="BS407" s="53">
        <f t="shared" si="294"/>
        <v>0</v>
      </c>
      <c r="BT407" s="53">
        <f t="shared" si="294"/>
        <v>0</v>
      </c>
      <c r="BU407" s="53">
        <f t="shared" si="294"/>
        <v>0</v>
      </c>
      <c r="BV407" s="53">
        <f t="shared" si="294"/>
        <v>0</v>
      </c>
      <c r="BW407" s="53">
        <f t="shared" si="294"/>
        <v>0</v>
      </c>
      <c r="BX407" s="53">
        <f t="shared" si="294"/>
        <v>0</v>
      </c>
      <c r="BY407" s="53">
        <f t="shared" si="294"/>
        <v>0</v>
      </c>
      <c r="BZ407" s="53">
        <f t="shared" si="294"/>
        <v>0</v>
      </c>
      <c r="CA407" s="53">
        <f t="shared" si="294"/>
        <v>0</v>
      </c>
      <c r="CB407" s="53">
        <f t="shared" si="294"/>
        <v>0</v>
      </c>
      <c r="CC407" s="53">
        <f t="shared" si="294"/>
        <v>0</v>
      </c>
      <c r="CD407" s="53">
        <f t="shared" si="294"/>
        <v>0</v>
      </c>
      <c r="CE407" s="53">
        <f t="shared" si="294"/>
        <v>0</v>
      </c>
      <c r="CF407" s="53">
        <f t="shared" si="294"/>
        <v>0</v>
      </c>
      <c r="CG407" s="53">
        <f t="shared" si="294"/>
        <v>0</v>
      </c>
      <c r="CH407" s="53">
        <f t="shared" si="294"/>
        <v>0</v>
      </c>
      <c r="CI407" s="53">
        <f t="shared" si="294"/>
        <v>0</v>
      </c>
      <c r="CJ407" s="53">
        <f t="shared" si="294"/>
        <v>0</v>
      </c>
      <c r="CK407" s="53">
        <f t="shared" si="294"/>
        <v>0</v>
      </c>
      <c r="CL407" s="53">
        <f t="shared" si="294"/>
        <v>0</v>
      </c>
      <c r="CM407" s="53">
        <f t="shared" si="294"/>
        <v>0</v>
      </c>
      <c r="CN407" s="53">
        <f t="shared" si="294"/>
        <v>0</v>
      </c>
      <c r="CO407" s="53">
        <f t="shared" si="294"/>
        <v>0</v>
      </c>
      <c r="CP407" s="53">
        <f t="shared" si="294"/>
        <v>0</v>
      </c>
      <c r="CQ407" s="53">
        <f t="shared" si="294"/>
        <v>0</v>
      </c>
      <c r="CR407" s="53">
        <f t="shared" si="294"/>
        <v>0</v>
      </c>
      <c r="CS407" s="53">
        <f t="shared" si="294"/>
        <v>0</v>
      </c>
      <c r="CT407" s="53">
        <f t="shared" si="294"/>
        <v>0</v>
      </c>
      <c r="CU407" s="53">
        <f t="shared" si="294"/>
        <v>0</v>
      </c>
      <c r="CV407" s="53">
        <f t="shared" si="294"/>
        <v>0</v>
      </c>
      <c r="CW407" s="53">
        <f t="shared" si="294"/>
        <v>0</v>
      </c>
      <c r="CX407" s="53">
        <f t="shared" si="294"/>
        <v>0</v>
      </c>
      <c r="DB407" s="2" vm="656">
        <f ca="1">IF(Returns!A411&lt;&gt;0,Returns!A411,"")</f>
        <v>43045</v>
      </c>
      <c r="DC407" s="11">
        <f ca="1">IF(Returns!B422&gt;0,Returns!B422/Returns!B421-1,"")</f>
        <v>8.3015340882757416E-2</v>
      </c>
      <c r="DD407" s="11">
        <f ca="1">IF(Returns!D414&gt;0,Returns!D414/Returns!D413-1,"")</f>
        <v>2.8593389094010657E-2</v>
      </c>
    </row>
    <row r="408" spans="2:108" x14ac:dyDescent="0.3">
      <c r="B408" s="57">
        <f t="shared" ca="1" si="264"/>
        <v>3.9058767587916591E-4</v>
      </c>
      <c r="C408" s="53">
        <f t="shared" ref="C408:BN408" si="295">IFERROR(IF(C$262=0,0,(C149-C150)/C150),0)</f>
        <v>0</v>
      </c>
      <c r="D408" s="53">
        <f t="shared" si="295"/>
        <v>0</v>
      </c>
      <c r="E408" s="53">
        <f t="shared" si="295"/>
        <v>0</v>
      </c>
      <c r="F408" s="53">
        <f t="shared" si="295"/>
        <v>0</v>
      </c>
      <c r="G408" s="53">
        <f t="shared" si="295"/>
        <v>0</v>
      </c>
      <c r="H408" s="53">
        <f t="shared" si="295"/>
        <v>0</v>
      </c>
      <c r="I408" s="53">
        <f t="shared" si="295"/>
        <v>0</v>
      </c>
      <c r="J408" s="53">
        <f t="shared" si="295"/>
        <v>0</v>
      </c>
      <c r="K408" s="53">
        <f t="shared" si="295"/>
        <v>0</v>
      </c>
      <c r="L408" s="53">
        <f t="shared" si="295"/>
        <v>0</v>
      </c>
      <c r="M408" s="53">
        <f t="shared" si="295"/>
        <v>0</v>
      </c>
      <c r="N408" s="53">
        <f t="shared" si="295"/>
        <v>0</v>
      </c>
      <c r="O408" s="53">
        <f t="shared" si="295"/>
        <v>0</v>
      </c>
      <c r="P408" s="53">
        <f t="shared" si="295"/>
        <v>0</v>
      </c>
      <c r="Q408" s="53">
        <f t="shared" si="295"/>
        <v>0</v>
      </c>
      <c r="R408" s="53">
        <f t="shared" si="295"/>
        <v>0</v>
      </c>
      <c r="S408" s="53">
        <f t="shared" si="295"/>
        <v>0</v>
      </c>
      <c r="T408" s="53">
        <f t="shared" si="295"/>
        <v>0</v>
      </c>
      <c r="U408" s="53">
        <f t="shared" si="295"/>
        <v>0</v>
      </c>
      <c r="V408" s="53">
        <f t="shared" si="295"/>
        <v>0</v>
      </c>
      <c r="W408" s="53">
        <f t="shared" si="295"/>
        <v>0</v>
      </c>
      <c r="X408" s="53">
        <f t="shared" si="295"/>
        <v>0</v>
      </c>
      <c r="Y408" s="53">
        <f t="shared" si="295"/>
        <v>0</v>
      </c>
      <c r="Z408" s="53">
        <f t="shared" si="295"/>
        <v>0</v>
      </c>
      <c r="AA408" s="53">
        <f t="shared" si="295"/>
        <v>0</v>
      </c>
      <c r="AB408" s="53">
        <f t="shared" si="295"/>
        <v>0</v>
      </c>
      <c r="AC408" s="53">
        <f t="shared" si="295"/>
        <v>0</v>
      </c>
      <c r="AD408" s="53">
        <f t="shared" si="295"/>
        <v>0</v>
      </c>
      <c r="AE408" s="53">
        <f t="shared" si="295"/>
        <v>0</v>
      </c>
      <c r="AF408" s="53">
        <f t="shared" si="295"/>
        <v>0</v>
      </c>
      <c r="AG408" s="53">
        <f t="shared" si="295"/>
        <v>0</v>
      </c>
      <c r="AH408" s="53">
        <f t="shared" si="295"/>
        <v>0</v>
      </c>
      <c r="AI408" s="53">
        <f t="shared" si="295"/>
        <v>0</v>
      </c>
      <c r="AJ408" s="53">
        <f t="shared" si="295"/>
        <v>0</v>
      </c>
      <c r="AK408" s="53">
        <f t="shared" si="295"/>
        <v>0</v>
      </c>
      <c r="AL408" s="53">
        <f t="shared" si="295"/>
        <v>0</v>
      </c>
      <c r="AM408" s="53">
        <f t="shared" si="295"/>
        <v>0</v>
      </c>
      <c r="AN408" s="53">
        <f t="shared" si="295"/>
        <v>0</v>
      </c>
      <c r="AO408" s="53">
        <f t="shared" si="295"/>
        <v>0</v>
      </c>
      <c r="AP408" s="53">
        <f t="shared" si="295"/>
        <v>0</v>
      </c>
      <c r="AQ408" s="53">
        <f t="shared" si="295"/>
        <v>0</v>
      </c>
      <c r="AR408" s="53">
        <f t="shared" si="295"/>
        <v>0</v>
      </c>
      <c r="AS408" s="53">
        <f t="shared" si="295"/>
        <v>0</v>
      </c>
      <c r="AT408" s="53">
        <f t="shared" si="295"/>
        <v>0</v>
      </c>
      <c r="AU408" s="53">
        <f t="shared" si="295"/>
        <v>0</v>
      </c>
      <c r="AV408" s="53">
        <f t="shared" si="295"/>
        <v>0</v>
      </c>
      <c r="AW408" s="53">
        <f t="shared" si="295"/>
        <v>0</v>
      </c>
      <c r="AX408" s="53">
        <f t="shared" si="295"/>
        <v>0</v>
      </c>
      <c r="AY408" s="53">
        <f t="shared" si="295"/>
        <v>0</v>
      </c>
      <c r="AZ408" s="53">
        <f t="shared" si="295"/>
        <v>0</v>
      </c>
      <c r="BA408" s="53">
        <f t="shared" si="295"/>
        <v>0</v>
      </c>
      <c r="BB408" s="53">
        <f t="shared" si="295"/>
        <v>0</v>
      </c>
      <c r="BC408" s="53">
        <f t="shared" si="295"/>
        <v>0</v>
      </c>
      <c r="BD408" s="53">
        <f t="shared" si="295"/>
        <v>0</v>
      </c>
      <c r="BE408" s="53">
        <f t="shared" si="295"/>
        <v>0</v>
      </c>
      <c r="BF408" s="53">
        <f t="shared" si="295"/>
        <v>0</v>
      </c>
      <c r="BG408" s="53">
        <f t="shared" si="295"/>
        <v>0</v>
      </c>
      <c r="BH408" s="53">
        <f t="shared" si="295"/>
        <v>0</v>
      </c>
      <c r="BI408" s="53">
        <f t="shared" si="295"/>
        <v>0</v>
      </c>
      <c r="BJ408" s="53">
        <f t="shared" si="295"/>
        <v>0</v>
      </c>
      <c r="BK408" s="53">
        <f t="shared" si="295"/>
        <v>0</v>
      </c>
      <c r="BL408" s="53">
        <f t="shared" si="295"/>
        <v>0</v>
      </c>
      <c r="BM408" s="53">
        <f t="shared" si="295"/>
        <v>0</v>
      </c>
      <c r="BN408" s="53">
        <f t="shared" si="295"/>
        <v>0</v>
      </c>
      <c r="BO408" s="53">
        <f t="shared" ref="BO408:CX408" si="296">IFERROR(IF(BO$262=0,0,(BO149-BO150)/BO150),0)</f>
        <v>0</v>
      </c>
      <c r="BP408" s="53">
        <f t="shared" si="296"/>
        <v>0</v>
      </c>
      <c r="BQ408" s="53">
        <f t="shared" si="296"/>
        <v>0</v>
      </c>
      <c r="BR408" s="53">
        <f t="shared" si="296"/>
        <v>0</v>
      </c>
      <c r="BS408" s="53">
        <f t="shared" si="296"/>
        <v>0</v>
      </c>
      <c r="BT408" s="53">
        <f t="shared" si="296"/>
        <v>0</v>
      </c>
      <c r="BU408" s="53">
        <f t="shared" si="296"/>
        <v>0</v>
      </c>
      <c r="BV408" s="53">
        <f t="shared" si="296"/>
        <v>0</v>
      </c>
      <c r="BW408" s="53">
        <f t="shared" si="296"/>
        <v>0</v>
      </c>
      <c r="BX408" s="53">
        <f t="shared" si="296"/>
        <v>0</v>
      </c>
      <c r="BY408" s="53">
        <f t="shared" si="296"/>
        <v>0</v>
      </c>
      <c r="BZ408" s="53">
        <f t="shared" si="296"/>
        <v>0</v>
      </c>
      <c r="CA408" s="53">
        <f t="shared" si="296"/>
        <v>0</v>
      </c>
      <c r="CB408" s="53">
        <f t="shared" si="296"/>
        <v>0</v>
      </c>
      <c r="CC408" s="53">
        <f t="shared" si="296"/>
        <v>0</v>
      </c>
      <c r="CD408" s="53">
        <f t="shared" si="296"/>
        <v>0</v>
      </c>
      <c r="CE408" s="53">
        <f t="shared" si="296"/>
        <v>0</v>
      </c>
      <c r="CF408" s="53">
        <f t="shared" si="296"/>
        <v>0</v>
      </c>
      <c r="CG408" s="53">
        <f t="shared" si="296"/>
        <v>0</v>
      </c>
      <c r="CH408" s="53">
        <f t="shared" si="296"/>
        <v>0</v>
      </c>
      <c r="CI408" s="53">
        <f t="shared" si="296"/>
        <v>0</v>
      </c>
      <c r="CJ408" s="53">
        <f t="shared" si="296"/>
        <v>0</v>
      </c>
      <c r="CK408" s="53">
        <f t="shared" si="296"/>
        <v>0</v>
      </c>
      <c r="CL408" s="53">
        <f t="shared" si="296"/>
        <v>0</v>
      </c>
      <c r="CM408" s="53">
        <f t="shared" si="296"/>
        <v>0</v>
      </c>
      <c r="CN408" s="53">
        <f t="shared" si="296"/>
        <v>0</v>
      </c>
      <c r="CO408" s="53">
        <f t="shared" si="296"/>
        <v>0</v>
      </c>
      <c r="CP408" s="53">
        <f t="shared" si="296"/>
        <v>0</v>
      </c>
      <c r="CQ408" s="53">
        <f t="shared" si="296"/>
        <v>0</v>
      </c>
      <c r="CR408" s="53">
        <f t="shared" si="296"/>
        <v>0</v>
      </c>
      <c r="CS408" s="53">
        <f t="shared" si="296"/>
        <v>0</v>
      </c>
      <c r="CT408" s="53">
        <f t="shared" si="296"/>
        <v>0</v>
      </c>
      <c r="CU408" s="53">
        <f t="shared" si="296"/>
        <v>0</v>
      </c>
      <c r="CV408" s="53">
        <f t="shared" si="296"/>
        <v>0</v>
      </c>
      <c r="CW408" s="53">
        <f t="shared" si="296"/>
        <v>0</v>
      </c>
      <c r="CX408" s="53">
        <f t="shared" si="296"/>
        <v>0</v>
      </c>
      <c r="DB408" s="2" vm="657">
        <f ca="1">IF(Returns!A412&lt;&gt;0,Returns!A412,"")</f>
        <v>43052</v>
      </c>
      <c r="DC408" s="11">
        <f ca="1">IF(Returns!B423&gt;0,Returns!B423/Returns!B422-1,"")</f>
        <v>1.9899432973146336E-2</v>
      </c>
      <c r="DD408" s="11">
        <f ca="1">IF(Returns!D415&gt;0,Returns!D415/Returns!D414-1,"")</f>
        <v>4.026425818419499E-3</v>
      </c>
    </row>
    <row r="409" spans="2:108" x14ac:dyDescent="0.3">
      <c r="B409" s="57">
        <f t="shared" ca="1" si="264"/>
        <v>6.4452676053859947E-5</v>
      </c>
      <c r="C409" s="53">
        <f t="shared" ref="C409:BN409" si="297">IFERROR(IF(C$262=0,0,(C150-C151)/C151),0)</f>
        <v>0</v>
      </c>
      <c r="D409" s="53">
        <f t="shared" si="297"/>
        <v>0</v>
      </c>
      <c r="E409" s="53">
        <f t="shared" si="297"/>
        <v>0</v>
      </c>
      <c r="F409" s="53">
        <f t="shared" si="297"/>
        <v>0</v>
      </c>
      <c r="G409" s="53">
        <f t="shared" si="297"/>
        <v>0</v>
      </c>
      <c r="H409" s="53">
        <f t="shared" si="297"/>
        <v>0</v>
      </c>
      <c r="I409" s="53">
        <f t="shared" si="297"/>
        <v>0</v>
      </c>
      <c r="J409" s="53">
        <f t="shared" si="297"/>
        <v>0</v>
      </c>
      <c r="K409" s="53">
        <f t="shared" si="297"/>
        <v>0</v>
      </c>
      <c r="L409" s="53">
        <f t="shared" si="297"/>
        <v>0</v>
      </c>
      <c r="M409" s="53">
        <f t="shared" si="297"/>
        <v>0</v>
      </c>
      <c r="N409" s="53">
        <f t="shared" si="297"/>
        <v>0</v>
      </c>
      <c r="O409" s="53">
        <f t="shared" si="297"/>
        <v>0</v>
      </c>
      <c r="P409" s="53">
        <f t="shared" si="297"/>
        <v>0</v>
      </c>
      <c r="Q409" s="53">
        <f t="shared" si="297"/>
        <v>0</v>
      </c>
      <c r="R409" s="53">
        <f t="shared" si="297"/>
        <v>0</v>
      </c>
      <c r="S409" s="53">
        <f t="shared" si="297"/>
        <v>0</v>
      </c>
      <c r="T409" s="53">
        <f t="shared" si="297"/>
        <v>0</v>
      </c>
      <c r="U409" s="53">
        <f t="shared" si="297"/>
        <v>0</v>
      </c>
      <c r="V409" s="53">
        <f t="shared" si="297"/>
        <v>0</v>
      </c>
      <c r="W409" s="53">
        <f t="shared" si="297"/>
        <v>0</v>
      </c>
      <c r="X409" s="53">
        <f t="shared" si="297"/>
        <v>0</v>
      </c>
      <c r="Y409" s="53">
        <f t="shared" si="297"/>
        <v>0</v>
      </c>
      <c r="Z409" s="53">
        <f t="shared" si="297"/>
        <v>0</v>
      </c>
      <c r="AA409" s="53">
        <f t="shared" si="297"/>
        <v>0</v>
      </c>
      <c r="AB409" s="53">
        <f t="shared" si="297"/>
        <v>0</v>
      </c>
      <c r="AC409" s="53">
        <f t="shared" si="297"/>
        <v>0</v>
      </c>
      <c r="AD409" s="53">
        <f t="shared" si="297"/>
        <v>0</v>
      </c>
      <c r="AE409" s="53">
        <f t="shared" si="297"/>
        <v>0</v>
      </c>
      <c r="AF409" s="53">
        <f t="shared" si="297"/>
        <v>0</v>
      </c>
      <c r="AG409" s="53">
        <f t="shared" si="297"/>
        <v>0</v>
      </c>
      <c r="AH409" s="53">
        <f t="shared" si="297"/>
        <v>0</v>
      </c>
      <c r="AI409" s="53">
        <f t="shared" si="297"/>
        <v>0</v>
      </c>
      <c r="AJ409" s="53">
        <f t="shared" si="297"/>
        <v>0</v>
      </c>
      <c r="AK409" s="53">
        <f t="shared" si="297"/>
        <v>0</v>
      </c>
      <c r="AL409" s="53">
        <f t="shared" si="297"/>
        <v>0</v>
      </c>
      <c r="AM409" s="53">
        <f t="shared" si="297"/>
        <v>0</v>
      </c>
      <c r="AN409" s="53">
        <f t="shared" si="297"/>
        <v>0</v>
      </c>
      <c r="AO409" s="53">
        <f t="shared" si="297"/>
        <v>0</v>
      </c>
      <c r="AP409" s="53">
        <f t="shared" si="297"/>
        <v>0</v>
      </c>
      <c r="AQ409" s="53">
        <f t="shared" si="297"/>
        <v>0</v>
      </c>
      <c r="AR409" s="53">
        <f t="shared" si="297"/>
        <v>0</v>
      </c>
      <c r="AS409" s="53">
        <f t="shared" si="297"/>
        <v>0</v>
      </c>
      <c r="AT409" s="53">
        <f t="shared" si="297"/>
        <v>0</v>
      </c>
      <c r="AU409" s="53">
        <f t="shared" si="297"/>
        <v>0</v>
      </c>
      <c r="AV409" s="53">
        <f t="shared" si="297"/>
        <v>0</v>
      </c>
      <c r="AW409" s="53">
        <f t="shared" si="297"/>
        <v>0</v>
      </c>
      <c r="AX409" s="53">
        <f t="shared" si="297"/>
        <v>0</v>
      </c>
      <c r="AY409" s="53">
        <f t="shared" si="297"/>
        <v>0</v>
      </c>
      <c r="AZ409" s="53">
        <f t="shared" si="297"/>
        <v>0</v>
      </c>
      <c r="BA409" s="53">
        <f t="shared" si="297"/>
        <v>0</v>
      </c>
      <c r="BB409" s="53">
        <f t="shared" si="297"/>
        <v>0</v>
      </c>
      <c r="BC409" s="53">
        <f t="shared" si="297"/>
        <v>0</v>
      </c>
      <c r="BD409" s="53">
        <f t="shared" si="297"/>
        <v>0</v>
      </c>
      <c r="BE409" s="53">
        <f t="shared" si="297"/>
        <v>0</v>
      </c>
      <c r="BF409" s="53">
        <f t="shared" si="297"/>
        <v>0</v>
      </c>
      <c r="BG409" s="53">
        <f t="shared" si="297"/>
        <v>0</v>
      </c>
      <c r="BH409" s="53">
        <f t="shared" si="297"/>
        <v>0</v>
      </c>
      <c r="BI409" s="53">
        <f t="shared" si="297"/>
        <v>0</v>
      </c>
      <c r="BJ409" s="53">
        <f t="shared" si="297"/>
        <v>0</v>
      </c>
      <c r="BK409" s="53">
        <f t="shared" si="297"/>
        <v>0</v>
      </c>
      <c r="BL409" s="53">
        <f t="shared" si="297"/>
        <v>0</v>
      </c>
      <c r="BM409" s="53">
        <f t="shared" si="297"/>
        <v>0</v>
      </c>
      <c r="BN409" s="53">
        <f t="shared" si="297"/>
        <v>0</v>
      </c>
      <c r="BO409" s="53">
        <f t="shared" ref="BO409:CX409" si="298">IFERROR(IF(BO$262=0,0,(BO150-BO151)/BO151),0)</f>
        <v>0</v>
      </c>
      <c r="BP409" s="53">
        <f t="shared" si="298"/>
        <v>0</v>
      </c>
      <c r="BQ409" s="53">
        <f t="shared" si="298"/>
        <v>0</v>
      </c>
      <c r="BR409" s="53">
        <f t="shared" si="298"/>
        <v>0</v>
      </c>
      <c r="BS409" s="53">
        <f t="shared" si="298"/>
        <v>0</v>
      </c>
      <c r="BT409" s="53">
        <f t="shared" si="298"/>
        <v>0</v>
      </c>
      <c r="BU409" s="53">
        <f t="shared" si="298"/>
        <v>0</v>
      </c>
      <c r="BV409" s="53">
        <f t="shared" si="298"/>
        <v>0</v>
      </c>
      <c r="BW409" s="53">
        <f t="shared" si="298"/>
        <v>0</v>
      </c>
      <c r="BX409" s="53">
        <f t="shared" si="298"/>
        <v>0</v>
      </c>
      <c r="BY409" s="53">
        <f t="shared" si="298"/>
        <v>0</v>
      </c>
      <c r="BZ409" s="53">
        <f t="shared" si="298"/>
        <v>0</v>
      </c>
      <c r="CA409" s="53">
        <f t="shared" si="298"/>
        <v>0</v>
      </c>
      <c r="CB409" s="53">
        <f t="shared" si="298"/>
        <v>0</v>
      </c>
      <c r="CC409" s="53">
        <f t="shared" si="298"/>
        <v>0</v>
      </c>
      <c r="CD409" s="53">
        <f t="shared" si="298"/>
        <v>0</v>
      </c>
      <c r="CE409" s="53">
        <f t="shared" si="298"/>
        <v>0</v>
      </c>
      <c r="CF409" s="53">
        <f t="shared" si="298"/>
        <v>0</v>
      </c>
      <c r="CG409" s="53">
        <f t="shared" si="298"/>
        <v>0</v>
      </c>
      <c r="CH409" s="53">
        <f t="shared" si="298"/>
        <v>0</v>
      </c>
      <c r="CI409" s="53">
        <f t="shared" si="298"/>
        <v>0</v>
      </c>
      <c r="CJ409" s="53">
        <f t="shared" si="298"/>
        <v>0</v>
      </c>
      <c r="CK409" s="53">
        <f t="shared" si="298"/>
        <v>0</v>
      </c>
      <c r="CL409" s="53">
        <f t="shared" si="298"/>
        <v>0</v>
      </c>
      <c r="CM409" s="53">
        <f t="shared" si="298"/>
        <v>0</v>
      </c>
      <c r="CN409" s="53">
        <f t="shared" si="298"/>
        <v>0</v>
      </c>
      <c r="CO409" s="53">
        <f t="shared" si="298"/>
        <v>0</v>
      </c>
      <c r="CP409" s="53">
        <f t="shared" si="298"/>
        <v>0</v>
      </c>
      <c r="CQ409" s="53">
        <f t="shared" si="298"/>
        <v>0</v>
      </c>
      <c r="CR409" s="53">
        <f t="shared" si="298"/>
        <v>0</v>
      </c>
      <c r="CS409" s="53">
        <f t="shared" si="298"/>
        <v>0</v>
      </c>
      <c r="CT409" s="53">
        <f t="shared" si="298"/>
        <v>0</v>
      </c>
      <c r="CU409" s="53">
        <f t="shared" si="298"/>
        <v>0</v>
      </c>
      <c r="CV409" s="53">
        <f t="shared" si="298"/>
        <v>0</v>
      </c>
      <c r="CW409" s="53">
        <f t="shared" si="298"/>
        <v>0</v>
      </c>
      <c r="CX409" s="53">
        <f t="shared" si="298"/>
        <v>0</v>
      </c>
      <c r="DB409" s="2" vm="658">
        <f ca="1">IF(Returns!A413&lt;&gt;0,Returns!A413,"")</f>
        <v>43059</v>
      </c>
      <c r="DC409" s="11">
        <f ca="1">IF(Returns!B424&gt;0,Returns!B424/Returns!B423-1,"")</f>
        <v>-6.3184027413545896E-2</v>
      </c>
      <c r="DD409" s="11">
        <f ca="1">IF(Returns!D416&gt;0,Returns!D416/Returns!D415-1,"")</f>
        <v>1.3259107278226656E-2</v>
      </c>
    </row>
    <row r="410" spans="2:108" x14ac:dyDescent="0.3">
      <c r="B410" s="57">
        <f t="shared" ca="1" si="264"/>
        <v>3.204042742608085E-4</v>
      </c>
      <c r="C410" s="53">
        <f t="shared" ref="C410:BN410" si="299">IFERROR(IF(C$262=0,0,(C151-C152)/C152),0)</f>
        <v>0</v>
      </c>
      <c r="D410" s="53">
        <f t="shared" si="299"/>
        <v>0</v>
      </c>
      <c r="E410" s="53">
        <f t="shared" si="299"/>
        <v>0</v>
      </c>
      <c r="F410" s="53">
        <f t="shared" si="299"/>
        <v>0</v>
      </c>
      <c r="G410" s="53">
        <f t="shared" si="299"/>
        <v>0</v>
      </c>
      <c r="H410" s="53">
        <f t="shared" si="299"/>
        <v>0</v>
      </c>
      <c r="I410" s="53">
        <f t="shared" si="299"/>
        <v>0</v>
      </c>
      <c r="J410" s="53">
        <f t="shared" si="299"/>
        <v>0</v>
      </c>
      <c r="K410" s="53">
        <f t="shared" si="299"/>
        <v>0</v>
      </c>
      <c r="L410" s="53">
        <f t="shared" si="299"/>
        <v>0</v>
      </c>
      <c r="M410" s="53">
        <f t="shared" si="299"/>
        <v>0</v>
      </c>
      <c r="N410" s="53">
        <f t="shared" si="299"/>
        <v>0</v>
      </c>
      <c r="O410" s="53">
        <f t="shared" si="299"/>
        <v>0</v>
      </c>
      <c r="P410" s="53">
        <f t="shared" si="299"/>
        <v>0</v>
      </c>
      <c r="Q410" s="53">
        <f t="shared" si="299"/>
        <v>0</v>
      </c>
      <c r="R410" s="53">
        <f t="shared" si="299"/>
        <v>0</v>
      </c>
      <c r="S410" s="53">
        <f t="shared" si="299"/>
        <v>0</v>
      </c>
      <c r="T410" s="53">
        <f t="shared" si="299"/>
        <v>0</v>
      </c>
      <c r="U410" s="53">
        <f t="shared" si="299"/>
        <v>0</v>
      </c>
      <c r="V410" s="53">
        <f t="shared" si="299"/>
        <v>0</v>
      </c>
      <c r="W410" s="53">
        <f t="shared" si="299"/>
        <v>0</v>
      </c>
      <c r="X410" s="53">
        <f t="shared" si="299"/>
        <v>0</v>
      </c>
      <c r="Y410" s="53">
        <f t="shared" si="299"/>
        <v>0</v>
      </c>
      <c r="Z410" s="53">
        <f t="shared" si="299"/>
        <v>0</v>
      </c>
      <c r="AA410" s="53">
        <f t="shared" si="299"/>
        <v>0</v>
      </c>
      <c r="AB410" s="53">
        <f t="shared" si="299"/>
        <v>0</v>
      </c>
      <c r="AC410" s="53">
        <f t="shared" si="299"/>
        <v>0</v>
      </c>
      <c r="AD410" s="53">
        <f t="shared" si="299"/>
        <v>0</v>
      </c>
      <c r="AE410" s="53">
        <f t="shared" si="299"/>
        <v>0</v>
      </c>
      <c r="AF410" s="53">
        <f t="shared" si="299"/>
        <v>0</v>
      </c>
      <c r="AG410" s="53">
        <f t="shared" si="299"/>
        <v>0</v>
      </c>
      <c r="AH410" s="53">
        <f t="shared" si="299"/>
        <v>0</v>
      </c>
      <c r="AI410" s="53">
        <f t="shared" si="299"/>
        <v>0</v>
      </c>
      <c r="AJ410" s="53">
        <f t="shared" si="299"/>
        <v>0</v>
      </c>
      <c r="AK410" s="53">
        <f t="shared" si="299"/>
        <v>0</v>
      </c>
      <c r="AL410" s="53">
        <f t="shared" si="299"/>
        <v>0</v>
      </c>
      <c r="AM410" s="53">
        <f t="shared" si="299"/>
        <v>0</v>
      </c>
      <c r="AN410" s="53">
        <f t="shared" si="299"/>
        <v>0</v>
      </c>
      <c r="AO410" s="53">
        <f t="shared" si="299"/>
        <v>0</v>
      </c>
      <c r="AP410" s="53">
        <f t="shared" si="299"/>
        <v>0</v>
      </c>
      <c r="AQ410" s="53">
        <f t="shared" si="299"/>
        <v>0</v>
      </c>
      <c r="AR410" s="53">
        <f t="shared" si="299"/>
        <v>0</v>
      </c>
      <c r="AS410" s="53">
        <f t="shared" si="299"/>
        <v>0</v>
      </c>
      <c r="AT410" s="53">
        <f t="shared" si="299"/>
        <v>0</v>
      </c>
      <c r="AU410" s="53">
        <f t="shared" si="299"/>
        <v>0</v>
      </c>
      <c r="AV410" s="53">
        <f t="shared" si="299"/>
        <v>0</v>
      </c>
      <c r="AW410" s="53">
        <f t="shared" si="299"/>
        <v>0</v>
      </c>
      <c r="AX410" s="53">
        <f t="shared" si="299"/>
        <v>0</v>
      </c>
      <c r="AY410" s="53">
        <f t="shared" si="299"/>
        <v>0</v>
      </c>
      <c r="AZ410" s="53">
        <f t="shared" si="299"/>
        <v>0</v>
      </c>
      <c r="BA410" s="53">
        <f t="shared" si="299"/>
        <v>0</v>
      </c>
      <c r="BB410" s="53">
        <f t="shared" si="299"/>
        <v>0</v>
      </c>
      <c r="BC410" s="53">
        <f t="shared" si="299"/>
        <v>0</v>
      </c>
      <c r="BD410" s="53">
        <f t="shared" si="299"/>
        <v>0</v>
      </c>
      <c r="BE410" s="53">
        <f t="shared" si="299"/>
        <v>0</v>
      </c>
      <c r="BF410" s="53">
        <f t="shared" si="299"/>
        <v>0</v>
      </c>
      <c r="BG410" s="53">
        <f t="shared" si="299"/>
        <v>0</v>
      </c>
      <c r="BH410" s="53">
        <f t="shared" si="299"/>
        <v>0</v>
      </c>
      <c r="BI410" s="53">
        <f t="shared" si="299"/>
        <v>0</v>
      </c>
      <c r="BJ410" s="53">
        <f t="shared" si="299"/>
        <v>0</v>
      </c>
      <c r="BK410" s="53">
        <f t="shared" si="299"/>
        <v>0</v>
      </c>
      <c r="BL410" s="53">
        <f t="shared" si="299"/>
        <v>0</v>
      </c>
      <c r="BM410" s="53">
        <f t="shared" si="299"/>
        <v>0</v>
      </c>
      <c r="BN410" s="53">
        <f t="shared" si="299"/>
        <v>0</v>
      </c>
      <c r="BO410" s="53">
        <f t="shared" ref="BO410:CX410" si="300">IFERROR(IF(BO$262=0,0,(BO151-BO152)/BO152),0)</f>
        <v>0</v>
      </c>
      <c r="BP410" s="53">
        <f t="shared" si="300"/>
        <v>0</v>
      </c>
      <c r="BQ410" s="53">
        <f t="shared" si="300"/>
        <v>0</v>
      </c>
      <c r="BR410" s="53">
        <f t="shared" si="300"/>
        <v>0</v>
      </c>
      <c r="BS410" s="53">
        <f t="shared" si="300"/>
        <v>0</v>
      </c>
      <c r="BT410" s="53">
        <f t="shared" si="300"/>
        <v>0</v>
      </c>
      <c r="BU410" s="53">
        <f t="shared" si="300"/>
        <v>0</v>
      </c>
      <c r="BV410" s="53">
        <f t="shared" si="300"/>
        <v>0</v>
      </c>
      <c r="BW410" s="53">
        <f t="shared" si="300"/>
        <v>0</v>
      </c>
      <c r="BX410" s="53">
        <f t="shared" si="300"/>
        <v>0</v>
      </c>
      <c r="BY410" s="53">
        <f t="shared" si="300"/>
        <v>0</v>
      </c>
      <c r="BZ410" s="53">
        <f t="shared" si="300"/>
        <v>0</v>
      </c>
      <c r="CA410" s="53">
        <f t="shared" si="300"/>
        <v>0</v>
      </c>
      <c r="CB410" s="53">
        <f t="shared" si="300"/>
        <v>0</v>
      </c>
      <c r="CC410" s="53">
        <f t="shared" si="300"/>
        <v>0</v>
      </c>
      <c r="CD410" s="53">
        <f t="shared" si="300"/>
        <v>0</v>
      </c>
      <c r="CE410" s="53">
        <f t="shared" si="300"/>
        <v>0</v>
      </c>
      <c r="CF410" s="53">
        <f t="shared" si="300"/>
        <v>0</v>
      </c>
      <c r="CG410" s="53">
        <f t="shared" si="300"/>
        <v>0</v>
      </c>
      <c r="CH410" s="53">
        <f t="shared" si="300"/>
        <v>0</v>
      </c>
      <c r="CI410" s="53">
        <f t="shared" si="300"/>
        <v>0</v>
      </c>
      <c r="CJ410" s="53">
        <f t="shared" si="300"/>
        <v>0</v>
      </c>
      <c r="CK410" s="53">
        <f t="shared" si="300"/>
        <v>0</v>
      </c>
      <c r="CL410" s="53">
        <f t="shared" si="300"/>
        <v>0</v>
      </c>
      <c r="CM410" s="53">
        <f t="shared" si="300"/>
        <v>0</v>
      </c>
      <c r="CN410" s="53">
        <f t="shared" si="300"/>
        <v>0</v>
      </c>
      <c r="CO410" s="53">
        <f t="shared" si="300"/>
        <v>0</v>
      </c>
      <c r="CP410" s="53">
        <f t="shared" si="300"/>
        <v>0</v>
      </c>
      <c r="CQ410" s="53">
        <f t="shared" si="300"/>
        <v>0</v>
      </c>
      <c r="CR410" s="53">
        <f t="shared" si="300"/>
        <v>0</v>
      </c>
      <c r="CS410" s="53">
        <f t="shared" si="300"/>
        <v>0</v>
      </c>
      <c r="CT410" s="53">
        <f t="shared" si="300"/>
        <v>0</v>
      </c>
      <c r="CU410" s="53">
        <f t="shared" si="300"/>
        <v>0</v>
      </c>
      <c r="CV410" s="53">
        <f t="shared" si="300"/>
        <v>0</v>
      </c>
      <c r="CW410" s="53">
        <f t="shared" si="300"/>
        <v>0</v>
      </c>
      <c r="CX410" s="53">
        <f t="shared" si="300"/>
        <v>0</v>
      </c>
      <c r="DB410" s="2" vm="659">
        <f ca="1">IF(Returns!A414&lt;&gt;0,Returns!A414,"")</f>
        <v>43066</v>
      </c>
      <c r="DC410" s="11">
        <f ca="1">IF(Returns!B425&gt;0,Returns!B425/Returns!B424-1,"")</f>
        <v>8.1434756643774087E-2</v>
      </c>
      <c r="DD410" s="11">
        <f ca="1">IF(Returns!D417&gt;0,Returns!D417/Returns!D416-1,"")</f>
        <v>4.1505265447858708E-3</v>
      </c>
    </row>
    <row r="411" spans="2:108" x14ac:dyDescent="0.3">
      <c r="B411" s="57">
        <f t="shared" ca="1" si="264"/>
        <v>2.2081727820305968E-4</v>
      </c>
      <c r="C411" s="53">
        <f t="shared" ref="C411:BN411" si="301">IFERROR(IF(C$262=0,0,(C152-C153)/C153),0)</f>
        <v>0</v>
      </c>
      <c r="D411" s="53">
        <f t="shared" si="301"/>
        <v>0</v>
      </c>
      <c r="E411" s="53">
        <f t="shared" si="301"/>
        <v>0</v>
      </c>
      <c r="F411" s="53">
        <f t="shared" si="301"/>
        <v>0</v>
      </c>
      <c r="G411" s="53">
        <f t="shared" si="301"/>
        <v>0</v>
      </c>
      <c r="H411" s="53">
        <f t="shared" si="301"/>
        <v>0</v>
      </c>
      <c r="I411" s="53">
        <f t="shared" si="301"/>
        <v>0</v>
      </c>
      <c r="J411" s="53">
        <f t="shared" si="301"/>
        <v>0</v>
      </c>
      <c r="K411" s="53">
        <f t="shared" si="301"/>
        <v>0</v>
      </c>
      <c r="L411" s="53">
        <f t="shared" si="301"/>
        <v>0</v>
      </c>
      <c r="M411" s="53">
        <f t="shared" si="301"/>
        <v>0</v>
      </c>
      <c r="N411" s="53">
        <f t="shared" si="301"/>
        <v>0</v>
      </c>
      <c r="O411" s="53">
        <f t="shared" si="301"/>
        <v>0</v>
      </c>
      <c r="P411" s="53">
        <f t="shared" si="301"/>
        <v>0</v>
      </c>
      <c r="Q411" s="53">
        <f t="shared" si="301"/>
        <v>0</v>
      </c>
      <c r="R411" s="53">
        <f t="shared" si="301"/>
        <v>0</v>
      </c>
      <c r="S411" s="53">
        <f t="shared" si="301"/>
        <v>0</v>
      </c>
      <c r="T411" s="53">
        <f t="shared" si="301"/>
        <v>0</v>
      </c>
      <c r="U411" s="53">
        <f t="shared" si="301"/>
        <v>0</v>
      </c>
      <c r="V411" s="53">
        <f t="shared" si="301"/>
        <v>0</v>
      </c>
      <c r="W411" s="53">
        <f t="shared" si="301"/>
        <v>0</v>
      </c>
      <c r="X411" s="53">
        <f t="shared" si="301"/>
        <v>0</v>
      </c>
      <c r="Y411" s="53">
        <f t="shared" si="301"/>
        <v>0</v>
      </c>
      <c r="Z411" s="53">
        <f t="shared" si="301"/>
        <v>0</v>
      </c>
      <c r="AA411" s="53">
        <f t="shared" si="301"/>
        <v>0</v>
      </c>
      <c r="AB411" s="53">
        <f t="shared" si="301"/>
        <v>0</v>
      </c>
      <c r="AC411" s="53">
        <f t="shared" si="301"/>
        <v>0</v>
      </c>
      <c r="AD411" s="53">
        <f t="shared" si="301"/>
        <v>0</v>
      </c>
      <c r="AE411" s="53">
        <f t="shared" si="301"/>
        <v>0</v>
      </c>
      <c r="AF411" s="53">
        <f t="shared" si="301"/>
        <v>0</v>
      </c>
      <c r="AG411" s="53">
        <f t="shared" si="301"/>
        <v>0</v>
      </c>
      <c r="AH411" s="53">
        <f t="shared" si="301"/>
        <v>0</v>
      </c>
      <c r="AI411" s="53">
        <f t="shared" si="301"/>
        <v>0</v>
      </c>
      <c r="AJ411" s="53">
        <f t="shared" si="301"/>
        <v>0</v>
      </c>
      <c r="AK411" s="53">
        <f t="shared" si="301"/>
        <v>0</v>
      </c>
      <c r="AL411" s="53">
        <f t="shared" si="301"/>
        <v>0</v>
      </c>
      <c r="AM411" s="53">
        <f t="shared" si="301"/>
        <v>0</v>
      </c>
      <c r="AN411" s="53">
        <f t="shared" si="301"/>
        <v>0</v>
      </c>
      <c r="AO411" s="53">
        <f t="shared" si="301"/>
        <v>0</v>
      </c>
      <c r="AP411" s="53">
        <f t="shared" si="301"/>
        <v>0</v>
      </c>
      <c r="AQ411" s="53">
        <f t="shared" si="301"/>
        <v>0</v>
      </c>
      <c r="AR411" s="53">
        <f t="shared" si="301"/>
        <v>0</v>
      </c>
      <c r="AS411" s="53">
        <f t="shared" si="301"/>
        <v>0</v>
      </c>
      <c r="AT411" s="53">
        <f t="shared" si="301"/>
        <v>0</v>
      </c>
      <c r="AU411" s="53">
        <f t="shared" si="301"/>
        <v>0</v>
      </c>
      <c r="AV411" s="53">
        <f t="shared" si="301"/>
        <v>0</v>
      </c>
      <c r="AW411" s="53">
        <f t="shared" si="301"/>
        <v>0</v>
      </c>
      <c r="AX411" s="53">
        <f t="shared" si="301"/>
        <v>0</v>
      </c>
      <c r="AY411" s="53">
        <f t="shared" si="301"/>
        <v>0</v>
      </c>
      <c r="AZ411" s="53">
        <f t="shared" si="301"/>
        <v>0</v>
      </c>
      <c r="BA411" s="53">
        <f t="shared" si="301"/>
        <v>0</v>
      </c>
      <c r="BB411" s="53">
        <f t="shared" si="301"/>
        <v>0</v>
      </c>
      <c r="BC411" s="53">
        <f t="shared" si="301"/>
        <v>0</v>
      </c>
      <c r="BD411" s="53">
        <f t="shared" si="301"/>
        <v>0</v>
      </c>
      <c r="BE411" s="53">
        <f t="shared" si="301"/>
        <v>0</v>
      </c>
      <c r="BF411" s="53">
        <f t="shared" si="301"/>
        <v>0</v>
      </c>
      <c r="BG411" s="53">
        <f t="shared" si="301"/>
        <v>0</v>
      </c>
      <c r="BH411" s="53">
        <f t="shared" si="301"/>
        <v>0</v>
      </c>
      <c r="BI411" s="53">
        <f t="shared" si="301"/>
        <v>0</v>
      </c>
      <c r="BJ411" s="53">
        <f t="shared" si="301"/>
        <v>0</v>
      </c>
      <c r="BK411" s="53">
        <f t="shared" si="301"/>
        <v>0</v>
      </c>
      <c r="BL411" s="53">
        <f t="shared" si="301"/>
        <v>0</v>
      </c>
      <c r="BM411" s="53">
        <f t="shared" si="301"/>
        <v>0</v>
      </c>
      <c r="BN411" s="53">
        <f t="shared" si="301"/>
        <v>0</v>
      </c>
      <c r="BO411" s="53">
        <f t="shared" ref="BO411:CX411" si="302">IFERROR(IF(BO$262=0,0,(BO152-BO153)/BO153),0)</f>
        <v>0</v>
      </c>
      <c r="BP411" s="53">
        <f t="shared" si="302"/>
        <v>0</v>
      </c>
      <c r="BQ411" s="53">
        <f t="shared" si="302"/>
        <v>0</v>
      </c>
      <c r="BR411" s="53">
        <f t="shared" si="302"/>
        <v>0</v>
      </c>
      <c r="BS411" s="53">
        <f t="shared" si="302"/>
        <v>0</v>
      </c>
      <c r="BT411" s="53">
        <f t="shared" si="302"/>
        <v>0</v>
      </c>
      <c r="BU411" s="53">
        <f t="shared" si="302"/>
        <v>0</v>
      </c>
      <c r="BV411" s="53">
        <f t="shared" si="302"/>
        <v>0</v>
      </c>
      <c r="BW411" s="53">
        <f t="shared" si="302"/>
        <v>0</v>
      </c>
      <c r="BX411" s="53">
        <f t="shared" si="302"/>
        <v>0</v>
      </c>
      <c r="BY411" s="53">
        <f t="shared" si="302"/>
        <v>0</v>
      </c>
      <c r="BZ411" s="53">
        <f t="shared" si="302"/>
        <v>0</v>
      </c>
      <c r="CA411" s="53">
        <f t="shared" si="302"/>
        <v>0</v>
      </c>
      <c r="CB411" s="53">
        <f t="shared" si="302"/>
        <v>0</v>
      </c>
      <c r="CC411" s="53">
        <f t="shared" si="302"/>
        <v>0</v>
      </c>
      <c r="CD411" s="53">
        <f t="shared" si="302"/>
        <v>0</v>
      </c>
      <c r="CE411" s="53">
        <f t="shared" si="302"/>
        <v>0</v>
      </c>
      <c r="CF411" s="53">
        <f t="shared" si="302"/>
        <v>0</v>
      </c>
      <c r="CG411" s="53">
        <f t="shared" si="302"/>
        <v>0</v>
      </c>
      <c r="CH411" s="53">
        <f t="shared" si="302"/>
        <v>0</v>
      </c>
      <c r="CI411" s="53">
        <f t="shared" si="302"/>
        <v>0</v>
      </c>
      <c r="CJ411" s="53">
        <f t="shared" si="302"/>
        <v>0</v>
      </c>
      <c r="CK411" s="53">
        <f t="shared" si="302"/>
        <v>0</v>
      </c>
      <c r="CL411" s="53">
        <f t="shared" si="302"/>
        <v>0</v>
      </c>
      <c r="CM411" s="53">
        <f t="shared" si="302"/>
        <v>0</v>
      </c>
      <c r="CN411" s="53">
        <f t="shared" si="302"/>
        <v>0</v>
      </c>
      <c r="CO411" s="53">
        <f t="shared" si="302"/>
        <v>0</v>
      </c>
      <c r="CP411" s="53">
        <f t="shared" si="302"/>
        <v>0</v>
      </c>
      <c r="CQ411" s="53">
        <f t="shared" si="302"/>
        <v>0</v>
      </c>
      <c r="CR411" s="53">
        <f t="shared" si="302"/>
        <v>0</v>
      </c>
      <c r="CS411" s="53">
        <f t="shared" si="302"/>
        <v>0</v>
      </c>
      <c r="CT411" s="53">
        <f t="shared" si="302"/>
        <v>0</v>
      </c>
      <c r="CU411" s="53">
        <f t="shared" si="302"/>
        <v>0</v>
      </c>
      <c r="CV411" s="53">
        <f t="shared" si="302"/>
        <v>0</v>
      </c>
      <c r="CW411" s="53">
        <f t="shared" si="302"/>
        <v>0</v>
      </c>
      <c r="CX411" s="53">
        <f t="shared" si="302"/>
        <v>0</v>
      </c>
      <c r="DB411" s="2" vm="660">
        <f ca="1">IF(Returns!A415&lt;&gt;0,Returns!A415,"")</f>
        <v>43073</v>
      </c>
      <c r="DC411" s="11">
        <f ca="1">IF(Returns!B426&gt;0,Returns!B426/Returns!B425-1,"")</f>
        <v>3.5418205413166426E-2</v>
      </c>
      <c r="DD411" s="11">
        <f ca="1">IF(Returns!D418&gt;0,Returns!D418/Returns!D417-1,"")</f>
        <v>-1.4074581567383726E-3</v>
      </c>
    </row>
    <row r="412" spans="2:108" x14ac:dyDescent="0.3">
      <c r="B412" s="57">
        <f t="shared" ca="1" si="264"/>
        <v>6.1397219384460374E-4</v>
      </c>
      <c r="C412" s="53">
        <f t="shared" ref="C412:BN412" si="303">IFERROR(IF(C$262=0,0,(C153-C154)/C154),0)</f>
        <v>0</v>
      </c>
      <c r="D412" s="53">
        <f t="shared" si="303"/>
        <v>0</v>
      </c>
      <c r="E412" s="53">
        <f t="shared" si="303"/>
        <v>0</v>
      </c>
      <c r="F412" s="53">
        <f t="shared" si="303"/>
        <v>0</v>
      </c>
      <c r="G412" s="53">
        <f t="shared" si="303"/>
        <v>0</v>
      </c>
      <c r="H412" s="53">
        <f t="shared" si="303"/>
        <v>0</v>
      </c>
      <c r="I412" s="53">
        <f t="shared" si="303"/>
        <v>0</v>
      </c>
      <c r="J412" s="53">
        <f t="shared" si="303"/>
        <v>0</v>
      </c>
      <c r="K412" s="53">
        <f t="shared" si="303"/>
        <v>0</v>
      </c>
      <c r="L412" s="53">
        <f t="shared" si="303"/>
        <v>0</v>
      </c>
      <c r="M412" s="53">
        <f t="shared" si="303"/>
        <v>0</v>
      </c>
      <c r="N412" s="53">
        <f t="shared" si="303"/>
        <v>0</v>
      </c>
      <c r="O412" s="53">
        <f t="shared" si="303"/>
        <v>0</v>
      </c>
      <c r="P412" s="53">
        <f t="shared" si="303"/>
        <v>0</v>
      </c>
      <c r="Q412" s="53">
        <f t="shared" si="303"/>
        <v>0</v>
      </c>
      <c r="R412" s="53">
        <f t="shared" si="303"/>
        <v>0</v>
      </c>
      <c r="S412" s="53">
        <f t="shared" si="303"/>
        <v>0</v>
      </c>
      <c r="T412" s="53">
        <f t="shared" si="303"/>
        <v>0</v>
      </c>
      <c r="U412" s="53">
        <f t="shared" si="303"/>
        <v>0</v>
      </c>
      <c r="V412" s="53">
        <f t="shared" si="303"/>
        <v>0</v>
      </c>
      <c r="W412" s="53">
        <f t="shared" si="303"/>
        <v>0</v>
      </c>
      <c r="X412" s="53">
        <f t="shared" si="303"/>
        <v>0</v>
      </c>
      <c r="Y412" s="53">
        <f t="shared" si="303"/>
        <v>0</v>
      </c>
      <c r="Z412" s="53">
        <f t="shared" si="303"/>
        <v>0</v>
      </c>
      <c r="AA412" s="53">
        <f t="shared" si="303"/>
        <v>0</v>
      </c>
      <c r="AB412" s="53">
        <f t="shared" si="303"/>
        <v>0</v>
      </c>
      <c r="AC412" s="53">
        <f t="shared" si="303"/>
        <v>0</v>
      </c>
      <c r="AD412" s="53">
        <f t="shared" si="303"/>
        <v>0</v>
      </c>
      <c r="AE412" s="53">
        <f t="shared" si="303"/>
        <v>0</v>
      </c>
      <c r="AF412" s="53">
        <f t="shared" si="303"/>
        <v>0</v>
      </c>
      <c r="AG412" s="53">
        <f t="shared" si="303"/>
        <v>0</v>
      </c>
      <c r="AH412" s="53">
        <f t="shared" si="303"/>
        <v>0</v>
      </c>
      <c r="AI412" s="53">
        <f t="shared" si="303"/>
        <v>0</v>
      </c>
      <c r="AJ412" s="53">
        <f t="shared" si="303"/>
        <v>0</v>
      </c>
      <c r="AK412" s="53">
        <f t="shared" si="303"/>
        <v>0</v>
      </c>
      <c r="AL412" s="53">
        <f t="shared" si="303"/>
        <v>0</v>
      </c>
      <c r="AM412" s="53">
        <f t="shared" si="303"/>
        <v>0</v>
      </c>
      <c r="AN412" s="53">
        <f t="shared" si="303"/>
        <v>0</v>
      </c>
      <c r="AO412" s="53">
        <f t="shared" si="303"/>
        <v>0</v>
      </c>
      <c r="AP412" s="53">
        <f t="shared" si="303"/>
        <v>0</v>
      </c>
      <c r="AQ412" s="53">
        <f t="shared" si="303"/>
        <v>0</v>
      </c>
      <c r="AR412" s="53">
        <f t="shared" si="303"/>
        <v>0</v>
      </c>
      <c r="AS412" s="53">
        <f t="shared" si="303"/>
        <v>0</v>
      </c>
      <c r="AT412" s="53">
        <f t="shared" si="303"/>
        <v>0</v>
      </c>
      <c r="AU412" s="53">
        <f t="shared" si="303"/>
        <v>0</v>
      </c>
      <c r="AV412" s="53">
        <f t="shared" si="303"/>
        <v>0</v>
      </c>
      <c r="AW412" s="53">
        <f t="shared" si="303"/>
        <v>0</v>
      </c>
      <c r="AX412" s="53">
        <f t="shared" si="303"/>
        <v>0</v>
      </c>
      <c r="AY412" s="53">
        <f t="shared" si="303"/>
        <v>0</v>
      </c>
      <c r="AZ412" s="53">
        <f t="shared" si="303"/>
        <v>0</v>
      </c>
      <c r="BA412" s="53">
        <f t="shared" si="303"/>
        <v>0</v>
      </c>
      <c r="BB412" s="53">
        <f t="shared" si="303"/>
        <v>0</v>
      </c>
      <c r="BC412" s="53">
        <f t="shared" si="303"/>
        <v>0</v>
      </c>
      <c r="BD412" s="53">
        <f t="shared" si="303"/>
        <v>0</v>
      </c>
      <c r="BE412" s="53">
        <f t="shared" si="303"/>
        <v>0</v>
      </c>
      <c r="BF412" s="53">
        <f t="shared" si="303"/>
        <v>0</v>
      </c>
      <c r="BG412" s="53">
        <f t="shared" si="303"/>
        <v>0</v>
      </c>
      <c r="BH412" s="53">
        <f t="shared" si="303"/>
        <v>0</v>
      </c>
      <c r="BI412" s="53">
        <f t="shared" si="303"/>
        <v>0</v>
      </c>
      <c r="BJ412" s="53">
        <f t="shared" si="303"/>
        <v>0</v>
      </c>
      <c r="BK412" s="53">
        <f t="shared" si="303"/>
        <v>0</v>
      </c>
      <c r="BL412" s="53">
        <f t="shared" si="303"/>
        <v>0</v>
      </c>
      <c r="BM412" s="53">
        <f t="shared" si="303"/>
        <v>0</v>
      </c>
      <c r="BN412" s="53">
        <f t="shared" si="303"/>
        <v>0</v>
      </c>
      <c r="BO412" s="53">
        <f t="shared" ref="BO412:CX412" si="304">IFERROR(IF(BO$262=0,0,(BO153-BO154)/BO154),0)</f>
        <v>0</v>
      </c>
      <c r="BP412" s="53">
        <f t="shared" si="304"/>
        <v>0</v>
      </c>
      <c r="BQ412" s="53">
        <f t="shared" si="304"/>
        <v>0</v>
      </c>
      <c r="BR412" s="53">
        <f t="shared" si="304"/>
        <v>0</v>
      </c>
      <c r="BS412" s="53">
        <f t="shared" si="304"/>
        <v>0</v>
      </c>
      <c r="BT412" s="53">
        <f t="shared" si="304"/>
        <v>0</v>
      </c>
      <c r="BU412" s="53">
        <f t="shared" si="304"/>
        <v>0</v>
      </c>
      <c r="BV412" s="53">
        <f t="shared" si="304"/>
        <v>0</v>
      </c>
      <c r="BW412" s="53">
        <f t="shared" si="304"/>
        <v>0</v>
      </c>
      <c r="BX412" s="53">
        <f t="shared" si="304"/>
        <v>0</v>
      </c>
      <c r="BY412" s="53">
        <f t="shared" si="304"/>
        <v>0</v>
      </c>
      <c r="BZ412" s="53">
        <f t="shared" si="304"/>
        <v>0</v>
      </c>
      <c r="CA412" s="53">
        <f t="shared" si="304"/>
        <v>0</v>
      </c>
      <c r="CB412" s="53">
        <f t="shared" si="304"/>
        <v>0</v>
      </c>
      <c r="CC412" s="53">
        <f t="shared" si="304"/>
        <v>0</v>
      </c>
      <c r="CD412" s="53">
        <f t="shared" si="304"/>
        <v>0</v>
      </c>
      <c r="CE412" s="53">
        <f t="shared" si="304"/>
        <v>0</v>
      </c>
      <c r="CF412" s="53">
        <f t="shared" si="304"/>
        <v>0</v>
      </c>
      <c r="CG412" s="53">
        <f t="shared" si="304"/>
        <v>0</v>
      </c>
      <c r="CH412" s="53">
        <f t="shared" si="304"/>
        <v>0</v>
      </c>
      <c r="CI412" s="53">
        <f t="shared" si="304"/>
        <v>0</v>
      </c>
      <c r="CJ412" s="53">
        <f t="shared" si="304"/>
        <v>0</v>
      </c>
      <c r="CK412" s="53">
        <f t="shared" si="304"/>
        <v>0</v>
      </c>
      <c r="CL412" s="53">
        <f t="shared" si="304"/>
        <v>0</v>
      </c>
      <c r="CM412" s="53">
        <f t="shared" si="304"/>
        <v>0</v>
      </c>
      <c r="CN412" s="53">
        <f t="shared" si="304"/>
        <v>0</v>
      </c>
      <c r="CO412" s="53">
        <f t="shared" si="304"/>
        <v>0</v>
      </c>
      <c r="CP412" s="53">
        <f t="shared" si="304"/>
        <v>0</v>
      </c>
      <c r="CQ412" s="53">
        <f t="shared" si="304"/>
        <v>0</v>
      </c>
      <c r="CR412" s="53">
        <f t="shared" si="304"/>
        <v>0</v>
      </c>
      <c r="CS412" s="53">
        <f t="shared" si="304"/>
        <v>0</v>
      </c>
      <c r="CT412" s="53">
        <f t="shared" si="304"/>
        <v>0</v>
      </c>
      <c r="CU412" s="53">
        <f t="shared" si="304"/>
        <v>0</v>
      </c>
      <c r="CV412" s="53">
        <f t="shared" si="304"/>
        <v>0</v>
      </c>
      <c r="CW412" s="53">
        <f t="shared" si="304"/>
        <v>0</v>
      </c>
      <c r="CX412" s="53">
        <f t="shared" si="304"/>
        <v>0</v>
      </c>
      <c r="DB412" s="2" vm="661">
        <f ca="1">IF(Returns!A416&lt;&gt;0,Returns!A416,"")</f>
        <v>43080</v>
      </c>
      <c r="DC412" s="11">
        <f ca="1">IF(Returns!B427&gt;0,Returns!B427/Returns!B426-1,"")</f>
        <v>1.6666666666664831E-4</v>
      </c>
      <c r="DD412" s="11">
        <f ca="1">IF(Returns!D419&gt;0,Returns!D419/Returns!D418-1,"")</f>
        <v>2.3328234776496926E-2</v>
      </c>
    </row>
    <row r="413" spans="2:108" x14ac:dyDescent="0.3">
      <c r="B413" s="57">
        <f t="shared" ca="1" si="264"/>
        <v>9.6098583868109791E-4</v>
      </c>
      <c r="C413" s="53">
        <f t="shared" ref="C413:BN413" si="305">IFERROR(IF(C$262=0,0,(C154-C155)/C155),0)</f>
        <v>0</v>
      </c>
      <c r="D413" s="53">
        <f t="shared" si="305"/>
        <v>0</v>
      </c>
      <c r="E413" s="53">
        <f t="shared" si="305"/>
        <v>0</v>
      </c>
      <c r="F413" s="53">
        <f t="shared" si="305"/>
        <v>0</v>
      </c>
      <c r="G413" s="53">
        <f t="shared" si="305"/>
        <v>0</v>
      </c>
      <c r="H413" s="53">
        <f t="shared" si="305"/>
        <v>0</v>
      </c>
      <c r="I413" s="53">
        <f t="shared" si="305"/>
        <v>0</v>
      </c>
      <c r="J413" s="53">
        <f t="shared" si="305"/>
        <v>0</v>
      </c>
      <c r="K413" s="53">
        <f t="shared" si="305"/>
        <v>0</v>
      </c>
      <c r="L413" s="53">
        <f t="shared" si="305"/>
        <v>0</v>
      </c>
      <c r="M413" s="53">
        <f t="shared" si="305"/>
        <v>0</v>
      </c>
      <c r="N413" s="53">
        <f t="shared" si="305"/>
        <v>0</v>
      </c>
      <c r="O413" s="53">
        <f t="shared" si="305"/>
        <v>0</v>
      </c>
      <c r="P413" s="53">
        <f t="shared" si="305"/>
        <v>0</v>
      </c>
      <c r="Q413" s="53">
        <f t="shared" si="305"/>
        <v>0</v>
      </c>
      <c r="R413" s="53">
        <f t="shared" si="305"/>
        <v>0</v>
      </c>
      <c r="S413" s="53">
        <f t="shared" si="305"/>
        <v>0</v>
      </c>
      <c r="T413" s="53">
        <f t="shared" si="305"/>
        <v>0</v>
      </c>
      <c r="U413" s="53">
        <f t="shared" si="305"/>
        <v>0</v>
      </c>
      <c r="V413" s="53">
        <f t="shared" si="305"/>
        <v>0</v>
      </c>
      <c r="W413" s="53">
        <f t="shared" si="305"/>
        <v>0</v>
      </c>
      <c r="X413" s="53">
        <f t="shared" si="305"/>
        <v>0</v>
      </c>
      <c r="Y413" s="53">
        <f t="shared" si="305"/>
        <v>0</v>
      </c>
      <c r="Z413" s="53">
        <f t="shared" si="305"/>
        <v>0</v>
      </c>
      <c r="AA413" s="53">
        <f t="shared" si="305"/>
        <v>0</v>
      </c>
      <c r="AB413" s="53">
        <f t="shared" si="305"/>
        <v>0</v>
      </c>
      <c r="AC413" s="53">
        <f t="shared" si="305"/>
        <v>0</v>
      </c>
      <c r="AD413" s="53">
        <f t="shared" si="305"/>
        <v>0</v>
      </c>
      <c r="AE413" s="53">
        <f t="shared" si="305"/>
        <v>0</v>
      </c>
      <c r="AF413" s="53">
        <f t="shared" si="305"/>
        <v>0</v>
      </c>
      <c r="AG413" s="53">
        <f t="shared" si="305"/>
        <v>0</v>
      </c>
      <c r="AH413" s="53">
        <f t="shared" si="305"/>
        <v>0</v>
      </c>
      <c r="AI413" s="53">
        <f t="shared" si="305"/>
        <v>0</v>
      </c>
      <c r="AJ413" s="53">
        <f t="shared" si="305"/>
        <v>0</v>
      </c>
      <c r="AK413" s="53">
        <f t="shared" si="305"/>
        <v>0</v>
      </c>
      <c r="AL413" s="53">
        <f t="shared" si="305"/>
        <v>0</v>
      </c>
      <c r="AM413" s="53">
        <f t="shared" si="305"/>
        <v>0</v>
      </c>
      <c r="AN413" s="53">
        <f t="shared" si="305"/>
        <v>0</v>
      </c>
      <c r="AO413" s="53">
        <f t="shared" si="305"/>
        <v>0</v>
      </c>
      <c r="AP413" s="53">
        <f t="shared" si="305"/>
        <v>0</v>
      </c>
      <c r="AQ413" s="53">
        <f t="shared" si="305"/>
        <v>0</v>
      </c>
      <c r="AR413" s="53">
        <f t="shared" si="305"/>
        <v>0</v>
      </c>
      <c r="AS413" s="53">
        <f t="shared" si="305"/>
        <v>0</v>
      </c>
      <c r="AT413" s="53">
        <f t="shared" si="305"/>
        <v>0</v>
      </c>
      <c r="AU413" s="53">
        <f t="shared" si="305"/>
        <v>0</v>
      </c>
      <c r="AV413" s="53">
        <f t="shared" si="305"/>
        <v>0</v>
      </c>
      <c r="AW413" s="53">
        <f t="shared" si="305"/>
        <v>0</v>
      </c>
      <c r="AX413" s="53">
        <f t="shared" si="305"/>
        <v>0</v>
      </c>
      <c r="AY413" s="53">
        <f t="shared" si="305"/>
        <v>0</v>
      </c>
      <c r="AZ413" s="53">
        <f t="shared" si="305"/>
        <v>0</v>
      </c>
      <c r="BA413" s="53">
        <f t="shared" si="305"/>
        <v>0</v>
      </c>
      <c r="BB413" s="53">
        <f t="shared" si="305"/>
        <v>0</v>
      </c>
      <c r="BC413" s="53">
        <f t="shared" si="305"/>
        <v>0</v>
      </c>
      <c r="BD413" s="53">
        <f t="shared" si="305"/>
        <v>0</v>
      </c>
      <c r="BE413" s="53">
        <f t="shared" si="305"/>
        <v>0</v>
      </c>
      <c r="BF413" s="53">
        <f t="shared" si="305"/>
        <v>0</v>
      </c>
      <c r="BG413" s="53">
        <f t="shared" si="305"/>
        <v>0</v>
      </c>
      <c r="BH413" s="53">
        <f t="shared" si="305"/>
        <v>0</v>
      </c>
      <c r="BI413" s="53">
        <f t="shared" si="305"/>
        <v>0</v>
      </c>
      <c r="BJ413" s="53">
        <f t="shared" si="305"/>
        <v>0</v>
      </c>
      <c r="BK413" s="53">
        <f t="shared" si="305"/>
        <v>0</v>
      </c>
      <c r="BL413" s="53">
        <f t="shared" si="305"/>
        <v>0</v>
      </c>
      <c r="BM413" s="53">
        <f t="shared" si="305"/>
        <v>0</v>
      </c>
      <c r="BN413" s="53">
        <f t="shared" si="305"/>
        <v>0</v>
      </c>
      <c r="BO413" s="53">
        <f t="shared" ref="BO413:CX413" si="306">IFERROR(IF(BO$262=0,0,(BO154-BO155)/BO155),0)</f>
        <v>0</v>
      </c>
      <c r="BP413" s="53">
        <f t="shared" si="306"/>
        <v>0</v>
      </c>
      <c r="BQ413" s="53">
        <f t="shared" si="306"/>
        <v>0</v>
      </c>
      <c r="BR413" s="53">
        <f t="shared" si="306"/>
        <v>0</v>
      </c>
      <c r="BS413" s="53">
        <f t="shared" si="306"/>
        <v>0</v>
      </c>
      <c r="BT413" s="53">
        <f t="shared" si="306"/>
        <v>0</v>
      </c>
      <c r="BU413" s="53">
        <f t="shared" si="306"/>
        <v>0</v>
      </c>
      <c r="BV413" s="53">
        <f t="shared" si="306"/>
        <v>0</v>
      </c>
      <c r="BW413" s="53">
        <f t="shared" si="306"/>
        <v>0</v>
      </c>
      <c r="BX413" s="53">
        <f t="shared" si="306"/>
        <v>0</v>
      </c>
      <c r="BY413" s="53">
        <f t="shared" si="306"/>
        <v>0</v>
      </c>
      <c r="BZ413" s="53">
        <f t="shared" si="306"/>
        <v>0</v>
      </c>
      <c r="CA413" s="53">
        <f t="shared" si="306"/>
        <v>0</v>
      </c>
      <c r="CB413" s="53">
        <f t="shared" si="306"/>
        <v>0</v>
      </c>
      <c r="CC413" s="53">
        <f t="shared" si="306"/>
        <v>0</v>
      </c>
      <c r="CD413" s="53">
        <f t="shared" si="306"/>
        <v>0</v>
      </c>
      <c r="CE413" s="53">
        <f t="shared" si="306"/>
        <v>0</v>
      </c>
      <c r="CF413" s="53">
        <f t="shared" si="306"/>
        <v>0</v>
      </c>
      <c r="CG413" s="53">
        <f t="shared" si="306"/>
        <v>0</v>
      </c>
      <c r="CH413" s="53">
        <f t="shared" si="306"/>
        <v>0</v>
      </c>
      <c r="CI413" s="53">
        <f t="shared" si="306"/>
        <v>0</v>
      </c>
      <c r="CJ413" s="53">
        <f t="shared" si="306"/>
        <v>0</v>
      </c>
      <c r="CK413" s="53">
        <f t="shared" si="306"/>
        <v>0</v>
      </c>
      <c r="CL413" s="53">
        <f t="shared" si="306"/>
        <v>0</v>
      </c>
      <c r="CM413" s="53">
        <f t="shared" si="306"/>
        <v>0</v>
      </c>
      <c r="CN413" s="53">
        <f t="shared" si="306"/>
        <v>0</v>
      </c>
      <c r="CO413" s="53">
        <f t="shared" si="306"/>
        <v>0</v>
      </c>
      <c r="CP413" s="53">
        <f t="shared" si="306"/>
        <v>0</v>
      </c>
      <c r="CQ413" s="53">
        <f t="shared" si="306"/>
        <v>0</v>
      </c>
      <c r="CR413" s="53">
        <f t="shared" si="306"/>
        <v>0</v>
      </c>
      <c r="CS413" s="53">
        <f t="shared" si="306"/>
        <v>0</v>
      </c>
      <c r="CT413" s="53">
        <f t="shared" si="306"/>
        <v>0</v>
      </c>
      <c r="CU413" s="53">
        <f t="shared" si="306"/>
        <v>0</v>
      </c>
      <c r="CV413" s="53">
        <f t="shared" si="306"/>
        <v>0</v>
      </c>
      <c r="CW413" s="53">
        <f t="shared" si="306"/>
        <v>0</v>
      </c>
      <c r="CX413" s="53">
        <f t="shared" si="306"/>
        <v>0</v>
      </c>
      <c r="DB413" s="2" vm="662">
        <f ca="1">IF(Returns!A417&lt;&gt;0,Returns!A417,"")</f>
        <v>43087</v>
      </c>
      <c r="DC413" s="11">
        <f ca="1">IF(Returns!B428&gt;0,Returns!B428/Returns!B427-1,"")</f>
        <v>5.2417930344942576E-2</v>
      </c>
      <c r="DD413" s="11">
        <f ca="1">IF(Returns!D420&gt;0,Returns!D420/Returns!D419-1,"")</f>
        <v>2.0055417894100147E-2</v>
      </c>
    </row>
    <row r="414" spans="2:108" x14ac:dyDescent="0.3">
      <c r="B414" s="57">
        <f t="shared" ca="1" si="264"/>
        <v>1.2136218138399849E-4</v>
      </c>
      <c r="C414" s="53">
        <f t="shared" ref="C414:BN414" si="307">IFERROR(IF(C$262=0,0,(C155-C156)/C156),0)</f>
        <v>0</v>
      </c>
      <c r="D414" s="53">
        <f t="shared" si="307"/>
        <v>0</v>
      </c>
      <c r="E414" s="53">
        <f t="shared" si="307"/>
        <v>0</v>
      </c>
      <c r="F414" s="53">
        <f t="shared" si="307"/>
        <v>0</v>
      </c>
      <c r="G414" s="53">
        <f t="shared" si="307"/>
        <v>0</v>
      </c>
      <c r="H414" s="53">
        <f t="shared" si="307"/>
        <v>0</v>
      </c>
      <c r="I414" s="53">
        <f t="shared" si="307"/>
        <v>0</v>
      </c>
      <c r="J414" s="53">
        <f t="shared" si="307"/>
        <v>0</v>
      </c>
      <c r="K414" s="53">
        <f t="shared" si="307"/>
        <v>0</v>
      </c>
      <c r="L414" s="53">
        <f t="shared" si="307"/>
        <v>0</v>
      </c>
      <c r="M414" s="53">
        <f t="shared" si="307"/>
        <v>0</v>
      </c>
      <c r="N414" s="53">
        <f t="shared" si="307"/>
        <v>0</v>
      </c>
      <c r="O414" s="53">
        <f t="shared" si="307"/>
        <v>0</v>
      </c>
      <c r="P414" s="53">
        <f t="shared" si="307"/>
        <v>0</v>
      </c>
      <c r="Q414" s="53">
        <f t="shared" si="307"/>
        <v>0</v>
      </c>
      <c r="R414" s="53">
        <f t="shared" si="307"/>
        <v>0</v>
      </c>
      <c r="S414" s="53">
        <f t="shared" si="307"/>
        <v>0</v>
      </c>
      <c r="T414" s="53">
        <f t="shared" si="307"/>
        <v>0</v>
      </c>
      <c r="U414" s="53">
        <f t="shared" si="307"/>
        <v>0</v>
      </c>
      <c r="V414" s="53">
        <f t="shared" si="307"/>
        <v>0</v>
      </c>
      <c r="W414" s="53">
        <f t="shared" si="307"/>
        <v>0</v>
      </c>
      <c r="X414" s="53">
        <f t="shared" si="307"/>
        <v>0</v>
      </c>
      <c r="Y414" s="53">
        <f t="shared" si="307"/>
        <v>0</v>
      </c>
      <c r="Z414" s="53">
        <f t="shared" si="307"/>
        <v>0</v>
      </c>
      <c r="AA414" s="53">
        <f t="shared" si="307"/>
        <v>0</v>
      </c>
      <c r="AB414" s="53">
        <f t="shared" si="307"/>
        <v>0</v>
      </c>
      <c r="AC414" s="53">
        <f t="shared" si="307"/>
        <v>0</v>
      </c>
      <c r="AD414" s="53">
        <f t="shared" si="307"/>
        <v>0</v>
      </c>
      <c r="AE414" s="53">
        <f t="shared" si="307"/>
        <v>0</v>
      </c>
      <c r="AF414" s="53">
        <f t="shared" si="307"/>
        <v>0</v>
      </c>
      <c r="AG414" s="53">
        <f t="shared" si="307"/>
        <v>0</v>
      </c>
      <c r="AH414" s="53">
        <f t="shared" si="307"/>
        <v>0</v>
      </c>
      <c r="AI414" s="53">
        <f t="shared" si="307"/>
        <v>0</v>
      </c>
      <c r="AJ414" s="53">
        <f t="shared" si="307"/>
        <v>0</v>
      </c>
      <c r="AK414" s="53">
        <f t="shared" si="307"/>
        <v>0</v>
      </c>
      <c r="AL414" s="53">
        <f t="shared" si="307"/>
        <v>0</v>
      </c>
      <c r="AM414" s="53">
        <f t="shared" si="307"/>
        <v>0</v>
      </c>
      <c r="AN414" s="53">
        <f t="shared" si="307"/>
        <v>0</v>
      </c>
      <c r="AO414" s="53">
        <f t="shared" si="307"/>
        <v>0</v>
      </c>
      <c r="AP414" s="53">
        <f t="shared" si="307"/>
        <v>0</v>
      </c>
      <c r="AQ414" s="53">
        <f t="shared" si="307"/>
        <v>0</v>
      </c>
      <c r="AR414" s="53">
        <f t="shared" si="307"/>
        <v>0</v>
      </c>
      <c r="AS414" s="53">
        <f t="shared" si="307"/>
        <v>0</v>
      </c>
      <c r="AT414" s="53">
        <f t="shared" si="307"/>
        <v>0</v>
      </c>
      <c r="AU414" s="53">
        <f t="shared" si="307"/>
        <v>0</v>
      </c>
      <c r="AV414" s="53">
        <f t="shared" si="307"/>
        <v>0</v>
      </c>
      <c r="AW414" s="53">
        <f t="shared" si="307"/>
        <v>0</v>
      </c>
      <c r="AX414" s="53">
        <f t="shared" si="307"/>
        <v>0</v>
      </c>
      <c r="AY414" s="53">
        <f t="shared" si="307"/>
        <v>0</v>
      </c>
      <c r="AZ414" s="53">
        <f t="shared" si="307"/>
        <v>0</v>
      </c>
      <c r="BA414" s="53">
        <f t="shared" si="307"/>
        <v>0</v>
      </c>
      <c r="BB414" s="53">
        <f t="shared" si="307"/>
        <v>0</v>
      </c>
      <c r="BC414" s="53">
        <f t="shared" si="307"/>
        <v>0</v>
      </c>
      <c r="BD414" s="53">
        <f t="shared" si="307"/>
        <v>0</v>
      </c>
      <c r="BE414" s="53">
        <f t="shared" si="307"/>
        <v>0</v>
      </c>
      <c r="BF414" s="53">
        <f t="shared" si="307"/>
        <v>0</v>
      </c>
      <c r="BG414" s="53">
        <f t="shared" si="307"/>
        <v>0</v>
      </c>
      <c r="BH414" s="53">
        <f t="shared" si="307"/>
        <v>0</v>
      </c>
      <c r="BI414" s="53">
        <f t="shared" si="307"/>
        <v>0</v>
      </c>
      <c r="BJ414" s="53">
        <f t="shared" si="307"/>
        <v>0</v>
      </c>
      <c r="BK414" s="53">
        <f t="shared" si="307"/>
        <v>0</v>
      </c>
      <c r="BL414" s="53">
        <f t="shared" si="307"/>
        <v>0</v>
      </c>
      <c r="BM414" s="53">
        <f t="shared" si="307"/>
        <v>0</v>
      </c>
      <c r="BN414" s="53">
        <f t="shared" si="307"/>
        <v>0</v>
      </c>
      <c r="BO414" s="53">
        <f t="shared" ref="BO414:CX414" si="308">IFERROR(IF(BO$262=0,0,(BO155-BO156)/BO156),0)</f>
        <v>0</v>
      </c>
      <c r="BP414" s="53">
        <f t="shared" si="308"/>
        <v>0</v>
      </c>
      <c r="BQ414" s="53">
        <f t="shared" si="308"/>
        <v>0</v>
      </c>
      <c r="BR414" s="53">
        <f t="shared" si="308"/>
        <v>0</v>
      </c>
      <c r="BS414" s="53">
        <f t="shared" si="308"/>
        <v>0</v>
      </c>
      <c r="BT414" s="53">
        <f t="shared" si="308"/>
        <v>0</v>
      </c>
      <c r="BU414" s="53">
        <f t="shared" si="308"/>
        <v>0</v>
      </c>
      <c r="BV414" s="53">
        <f t="shared" si="308"/>
        <v>0</v>
      </c>
      <c r="BW414" s="53">
        <f t="shared" si="308"/>
        <v>0</v>
      </c>
      <c r="BX414" s="53">
        <f t="shared" si="308"/>
        <v>0</v>
      </c>
      <c r="BY414" s="53">
        <f t="shared" si="308"/>
        <v>0</v>
      </c>
      <c r="BZ414" s="53">
        <f t="shared" si="308"/>
        <v>0</v>
      </c>
      <c r="CA414" s="53">
        <f t="shared" si="308"/>
        <v>0</v>
      </c>
      <c r="CB414" s="53">
        <f t="shared" si="308"/>
        <v>0</v>
      </c>
      <c r="CC414" s="53">
        <f t="shared" si="308"/>
        <v>0</v>
      </c>
      <c r="CD414" s="53">
        <f t="shared" si="308"/>
        <v>0</v>
      </c>
      <c r="CE414" s="53">
        <f t="shared" si="308"/>
        <v>0</v>
      </c>
      <c r="CF414" s="53">
        <f t="shared" si="308"/>
        <v>0</v>
      </c>
      <c r="CG414" s="53">
        <f t="shared" si="308"/>
        <v>0</v>
      </c>
      <c r="CH414" s="53">
        <f t="shared" si="308"/>
        <v>0</v>
      </c>
      <c r="CI414" s="53">
        <f t="shared" si="308"/>
        <v>0</v>
      </c>
      <c r="CJ414" s="53">
        <f t="shared" si="308"/>
        <v>0</v>
      </c>
      <c r="CK414" s="53">
        <f t="shared" si="308"/>
        <v>0</v>
      </c>
      <c r="CL414" s="53">
        <f t="shared" si="308"/>
        <v>0</v>
      </c>
      <c r="CM414" s="53">
        <f t="shared" si="308"/>
        <v>0</v>
      </c>
      <c r="CN414" s="53">
        <f t="shared" si="308"/>
        <v>0</v>
      </c>
      <c r="CO414" s="53">
        <f t="shared" si="308"/>
        <v>0</v>
      </c>
      <c r="CP414" s="53">
        <f t="shared" si="308"/>
        <v>0</v>
      </c>
      <c r="CQ414" s="53">
        <f t="shared" si="308"/>
        <v>0</v>
      </c>
      <c r="CR414" s="53">
        <f t="shared" si="308"/>
        <v>0</v>
      </c>
      <c r="CS414" s="53">
        <f t="shared" si="308"/>
        <v>0</v>
      </c>
      <c r="CT414" s="53">
        <f t="shared" si="308"/>
        <v>0</v>
      </c>
      <c r="CU414" s="53">
        <f t="shared" si="308"/>
        <v>0</v>
      </c>
      <c r="CV414" s="53">
        <f t="shared" si="308"/>
        <v>0</v>
      </c>
      <c r="CW414" s="53">
        <f t="shared" si="308"/>
        <v>0</v>
      </c>
      <c r="CX414" s="53">
        <f t="shared" si="308"/>
        <v>0</v>
      </c>
      <c r="DB414" s="2" vm="663">
        <f ca="1">IF(Returns!A418&lt;&gt;0,Returns!A418,"")</f>
        <v>43095</v>
      </c>
      <c r="DC414" s="11">
        <f ca="1">IF(Returns!B429&gt;0,Returns!B429/Returns!B428-1,"")</f>
        <v>-4.5664992494727219E-3</v>
      </c>
      <c r="DD414" s="11">
        <f ca="1">IF(Returns!D421&gt;0,Returns!D421/Returns!D420-1,"")</f>
        <v>1.0406941085401522E-2</v>
      </c>
    </row>
    <row r="415" spans="2:108" x14ac:dyDescent="0.3">
      <c r="B415" s="57">
        <f t="shared" ca="1" si="264"/>
        <v>1.1797702812741805E-3</v>
      </c>
      <c r="C415" s="53">
        <f t="shared" ref="C415:BN415" si="309">IFERROR(IF(C$262=0,0,(C156-C157)/C157),0)</f>
        <v>0</v>
      </c>
      <c r="D415" s="53">
        <f t="shared" si="309"/>
        <v>0</v>
      </c>
      <c r="E415" s="53">
        <f t="shared" si="309"/>
        <v>0</v>
      </c>
      <c r="F415" s="53">
        <f t="shared" si="309"/>
        <v>0</v>
      </c>
      <c r="G415" s="53">
        <f t="shared" si="309"/>
        <v>0</v>
      </c>
      <c r="H415" s="53">
        <f t="shared" si="309"/>
        <v>0</v>
      </c>
      <c r="I415" s="53">
        <f t="shared" si="309"/>
        <v>0</v>
      </c>
      <c r="J415" s="53">
        <f t="shared" si="309"/>
        <v>0</v>
      </c>
      <c r="K415" s="53">
        <f t="shared" si="309"/>
        <v>0</v>
      </c>
      <c r="L415" s="53">
        <f t="shared" si="309"/>
        <v>0</v>
      </c>
      <c r="M415" s="53">
        <f t="shared" si="309"/>
        <v>0</v>
      </c>
      <c r="N415" s="53">
        <f t="shared" si="309"/>
        <v>0</v>
      </c>
      <c r="O415" s="53">
        <f t="shared" si="309"/>
        <v>0</v>
      </c>
      <c r="P415" s="53">
        <f t="shared" si="309"/>
        <v>0</v>
      </c>
      <c r="Q415" s="53">
        <f t="shared" si="309"/>
        <v>0</v>
      </c>
      <c r="R415" s="53">
        <f t="shared" si="309"/>
        <v>0</v>
      </c>
      <c r="S415" s="53">
        <f t="shared" si="309"/>
        <v>0</v>
      </c>
      <c r="T415" s="53">
        <f t="shared" si="309"/>
        <v>0</v>
      </c>
      <c r="U415" s="53">
        <f t="shared" si="309"/>
        <v>0</v>
      </c>
      <c r="V415" s="53">
        <f t="shared" si="309"/>
        <v>0</v>
      </c>
      <c r="W415" s="53">
        <f t="shared" si="309"/>
        <v>0</v>
      </c>
      <c r="X415" s="53">
        <f t="shared" si="309"/>
        <v>0</v>
      </c>
      <c r="Y415" s="53">
        <f t="shared" si="309"/>
        <v>0</v>
      </c>
      <c r="Z415" s="53">
        <f t="shared" si="309"/>
        <v>0</v>
      </c>
      <c r="AA415" s="53">
        <f t="shared" si="309"/>
        <v>0</v>
      </c>
      <c r="AB415" s="53">
        <f t="shared" si="309"/>
        <v>0</v>
      </c>
      <c r="AC415" s="53">
        <f t="shared" si="309"/>
        <v>0</v>
      </c>
      <c r="AD415" s="53">
        <f t="shared" si="309"/>
        <v>0</v>
      </c>
      <c r="AE415" s="53">
        <f t="shared" si="309"/>
        <v>0</v>
      </c>
      <c r="AF415" s="53">
        <f t="shared" si="309"/>
        <v>0</v>
      </c>
      <c r="AG415" s="53">
        <f t="shared" si="309"/>
        <v>0</v>
      </c>
      <c r="AH415" s="53">
        <f t="shared" si="309"/>
        <v>0</v>
      </c>
      <c r="AI415" s="53">
        <f t="shared" si="309"/>
        <v>0</v>
      </c>
      <c r="AJ415" s="53">
        <f t="shared" si="309"/>
        <v>0</v>
      </c>
      <c r="AK415" s="53">
        <f t="shared" si="309"/>
        <v>0</v>
      </c>
      <c r="AL415" s="53">
        <f t="shared" si="309"/>
        <v>0</v>
      </c>
      <c r="AM415" s="53">
        <f t="shared" si="309"/>
        <v>0</v>
      </c>
      <c r="AN415" s="53">
        <f t="shared" si="309"/>
        <v>0</v>
      </c>
      <c r="AO415" s="53">
        <f t="shared" si="309"/>
        <v>0</v>
      </c>
      <c r="AP415" s="53">
        <f t="shared" si="309"/>
        <v>0</v>
      </c>
      <c r="AQ415" s="53">
        <f t="shared" si="309"/>
        <v>0</v>
      </c>
      <c r="AR415" s="53">
        <f t="shared" si="309"/>
        <v>0</v>
      </c>
      <c r="AS415" s="53">
        <f t="shared" si="309"/>
        <v>0</v>
      </c>
      <c r="AT415" s="53">
        <f t="shared" si="309"/>
        <v>0</v>
      </c>
      <c r="AU415" s="53">
        <f t="shared" si="309"/>
        <v>0</v>
      </c>
      <c r="AV415" s="53">
        <f t="shared" si="309"/>
        <v>0</v>
      </c>
      <c r="AW415" s="53">
        <f t="shared" si="309"/>
        <v>0</v>
      </c>
      <c r="AX415" s="53">
        <f t="shared" si="309"/>
        <v>0</v>
      </c>
      <c r="AY415" s="53">
        <f t="shared" si="309"/>
        <v>0</v>
      </c>
      <c r="AZ415" s="53">
        <f t="shared" si="309"/>
        <v>0</v>
      </c>
      <c r="BA415" s="53">
        <f t="shared" si="309"/>
        <v>0</v>
      </c>
      <c r="BB415" s="53">
        <f t="shared" si="309"/>
        <v>0</v>
      </c>
      <c r="BC415" s="53">
        <f t="shared" si="309"/>
        <v>0</v>
      </c>
      <c r="BD415" s="53">
        <f t="shared" si="309"/>
        <v>0</v>
      </c>
      <c r="BE415" s="53">
        <f t="shared" si="309"/>
        <v>0</v>
      </c>
      <c r="BF415" s="53">
        <f t="shared" si="309"/>
        <v>0</v>
      </c>
      <c r="BG415" s="53">
        <f t="shared" si="309"/>
        <v>0</v>
      </c>
      <c r="BH415" s="53">
        <f t="shared" si="309"/>
        <v>0</v>
      </c>
      <c r="BI415" s="53">
        <f t="shared" si="309"/>
        <v>0</v>
      </c>
      <c r="BJ415" s="53">
        <f t="shared" si="309"/>
        <v>0</v>
      </c>
      <c r="BK415" s="53">
        <f t="shared" si="309"/>
        <v>0</v>
      </c>
      <c r="BL415" s="53">
        <f t="shared" si="309"/>
        <v>0</v>
      </c>
      <c r="BM415" s="53">
        <f t="shared" si="309"/>
        <v>0</v>
      </c>
      <c r="BN415" s="53">
        <f t="shared" si="309"/>
        <v>0</v>
      </c>
      <c r="BO415" s="53">
        <f t="shared" ref="BO415:CX415" si="310">IFERROR(IF(BO$262=0,0,(BO156-BO157)/BO157),0)</f>
        <v>0</v>
      </c>
      <c r="BP415" s="53">
        <f t="shared" si="310"/>
        <v>0</v>
      </c>
      <c r="BQ415" s="53">
        <f t="shared" si="310"/>
        <v>0</v>
      </c>
      <c r="BR415" s="53">
        <f t="shared" si="310"/>
        <v>0</v>
      </c>
      <c r="BS415" s="53">
        <f t="shared" si="310"/>
        <v>0</v>
      </c>
      <c r="BT415" s="53">
        <f t="shared" si="310"/>
        <v>0</v>
      </c>
      <c r="BU415" s="53">
        <f t="shared" si="310"/>
        <v>0</v>
      </c>
      <c r="BV415" s="53">
        <f t="shared" si="310"/>
        <v>0</v>
      </c>
      <c r="BW415" s="53">
        <f t="shared" si="310"/>
        <v>0</v>
      </c>
      <c r="BX415" s="53">
        <f t="shared" si="310"/>
        <v>0</v>
      </c>
      <c r="BY415" s="53">
        <f t="shared" si="310"/>
        <v>0</v>
      </c>
      <c r="BZ415" s="53">
        <f t="shared" si="310"/>
        <v>0</v>
      </c>
      <c r="CA415" s="53">
        <f t="shared" si="310"/>
        <v>0</v>
      </c>
      <c r="CB415" s="53">
        <f t="shared" si="310"/>
        <v>0</v>
      </c>
      <c r="CC415" s="53">
        <f t="shared" si="310"/>
        <v>0</v>
      </c>
      <c r="CD415" s="53">
        <f t="shared" si="310"/>
        <v>0</v>
      </c>
      <c r="CE415" s="53">
        <f t="shared" si="310"/>
        <v>0</v>
      </c>
      <c r="CF415" s="53">
        <f t="shared" si="310"/>
        <v>0</v>
      </c>
      <c r="CG415" s="53">
        <f t="shared" si="310"/>
        <v>0</v>
      </c>
      <c r="CH415" s="53">
        <f t="shared" si="310"/>
        <v>0</v>
      </c>
      <c r="CI415" s="53">
        <f t="shared" si="310"/>
        <v>0</v>
      </c>
      <c r="CJ415" s="53">
        <f t="shared" si="310"/>
        <v>0</v>
      </c>
      <c r="CK415" s="53">
        <f t="shared" si="310"/>
        <v>0</v>
      </c>
      <c r="CL415" s="53">
        <f t="shared" si="310"/>
        <v>0</v>
      </c>
      <c r="CM415" s="53">
        <f t="shared" si="310"/>
        <v>0</v>
      </c>
      <c r="CN415" s="53">
        <f t="shared" si="310"/>
        <v>0</v>
      </c>
      <c r="CO415" s="53">
        <f t="shared" si="310"/>
        <v>0</v>
      </c>
      <c r="CP415" s="53">
        <f t="shared" si="310"/>
        <v>0</v>
      </c>
      <c r="CQ415" s="53">
        <f t="shared" si="310"/>
        <v>0</v>
      </c>
      <c r="CR415" s="53">
        <f t="shared" si="310"/>
        <v>0</v>
      </c>
      <c r="CS415" s="53">
        <f t="shared" si="310"/>
        <v>0</v>
      </c>
      <c r="CT415" s="53">
        <f t="shared" si="310"/>
        <v>0</v>
      </c>
      <c r="CU415" s="53">
        <f t="shared" si="310"/>
        <v>0</v>
      </c>
      <c r="CV415" s="53">
        <f t="shared" si="310"/>
        <v>0</v>
      </c>
      <c r="CW415" s="53">
        <f t="shared" si="310"/>
        <v>0</v>
      </c>
      <c r="CX415" s="53">
        <f t="shared" si="310"/>
        <v>0</v>
      </c>
      <c r="DB415" s="2" vm="664">
        <f ca="1">IF(Returns!A419&lt;&gt;0,Returns!A419,"")</f>
        <v>43102</v>
      </c>
      <c r="DC415" s="11">
        <f ca="1">IF(Returns!B430&gt;0,Returns!B430/Returns!B429-1,"")</f>
        <v>-4.8432250839865576E-2</v>
      </c>
      <c r="DD415" s="11">
        <f ca="1">IF(Returns!D422&gt;0,Returns!D422/Returns!D421-1,"")</f>
        <v>2.0903208841836385E-2</v>
      </c>
    </row>
    <row r="416" spans="2:108" x14ac:dyDescent="0.3">
      <c r="B416" s="57">
        <f t="shared" ca="1" si="264"/>
        <v>4.7056062700426282E-4</v>
      </c>
      <c r="C416" s="53">
        <f t="shared" ref="C416:BN416" si="311">IFERROR(IF(C$262=0,0,(C157-C158)/C158),0)</f>
        <v>0</v>
      </c>
      <c r="D416" s="53">
        <f t="shared" si="311"/>
        <v>0</v>
      </c>
      <c r="E416" s="53">
        <f t="shared" si="311"/>
        <v>0</v>
      </c>
      <c r="F416" s="53">
        <f t="shared" si="311"/>
        <v>0</v>
      </c>
      <c r="G416" s="53">
        <f t="shared" si="311"/>
        <v>0</v>
      </c>
      <c r="H416" s="53">
        <f t="shared" si="311"/>
        <v>0</v>
      </c>
      <c r="I416" s="53">
        <f t="shared" si="311"/>
        <v>0</v>
      </c>
      <c r="J416" s="53">
        <f t="shared" si="311"/>
        <v>0</v>
      </c>
      <c r="K416" s="53">
        <f t="shared" si="311"/>
        <v>0</v>
      </c>
      <c r="L416" s="53">
        <f t="shared" si="311"/>
        <v>0</v>
      </c>
      <c r="M416" s="53">
        <f t="shared" si="311"/>
        <v>0</v>
      </c>
      <c r="N416" s="53">
        <f t="shared" si="311"/>
        <v>0</v>
      </c>
      <c r="O416" s="53">
        <f t="shared" si="311"/>
        <v>0</v>
      </c>
      <c r="P416" s="53">
        <f t="shared" si="311"/>
        <v>0</v>
      </c>
      <c r="Q416" s="53">
        <f t="shared" si="311"/>
        <v>0</v>
      </c>
      <c r="R416" s="53">
        <f t="shared" si="311"/>
        <v>0</v>
      </c>
      <c r="S416" s="53">
        <f t="shared" si="311"/>
        <v>0</v>
      </c>
      <c r="T416" s="53">
        <f t="shared" si="311"/>
        <v>0</v>
      </c>
      <c r="U416" s="53">
        <f t="shared" si="311"/>
        <v>0</v>
      </c>
      <c r="V416" s="53">
        <f t="shared" si="311"/>
        <v>0</v>
      </c>
      <c r="W416" s="53">
        <f t="shared" si="311"/>
        <v>0</v>
      </c>
      <c r="X416" s="53">
        <f t="shared" si="311"/>
        <v>0</v>
      </c>
      <c r="Y416" s="53">
        <f t="shared" si="311"/>
        <v>0</v>
      </c>
      <c r="Z416" s="53">
        <f t="shared" si="311"/>
        <v>0</v>
      </c>
      <c r="AA416" s="53">
        <f t="shared" si="311"/>
        <v>0</v>
      </c>
      <c r="AB416" s="53">
        <f t="shared" si="311"/>
        <v>0</v>
      </c>
      <c r="AC416" s="53">
        <f t="shared" si="311"/>
        <v>0</v>
      </c>
      <c r="AD416" s="53">
        <f t="shared" si="311"/>
        <v>0</v>
      </c>
      <c r="AE416" s="53">
        <f t="shared" si="311"/>
        <v>0</v>
      </c>
      <c r="AF416" s="53">
        <f t="shared" si="311"/>
        <v>0</v>
      </c>
      <c r="AG416" s="53">
        <f t="shared" si="311"/>
        <v>0</v>
      </c>
      <c r="AH416" s="53">
        <f t="shared" si="311"/>
        <v>0</v>
      </c>
      <c r="AI416" s="53">
        <f t="shared" si="311"/>
        <v>0</v>
      </c>
      <c r="AJ416" s="53">
        <f t="shared" si="311"/>
        <v>0</v>
      </c>
      <c r="AK416" s="53">
        <f t="shared" si="311"/>
        <v>0</v>
      </c>
      <c r="AL416" s="53">
        <f t="shared" si="311"/>
        <v>0</v>
      </c>
      <c r="AM416" s="53">
        <f t="shared" si="311"/>
        <v>0</v>
      </c>
      <c r="AN416" s="53">
        <f t="shared" si="311"/>
        <v>0</v>
      </c>
      <c r="AO416" s="53">
        <f t="shared" si="311"/>
        <v>0</v>
      </c>
      <c r="AP416" s="53">
        <f t="shared" si="311"/>
        <v>0</v>
      </c>
      <c r="AQ416" s="53">
        <f t="shared" si="311"/>
        <v>0</v>
      </c>
      <c r="AR416" s="53">
        <f t="shared" si="311"/>
        <v>0</v>
      </c>
      <c r="AS416" s="53">
        <f t="shared" si="311"/>
        <v>0</v>
      </c>
      <c r="AT416" s="53">
        <f t="shared" si="311"/>
        <v>0</v>
      </c>
      <c r="AU416" s="53">
        <f t="shared" si="311"/>
        <v>0</v>
      </c>
      <c r="AV416" s="53">
        <f t="shared" si="311"/>
        <v>0</v>
      </c>
      <c r="AW416" s="53">
        <f t="shared" si="311"/>
        <v>0</v>
      </c>
      <c r="AX416" s="53">
        <f t="shared" si="311"/>
        <v>0</v>
      </c>
      <c r="AY416" s="53">
        <f t="shared" si="311"/>
        <v>0</v>
      </c>
      <c r="AZ416" s="53">
        <f t="shared" si="311"/>
        <v>0</v>
      </c>
      <c r="BA416" s="53">
        <f t="shared" si="311"/>
        <v>0</v>
      </c>
      <c r="BB416" s="53">
        <f t="shared" si="311"/>
        <v>0</v>
      </c>
      <c r="BC416" s="53">
        <f t="shared" si="311"/>
        <v>0</v>
      </c>
      <c r="BD416" s="53">
        <f t="shared" si="311"/>
        <v>0</v>
      </c>
      <c r="BE416" s="53">
        <f t="shared" si="311"/>
        <v>0</v>
      </c>
      <c r="BF416" s="53">
        <f t="shared" si="311"/>
        <v>0</v>
      </c>
      <c r="BG416" s="53">
        <f t="shared" si="311"/>
        <v>0</v>
      </c>
      <c r="BH416" s="53">
        <f t="shared" si="311"/>
        <v>0</v>
      </c>
      <c r="BI416" s="53">
        <f t="shared" si="311"/>
        <v>0</v>
      </c>
      <c r="BJ416" s="53">
        <f t="shared" si="311"/>
        <v>0</v>
      </c>
      <c r="BK416" s="53">
        <f t="shared" si="311"/>
        <v>0</v>
      </c>
      <c r="BL416" s="53">
        <f t="shared" si="311"/>
        <v>0</v>
      </c>
      <c r="BM416" s="53">
        <f t="shared" si="311"/>
        <v>0</v>
      </c>
      <c r="BN416" s="53">
        <f t="shared" si="311"/>
        <v>0</v>
      </c>
      <c r="BO416" s="53">
        <f t="shared" ref="BO416:CX416" si="312">IFERROR(IF(BO$262=0,0,(BO157-BO158)/BO158),0)</f>
        <v>0</v>
      </c>
      <c r="BP416" s="53">
        <f t="shared" si="312"/>
        <v>0</v>
      </c>
      <c r="BQ416" s="53">
        <f t="shared" si="312"/>
        <v>0</v>
      </c>
      <c r="BR416" s="53">
        <f t="shared" si="312"/>
        <v>0</v>
      </c>
      <c r="BS416" s="53">
        <f t="shared" si="312"/>
        <v>0</v>
      </c>
      <c r="BT416" s="53">
        <f t="shared" si="312"/>
        <v>0</v>
      </c>
      <c r="BU416" s="53">
        <f t="shared" si="312"/>
        <v>0</v>
      </c>
      <c r="BV416" s="53">
        <f t="shared" si="312"/>
        <v>0</v>
      </c>
      <c r="BW416" s="53">
        <f t="shared" si="312"/>
        <v>0</v>
      </c>
      <c r="BX416" s="53">
        <f t="shared" si="312"/>
        <v>0</v>
      </c>
      <c r="BY416" s="53">
        <f t="shared" si="312"/>
        <v>0</v>
      </c>
      <c r="BZ416" s="53">
        <f t="shared" si="312"/>
        <v>0</v>
      </c>
      <c r="CA416" s="53">
        <f t="shared" si="312"/>
        <v>0</v>
      </c>
      <c r="CB416" s="53">
        <f t="shared" si="312"/>
        <v>0</v>
      </c>
      <c r="CC416" s="53">
        <f t="shared" si="312"/>
        <v>0</v>
      </c>
      <c r="CD416" s="53">
        <f t="shared" si="312"/>
        <v>0</v>
      </c>
      <c r="CE416" s="53">
        <f t="shared" si="312"/>
        <v>0</v>
      </c>
      <c r="CF416" s="53">
        <f t="shared" si="312"/>
        <v>0</v>
      </c>
      <c r="CG416" s="53">
        <f t="shared" si="312"/>
        <v>0</v>
      </c>
      <c r="CH416" s="53">
        <f t="shared" si="312"/>
        <v>0</v>
      </c>
      <c r="CI416" s="53">
        <f t="shared" si="312"/>
        <v>0</v>
      </c>
      <c r="CJ416" s="53">
        <f t="shared" si="312"/>
        <v>0</v>
      </c>
      <c r="CK416" s="53">
        <f t="shared" si="312"/>
        <v>0</v>
      </c>
      <c r="CL416" s="53">
        <f t="shared" si="312"/>
        <v>0</v>
      </c>
      <c r="CM416" s="53">
        <f t="shared" si="312"/>
        <v>0</v>
      </c>
      <c r="CN416" s="53">
        <f t="shared" si="312"/>
        <v>0</v>
      </c>
      <c r="CO416" s="53">
        <f t="shared" si="312"/>
        <v>0</v>
      </c>
      <c r="CP416" s="53">
        <f t="shared" si="312"/>
        <v>0</v>
      </c>
      <c r="CQ416" s="53">
        <f t="shared" si="312"/>
        <v>0</v>
      </c>
      <c r="CR416" s="53">
        <f t="shared" si="312"/>
        <v>0</v>
      </c>
      <c r="CS416" s="53">
        <f t="shared" si="312"/>
        <v>0</v>
      </c>
      <c r="CT416" s="53">
        <f t="shared" si="312"/>
        <v>0</v>
      </c>
      <c r="CU416" s="53">
        <f t="shared" si="312"/>
        <v>0</v>
      </c>
      <c r="CV416" s="53">
        <f t="shared" si="312"/>
        <v>0</v>
      </c>
      <c r="CW416" s="53">
        <f t="shared" si="312"/>
        <v>0</v>
      </c>
      <c r="CX416" s="53">
        <f t="shared" si="312"/>
        <v>0</v>
      </c>
      <c r="DB416" s="2" vm="665">
        <f ca="1">IF(Returns!A420&lt;&gt;0,Returns!A420,"")</f>
        <v>43108</v>
      </c>
      <c r="DC416" s="11">
        <f ca="1">IF(Returns!B431&gt;0,Returns!B431/Returns!B430-1,"")</f>
        <v>-3.2242103292412172E-2</v>
      </c>
      <c r="DD416" s="11">
        <f ca="1">IF(Returns!D423&gt;0,Returns!D423/Returns!D422-1,"")</f>
        <v>-4.116772205830066E-2</v>
      </c>
    </row>
    <row r="417" spans="2:108" x14ac:dyDescent="0.3">
      <c r="B417" s="57">
        <f t="shared" ca="1" si="264"/>
        <v>3.2021965709498955E-3</v>
      </c>
      <c r="C417" s="53">
        <f t="shared" ref="C417:BN417" si="313">IFERROR(IF(C$262=0,0,(C158-C159)/C159),0)</f>
        <v>0</v>
      </c>
      <c r="D417" s="53">
        <f t="shared" si="313"/>
        <v>0</v>
      </c>
      <c r="E417" s="53">
        <f t="shared" si="313"/>
        <v>0</v>
      </c>
      <c r="F417" s="53">
        <f t="shared" si="313"/>
        <v>0</v>
      </c>
      <c r="G417" s="53">
        <f t="shared" si="313"/>
        <v>0</v>
      </c>
      <c r="H417" s="53">
        <f t="shared" si="313"/>
        <v>0</v>
      </c>
      <c r="I417" s="53">
        <f t="shared" si="313"/>
        <v>0</v>
      </c>
      <c r="J417" s="53">
        <f t="shared" si="313"/>
        <v>0</v>
      </c>
      <c r="K417" s="53">
        <f t="shared" si="313"/>
        <v>0</v>
      </c>
      <c r="L417" s="53">
        <f t="shared" si="313"/>
        <v>0</v>
      </c>
      <c r="M417" s="53">
        <f t="shared" si="313"/>
        <v>0</v>
      </c>
      <c r="N417" s="53">
        <f t="shared" si="313"/>
        <v>0</v>
      </c>
      <c r="O417" s="53">
        <f t="shared" si="313"/>
        <v>0</v>
      </c>
      <c r="P417" s="53">
        <f t="shared" si="313"/>
        <v>0</v>
      </c>
      <c r="Q417" s="53">
        <f t="shared" si="313"/>
        <v>0</v>
      </c>
      <c r="R417" s="53">
        <f t="shared" si="313"/>
        <v>0</v>
      </c>
      <c r="S417" s="53">
        <f t="shared" si="313"/>
        <v>0</v>
      </c>
      <c r="T417" s="53">
        <f t="shared" si="313"/>
        <v>0</v>
      </c>
      <c r="U417" s="53">
        <f t="shared" si="313"/>
        <v>0</v>
      </c>
      <c r="V417" s="53">
        <f t="shared" si="313"/>
        <v>0</v>
      </c>
      <c r="W417" s="53">
        <f t="shared" si="313"/>
        <v>0</v>
      </c>
      <c r="X417" s="53">
        <f t="shared" si="313"/>
        <v>0</v>
      </c>
      <c r="Y417" s="53">
        <f t="shared" si="313"/>
        <v>0</v>
      </c>
      <c r="Z417" s="53">
        <f t="shared" si="313"/>
        <v>0</v>
      </c>
      <c r="AA417" s="53">
        <f t="shared" si="313"/>
        <v>0</v>
      </c>
      <c r="AB417" s="53">
        <f t="shared" si="313"/>
        <v>0</v>
      </c>
      <c r="AC417" s="53">
        <f t="shared" si="313"/>
        <v>0</v>
      </c>
      <c r="AD417" s="53">
        <f t="shared" si="313"/>
        <v>0</v>
      </c>
      <c r="AE417" s="53">
        <f t="shared" si="313"/>
        <v>0</v>
      </c>
      <c r="AF417" s="53">
        <f t="shared" si="313"/>
        <v>0</v>
      </c>
      <c r="AG417" s="53">
        <f t="shared" si="313"/>
        <v>0</v>
      </c>
      <c r="AH417" s="53">
        <f t="shared" si="313"/>
        <v>0</v>
      </c>
      <c r="AI417" s="53">
        <f t="shared" si="313"/>
        <v>0</v>
      </c>
      <c r="AJ417" s="53">
        <f t="shared" si="313"/>
        <v>0</v>
      </c>
      <c r="AK417" s="53">
        <f t="shared" si="313"/>
        <v>0</v>
      </c>
      <c r="AL417" s="53">
        <f t="shared" si="313"/>
        <v>0</v>
      </c>
      <c r="AM417" s="53">
        <f t="shared" si="313"/>
        <v>0</v>
      </c>
      <c r="AN417" s="53">
        <f t="shared" si="313"/>
        <v>0</v>
      </c>
      <c r="AO417" s="53">
        <f t="shared" si="313"/>
        <v>0</v>
      </c>
      <c r="AP417" s="53">
        <f t="shared" si="313"/>
        <v>0</v>
      </c>
      <c r="AQ417" s="53">
        <f t="shared" si="313"/>
        <v>0</v>
      </c>
      <c r="AR417" s="53">
        <f t="shared" si="313"/>
        <v>0</v>
      </c>
      <c r="AS417" s="53">
        <f t="shared" si="313"/>
        <v>0</v>
      </c>
      <c r="AT417" s="53">
        <f t="shared" si="313"/>
        <v>0</v>
      </c>
      <c r="AU417" s="53">
        <f t="shared" si="313"/>
        <v>0</v>
      </c>
      <c r="AV417" s="53">
        <f t="shared" si="313"/>
        <v>0</v>
      </c>
      <c r="AW417" s="53">
        <f t="shared" si="313"/>
        <v>0</v>
      </c>
      <c r="AX417" s="53">
        <f t="shared" si="313"/>
        <v>0</v>
      </c>
      <c r="AY417" s="53">
        <f t="shared" si="313"/>
        <v>0</v>
      </c>
      <c r="AZ417" s="53">
        <f t="shared" si="313"/>
        <v>0</v>
      </c>
      <c r="BA417" s="53">
        <f t="shared" si="313"/>
        <v>0</v>
      </c>
      <c r="BB417" s="53">
        <f t="shared" si="313"/>
        <v>0</v>
      </c>
      <c r="BC417" s="53">
        <f t="shared" si="313"/>
        <v>0</v>
      </c>
      <c r="BD417" s="53">
        <f t="shared" si="313"/>
        <v>0</v>
      </c>
      <c r="BE417" s="53">
        <f t="shared" si="313"/>
        <v>0</v>
      </c>
      <c r="BF417" s="53">
        <f t="shared" si="313"/>
        <v>0</v>
      </c>
      <c r="BG417" s="53">
        <f t="shared" si="313"/>
        <v>0</v>
      </c>
      <c r="BH417" s="53">
        <f t="shared" si="313"/>
        <v>0</v>
      </c>
      <c r="BI417" s="53">
        <f t="shared" si="313"/>
        <v>0</v>
      </c>
      <c r="BJ417" s="53">
        <f t="shared" si="313"/>
        <v>0</v>
      </c>
      <c r="BK417" s="53">
        <f t="shared" si="313"/>
        <v>0</v>
      </c>
      <c r="BL417" s="53">
        <f t="shared" si="313"/>
        <v>0</v>
      </c>
      <c r="BM417" s="53">
        <f t="shared" si="313"/>
        <v>0</v>
      </c>
      <c r="BN417" s="53">
        <f t="shared" si="313"/>
        <v>0</v>
      </c>
      <c r="BO417" s="53">
        <f t="shared" ref="BO417:CX417" si="314">IFERROR(IF(BO$262=0,0,(BO158-BO159)/BO159),0)</f>
        <v>0</v>
      </c>
      <c r="BP417" s="53">
        <f t="shared" si="314"/>
        <v>0</v>
      </c>
      <c r="BQ417" s="53">
        <f t="shared" si="314"/>
        <v>0</v>
      </c>
      <c r="BR417" s="53">
        <f t="shared" si="314"/>
        <v>0</v>
      </c>
      <c r="BS417" s="53">
        <f t="shared" si="314"/>
        <v>0</v>
      </c>
      <c r="BT417" s="53">
        <f t="shared" si="314"/>
        <v>0</v>
      </c>
      <c r="BU417" s="53">
        <f t="shared" si="314"/>
        <v>0</v>
      </c>
      <c r="BV417" s="53">
        <f t="shared" si="314"/>
        <v>0</v>
      </c>
      <c r="BW417" s="53">
        <f t="shared" si="314"/>
        <v>0</v>
      </c>
      <c r="BX417" s="53">
        <f t="shared" si="314"/>
        <v>0</v>
      </c>
      <c r="BY417" s="53">
        <f t="shared" si="314"/>
        <v>0</v>
      </c>
      <c r="BZ417" s="53">
        <f t="shared" si="314"/>
        <v>0</v>
      </c>
      <c r="CA417" s="53">
        <f t="shared" si="314"/>
        <v>0</v>
      </c>
      <c r="CB417" s="53">
        <f t="shared" si="314"/>
        <v>0</v>
      </c>
      <c r="CC417" s="53">
        <f t="shared" si="314"/>
        <v>0</v>
      </c>
      <c r="CD417" s="53">
        <f t="shared" si="314"/>
        <v>0</v>
      </c>
      <c r="CE417" s="53">
        <f t="shared" si="314"/>
        <v>0</v>
      </c>
      <c r="CF417" s="53">
        <f t="shared" si="314"/>
        <v>0</v>
      </c>
      <c r="CG417" s="53">
        <f t="shared" si="314"/>
        <v>0</v>
      </c>
      <c r="CH417" s="53">
        <f t="shared" si="314"/>
        <v>0</v>
      </c>
      <c r="CI417" s="53">
        <f t="shared" si="314"/>
        <v>0</v>
      </c>
      <c r="CJ417" s="53">
        <f t="shared" si="314"/>
        <v>0</v>
      </c>
      <c r="CK417" s="53">
        <f t="shared" si="314"/>
        <v>0</v>
      </c>
      <c r="CL417" s="53">
        <f t="shared" si="314"/>
        <v>0</v>
      </c>
      <c r="CM417" s="53">
        <f t="shared" si="314"/>
        <v>0</v>
      </c>
      <c r="CN417" s="53">
        <f t="shared" si="314"/>
        <v>0</v>
      </c>
      <c r="CO417" s="53">
        <f t="shared" si="314"/>
        <v>0</v>
      </c>
      <c r="CP417" s="53">
        <f t="shared" si="314"/>
        <v>0</v>
      </c>
      <c r="CQ417" s="53">
        <f t="shared" si="314"/>
        <v>0</v>
      </c>
      <c r="CR417" s="53">
        <f t="shared" si="314"/>
        <v>0</v>
      </c>
      <c r="CS417" s="53">
        <f t="shared" si="314"/>
        <v>0</v>
      </c>
      <c r="CT417" s="53">
        <f t="shared" si="314"/>
        <v>0</v>
      </c>
      <c r="CU417" s="53">
        <f t="shared" si="314"/>
        <v>0</v>
      </c>
      <c r="CV417" s="53">
        <f t="shared" si="314"/>
        <v>0</v>
      </c>
      <c r="CW417" s="53">
        <f t="shared" si="314"/>
        <v>0</v>
      </c>
      <c r="CX417" s="53">
        <f t="shared" si="314"/>
        <v>0</v>
      </c>
      <c r="DB417" s="2" vm="666">
        <f ca="1">IF(Returns!A421&lt;&gt;0,Returns!A421,"")</f>
        <v>43116</v>
      </c>
      <c r="DC417" s="11">
        <f ca="1">IF(Returns!B432&gt;0,Returns!B432/Returns!B431-1,"")</f>
        <v>-2.9094753133334317E-2</v>
      </c>
      <c r="DD417" s="11">
        <f ca="1">IF(Returns!D424&gt;0,Returns!D424/Returns!D423-1,"")</f>
        <v>-5.2116413702481101E-2</v>
      </c>
    </row>
    <row r="418" spans="2:108" x14ac:dyDescent="0.3">
      <c r="B418" s="57">
        <f t="shared" ca="1" si="264"/>
        <v>6.633032274357707E-4</v>
      </c>
      <c r="C418" s="53">
        <f t="shared" ref="C418:BN418" si="315">IFERROR(IF(C$262=0,0,(C159-C160)/C160),0)</f>
        <v>0</v>
      </c>
      <c r="D418" s="53">
        <f t="shared" si="315"/>
        <v>0</v>
      </c>
      <c r="E418" s="53">
        <f t="shared" si="315"/>
        <v>0</v>
      </c>
      <c r="F418" s="53">
        <f t="shared" si="315"/>
        <v>0</v>
      </c>
      <c r="G418" s="53">
        <f t="shared" si="315"/>
        <v>0</v>
      </c>
      <c r="H418" s="53">
        <f t="shared" si="315"/>
        <v>0</v>
      </c>
      <c r="I418" s="53">
        <f t="shared" si="315"/>
        <v>0</v>
      </c>
      <c r="J418" s="53">
        <f t="shared" si="315"/>
        <v>0</v>
      </c>
      <c r="K418" s="53">
        <f t="shared" si="315"/>
        <v>0</v>
      </c>
      <c r="L418" s="53">
        <f t="shared" si="315"/>
        <v>0</v>
      </c>
      <c r="M418" s="53">
        <f t="shared" si="315"/>
        <v>0</v>
      </c>
      <c r="N418" s="53">
        <f t="shared" si="315"/>
        <v>0</v>
      </c>
      <c r="O418" s="53">
        <f t="shared" si="315"/>
        <v>0</v>
      </c>
      <c r="P418" s="53">
        <f t="shared" si="315"/>
        <v>0</v>
      </c>
      <c r="Q418" s="53">
        <f t="shared" si="315"/>
        <v>0</v>
      </c>
      <c r="R418" s="53">
        <f t="shared" si="315"/>
        <v>0</v>
      </c>
      <c r="S418" s="53">
        <f t="shared" si="315"/>
        <v>0</v>
      </c>
      <c r="T418" s="53">
        <f t="shared" si="315"/>
        <v>0</v>
      </c>
      <c r="U418" s="53">
        <f t="shared" si="315"/>
        <v>0</v>
      </c>
      <c r="V418" s="53">
        <f t="shared" si="315"/>
        <v>0</v>
      </c>
      <c r="W418" s="53">
        <f t="shared" si="315"/>
        <v>0</v>
      </c>
      <c r="X418" s="53">
        <f t="shared" si="315"/>
        <v>0</v>
      </c>
      <c r="Y418" s="53">
        <f t="shared" si="315"/>
        <v>0</v>
      </c>
      <c r="Z418" s="53">
        <f t="shared" si="315"/>
        <v>0</v>
      </c>
      <c r="AA418" s="53">
        <f t="shared" si="315"/>
        <v>0</v>
      </c>
      <c r="AB418" s="53">
        <f t="shared" si="315"/>
        <v>0</v>
      </c>
      <c r="AC418" s="53">
        <f t="shared" si="315"/>
        <v>0</v>
      </c>
      <c r="AD418" s="53">
        <f t="shared" si="315"/>
        <v>0</v>
      </c>
      <c r="AE418" s="53">
        <f t="shared" si="315"/>
        <v>0</v>
      </c>
      <c r="AF418" s="53">
        <f t="shared" si="315"/>
        <v>0</v>
      </c>
      <c r="AG418" s="53">
        <f t="shared" si="315"/>
        <v>0</v>
      </c>
      <c r="AH418" s="53">
        <f t="shared" si="315"/>
        <v>0</v>
      </c>
      <c r="AI418" s="53">
        <f t="shared" si="315"/>
        <v>0</v>
      </c>
      <c r="AJ418" s="53">
        <f t="shared" si="315"/>
        <v>0</v>
      </c>
      <c r="AK418" s="53">
        <f t="shared" si="315"/>
        <v>0</v>
      </c>
      <c r="AL418" s="53">
        <f t="shared" si="315"/>
        <v>0</v>
      </c>
      <c r="AM418" s="53">
        <f t="shared" si="315"/>
        <v>0</v>
      </c>
      <c r="AN418" s="53">
        <f t="shared" si="315"/>
        <v>0</v>
      </c>
      <c r="AO418" s="53">
        <f t="shared" si="315"/>
        <v>0</v>
      </c>
      <c r="AP418" s="53">
        <f t="shared" si="315"/>
        <v>0</v>
      </c>
      <c r="AQ418" s="53">
        <f t="shared" si="315"/>
        <v>0</v>
      </c>
      <c r="AR418" s="53">
        <f t="shared" si="315"/>
        <v>0</v>
      </c>
      <c r="AS418" s="53">
        <f t="shared" si="315"/>
        <v>0</v>
      </c>
      <c r="AT418" s="53">
        <f t="shared" si="315"/>
        <v>0</v>
      </c>
      <c r="AU418" s="53">
        <f t="shared" si="315"/>
        <v>0</v>
      </c>
      <c r="AV418" s="53">
        <f t="shared" si="315"/>
        <v>0</v>
      </c>
      <c r="AW418" s="53">
        <f t="shared" si="315"/>
        <v>0</v>
      </c>
      <c r="AX418" s="53">
        <f t="shared" si="315"/>
        <v>0</v>
      </c>
      <c r="AY418" s="53">
        <f t="shared" si="315"/>
        <v>0</v>
      </c>
      <c r="AZ418" s="53">
        <f t="shared" si="315"/>
        <v>0</v>
      </c>
      <c r="BA418" s="53">
        <f t="shared" si="315"/>
        <v>0</v>
      </c>
      <c r="BB418" s="53">
        <f t="shared" si="315"/>
        <v>0</v>
      </c>
      <c r="BC418" s="53">
        <f t="shared" si="315"/>
        <v>0</v>
      </c>
      <c r="BD418" s="53">
        <f t="shared" si="315"/>
        <v>0</v>
      </c>
      <c r="BE418" s="53">
        <f t="shared" si="315"/>
        <v>0</v>
      </c>
      <c r="BF418" s="53">
        <f t="shared" si="315"/>
        <v>0</v>
      </c>
      <c r="BG418" s="53">
        <f t="shared" si="315"/>
        <v>0</v>
      </c>
      <c r="BH418" s="53">
        <f t="shared" si="315"/>
        <v>0</v>
      </c>
      <c r="BI418" s="53">
        <f t="shared" si="315"/>
        <v>0</v>
      </c>
      <c r="BJ418" s="53">
        <f t="shared" si="315"/>
        <v>0</v>
      </c>
      <c r="BK418" s="53">
        <f t="shared" si="315"/>
        <v>0</v>
      </c>
      <c r="BL418" s="53">
        <f t="shared" si="315"/>
        <v>0</v>
      </c>
      <c r="BM418" s="53">
        <f t="shared" si="315"/>
        <v>0</v>
      </c>
      <c r="BN418" s="53">
        <f t="shared" si="315"/>
        <v>0</v>
      </c>
      <c r="BO418" s="53">
        <f t="shared" ref="BO418:CX418" si="316">IFERROR(IF(BO$262=0,0,(BO159-BO160)/BO160),0)</f>
        <v>0</v>
      </c>
      <c r="BP418" s="53">
        <f t="shared" si="316"/>
        <v>0</v>
      </c>
      <c r="BQ418" s="53">
        <f t="shared" si="316"/>
        <v>0</v>
      </c>
      <c r="BR418" s="53">
        <f t="shared" si="316"/>
        <v>0</v>
      </c>
      <c r="BS418" s="53">
        <f t="shared" si="316"/>
        <v>0</v>
      </c>
      <c r="BT418" s="53">
        <f t="shared" si="316"/>
        <v>0</v>
      </c>
      <c r="BU418" s="53">
        <f t="shared" si="316"/>
        <v>0</v>
      </c>
      <c r="BV418" s="53">
        <f t="shared" si="316"/>
        <v>0</v>
      </c>
      <c r="BW418" s="53">
        <f t="shared" si="316"/>
        <v>0</v>
      </c>
      <c r="BX418" s="53">
        <f t="shared" si="316"/>
        <v>0</v>
      </c>
      <c r="BY418" s="53">
        <f t="shared" si="316"/>
        <v>0</v>
      </c>
      <c r="BZ418" s="53">
        <f t="shared" si="316"/>
        <v>0</v>
      </c>
      <c r="CA418" s="53">
        <f t="shared" si="316"/>
        <v>0</v>
      </c>
      <c r="CB418" s="53">
        <f t="shared" si="316"/>
        <v>0</v>
      </c>
      <c r="CC418" s="53">
        <f t="shared" si="316"/>
        <v>0</v>
      </c>
      <c r="CD418" s="53">
        <f t="shared" si="316"/>
        <v>0</v>
      </c>
      <c r="CE418" s="53">
        <f t="shared" si="316"/>
        <v>0</v>
      </c>
      <c r="CF418" s="53">
        <f t="shared" si="316"/>
        <v>0</v>
      </c>
      <c r="CG418" s="53">
        <f t="shared" si="316"/>
        <v>0</v>
      </c>
      <c r="CH418" s="53">
        <f t="shared" si="316"/>
        <v>0</v>
      </c>
      <c r="CI418" s="53">
        <f t="shared" si="316"/>
        <v>0</v>
      </c>
      <c r="CJ418" s="53">
        <f t="shared" si="316"/>
        <v>0</v>
      </c>
      <c r="CK418" s="53">
        <f t="shared" si="316"/>
        <v>0</v>
      </c>
      <c r="CL418" s="53">
        <f t="shared" si="316"/>
        <v>0</v>
      </c>
      <c r="CM418" s="53">
        <f t="shared" si="316"/>
        <v>0</v>
      </c>
      <c r="CN418" s="53">
        <f t="shared" si="316"/>
        <v>0</v>
      </c>
      <c r="CO418" s="53">
        <f t="shared" si="316"/>
        <v>0</v>
      </c>
      <c r="CP418" s="53">
        <f t="shared" si="316"/>
        <v>0</v>
      </c>
      <c r="CQ418" s="53">
        <f t="shared" si="316"/>
        <v>0</v>
      </c>
      <c r="CR418" s="53">
        <f t="shared" si="316"/>
        <v>0</v>
      </c>
      <c r="CS418" s="53">
        <f t="shared" si="316"/>
        <v>0</v>
      </c>
      <c r="CT418" s="53">
        <f t="shared" si="316"/>
        <v>0</v>
      </c>
      <c r="CU418" s="53">
        <f t="shared" si="316"/>
        <v>0</v>
      </c>
      <c r="CV418" s="53">
        <f t="shared" si="316"/>
        <v>0</v>
      </c>
      <c r="CW418" s="53">
        <f t="shared" si="316"/>
        <v>0</v>
      </c>
      <c r="CX418" s="53">
        <f t="shared" si="316"/>
        <v>0</v>
      </c>
      <c r="DB418" s="2" vm="667">
        <f ca="1">IF(Returns!A422&lt;&gt;0,Returns!A422,"")</f>
        <v>43122</v>
      </c>
      <c r="DC418" s="11">
        <f ca="1">IF(Returns!B433&gt;0,Returns!B433/Returns!B432-1,"")</f>
        <v>1.8189193228154821E-2</v>
      </c>
      <c r="DD418" s="11">
        <f ca="1">IF(Returns!D425&gt;0,Returns!D425/Returns!D424-1,"")</f>
        <v>4.2515099615714647E-2</v>
      </c>
    </row>
    <row r="419" spans="2:108" x14ac:dyDescent="0.3">
      <c r="B419" s="57">
        <f t="shared" ca="1" si="264"/>
        <v>2.6381525380650964E-4</v>
      </c>
      <c r="C419" s="53">
        <f t="shared" ref="C419:BN419" si="317">IFERROR(IF(C$262=0,0,(C160-C161)/C161),0)</f>
        <v>0</v>
      </c>
      <c r="D419" s="53">
        <f t="shared" si="317"/>
        <v>0</v>
      </c>
      <c r="E419" s="53">
        <f t="shared" si="317"/>
        <v>0</v>
      </c>
      <c r="F419" s="53">
        <f t="shared" si="317"/>
        <v>0</v>
      </c>
      <c r="G419" s="53">
        <f t="shared" si="317"/>
        <v>0</v>
      </c>
      <c r="H419" s="53">
        <f t="shared" si="317"/>
        <v>0</v>
      </c>
      <c r="I419" s="53">
        <f t="shared" si="317"/>
        <v>0</v>
      </c>
      <c r="J419" s="53">
        <f t="shared" si="317"/>
        <v>0</v>
      </c>
      <c r="K419" s="53">
        <f t="shared" si="317"/>
        <v>0</v>
      </c>
      <c r="L419" s="53">
        <f t="shared" si="317"/>
        <v>0</v>
      </c>
      <c r="M419" s="53">
        <f t="shared" si="317"/>
        <v>0</v>
      </c>
      <c r="N419" s="53">
        <f t="shared" si="317"/>
        <v>0</v>
      </c>
      <c r="O419" s="53">
        <f t="shared" si="317"/>
        <v>0</v>
      </c>
      <c r="P419" s="53">
        <f t="shared" si="317"/>
        <v>0</v>
      </c>
      <c r="Q419" s="53">
        <f t="shared" si="317"/>
        <v>0</v>
      </c>
      <c r="R419" s="53">
        <f t="shared" si="317"/>
        <v>0</v>
      </c>
      <c r="S419" s="53">
        <f t="shared" si="317"/>
        <v>0</v>
      </c>
      <c r="T419" s="53">
        <f t="shared" si="317"/>
        <v>0</v>
      </c>
      <c r="U419" s="53">
        <f t="shared" si="317"/>
        <v>0</v>
      </c>
      <c r="V419" s="53">
        <f t="shared" si="317"/>
        <v>0</v>
      </c>
      <c r="W419" s="53">
        <f t="shared" si="317"/>
        <v>0</v>
      </c>
      <c r="X419" s="53">
        <f t="shared" si="317"/>
        <v>0</v>
      </c>
      <c r="Y419" s="53">
        <f t="shared" si="317"/>
        <v>0</v>
      </c>
      <c r="Z419" s="53">
        <f t="shared" si="317"/>
        <v>0</v>
      </c>
      <c r="AA419" s="53">
        <f t="shared" si="317"/>
        <v>0</v>
      </c>
      <c r="AB419" s="53">
        <f t="shared" si="317"/>
        <v>0</v>
      </c>
      <c r="AC419" s="53">
        <f t="shared" si="317"/>
        <v>0</v>
      </c>
      <c r="AD419" s="53">
        <f t="shared" si="317"/>
        <v>0</v>
      </c>
      <c r="AE419" s="53">
        <f t="shared" si="317"/>
        <v>0</v>
      </c>
      <c r="AF419" s="53">
        <f t="shared" si="317"/>
        <v>0</v>
      </c>
      <c r="AG419" s="53">
        <f t="shared" si="317"/>
        <v>0</v>
      </c>
      <c r="AH419" s="53">
        <f t="shared" si="317"/>
        <v>0</v>
      </c>
      <c r="AI419" s="53">
        <f t="shared" si="317"/>
        <v>0</v>
      </c>
      <c r="AJ419" s="53">
        <f t="shared" si="317"/>
        <v>0</v>
      </c>
      <c r="AK419" s="53">
        <f t="shared" si="317"/>
        <v>0</v>
      </c>
      <c r="AL419" s="53">
        <f t="shared" si="317"/>
        <v>0</v>
      </c>
      <c r="AM419" s="53">
        <f t="shared" si="317"/>
        <v>0</v>
      </c>
      <c r="AN419" s="53">
        <f t="shared" si="317"/>
        <v>0</v>
      </c>
      <c r="AO419" s="53">
        <f t="shared" si="317"/>
        <v>0</v>
      </c>
      <c r="AP419" s="53">
        <f t="shared" si="317"/>
        <v>0</v>
      </c>
      <c r="AQ419" s="53">
        <f t="shared" si="317"/>
        <v>0</v>
      </c>
      <c r="AR419" s="53">
        <f t="shared" si="317"/>
        <v>0</v>
      </c>
      <c r="AS419" s="53">
        <f t="shared" si="317"/>
        <v>0</v>
      </c>
      <c r="AT419" s="53">
        <f t="shared" si="317"/>
        <v>0</v>
      </c>
      <c r="AU419" s="53">
        <f t="shared" si="317"/>
        <v>0</v>
      </c>
      <c r="AV419" s="53">
        <f t="shared" si="317"/>
        <v>0</v>
      </c>
      <c r="AW419" s="53">
        <f t="shared" si="317"/>
        <v>0</v>
      </c>
      <c r="AX419" s="53">
        <f t="shared" si="317"/>
        <v>0</v>
      </c>
      <c r="AY419" s="53">
        <f t="shared" si="317"/>
        <v>0</v>
      </c>
      <c r="AZ419" s="53">
        <f t="shared" si="317"/>
        <v>0</v>
      </c>
      <c r="BA419" s="53">
        <f t="shared" si="317"/>
        <v>0</v>
      </c>
      <c r="BB419" s="53">
        <f t="shared" si="317"/>
        <v>0</v>
      </c>
      <c r="BC419" s="53">
        <f t="shared" si="317"/>
        <v>0</v>
      </c>
      <c r="BD419" s="53">
        <f t="shared" si="317"/>
        <v>0</v>
      </c>
      <c r="BE419" s="53">
        <f t="shared" si="317"/>
        <v>0</v>
      </c>
      <c r="BF419" s="53">
        <f t="shared" si="317"/>
        <v>0</v>
      </c>
      <c r="BG419" s="53">
        <f t="shared" si="317"/>
        <v>0</v>
      </c>
      <c r="BH419" s="53">
        <f t="shared" si="317"/>
        <v>0</v>
      </c>
      <c r="BI419" s="53">
        <f t="shared" si="317"/>
        <v>0</v>
      </c>
      <c r="BJ419" s="53">
        <f t="shared" si="317"/>
        <v>0</v>
      </c>
      <c r="BK419" s="53">
        <f t="shared" si="317"/>
        <v>0</v>
      </c>
      <c r="BL419" s="53">
        <f t="shared" si="317"/>
        <v>0</v>
      </c>
      <c r="BM419" s="53">
        <f t="shared" si="317"/>
        <v>0</v>
      </c>
      <c r="BN419" s="53">
        <f t="shared" si="317"/>
        <v>0</v>
      </c>
      <c r="BO419" s="53">
        <f t="shared" ref="BO419:CX419" si="318">IFERROR(IF(BO$262=0,0,(BO160-BO161)/BO161),0)</f>
        <v>0</v>
      </c>
      <c r="BP419" s="53">
        <f t="shared" si="318"/>
        <v>0</v>
      </c>
      <c r="BQ419" s="53">
        <f t="shared" si="318"/>
        <v>0</v>
      </c>
      <c r="BR419" s="53">
        <f t="shared" si="318"/>
        <v>0</v>
      </c>
      <c r="BS419" s="53">
        <f t="shared" si="318"/>
        <v>0</v>
      </c>
      <c r="BT419" s="53">
        <f t="shared" si="318"/>
        <v>0</v>
      </c>
      <c r="BU419" s="53">
        <f t="shared" si="318"/>
        <v>0</v>
      </c>
      <c r="BV419" s="53">
        <f t="shared" si="318"/>
        <v>0</v>
      </c>
      <c r="BW419" s="53">
        <f t="shared" si="318"/>
        <v>0</v>
      </c>
      <c r="BX419" s="53">
        <f t="shared" si="318"/>
        <v>0</v>
      </c>
      <c r="BY419" s="53">
        <f t="shared" si="318"/>
        <v>0</v>
      </c>
      <c r="BZ419" s="53">
        <f t="shared" si="318"/>
        <v>0</v>
      </c>
      <c r="CA419" s="53">
        <f t="shared" si="318"/>
        <v>0</v>
      </c>
      <c r="CB419" s="53">
        <f t="shared" si="318"/>
        <v>0</v>
      </c>
      <c r="CC419" s="53">
        <f t="shared" si="318"/>
        <v>0</v>
      </c>
      <c r="CD419" s="53">
        <f t="shared" si="318"/>
        <v>0</v>
      </c>
      <c r="CE419" s="53">
        <f t="shared" si="318"/>
        <v>0</v>
      </c>
      <c r="CF419" s="53">
        <f t="shared" si="318"/>
        <v>0</v>
      </c>
      <c r="CG419" s="53">
        <f t="shared" si="318"/>
        <v>0</v>
      </c>
      <c r="CH419" s="53">
        <f t="shared" si="318"/>
        <v>0</v>
      </c>
      <c r="CI419" s="53">
        <f t="shared" si="318"/>
        <v>0</v>
      </c>
      <c r="CJ419" s="53">
        <f t="shared" si="318"/>
        <v>0</v>
      </c>
      <c r="CK419" s="53">
        <f t="shared" si="318"/>
        <v>0</v>
      </c>
      <c r="CL419" s="53">
        <f t="shared" si="318"/>
        <v>0</v>
      </c>
      <c r="CM419" s="53">
        <f t="shared" si="318"/>
        <v>0</v>
      </c>
      <c r="CN419" s="53">
        <f t="shared" si="318"/>
        <v>0</v>
      </c>
      <c r="CO419" s="53">
        <f t="shared" si="318"/>
        <v>0</v>
      </c>
      <c r="CP419" s="53">
        <f t="shared" si="318"/>
        <v>0</v>
      </c>
      <c r="CQ419" s="53">
        <f t="shared" si="318"/>
        <v>0</v>
      </c>
      <c r="CR419" s="53">
        <f t="shared" si="318"/>
        <v>0</v>
      </c>
      <c r="CS419" s="53">
        <f t="shared" si="318"/>
        <v>0</v>
      </c>
      <c r="CT419" s="53">
        <f t="shared" si="318"/>
        <v>0</v>
      </c>
      <c r="CU419" s="53">
        <f t="shared" si="318"/>
        <v>0</v>
      </c>
      <c r="CV419" s="53">
        <f t="shared" si="318"/>
        <v>0</v>
      </c>
      <c r="CW419" s="53">
        <f t="shared" si="318"/>
        <v>0</v>
      </c>
      <c r="CX419" s="53">
        <f t="shared" si="318"/>
        <v>0</v>
      </c>
      <c r="DB419" s="2" vm="668">
        <f ca="1">IF(Returns!A423&lt;&gt;0,Returns!A423,"")</f>
        <v>43129</v>
      </c>
      <c r="DC419" s="11">
        <f ca="1">IF(Returns!B434&gt;0,Returns!B434/Returns!B433-1,"")</f>
        <v>6.7585040432208698E-2</v>
      </c>
      <c r="DD419" s="11">
        <f ca="1">IF(Returns!D426&gt;0,Returns!D426/Returns!D425-1,"")</f>
        <v>3.5929716023301861E-3</v>
      </c>
    </row>
    <row r="420" spans="2:108" x14ac:dyDescent="0.3">
      <c r="B420" s="57">
        <f t="shared" ca="1" si="264"/>
        <v>1.4906108889366318E-3</v>
      </c>
      <c r="C420" s="53">
        <f t="shared" ref="C420:BN420" si="319">IFERROR(IF(C$262=0,0,(C161-C162)/C162),0)</f>
        <v>0</v>
      </c>
      <c r="D420" s="53">
        <f t="shared" si="319"/>
        <v>0</v>
      </c>
      <c r="E420" s="53">
        <f t="shared" si="319"/>
        <v>0</v>
      </c>
      <c r="F420" s="53">
        <f t="shared" si="319"/>
        <v>0</v>
      </c>
      <c r="G420" s="53">
        <f t="shared" si="319"/>
        <v>0</v>
      </c>
      <c r="H420" s="53">
        <f t="shared" si="319"/>
        <v>0</v>
      </c>
      <c r="I420" s="53">
        <f t="shared" si="319"/>
        <v>0</v>
      </c>
      <c r="J420" s="53">
        <f t="shared" si="319"/>
        <v>0</v>
      </c>
      <c r="K420" s="53">
        <f t="shared" si="319"/>
        <v>0</v>
      </c>
      <c r="L420" s="53">
        <f t="shared" si="319"/>
        <v>0</v>
      </c>
      <c r="M420" s="53">
        <f t="shared" si="319"/>
        <v>0</v>
      </c>
      <c r="N420" s="53">
        <f t="shared" si="319"/>
        <v>0</v>
      </c>
      <c r="O420" s="53">
        <f t="shared" si="319"/>
        <v>0</v>
      </c>
      <c r="P420" s="53">
        <f t="shared" si="319"/>
        <v>0</v>
      </c>
      <c r="Q420" s="53">
        <f t="shared" si="319"/>
        <v>0</v>
      </c>
      <c r="R420" s="53">
        <f t="shared" si="319"/>
        <v>0</v>
      </c>
      <c r="S420" s="53">
        <f t="shared" si="319"/>
        <v>0</v>
      </c>
      <c r="T420" s="53">
        <f t="shared" si="319"/>
        <v>0</v>
      </c>
      <c r="U420" s="53">
        <f t="shared" si="319"/>
        <v>0</v>
      </c>
      <c r="V420" s="53">
        <f t="shared" si="319"/>
        <v>0</v>
      </c>
      <c r="W420" s="53">
        <f t="shared" si="319"/>
        <v>0</v>
      </c>
      <c r="X420" s="53">
        <f t="shared" si="319"/>
        <v>0</v>
      </c>
      <c r="Y420" s="53">
        <f t="shared" si="319"/>
        <v>0</v>
      </c>
      <c r="Z420" s="53">
        <f t="shared" si="319"/>
        <v>0</v>
      </c>
      <c r="AA420" s="53">
        <f t="shared" si="319"/>
        <v>0</v>
      </c>
      <c r="AB420" s="53">
        <f t="shared" si="319"/>
        <v>0</v>
      </c>
      <c r="AC420" s="53">
        <f t="shared" si="319"/>
        <v>0</v>
      </c>
      <c r="AD420" s="53">
        <f t="shared" si="319"/>
        <v>0</v>
      </c>
      <c r="AE420" s="53">
        <f t="shared" si="319"/>
        <v>0</v>
      </c>
      <c r="AF420" s="53">
        <f t="shared" si="319"/>
        <v>0</v>
      </c>
      <c r="AG420" s="53">
        <f t="shared" si="319"/>
        <v>0</v>
      </c>
      <c r="AH420" s="53">
        <f t="shared" si="319"/>
        <v>0</v>
      </c>
      <c r="AI420" s="53">
        <f t="shared" si="319"/>
        <v>0</v>
      </c>
      <c r="AJ420" s="53">
        <f t="shared" si="319"/>
        <v>0</v>
      </c>
      <c r="AK420" s="53">
        <f t="shared" si="319"/>
        <v>0</v>
      </c>
      <c r="AL420" s="53">
        <f t="shared" si="319"/>
        <v>0</v>
      </c>
      <c r="AM420" s="53">
        <f t="shared" si="319"/>
        <v>0</v>
      </c>
      <c r="AN420" s="53">
        <f t="shared" si="319"/>
        <v>0</v>
      </c>
      <c r="AO420" s="53">
        <f t="shared" si="319"/>
        <v>0</v>
      </c>
      <c r="AP420" s="53">
        <f t="shared" si="319"/>
        <v>0</v>
      </c>
      <c r="AQ420" s="53">
        <f t="shared" si="319"/>
        <v>0</v>
      </c>
      <c r="AR420" s="53">
        <f t="shared" si="319"/>
        <v>0</v>
      </c>
      <c r="AS420" s="53">
        <f t="shared" si="319"/>
        <v>0</v>
      </c>
      <c r="AT420" s="53">
        <f t="shared" si="319"/>
        <v>0</v>
      </c>
      <c r="AU420" s="53">
        <f t="shared" si="319"/>
        <v>0</v>
      </c>
      <c r="AV420" s="53">
        <f t="shared" si="319"/>
        <v>0</v>
      </c>
      <c r="AW420" s="53">
        <f t="shared" si="319"/>
        <v>0</v>
      </c>
      <c r="AX420" s="53">
        <f t="shared" si="319"/>
        <v>0</v>
      </c>
      <c r="AY420" s="53">
        <f t="shared" si="319"/>
        <v>0</v>
      </c>
      <c r="AZ420" s="53">
        <f t="shared" si="319"/>
        <v>0</v>
      </c>
      <c r="BA420" s="53">
        <f t="shared" si="319"/>
        <v>0</v>
      </c>
      <c r="BB420" s="53">
        <f t="shared" si="319"/>
        <v>0</v>
      </c>
      <c r="BC420" s="53">
        <f t="shared" si="319"/>
        <v>0</v>
      </c>
      <c r="BD420" s="53">
        <f t="shared" si="319"/>
        <v>0</v>
      </c>
      <c r="BE420" s="53">
        <f t="shared" si="319"/>
        <v>0</v>
      </c>
      <c r="BF420" s="53">
        <f t="shared" si="319"/>
        <v>0</v>
      </c>
      <c r="BG420" s="53">
        <f t="shared" si="319"/>
        <v>0</v>
      </c>
      <c r="BH420" s="53">
        <f t="shared" si="319"/>
        <v>0</v>
      </c>
      <c r="BI420" s="53">
        <f t="shared" si="319"/>
        <v>0</v>
      </c>
      <c r="BJ420" s="53">
        <f t="shared" si="319"/>
        <v>0</v>
      </c>
      <c r="BK420" s="53">
        <f t="shared" si="319"/>
        <v>0</v>
      </c>
      <c r="BL420" s="53">
        <f t="shared" si="319"/>
        <v>0</v>
      </c>
      <c r="BM420" s="53">
        <f t="shared" si="319"/>
        <v>0</v>
      </c>
      <c r="BN420" s="53">
        <f t="shared" si="319"/>
        <v>0</v>
      </c>
      <c r="BO420" s="53">
        <f t="shared" ref="BO420:CX420" si="320">IFERROR(IF(BO$262=0,0,(BO161-BO162)/BO162),0)</f>
        <v>0</v>
      </c>
      <c r="BP420" s="53">
        <f t="shared" si="320"/>
        <v>0</v>
      </c>
      <c r="BQ420" s="53">
        <f t="shared" si="320"/>
        <v>0</v>
      </c>
      <c r="BR420" s="53">
        <f t="shared" si="320"/>
        <v>0</v>
      </c>
      <c r="BS420" s="53">
        <f t="shared" si="320"/>
        <v>0</v>
      </c>
      <c r="BT420" s="53">
        <f t="shared" si="320"/>
        <v>0</v>
      </c>
      <c r="BU420" s="53">
        <f t="shared" si="320"/>
        <v>0</v>
      </c>
      <c r="BV420" s="53">
        <f t="shared" si="320"/>
        <v>0</v>
      </c>
      <c r="BW420" s="53">
        <f t="shared" si="320"/>
        <v>0</v>
      </c>
      <c r="BX420" s="53">
        <f t="shared" si="320"/>
        <v>0</v>
      </c>
      <c r="BY420" s="53">
        <f t="shared" si="320"/>
        <v>0</v>
      </c>
      <c r="BZ420" s="53">
        <f t="shared" si="320"/>
        <v>0</v>
      </c>
      <c r="CA420" s="53">
        <f t="shared" si="320"/>
        <v>0</v>
      </c>
      <c r="CB420" s="53">
        <f t="shared" si="320"/>
        <v>0</v>
      </c>
      <c r="CC420" s="53">
        <f t="shared" si="320"/>
        <v>0</v>
      </c>
      <c r="CD420" s="53">
        <f t="shared" si="320"/>
        <v>0</v>
      </c>
      <c r="CE420" s="53">
        <f t="shared" si="320"/>
        <v>0</v>
      </c>
      <c r="CF420" s="53">
        <f t="shared" si="320"/>
        <v>0</v>
      </c>
      <c r="CG420" s="53">
        <f t="shared" si="320"/>
        <v>0</v>
      </c>
      <c r="CH420" s="53">
        <f t="shared" si="320"/>
        <v>0</v>
      </c>
      <c r="CI420" s="53">
        <f t="shared" si="320"/>
        <v>0</v>
      </c>
      <c r="CJ420" s="53">
        <f t="shared" si="320"/>
        <v>0</v>
      </c>
      <c r="CK420" s="53">
        <f t="shared" si="320"/>
        <v>0</v>
      </c>
      <c r="CL420" s="53">
        <f t="shared" si="320"/>
        <v>0</v>
      </c>
      <c r="CM420" s="53">
        <f t="shared" si="320"/>
        <v>0</v>
      </c>
      <c r="CN420" s="53">
        <f t="shared" si="320"/>
        <v>0</v>
      </c>
      <c r="CO420" s="53">
        <f t="shared" si="320"/>
        <v>0</v>
      </c>
      <c r="CP420" s="53">
        <f t="shared" si="320"/>
        <v>0</v>
      </c>
      <c r="CQ420" s="53">
        <f t="shared" si="320"/>
        <v>0</v>
      </c>
      <c r="CR420" s="53">
        <f t="shared" si="320"/>
        <v>0</v>
      </c>
      <c r="CS420" s="53">
        <f t="shared" si="320"/>
        <v>0</v>
      </c>
      <c r="CT420" s="53">
        <f t="shared" si="320"/>
        <v>0</v>
      </c>
      <c r="CU420" s="53">
        <f t="shared" si="320"/>
        <v>0</v>
      </c>
      <c r="CV420" s="53">
        <f t="shared" si="320"/>
        <v>0</v>
      </c>
      <c r="CW420" s="53">
        <f t="shared" si="320"/>
        <v>0</v>
      </c>
      <c r="CX420" s="53">
        <f t="shared" si="320"/>
        <v>0</v>
      </c>
      <c r="DB420" s="2" vm="669">
        <f ca="1">IF(Returns!A424&lt;&gt;0,Returns!A424,"")</f>
        <v>43136</v>
      </c>
      <c r="DC420" s="11">
        <f ca="1">IF(Returns!B435&gt;0,Returns!B435/Returns!B434-1,"")</f>
        <v>2.9545201605247762E-2</v>
      </c>
      <c r="DD420" s="11">
        <f ca="1">IF(Returns!D427&gt;0,Returns!D427/Returns!D426-1,"")</f>
        <v>-3.0498904227058588E-2</v>
      </c>
    </row>
    <row r="421" spans="2:108" x14ac:dyDescent="0.3">
      <c r="B421" s="57">
        <f t="shared" ca="1" si="264"/>
        <v>5.7014898856672645E-4</v>
      </c>
      <c r="C421" s="53">
        <f t="shared" ref="C421:BN421" si="321">IFERROR(IF(C$262=0,0,(C162-C163)/C163),0)</f>
        <v>0</v>
      </c>
      <c r="D421" s="53">
        <f t="shared" si="321"/>
        <v>0</v>
      </c>
      <c r="E421" s="53">
        <f t="shared" si="321"/>
        <v>0</v>
      </c>
      <c r="F421" s="53">
        <f t="shared" si="321"/>
        <v>0</v>
      </c>
      <c r="G421" s="53">
        <f t="shared" si="321"/>
        <v>0</v>
      </c>
      <c r="H421" s="53">
        <f t="shared" si="321"/>
        <v>0</v>
      </c>
      <c r="I421" s="53">
        <f t="shared" si="321"/>
        <v>0</v>
      </c>
      <c r="J421" s="53">
        <f t="shared" si="321"/>
        <v>0</v>
      </c>
      <c r="K421" s="53">
        <f t="shared" si="321"/>
        <v>0</v>
      </c>
      <c r="L421" s="53">
        <f t="shared" si="321"/>
        <v>0</v>
      </c>
      <c r="M421" s="53">
        <f t="shared" si="321"/>
        <v>0</v>
      </c>
      <c r="N421" s="53">
        <f t="shared" si="321"/>
        <v>0</v>
      </c>
      <c r="O421" s="53">
        <f t="shared" si="321"/>
        <v>0</v>
      </c>
      <c r="P421" s="53">
        <f t="shared" si="321"/>
        <v>0</v>
      </c>
      <c r="Q421" s="53">
        <f t="shared" si="321"/>
        <v>0</v>
      </c>
      <c r="R421" s="53">
        <f t="shared" si="321"/>
        <v>0</v>
      </c>
      <c r="S421" s="53">
        <f t="shared" si="321"/>
        <v>0</v>
      </c>
      <c r="T421" s="53">
        <f t="shared" si="321"/>
        <v>0</v>
      </c>
      <c r="U421" s="53">
        <f t="shared" si="321"/>
        <v>0</v>
      </c>
      <c r="V421" s="53">
        <f t="shared" si="321"/>
        <v>0</v>
      </c>
      <c r="W421" s="53">
        <f t="shared" si="321"/>
        <v>0</v>
      </c>
      <c r="X421" s="53">
        <f t="shared" si="321"/>
        <v>0</v>
      </c>
      <c r="Y421" s="53">
        <f t="shared" si="321"/>
        <v>0</v>
      </c>
      <c r="Z421" s="53">
        <f t="shared" si="321"/>
        <v>0</v>
      </c>
      <c r="AA421" s="53">
        <f t="shared" si="321"/>
        <v>0</v>
      </c>
      <c r="AB421" s="53">
        <f t="shared" si="321"/>
        <v>0</v>
      </c>
      <c r="AC421" s="53">
        <f t="shared" si="321"/>
        <v>0</v>
      </c>
      <c r="AD421" s="53">
        <f t="shared" si="321"/>
        <v>0</v>
      </c>
      <c r="AE421" s="53">
        <f t="shared" si="321"/>
        <v>0</v>
      </c>
      <c r="AF421" s="53">
        <f t="shared" si="321"/>
        <v>0</v>
      </c>
      <c r="AG421" s="53">
        <f t="shared" si="321"/>
        <v>0</v>
      </c>
      <c r="AH421" s="53">
        <f t="shared" si="321"/>
        <v>0</v>
      </c>
      <c r="AI421" s="53">
        <f t="shared" si="321"/>
        <v>0</v>
      </c>
      <c r="AJ421" s="53">
        <f t="shared" si="321"/>
        <v>0</v>
      </c>
      <c r="AK421" s="53">
        <f t="shared" si="321"/>
        <v>0</v>
      </c>
      <c r="AL421" s="53">
        <f t="shared" si="321"/>
        <v>0</v>
      </c>
      <c r="AM421" s="53">
        <f t="shared" si="321"/>
        <v>0</v>
      </c>
      <c r="AN421" s="53">
        <f t="shared" si="321"/>
        <v>0</v>
      </c>
      <c r="AO421" s="53">
        <f t="shared" si="321"/>
        <v>0</v>
      </c>
      <c r="AP421" s="53">
        <f t="shared" si="321"/>
        <v>0</v>
      </c>
      <c r="AQ421" s="53">
        <f t="shared" si="321"/>
        <v>0</v>
      </c>
      <c r="AR421" s="53">
        <f t="shared" si="321"/>
        <v>0</v>
      </c>
      <c r="AS421" s="53">
        <f t="shared" si="321"/>
        <v>0</v>
      </c>
      <c r="AT421" s="53">
        <f t="shared" si="321"/>
        <v>0</v>
      </c>
      <c r="AU421" s="53">
        <f t="shared" si="321"/>
        <v>0</v>
      </c>
      <c r="AV421" s="53">
        <f t="shared" si="321"/>
        <v>0</v>
      </c>
      <c r="AW421" s="53">
        <f t="shared" si="321"/>
        <v>0</v>
      </c>
      <c r="AX421" s="53">
        <f t="shared" si="321"/>
        <v>0</v>
      </c>
      <c r="AY421" s="53">
        <f t="shared" si="321"/>
        <v>0</v>
      </c>
      <c r="AZ421" s="53">
        <f t="shared" si="321"/>
        <v>0</v>
      </c>
      <c r="BA421" s="53">
        <f t="shared" si="321"/>
        <v>0</v>
      </c>
      <c r="BB421" s="53">
        <f t="shared" si="321"/>
        <v>0</v>
      </c>
      <c r="BC421" s="53">
        <f t="shared" si="321"/>
        <v>0</v>
      </c>
      <c r="BD421" s="53">
        <f t="shared" si="321"/>
        <v>0</v>
      </c>
      <c r="BE421" s="53">
        <f t="shared" si="321"/>
        <v>0</v>
      </c>
      <c r="BF421" s="53">
        <f t="shared" si="321"/>
        <v>0</v>
      </c>
      <c r="BG421" s="53">
        <f t="shared" si="321"/>
        <v>0</v>
      </c>
      <c r="BH421" s="53">
        <f t="shared" si="321"/>
        <v>0</v>
      </c>
      <c r="BI421" s="53">
        <f t="shared" si="321"/>
        <v>0</v>
      </c>
      <c r="BJ421" s="53">
        <f t="shared" si="321"/>
        <v>0</v>
      </c>
      <c r="BK421" s="53">
        <f t="shared" si="321"/>
        <v>0</v>
      </c>
      <c r="BL421" s="53">
        <f t="shared" si="321"/>
        <v>0</v>
      </c>
      <c r="BM421" s="53">
        <f t="shared" si="321"/>
        <v>0</v>
      </c>
      <c r="BN421" s="53">
        <f t="shared" si="321"/>
        <v>0</v>
      </c>
      <c r="BO421" s="53">
        <f t="shared" ref="BO421:CX421" si="322">IFERROR(IF(BO$262=0,0,(BO162-BO163)/BO163),0)</f>
        <v>0</v>
      </c>
      <c r="BP421" s="53">
        <f t="shared" si="322"/>
        <v>0</v>
      </c>
      <c r="BQ421" s="53">
        <f t="shared" si="322"/>
        <v>0</v>
      </c>
      <c r="BR421" s="53">
        <f t="shared" si="322"/>
        <v>0</v>
      </c>
      <c r="BS421" s="53">
        <f t="shared" si="322"/>
        <v>0</v>
      </c>
      <c r="BT421" s="53">
        <f t="shared" si="322"/>
        <v>0</v>
      </c>
      <c r="BU421" s="53">
        <f t="shared" si="322"/>
        <v>0</v>
      </c>
      <c r="BV421" s="53">
        <f t="shared" si="322"/>
        <v>0</v>
      </c>
      <c r="BW421" s="53">
        <f t="shared" si="322"/>
        <v>0</v>
      </c>
      <c r="BX421" s="53">
        <f t="shared" si="322"/>
        <v>0</v>
      </c>
      <c r="BY421" s="53">
        <f t="shared" si="322"/>
        <v>0</v>
      </c>
      <c r="BZ421" s="53">
        <f t="shared" si="322"/>
        <v>0</v>
      </c>
      <c r="CA421" s="53">
        <f t="shared" si="322"/>
        <v>0</v>
      </c>
      <c r="CB421" s="53">
        <f t="shared" si="322"/>
        <v>0</v>
      </c>
      <c r="CC421" s="53">
        <f t="shared" si="322"/>
        <v>0</v>
      </c>
      <c r="CD421" s="53">
        <f t="shared" si="322"/>
        <v>0</v>
      </c>
      <c r="CE421" s="53">
        <f t="shared" si="322"/>
        <v>0</v>
      </c>
      <c r="CF421" s="53">
        <f t="shared" si="322"/>
        <v>0</v>
      </c>
      <c r="CG421" s="53">
        <f t="shared" si="322"/>
        <v>0</v>
      </c>
      <c r="CH421" s="53">
        <f t="shared" si="322"/>
        <v>0</v>
      </c>
      <c r="CI421" s="53">
        <f t="shared" si="322"/>
        <v>0</v>
      </c>
      <c r="CJ421" s="53">
        <f t="shared" si="322"/>
        <v>0</v>
      </c>
      <c r="CK421" s="53">
        <f t="shared" si="322"/>
        <v>0</v>
      </c>
      <c r="CL421" s="53">
        <f t="shared" si="322"/>
        <v>0</v>
      </c>
      <c r="CM421" s="53">
        <f t="shared" si="322"/>
        <v>0</v>
      </c>
      <c r="CN421" s="53">
        <f t="shared" si="322"/>
        <v>0</v>
      </c>
      <c r="CO421" s="53">
        <f t="shared" si="322"/>
        <v>0</v>
      </c>
      <c r="CP421" s="53">
        <f t="shared" si="322"/>
        <v>0</v>
      </c>
      <c r="CQ421" s="53">
        <f t="shared" si="322"/>
        <v>0</v>
      </c>
      <c r="CR421" s="53">
        <f t="shared" si="322"/>
        <v>0</v>
      </c>
      <c r="CS421" s="53">
        <f t="shared" si="322"/>
        <v>0</v>
      </c>
      <c r="CT421" s="53">
        <f t="shared" si="322"/>
        <v>0</v>
      </c>
      <c r="CU421" s="53">
        <f t="shared" si="322"/>
        <v>0</v>
      </c>
      <c r="CV421" s="53">
        <f t="shared" si="322"/>
        <v>0</v>
      </c>
      <c r="CW421" s="53">
        <f t="shared" si="322"/>
        <v>0</v>
      </c>
      <c r="CX421" s="53">
        <f t="shared" si="322"/>
        <v>0</v>
      </c>
      <c r="DB421" s="2" vm="670">
        <f ca="1">IF(Returns!A425&lt;&gt;0,Returns!A425,"")</f>
        <v>43143</v>
      </c>
      <c r="DC421" s="11">
        <f ca="1">IF(Returns!B436&gt;0,Returns!B436/Returns!B435-1,"")</f>
        <v>5.296893082880727E-3</v>
      </c>
      <c r="DD421" s="11">
        <f ca="1">IF(Returns!D428&gt;0,Returns!D428/Returns!D427-1,"")</f>
        <v>3.2507800708019285E-2</v>
      </c>
    </row>
    <row r="422" spans="2:108" x14ac:dyDescent="0.3">
      <c r="B422" s="57">
        <f t="shared" ca="1" si="264"/>
        <v>4.9740386734664947E-4</v>
      </c>
      <c r="C422" s="53">
        <f t="shared" ref="C422:BN422" si="323">IFERROR(IF(C$262=0,0,(C163-C164)/C164),0)</f>
        <v>0</v>
      </c>
      <c r="D422" s="53">
        <f t="shared" si="323"/>
        <v>0</v>
      </c>
      <c r="E422" s="53">
        <f t="shared" si="323"/>
        <v>0</v>
      </c>
      <c r="F422" s="53">
        <f t="shared" si="323"/>
        <v>0</v>
      </c>
      <c r="G422" s="53">
        <f t="shared" si="323"/>
        <v>0</v>
      </c>
      <c r="H422" s="53">
        <f t="shared" si="323"/>
        <v>0</v>
      </c>
      <c r="I422" s="53">
        <f t="shared" si="323"/>
        <v>0</v>
      </c>
      <c r="J422" s="53">
        <f t="shared" si="323"/>
        <v>0</v>
      </c>
      <c r="K422" s="53">
        <f t="shared" si="323"/>
        <v>0</v>
      </c>
      <c r="L422" s="53">
        <f t="shared" si="323"/>
        <v>0</v>
      </c>
      <c r="M422" s="53">
        <f t="shared" si="323"/>
        <v>0</v>
      </c>
      <c r="N422" s="53">
        <f t="shared" si="323"/>
        <v>0</v>
      </c>
      <c r="O422" s="53">
        <f t="shared" si="323"/>
        <v>0</v>
      </c>
      <c r="P422" s="53">
        <f t="shared" si="323"/>
        <v>0</v>
      </c>
      <c r="Q422" s="53">
        <f t="shared" si="323"/>
        <v>0</v>
      </c>
      <c r="R422" s="53">
        <f t="shared" si="323"/>
        <v>0</v>
      </c>
      <c r="S422" s="53">
        <f t="shared" si="323"/>
        <v>0</v>
      </c>
      <c r="T422" s="53">
        <f t="shared" si="323"/>
        <v>0</v>
      </c>
      <c r="U422" s="53">
        <f t="shared" si="323"/>
        <v>0</v>
      </c>
      <c r="V422" s="53">
        <f t="shared" si="323"/>
        <v>0</v>
      </c>
      <c r="W422" s="53">
        <f t="shared" si="323"/>
        <v>0</v>
      </c>
      <c r="X422" s="53">
        <f t="shared" si="323"/>
        <v>0</v>
      </c>
      <c r="Y422" s="53">
        <f t="shared" si="323"/>
        <v>0</v>
      </c>
      <c r="Z422" s="53">
        <f t="shared" si="323"/>
        <v>0</v>
      </c>
      <c r="AA422" s="53">
        <f t="shared" si="323"/>
        <v>0</v>
      </c>
      <c r="AB422" s="53">
        <f t="shared" si="323"/>
        <v>0</v>
      </c>
      <c r="AC422" s="53">
        <f t="shared" si="323"/>
        <v>0</v>
      </c>
      <c r="AD422" s="53">
        <f t="shared" si="323"/>
        <v>0</v>
      </c>
      <c r="AE422" s="53">
        <f t="shared" si="323"/>
        <v>0</v>
      </c>
      <c r="AF422" s="53">
        <f t="shared" si="323"/>
        <v>0</v>
      </c>
      <c r="AG422" s="53">
        <f t="shared" si="323"/>
        <v>0</v>
      </c>
      <c r="AH422" s="53">
        <f t="shared" si="323"/>
        <v>0</v>
      </c>
      <c r="AI422" s="53">
        <f t="shared" si="323"/>
        <v>0</v>
      </c>
      <c r="AJ422" s="53">
        <f t="shared" si="323"/>
        <v>0</v>
      </c>
      <c r="AK422" s="53">
        <f t="shared" si="323"/>
        <v>0</v>
      </c>
      <c r="AL422" s="53">
        <f t="shared" si="323"/>
        <v>0</v>
      </c>
      <c r="AM422" s="53">
        <f t="shared" si="323"/>
        <v>0</v>
      </c>
      <c r="AN422" s="53">
        <f t="shared" si="323"/>
        <v>0</v>
      </c>
      <c r="AO422" s="53">
        <f t="shared" si="323"/>
        <v>0</v>
      </c>
      <c r="AP422" s="53">
        <f t="shared" si="323"/>
        <v>0</v>
      </c>
      <c r="AQ422" s="53">
        <f t="shared" si="323"/>
        <v>0</v>
      </c>
      <c r="AR422" s="53">
        <f t="shared" si="323"/>
        <v>0</v>
      </c>
      <c r="AS422" s="53">
        <f t="shared" si="323"/>
        <v>0</v>
      </c>
      <c r="AT422" s="53">
        <f t="shared" si="323"/>
        <v>0</v>
      </c>
      <c r="AU422" s="53">
        <f t="shared" si="323"/>
        <v>0</v>
      </c>
      <c r="AV422" s="53">
        <f t="shared" si="323"/>
        <v>0</v>
      </c>
      <c r="AW422" s="53">
        <f t="shared" si="323"/>
        <v>0</v>
      </c>
      <c r="AX422" s="53">
        <f t="shared" si="323"/>
        <v>0</v>
      </c>
      <c r="AY422" s="53">
        <f t="shared" si="323"/>
        <v>0</v>
      </c>
      <c r="AZ422" s="53">
        <f t="shared" si="323"/>
        <v>0</v>
      </c>
      <c r="BA422" s="53">
        <f t="shared" si="323"/>
        <v>0</v>
      </c>
      <c r="BB422" s="53">
        <f t="shared" si="323"/>
        <v>0</v>
      </c>
      <c r="BC422" s="53">
        <f t="shared" si="323"/>
        <v>0</v>
      </c>
      <c r="BD422" s="53">
        <f t="shared" si="323"/>
        <v>0</v>
      </c>
      <c r="BE422" s="53">
        <f t="shared" si="323"/>
        <v>0</v>
      </c>
      <c r="BF422" s="53">
        <f t="shared" si="323"/>
        <v>0</v>
      </c>
      <c r="BG422" s="53">
        <f t="shared" si="323"/>
        <v>0</v>
      </c>
      <c r="BH422" s="53">
        <f t="shared" si="323"/>
        <v>0</v>
      </c>
      <c r="BI422" s="53">
        <f t="shared" si="323"/>
        <v>0</v>
      </c>
      <c r="BJ422" s="53">
        <f t="shared" si="323"/>
        <v>0</v>
      </c>
      <c r="BK422" s="53">
        <f t="shared" si="323"/>
        <v>0</v>
      </c>
      <c r="BL422" s="53">
        <f t="shared" si="323"/>
        <v>0</v>
      </c>
      <c r="BM422" s="53">
        <f t="shared" si="323"/>
        <v>0</v>
      </c>
      <c r="BN422" s="53">
        <f t="shared" si="323"/>
        <v>0</v>
      </c>
      <c r="BO422" s="53">
        <f t="shared" ref="BO422:CX422" si="324">IFERROR(IF(BO$262=0,0,(BO163-BO164)/BO164),0)</f>
        <v>0</v>
      </c>
      <c r="BP422" s="53">
        <f t="shared" si="324"/>
        <v>0</v>
      </c>
      <c r="BQ422" s="53">
        <f t="shared" si="324"/>
        <v>0</v>
      </c>
      <c r="BR422" s="53">
        <f t="shared" si="324"/>
        <v>0</v>
      </c>
      <c r="BS422" s="53">
        <f t="shared" si="324"/>
        <v>0</v>
      </c>
      <c r="BT422" s="53">
        <f t="shared" si="324"/>
        <v>0</v>
      </c>
      <c r="BU422" s="53">
        <f t="shared" si="324"/>
        <v>0</v>
      </c>
      <c r="BV422" s="53">
        <f t="shared" si="324"/>
        <v>0</v>
      </c>
      <c r="BW422" s="53">
        <f t="shared" si="324"/>
        <v>0</v>
      </c>
      <c r="BX422" s="53">
        <f t="shared" si="324"/>
        <v>0</v>
      </c>
      <c r="BY422" s="53">
        <f t="shared" si="324"/>
        <v>0</v>
      </c>
      <c r="BZ422" s="53">
        <f t="shared" si="324"/>
        <v>0</v>
      </c>
      <c r="CA422" s="53">
        <f t="shared" si="324"/>
        <v>0</v>
      </c>
      <c r="CB422" s="53">
        <f t="shared" si="324"/>
        <v>0</v>
      </c>
      <c r="CC422" s="53">
        <f t="shared" si="324"/>
        <v>0</v>
      </c>
      <c r="CD422" s="53">
        <f t="shared" si="324"/>
        <v>0</v>
      </c>
      <c r="CE422" s="53">
        <f t="shared" si="324"/>
        <v>0</v>
      </c>
      <c r="CF422" s="53">
        <f t="shared" si="324"/>
        <v>0</v>
      </c>
      <c r="CG422" s="53">
        <f t="shared" si="324"/>
        <v>0</v>
      </c>
      <c r="CH422" s="53">
        <f t="shared" si="324"/>
        <v>0</v>
      </c>
      <c r="CI422" s="53">
        <f t="shared" si="324"/>
        <v>0</v>
      </c>
      <c r="CJ422" s="53">
        <f t="shared" si="324"/>
        <v>0</v>
      </c>
      <c r="CK422" s="53">
        <f t="shared" si="324"/>
        <v>0</v>
      </c>
      <c r="CL422" s="53">
        <f t="shared" si="324"/>
        <v>0</v>
      </c>
      <c r="CM422" s="53">
        <f t="shared" si="324"/>
        <v>0</v>
      </c>
      <c r="CN422" s="53">
        <f t="shared" si="324"/>
        <v>0</v>
      </c>
      <c r="CO422" s="53">
        <f t="shared" si="324"/>
        <v>0</v>
      </c>
      <c r="CP422" s="53">
        <f t="shared" si="324"/>
        <v>0</v>
      </c>
      <c r="CQ422" s="53">
        <f t="shared" si="324"/>
        <v>0</v>
      </c>
      <c r="CR422" s="53">
        <f t="shared" si="324"/>
        <v>0</v>
      </c>
      <c r="CS422" s="53">
        <f t="shared" si="324"/>
        <v>0</v>
      </c>
      <c r="CT422" s="53">
        <f t="shared" si="324"/>
        <v>0</v>
      </c>
      <c r="CU422" s="53">
        <f t="shared" si="324"/>
        <v>0</v>
      </c>
      <c r="CV422" s="53">
        <f t="shared" si="324"/>
        <v>0</v>
      </c>
      <c r="CW422" s="53">
        <f t="shared" si="324"/>
        <v>0</v>
      </c>
      <c r="CX422" s="53">
        <f t="shared" si="324"/>
        <v>0</v>
      </c>
      <c r="DB422" s="2" vm="671">
        <f ca="1">IF(Returns!A426&lt;&gt;0,Returns!A426,"")</f>
        <v>43151</v>
      </c>
      <c r="DC422" s="11">
        <f ca="1">IF(Returns!B437&gt;0,Returns!B437/Returns!B436-1,"")</f>
        <v>1.3890382365033593E-2</v>
      </c>
      <c r="DD422" s="11">
        <f ca="1">IF(Returns!D429&gt;0,Returns!D429/Returns!D428-1,"")</f>
        <v>-1.5363040814340589E-2</v>
      </c>
    </row>
    <row r="423" spans="2:108" x14ac:dyDescent="0.3">
      <c r="B423" s="57">
        <f t="shared" ca="1" si="264"/>
        <v>4.6406214932640845E-4</v>
      </c>
      <c r="C423" s="53">
        <f t="shared" ref="C423:BN423" si="325">IFERROR(IF(C$262=0,0,(C164-C165)/C165),0)</f>
        <v>0</v>
      </c>
      <c r="D423" s="53">
        <f t="shared" si="325"/>
        <v>0</v>
      </c>
      <c r="E423" s="53">
        <f t="shared" si="325"/>
        <v>0</v>
      </c>
      <c r="F423" s="53">
        <f t="shared" si="325"/>
        <v>0</v>
      </c>
      <c r="G423" s="53">
        <f t="shared" si="325"/>
        <v>0</v>
      </c>
      <c r="H423" s="53">
        <f t="shared" si="325"/>
        <v>0</v>
      </c>
      <c r="I423" s="53">
        <f t="shared" si="325"/>
        <v>0</v>
      </c>
      <c r="J423" s="53">
        <f t="shared" si="325"/>
        <v>0</v>
      </c>
      <c r="K423" s="53">
        <f t="shared" si="325"/>
        <v>0</v>
      </c>
      <c r="L423" s="53">
        <f t="shared" si="325"/>
        <v>0</v>
      </c>
      <c r="M423" s="53">
        <f t="shared" si="325"/>
        <v>0</v>
      </c>
      <c r="N423" s="53">
        <f t="shared" si="325"/>
        <v>0</v>
      </c>
      <c r="O423" s="53">
        <f t="shared" si="325"/>
        <v>0</v>
      </c>
      <c r="P423" s="53">
        <f t="shared" si="325"/>
        <v>0</v>
      </c>
      <c r="Q423" s="53">
        <f t="shared" si="325"/>
        <v>0</v>
      </c>
      <c r="R423" s="53">
        <f t="shared" si="325"/>
        <v>0</v>
      </c>
      <c r="S423" s="53">
        <f t="shared" si="325"/>
        <v>0</v>
      </c>
      <c r="T423" s="53">
        <f t="shared" si="325"/>
        <v>0</v>
      </c>
      <c r="U423" s="53">
        <f t="shared" si="325"/>
        <v>0</v>
      </c>
      <c r="V423" s="53">
        <f t="shared" si="325"/>
        <v>0</v>
      </c>
      <c r="W423" s="53">
        <f t="shared" si="325"/>
        <v>0</v>
      </c>
      <c r="X423" s="53">
        <f t="shared" si="325"/>
        <v>0</v>
      </c>
      <c r="Y423" s="53">
        <f t="shared" si="325"/>
        <v>0</v>
      </c>
      <c r="Z423" s="53">
        <f t="shared" si="325"/>
        <v>0</v>
      </c>
      <c r="AA423" s="53">
        <f t="shared" si="325"/>
        <v>0</v>
      </c>
      <c r="AB423" s="53">
        <f t="shared" si="325"/>
        <v>0</v>
      </c>
      <c r="AC423" s="53">
        <f t="shared" si="325"/>
        <v>0</v>
      </c>
      <c r="AD423" s="53">
        <f t="shared" si="325"/>
        <v>0</v>
      </c>
      <c r="AE423" s="53">
        <f t="shared" si="325"/>
        <v>0</v>
      </c>
      <c r="AF423" s="53">
        <f t="shared" si="325"/>
        <v>0</v>
      </c>
      <c r="AG423" s="53">
        <f t="shared" si="325"/>
        <v>0</v>
      </c>
      <c r="AH423" s="53">
        <f t="shared" si="325"/>
        <v>0</v>
      </c>
      <c r="AI423" s="53">
        <f t="shared" si="325"/>
        <v>0</v>
      </c>
      <c r="AJ423" s="53">
        <f t="shared" si="325"/>
        <v>0</v>
      </c>
      <c r="AK423" s="53">
        <f t="shared" si="325"/>
        <v>0</v>
      </c>
      <c r="AL423" s="53">
        <f t="shared" si="325"/>
        <v>0</v>
      </c>
      <c r="AM423" s="53">
        <f t="shared" si="325"/>
        <v>0</v>
      </c>
      <c r="AN423" s="53">
        <f t="shared" si="325"/>
        <v>0</v>
      </c>
      <c r="AO423" s="53">
        <f t="shared" si="325"/>
        <v>0</v>
      </c>
      <c r="AP423" s="53">
        <f t="shared" si="325"/>
        <v>0</v>
      </c>
      <c r="AQ423" s="53">
        <f t="shared" si="325"/>
        <v>0</v>
      </c>
      <c r="AR423" s="53">
        <f t="shared" si="325"/>
        <v>0</v>
      </c>
      <c r="AS423" s="53">
        <f t="shared" si="325"/>
        <v>0</v>
      </c>
      <c r="AT423" s="53">
        <f t="shared" si="325"/>
        <v>0</v>
      </c>
      <c r="AU423" s="53">
        <f t="shared" si="325"/>
        <v>0</v>
      </c>
      <c r="AV423" s="53">
        <f t="shared" si="325"/>
        <v>0</v>
      </c>
      <c r="AW423" s="53">
        <f t="shared" si="325"/>
        <v>0</v>
      </c>
      <c r="AX423" s="53">
        <f t="shared" si="325"/>
        <v>0</v>
      </c>
      <c r="AY423" s="53">
        <f t="shared" si="325"/>
        <v>0</v>
      </c>
      <c r="AZ423" s="53">
        <f t="shared" si="325"/>
        <v>0</v>
      </c>
      <c r="BA423" s="53">
        <f t="shared" si="325"/>
        <v>0</v>
      </c>
      <c r="BB423" s="53">
        <f t="shared" si="325"/>
        <v>0</v>
      </c>
      <c r="BC423" s="53">
        <f t="shared" si="325"/>
        <v>0</v>
      </c>
      <c r="BD423" s="53">
        <f t="shared" si="325"/>
        <v>0</v>
      </c>
      <c r="BE423" s="53">
        <f t="shared" si="325"/>
        <v>0</v>
      </c>
      <c r="BF423" s="53">
        <f t="shared" si="325"/>
        <v>0</v>
      </c>
      <c r="BG423" s="53">
        <f t="shared" si="325"/>
        <v>0</v>
      </c>
      <c r="BH423" s="53">
        <f t="shared" si="325"/>
        <v>0</v>
      </c>
      <c r="BI423" s="53">
        <f t="shared" si="325"/>
        <v>0</v>
      </c>
      <c r="BJ423" s="53">
        <f t="shared" si="325"/>
        <v>0</v>
      </c>
      <c r="BK423" s="53">
        <f t="shared" si="325"/>
        <v>0</v>
      </c>
      <c r="BL423" s="53">
        <f t="shared" si="325"/>
        <v>0</v>
      </c>
      <c r="BM423" s="53">
        <f t="shared" si="325"/>
        <v>0</v>
      </c>
      <c r="BN423" s="53">
        <f t="shared" si="325"/>
        <v>0</v>
      </c>
      <c r="BO423" s="53">
        <f t="shared" ref="BO423:CX423" si="326">IFERROR(IF(BO$262=0,0,(BO164-BO165)/BO165),0)</f>
        <v>0</v>
      </c>
      <c r="BP423" s="53">
        <f t="shared" si="326"/>
        <v>0</v>
      </c>
      <c r="BQ423" s="53">
        <f t="shared" si="326"/>
        <v>0</v>
      </c>
      <c r="BR423" s="53">
        <f t="shared" si="326"/>
        <v>0</v>
      </c>
      <c r="BS423" s="53">
        <f t="shared" si="326"/>
        <v>0</v>
      </c>
      <c r="BT423" s="53">
        <f t="shared" si="326"/>
        <v>0</v>
      </c>
      <c r="BU423" s="53">
        <f t="shared" si="326"/>
        <v>0</v>
      </c>
      <c r="BV423" s="53">
        <f t="shared" si="326"/>
        <v>0</v>
      </c>
      <c r="BW423" s="53">
        <f t="shared" si="326"/>
        <v>0</v>
      </c>
      <c r="BX423" s="53">
        <f t="shared" si="326"/>
        <v>0</v>
      </c>
      <c r="BY423" s="53">
        <f t="shared" si="326"/>
        <v>0</v>
      </c>
      <c r="BZ423" s="53">
        <f t="shared" si="326"/>
        <v>0</v>
      </c>
      <c r="CA423" s="53">
        <f t="shared" si="326"/>
        <v>0</v>
      </c>
      <c r="CB423" s="53">
        <f t="shared" si="326"/>
        <v>0</v>
      </c>
      <c r="CC423" s="53">
        <f t="shared" si="326"/>
        <v>0</v>
      </c>
      <c r="CD423" s="53">
        <f t="shared" si="326"/>
        <v>0</v>
      </c>
      <c r="CE423" s="53">
        <f t="shared" si="326"/>
        <v>0</v>
      </c>
      <c r="CF423" s="53">
        <f t="shared" si="326"/>
        <v>0</v>
      </c>
      <c r="CG423" s="53">
        <f t="shared" si="326"/>
        <v>0</v>
      </c>
      <c r="CH423" s="53">
        <f t="shared" si="326"/>
        <v>0</v>
      </c>
      <c r="CI423" s="53">
        <f t="shared" si="326"/>
        <v>0</v>
      </c>
      <c r="CJ423" s="53">
        <f t="shared" si="326"/>
        <v>0</v>
      </c>
      <c r="CK423" s="53">
        <f t="shared" si="326"/>
        <v>0</v>
      </c>
      <c r="CL423" s="53">
        <f t="shared" si="326"/>
        <v>0</v>
      </c>
      <c r="CM423" s="53">
        <f t="shared" si="326"/>
        <v>0</v>
      </c>
      <c r="CN423" s="53">
        <f t="shared" si="326"/>
        <v>0</v>
      </c>
      <c r="CO423" s="53">
        <f t="shared" si="326"/>
        <v>0</v>
      </c>
      <c r="CP423" s="53">
        <f t="shared" si="326"/>
        <v>0</v>
      </c>
      <c r="CQ423" s="53">
        <f t="shared" si="326"/>
        <v>0</v>
      </c>
      <c r="CR423" s="53">
        <f t="shared" si="326"/>
        <v>0</v>
      </c>
      <c r="CS423" s="53">
        <f t="shared" si="326"/>
        <v>0</v>
      </c>
      <c r="CT423" s="53">
        <f t="shared" si="326"/>
        <v>0</v>
      </c>
      <c r="CU423" s="53">
        <f t="shared" si="326"/>
        <v>0</v>
      </c>
      <c r="CV423" s="53">
        <f t="shared" si="326"/>
        <v>0</v>
      </c>
      <c r="CW423" s="53">
        <f t="shared" si="326"/>
        <v>0</v>
      </c>
      <c r="CX423" s="53">
        <f t="shared" si="326"/>
        <v>0</v>
      </c>
      <c r="DB423" s="2" vm="672">
        <f ca="1">IF(Returns!A427&lt;&gt;0,Returns!A427,"")</f>
        <v>43157</v>
      </c>
      <c r="DC423" s="11">
        <f ca="1">IF(Returns!B438&gt;0,Returns!B438/Returns!B437-1,"")</f>
        <v>-1.7805116943558796E-2</v>
      </c>
      <c r="DD423" s="11">
        <f ca="1">IF(Returns!D430&gt;0,Returns!D430/Returns!D429-1,"")</f>
        <v>-5.6653453927645314E-2</v>
      </c>
    </row>
    <row r="424" spans="2:108" x14ac:dyDescent="0.3">
      <c r="B424" s="57">
        <f t="shared" ca="1" si="264"/>
        <v>2.2483368212818525E-3</v>
      </c>
      <c r="C424" s="53">
        <f t="shared" ref="C424:BN424" si="327">IFERROR(IF(C$262=0,0,(C165-C166)/C166),0)</f>
        <v>0</v>
      </c>
      <c r="D424" s="53">
        <f t="shared" si="327"/>
        <v>0</v>
      </c>
      <c r="E424" s="53">
        <f t="shared" si="327"/>
        <v>0</v>
      </c>
      <c r="F424" s="53">
        <f t="shared" si="327"/>
        <v>0</v>
      </c>
      <c r="G424" s="53">
        <f t="shared" si="327"/>
        <v>0</v>
      </c>
      <c r="H424" s="53">
        <f t="shared" si="327"/>
        <v>0</v>
      </c>
      <c r="I424" s="53">
        <f t="shared" si="327"/>
        <v>0</v>
      </c>
      <c r="J424" s="53">
        <f t="shared" si="327"/>
        <v>0</v>
      </c>
      <c r="K424" s="53">
        <f t="shared" si="327"/>
        <v>0</v>
      </c>
      <c r="L424" s="53">
        <f t="shared" si="327"/>
        <v>0</v>
      </c>
      <c r="M424" s="53">
        <f t="shared" si="327"/>
        <v>0</v>
      </c>
      <c r="N424" s="53">
        <f t="shared" si="327"/>
        <v>0</v>
      </c>
      <c r="O424" s="53">
        <f t="shared" si="327"/>
        <v>0</v>
      </c>
      <c r="P424" s="53">
        <f t="shared" si="327"/>
        <v>0</v>
      </c>
      <c r="Q424" s="53">
        <f t="shared" si="327"/>
        <v>0</v>
      </c>
      <c r="R424" s="53">
        <f t="shared" si="327"/>
        <v>0</v>
      </c>
      <c r="S424" s="53">
        <f t="shared" si="327"/>
        <v>0</v>
      </c>
      <c r="T424" s="53">
        <f t="shared" si="327"/>
        <v>0</v>
      </c>
      <c r="U424" s="53">
        <f t="shared" si="327"/>
        <v>0</v>
      </c>
      <c r="V424" s="53">
        <f t="shared" si="327"/>
        <v>0</v>
      </c>
      <c r="W424" s="53">
        <f t="shared" si="327"/>
        <v>0</v>
      </c>
      <c r="X424" s="53">
        <f t="shared" si="327"/>
        <v>0</v>
      </c>
      <c r="Y424" s="53">
        <f t="shared" si="327"/>
        <v>0</v>
      </c>
      <c r="Z424" s="53">
        <f t="shared" si="327"/>
        <v>0</v>
      </c>
      <c r="AA424" s="53">
        <f t="shared" si="327"/>
        <v>0</v>
      </c>
      <c r="AB424" s="53">
        <f t="shared" si="327"/>
        <v>0</v>
      </c>
      <c r="AC424" s="53">
        <f t="shared" si="327"/>
        <v>0</v>
      </c>
      <c r="AD424" s="53">
        <f t="shared" si="327"/>
        <v>0</v>
      </c>
      <c r="AE424" s="53">
        <f t="shared" si="327"/>
        <v>0</v>
      </c>
      <c r="AF424" s="53">
        <f t="shared" si="327"/>
        <v>0</v>
      </c>
      <c r="AG424" s="53">
        <f t="shared" si="327"/>
        <v>0</v>
      </c>
      <c r="AH424" s="53">
        <f t="shared" si="327"/>
        <v>0</v>
      </c>
      <c r="AI424" s="53">
        <f t="shared" si="327"/>
        <v>0</v>
      </c>
      <c r="AJ424" s="53">
        <f t="shared" si="327"/>
        <v>0</v>
      </c>
      <c r="AK424" s="53">
        <f t="shared" si="327"/>
        <v>0</v>
      </c>
      <c r="AL424" s="53">
        <f t="shared" si="327"/>
        <v>0</v>
      </c>
      <c r="AM424" s="53">
        <f t="shared" si="327"/>
        <v>0</v>
      </c>
      <c r="AN424" s="53">
        <f t="shared" si="327"/>
        <v>0</v>
      </c>
      <c r="AO424" s="53">
        <f t="shared" si="327"/>
        <v>0</v>
      </c>
      <c r="AP424" s="53">
        <f t="shared" si="327"/>
        <v>0</v>
      </c>
      <c r="AQ424" s="53">
        <f t="shared" si="327"/>
        <v>0</v>
      </c>
      <c r="AR424" s="53">
        <f t="shared" si="327"/>
        <v>0</v>
      </c>
      <c r="AS424" s="53">
        <f t="shared" si="327"/>
        <v>0</v>
      </c>
      <c r="AT424" s="53">
        <f t="shared" si="327"/>
        <v>0</v>
      </c>
      <c r="AU424" s="53">
        <f t="shared" si="327"/>
        <v>0</v>
      </c>
      <c r="AV424" s="53">
        <f t="shared" si="327"/>
        <v>0</v>
      </c>
      <c r="AW424" s="53">
        <f t="shared" si="327"/>
        <v>0</v>
      </c>
      <c r="AX424" s="53">
        <f t="shared" si="327"/>
        <v>0</v>
      </c>
      <c r="AY424" s="53">
        <f t="shared" si="327"/>
        <v>0</v>
      </c>
      <c r="AZ424" s="53">
        <f t="shared" si="327"/>
        <v>0</v>
      </c>
      <c r="BA424" s="53">
        <f t="shared" si="327"/>
        <v>0</v>
      </c>
      <c r="BB424" s="53">
        <f t="shared" si="327"/>
        <v>0</v>
      </c>
      <c r="BC424" s="53">
        <f t="shared" si="327"/>
        <v>0</v>
      </c>
      <c r="BD424" s="53">
        <f t="shared" si="327"/>
        <v>0</v>
      </c>
      <c r="BE424" s="53">
        <f t="shared" si="327"/>
        <v>0</v>
      </c>
      <c r="BF424" s="53">
        <f t="shared" si="327"/>
        <v>0</v>
      </c>
      <c r="BG424" s="53">
        <f t="shared" si="327"/>
        <v>0</v>
      </c>
      <c r="BH424" s="53">
        <f t="shared" si="327"/>
        <v>0</v>
      </c>
      <c r="BI424" s="53">
        <f t="shared" si="327"/>
        <v>0</v>
      </c>
      <c r="BJ424" s="53">
        <f t="shared" si="327"/>
        <v>0</v>
      </c>
      <c r="BK424" s="53">
        <f t="shared" si="327"/>
        <v>0</v>
      </c>
      <c r="BL424" s="53">
        <f t="shared" si="327"/>
        <v>0</v>
      </c>
      <c r="BM424" s="53">
        <f t="shared" si="327"/>
        <v>0</v>
      </c>
      <c r="BN424" s="53">
        <f t="shared" si="327"/>
        <v>0</v>
      </c>
      <c r="BO424" s="53">
        <f t="shared" ref="BO424:CX424" si="328">IFERROR(IF(BO$262=0,0,(BO165-BO166)/BO166),0)</f>
        <v>0</v>
      </c>
      <c r="BP424" s="53">
        <f t="shared" si="328"/>
        <v>0</v>
      </c>
      <c r="BQ424" s="53">
        <f t="shared" si="328"/>
        <v>0</v>
      </c>
      <c r="BR424" s="53">
        <f t="shared" si="328"/>
        <v>0</v>
      </c>
      <c r="BS424" s="53">
        <f t="shared" si="328"/>
        <v>0</v>
      </c>
      <c r="BT424" s="53">
        <f t="shared" si="328"/>
        <v>0</v>
      </c>
      <c r="BU424" s="53">
        <f t="shared" si="328"/>
        <v>0</v>
      </c>
      <c r="BV424" s="53">
        <f t="shared" si="328"/>
        <v>0</v>
      </c>
      <c r="BW424" s="53">
        <f t="shared" si="328"/>
        <v>0</v>
      </c>
      <c r="BX424" s="53">
        <f t="shared" si="328"/>
        <v>0</v>
      </c>
      <c r="BY424" s="53">
        <f t="shared" si="328"/>
        <v>0</v>
      </c>
      <c r="BZ424" s="53">
        <f t="shared" si="328"/>
        <v>0</v>
      </c>
      <c r="CA424" s="53">
        <f t="shared" si="328"/>
        <v>0</v>
      </c>
      <c r="CB424" s="53">
        <f t="shared" si="328"/>
        <v>0</v>
      </c>
      <c r="CC424" s="53">
        <f t="shared" si="328"/>
        <v>0</v>
      </c>
      <c r="CD424" s="53">
        <f t="shared" si="328"/>
        <v>0</v>
      </c>
      <c r="CE424" s="53">
        <f t="shared" si="328"/>
        <v>0</v>
      </c>
      <c r="CF424" s="53">
        <f t="shared" si="328"/>
        <v>0</v>
      </c>
      <c r="CG424" s="53">
        <f t="shared" si="328"/>
        <v>0</v>
      </c>
      <c r="CH424" s="53">
        <f t="shared" si="328"/>
        <v>0</v>
      </c>
      <c r="CI424" s="53">
        <f t="shared" si="328"/>
        <v>0</v>
      </c>
      <c r="CJ424" s="53">
        <f t="shared" si="328"/>
        <v>0</v>
      </c>
      <c r="CK424" s="53">
        <f t="shared" si="328"/>
        <v>0</v>
      </c>
      <c r="CL424" s="53">
        <f t="shared" si="328"/>
        <v>0</v>
      </c>
      <c r="CM424" s="53">
        <f t="shared" si="328"/>
        <v>0</v>
      </c>
      <c r="CN424" s="53">
        <f t="shared" si="328"/>
        <v>0</v>
      </c>
      <c r="CO424" s="53">
        <f t="shared" si="328"/>
        <v>0</v>
      </c>
      <c r="CP424" s="53">
        <f t="shared" si="328"/>
        <v>0</v>
      </c>
      <c r="CQ424" s="53">
        <f t="shared" si="328"/>
        <v>0</v>
      </c>
      <c r="CR424" s="53">
        <f t="shared" si="328"/>
        <v>0</v>
      </c>
      <c r="CS424" s="53">
        <f t="shared" si="328"/>
        <v>0</v>
      </c>
      <c r="CT424" s="53">
        <f t="shared" si="328"/>
        <v>0</v>
      </c>
      <c r="CU424" s="53">
        <f t="shared" si="328"/>
        <v>0</v>
      </c>
      <c r="CV424" s="53">
        <f t="shared" si="328"/>
        <v>0</v>
      </c>
      <c r="CW424" s="53">
        <f t="shared" si="328"/>
        <v>0</v>
      </c>
      <c r="CX424" s="53">
        <f t="shared" si="328"/>
        <v>0</v>
      </c>
      <c r="DB424" s="2" vm="673">
        <f ca="1">IF(Returns!A428&lt;&gt;0,Returns!A428,"")</f>
        <v>43164</v>
      </c>
      <c r="DC424" s="11">
        <f ca="1">IF(Returns!B439&gt;0,Returns!B439/Returns!B438-1,"")</f>
        <v>2.2726550937835377E-2</v>
      </c>
      <c r="DD424" s="11">
        <f ca="1">IF(Returns!D431&gt;0,Returns!D431/Returns!D430-1,"")</f>
        <v>2.4217191238056879E-2</v>
      </c>
    </row>
    <row r="425" spans="2:108" x14ac:dyDescent="0.3">
      <c r="B425" s="57">
        <f t="shared" ca="1" si="264"/>
        <v>3.1636447943196426E-4</v>
      </c>
      <c r="C425" s="53">
        <f t="shared" ref="C425:BN425" si="329">IFERROR(IF(C$262=0,0,(C166-C167)/C167),0)</f>
        <v>0</v>
      </c>
      <c r="D425" s="53">
        <f t="shared" si="329"/>
        <v>0</v>
      </c>
      <c r="E425" s="53">
        <f t="shared" si="329"/>
        <v>0</v>
      </c>
      <c r="F425" s="53">
        <f t="shared" si="329"/>
        <v>0</v>
      </c>
      <c r="G425" s="53">
        <f t="shared" si="329"/>
        <v>0</v>
      </c>
      <c r="H425" s="53">
        <f t="shared" si="329"/>
        <v>0</v>
      </c>
      <c r="I425" s="53">
        <f t="shared" si="329"/>
        <v>0</v>
      </c>
      <c r="J425" s="53">
        <f t="shared" si="329"/>
        <v>0</v>
      </c>
      <c r="K425" s="53">
        <f t="shared" si="329"/>
        <v>0</v>
      </c>
      <c r="L425" s="53">
        <f t="shared" si="329"/>
        <v>0</v>
      </c>
      <c r="M425" s="53">
        <f t="shared" si="329"/>
        <v>0</v>
      </c>
      <c r="N425" s="53">
        <f t="shared" si="329"/>
        <v>0</v>
      </c>
      <c r="O425" s="53">
        <f t="shared" si="329"/>
        <v>0</v>
      </c>
      <c r="P425" s="53">
        <f t="shared" si="329"/>
        <v>0</v>
      </c>
      <c r="Q425" s="53">
        <f t="shared" si="329"/>
        <v>0</v>
      </c>
      <c r="R425" s="53">
        <f t="shared" si="329"/>
        <v>0</v>
      </c>
      <c r="S425" s="53">
        <f t="shared" si="329"/>
        <v>0</v>
      </c>
      <c r="T425" s="53">
        <f t="shared" si="329"/>
        <v>0</v>
      </c>
      <c r="U425" s="53">
        <f t="shared" si="329"/>
        <v>0</v>
      </c>
      <c r="V425" s="53">
        <f t="shared" si="329"/>
        <v>0</v>
      </c>
      <c r="W425" s="53">
        <f t="shared" si="329"/>
        <v>0</v>
      </c>
      <c r="X425" s="53">
        <f t="shared" si="329"/>
        <v>0</v>
      </c>
      <c r="Y425" s="53">
        <f t="shared" si="329"/>
        <v>0</v>
      </c>
      <c r="Z425" s="53">
        <f t="shared" si="329"/>
        <v>0</v>
      </c>
      <c r="AA425" s="53">
        <f t="shared" si="329"/>
        <v>0</v>
      </c>
      <c r="AB425" s="53">
        <f t="shared" si="329"/>
        <v>0</v>
      </c>
      <c r="AC425" s="53">
        <f t="shared" si="329"/>
        <v>0</v>
      </c>
      <c r="AD425" s="53">
        <f t="shared" si="329"/>
        <v>0</v>
      </c>
      <c r="AE425" s="53">
        <f t="shared" si="329"/>
        <v>0</v>
      </c>
      <c r="AF425" s="53">
        <f t="shared" si="329"/>
        <v>0</v>
      </c>
      <c r="AG425" s="53">
        <f t="shared" si="329"/>
        <v>0</v>
      </c>
      <c r="AH425" s="53">
        <f t="shared" si="329"/>
        <v>0</v>
      </c>
      <c r="AI425" s="53">
        <f t="shared" si="329"/>
        <v>0</v>
      </c>
      <c r="AJ425" s="53">
        <f t="shared" si="329"/>
        <v>0</v>
      </c>
      <c r="AK425" s="53">
        <f t="shared" si="329"/>
        <v>0</v>
      </c>
      <c r="AL425" s="53">
        <f t="shared" si="329"/>
        <v>0</v>
      </c>
      <c r="AM425" s="53">
        <f t="shared" si="329"/>
        <v>0</v>
      </c>
      <c r="AN425" s="53">
        <f t="shared" si="329"/>
        <v>0</v>
      </c>
      <c r="AO425" s="53">
        <f t="shared" si="329"/>
        <v>0</v>
      </c>
      <c r="AP425" s="53">
        <f t="shared" si="329"/>
        <v>0</v>
      </c>
      <c r="AQ425" s="53">
        <f t="shared" si="329"/>
        <v>0</v>
      </c>
      <c r="AR425" s="53">
        <f t="shared" si="329"/>
        <v>0</v>
      </c>
      <c r="AS425" s="53">
        <f t="shared" si="329"/>
        <v>0</v>
      </c>
      <c r="AT425" s="53">
        <f t="shared" si="329"/>
        <v>0</v>
      </c>
      <c r="AU425" s="53">
        <f t="shared" si="329"/>
        <v>0</v>
      </c>
      <c r="AV425" s="53">
        <f t="shared" si="329"/>
        <v>0</v>
      </c>
      <c r="AW425" s="53">
        <f t="shared" si="329"/>
        <v>0</v>
      </c>
      <c r="AX425" s="53">
        <f t="shared" si="329"/>
        <v>0</v>
      </c>
      <c r="AY425" s="53">
        <f t="shared" si="329"/>
        <v>0</v>
      </c>
      <c r="AZ425" s="53">
        <f t="shared" si="329"/>
        <v>0</v>
      </c>
      <c r="BA425" s="53">
        <f t="shared" si="329"/>
        <v>0</v>
      </c>
      <c r="BB425" s="53">
        <f t="shared" si="329"/>
        <v>0</v>
      </c>
      <c r="BC425" s="53">
        <f t="shared" si="329"/>
        <v>0</v>
      </c>
      <c r="BD425" s="53">
        <f t="shared" si="329"/>
        <v>0</v>
      </c>
      <c r="BE425" s="53">
        <f t="shared" si="329"/>
        <v>0</v>
      </c>
      <c r="BF425" s="53">
        <f t="shared" si="329"/>
        <v>0</v>
      </c>
      <c r="BG425" s="53">
        <f t="shared" si="329"/>
        <v>0</v>
      </c>
      <c r="BH425" s="53">
        <f t="shared" si="329"/>
        <v>0</v>
      </c>
      <c r="BI425" s="53">
        <f t="shared" si="329"/>
        <v>0</v>
      </c>
      <c r="BJ425" s="53">
        <f t="shared" si="329"/>
        <v>0</v>
      </c>
      <c r="BK425" s="53">
        <f t="shared" si="329"/>
        <v>0</v>
      </c>
      <c r="BL425" s="53">
        <f t="shared" si="329"/>
        <v>0</v>
      </c>
      <c r="BM425" s="53">
        <f t="shared" si="329"/>
        <v>0</v>
      </c>
      <c r="BN425" s="53">
        <f t="shared" si="329"/>
        <v>0</v>
      </c>
      <c r="BO425" s="53">
        <f t="shared" ref="BO425:CX425" si="330">IFERROR(IF(BO$262=0,0,(BO166-BO167)/BO167),0)</f>
        <v>0</v>
      </c>
      <c r="BP425" s="53">
        <f t="shared" si="330"/>
        <v>0</v>
      </c>
      <c r="BQ425" s="53">
        <f t="shared" si="330"/>
        <v>0</v>
      </c>
      <c r="BR425" s="53">
        <f t="shared" si="330"/>
        <v>0</v>
      </c>
      <c r="BS425" s="53">
        <f t="shared" si="330"/>
        <v>0</v>
      </c>
      <c r="BT425" s="53">
        <f t="shared" si="330"/>
        <v>0</v>
      </c>
      <c r="BU425" s="53">
        <f t="shared" si="330"/>
        <v>0</v>
      </c>
      <c r="BV425" s="53">
        <f t="shared" si="330"/>
        <v>0</v>
      </c>
      <c r="BW425" s="53">
        <f t="shared" si="330"/>
        <v>0</v>
      </c>
      <c r="BX425" s="53">
        <f t="shared" si="330"/>
        <v>0</v>
      </c>
      <c r="BY425" s="53">
        <f t="shared" si="330"/>
        <v>0</v>
      </c>
      <c r="BZ425" s="53">
        <f t="shared" si="330"/>
        <v>0</v>
      </c>
      <c r="CA425" s="53">
        <f t="shared" si="330"/>
        <v>0</v>
      </c>
      <c r="CB425" s="53">
        <f t="shared" si="330"/>
        <v>0</v>
      </c>
      <c r="CC425" s="53">
        <f t="shared" si="330"/>
        <v>0</v>
      </c>
      <c r="CD425" s="53">
        <f t="shared" si="330"/>
        <v>0</v>
      </c>
      <c r="CE425" s="53">
        <f t="shared" si="330"/>
        <v>0</v>
      </c>
      <c r="CF425" s="53">
        <f t="shared" si="330"/>
        <v>0</v>
      </c>
      <c r="CG425" s="53">
        <f t="shared" si="330"/>
        <v>0</v>
      </c>
      <c r="CH425" s="53">
        <f t="shared" si="330"/>
        <v>0</v>
      </c>
      <c r="CI425" s="53">
        <f t="shared" si="330"/>
        <v>0</v>
      </c>
      <c r="CJ425" s="53">
        <f t="shared" si="330"/>
        <v>0</v>
      </c>
      <c r="CK425" s="53">
        <f t="shared" si="330"/>
        <v>0</v>
      </c>
      <c r="CL425" s="53">
        <f t="shared" si="330"/>
        <v>0</v>
      </c>
      <c r="CM425" s="53">
        <f t="shared" si="330"/>
        <v>0</v>
      </c>
      <c r="CN425" s="53">
        <f t="shared" si="330"/>
        <v>0</v>
      </c>
      <c r="CO425" s="53">
        <f t="shared" si="330"/>
        <v>0</v>
      </c>
      <c r="CP425" s="53">
        <f t="shared" si="330"/>
        <v>0</v>
      </c>
      <c r="CQ425" s="53">
        <f t="shared" si="330"/>
        <v>0</v>
      </c>
      <c r="CR425" s="53">
        <f t="shared" si="330"/>
        <v>0</v>
      </c>
      <c r="CS425" s="53">
        <f t="shared" si="330"/>
        <v>0</v>
      </c>
      <c r="CT425" s="53">
        <f t="shared" si="330"/>
        <v>0</v>
      </c>
      <c r="CU425" s="53">
        <f t="shared" si="330"/>
        <v>0</v>
      </c>
      <c r="CV425" s="53">
        <f t="shared" si="330"/>
        <v>0</v>
      </c>
      <c r="CW425" s="53">
        <f t="shared" si="330"/>
        <v>0</v>
      </c>
      <c r="CX425" s="53">
        <f t="shared" si="330"/>
        <v>0</v>
      </c>
      <c r="DB425" s="2" vm="674">
        <f ca="1">IF(Returns!A429&lt;&gt;0,Returns!A429,"")</f>
        <v>43171</v>
      </c>
      <c r="DC425" s="11">
        <f ca="1">IF(Returns!B440&gt;0,Returns!B440/Returns!B439-1,"")</f>
        <v>1.9495078098313856E-2</v>
      </c>
      <c r="DD425" s="11">
        <f ca="1">IF(Returns!D432&gt;0,Returns!D432/Returns!D431-1,"")</f>
        <v>-7.0673832359493538E-3</v>
      </c>
    </row>
    <row r="426" spans="2:108" x14ac:dyDescent="0.3">
      <c r="B426" s="57">
        <f t="shared" ca="1" si="264"/>
        <v>4.7875297420052308E-4</v>
      </c>
      <c r="C426" s="53">
        <f t="shared" ref="C426:BN426" si="331">IFERROR(IF(C$262=0,0,(C167-C168)/C168),0)</f>
        <v>0</v>
      </c>
      <c r="D426" s="53">
        <f t="shared" si="331"/>
        <v>0</v>
      </c>
      <c r="E426" s="53">
        <f t="shared" si="331"/>
        <v>0</v>
      </c>
      <c r="F426" s="53">
        <f t="shared" si="331"/>
        <v>0</v>
      </c>
      <c r="G426" s="53">
        <f t="shared" si="331"/>
        <v>0</v>
      </c>
      <c r="H426" s="53">
        <f t="shared" si="331"/>
        <v>0</v>
      </c>
      <c r="I426" s="53">
        <f t="shared" si="331"/>
        <v>0</v>
      </c>
      <c r="J426" s="53">
        <f t="shared" si="331"/>
        <v>0</v>
      </c>
      <c r="K426" s="53">
        <f t="shared" si="331"/>
        <v>0</v>
      </c>
      <c r="L426" s="53">
        <f t="shared" si="331"/>
        <v>0</v>
      </c>
      <c r="M426" s="53">
        <f t="shared" si="331"/>
        <v>0</v>
      </c>
      <c r="N426" s="53">
        <f t="shared" si="331"/>
        <v>0</v>
      </c>
      <c r="O426" s="53">
        <f t="shared" si="331"/>
        <v>0</v>
      </c>
      <c r="P426" s="53">
        <f t="shared" si="331"/>
        <v>0</v>
      </c>
      <c r="Q426" s="53">
        <f t="shared" si="331"/>
        <v>0</v>
      </c>
      <c r="R426" s="53">
        <f t="shared" si="331"/>
        <v>0</v>
      </c>
      <c r="S426" s="53">
        <f t="shared" si="331"/>
        <v>0</v>
      </c>
      <c r="T426" s="53">
        <f t="shared" si="331"/>
        <v>0</v>
      </c>
      <c r="U426" s="53">
        <f t="shared" si="331"/>
        <v>0</v>
      </c>
      <c r="V426" s="53">
        <f t="shared" si="331"/>
        <v>0</v>
      </c>
      <c r="W426" s="53">
        <f t="shared" si="331"/>
        <v>0</v>
      </c>
      <c r="X426" s="53">
        <f t="shared" si="331"/>
        <v>0</v>
      </c>
      <c r="Y426" s="53">
        <f t="shared" si="331"/>
        <v>0</v>
      </c>
      <c r="Z426" s="53">
        <f t="shared" si="331"/>
        <v>0</v>
      </c>
      <c r="AA426" s="53">
        <f t="shared" si="331"/>
        <v>0</v>
      </c>
      <c r="AB426" s="53">
        <f t="shared" si="331"/>
        <v>0</v>
      </c>
      <c r="AC426" s="53">
        <f t="shared" si="331"/>
        <v>0</v>
      </c>
      <c r="AD426" s="53">
        <f t="shared" si="331"/>
        <v>0</v>
      </c>
      <c r="AE426" s="53">
        <f t="shared" si="331"/>
        <v>0</v>
      </c>
      <c r="AF426" s="53">
        <f t="shared" si="331"/>
        <v>0</v>
      </c>
      <c r="AG426" s="53">
        <f t="shared" si="331"/>
        <v>0</v>
      </c>
      <c r="AH426" s="53">
        <f t="shared" si="331"/>
        <v>0</v>
      </c>
      <c r="AI426" s="53">
        <f t="shared" si="331"/>
        <v>0</v>
      </c>
      <c r="AJ426" s="53">
        <f t="shared" si="331"/>
        <v>0</v>
      </c>
      <c r="AK426" s="53">
        <f t="shared" si="331"/>
        <v>0</v>
      </c>
      <c r="AL426" s="53">
        <f t="shared" si="331"/>
        <v>0</v>
      </c>
      <c r="AM426" s="53">
        <f t="shared" si="331"/>
        <v>0</v>
      </c>
      <c r="AN426" s="53">
        <f t="shared" si="331"/>
        <v>0</v>
      </c>
      <c r="AO426" s="53">
        <f t="shared" si="331"/>
        <v>0</v>
      </c>
      <c r="AP426" s="53">
        <f t="shared" si="331"/>
        <v>0</v>
      </c>
      <c r="AQ426" s="53">
        <f t="shared" si="331"/>
        <v>0</v>
      </c>
      <c r="AR426" s="53">
        <f t="shared" si="331"/>
        <v>0</v>
      </c>
      <c r="AS426" s="53">
        <f t="shared" si="331"/>
        <v>0</v>
      </c>
      <c r="AT426" s="53">
        <f t="shared" si="331"/>
        <v>0</v>
      </c>
      <c r="AU426" s="53">
        <f t="shared" si="331"/>
        <v>0</v>
      </c>
      <c r="AV426" s="53">
        <f t="shared" si="331"/>
        <v>0</v>
      </c>
      <c r="AW426" s="53">
        <f t="shared" si="331"/>
        <v>0</v>
      </c>
      <c r="AX426" s="53">
        <f t="shared" si="331"/>
        <v>0</v>
      </c>
      <c r="AY426" s="53">
        <f t="shared" si="331"/>
        <v>0</v>
      </c>
      <c r="AZ426" s="53">
        <f t="shared" si="331"/>
        <v>0</v>
      </c>
      <c r="BA426" s="53">
        <f t="shared" si="331"/>
        <v>0</v>
      </c>
      <c r="BB426" s="53">
        <f t="shared" si="331"/>
        <v>0</v>
      </c>
      <c r="BC426" s="53">
        <f t="shared" si="331"/>
        <v>0</v>
      </c>
      <c r="BD426" s="53">
        <f t="shared" si="331"/>
        <v>0</v>
      </c>
      <c r="BE426" s="53">
        <f t="shared" si="331"/>
        <v>0</v>
      </c>
      <c r="BF426" s="53">
        <f t="shared" si="331"/>
        <v>0</v>
      </c>
      <c r="BG426" s="53">
        <f t="shared" si="331"/>
        <v>0</v>
      </c>
      <c r="BH426" s="53">
        <f t="shared" si="331"/>
        <v>0</v>
      </c>
      <c r="BI426" s="53">
        <f t="shared" si="331"/>
        <v>0</v>
      </c>
      <c r="BJ426" s="53">
        <f t="shared" si="331"/>
        <v>0</v>
      </c>
      <c r="BK426" s="53">
        <f t="shared" si="331"/>
        <v>0</v>
      </c>
      <c r="BL426" s="53">
        <f t="shared" si="331"/>
        <v>0</v>
      </c>
      <c r="BM426" s="53">
        <f t="shared" si="331"/>
        <v>0</v>
      </c>
      <c r="BN426" s="53">
        <f t="shared" si="331"/>
        <v>0</v>
      </c>
      <c r="BO426" s="53">
        <f t="shared" ref="BO426:CX426" si="332">IFERROR(IF(BO$262=0,0,(BO167-BO168)/BO168),0)</f>
        <v>0</v>
      </c>
      <c r="BP426" s="53">
        <f t="shared" si="332"/>
        <v>0</v>
      </c>
      <c r="BQ426" s="53">
        <f t="shared" si="332"/>
        <v>0</v>
      </c>
      <c r="BR426" s="53">
        <f t="shared" si="332"/>
        <v>0</v>
      </c>
      <c r="BS426" s="53">
        <f t="shared" si="332"/>
        <v>0</v>
      </c>
      <c r="BT426" s="53">
        <f t="shared" si="332"/>
        <v>0</v>
      </c>
      <c r="BU426" s="53">
        <f t="shared" si="332"/>
        <v>0</v>
      </c>
      <c r="BV426" s="53">
        <f t="shared" si="332"/>
        <v>0</v>
      </c>
      <c r="BW426" s="53">
        <f t="shared" si="332"/>
        <v>0</v>
      </c>
      <c r="BX426" s="53">
        <f t="shared" si="332"/>
        <v>0</v>
      </c>
      <c r="BY426" s="53">
        <f t="shared" si="332"/>
        <v>0</v>
      </c>
      <c r="BZ426" s="53">
        <f t="shared" si="332"/>
        <v>0</v>
      </c>
      <c r="CA426" s="53">
        <f t="shared" si="332"/>
        <v>0</v>
      </c>
      <c r="CB426" s="53">
        <f t="shared" si="332"/>
        <v>0</v>
      </c>
      <c r="CC426" s="53">
        <f t="shared" si="332"/>
        <v>0</v>
      </c>
      <c r="CD426" s="53">
        <f t="shared" si="332"/>
        <v>0</v>
      </c>
      <c r="CE426" s="53">
        <f t="shared" si="332"/>
        <v>0</v>
      </c>
      <c r="CF426" s="53">
        <f t="shared" si="332"/>
        <v>0</v>
      </c>
      <c r="CG426" s="53">
        <f t="shared" si="332"/>
        <v>0</v>
      </c>
      <c r="CH426" s="53">
        <f t="shared" si="332"/>
        <v>0</v>
      </c>
      <c r="CI426" s="53">
        <f t="shared" si="332"/>
        <v>0</v>
      </c>
      <c r="CJ426" s="53">
        <f t="shared" si="332"/>
        <v>0</v>
      </c>
      <c r="CK426" s="53">
        <f t="shared" si="332"/>
        <v>0</v>
      </c>
      <c r="CL426" s="53">
        <f t="shared" si="332"/>
        <v>0</v>
      </c>
      <c r="CM426" s="53">
        <f t="shared" si="332"/>
        <v>0</v>
      </c>
      <c r="CN426" s="53">
        <f t="shared" si="332"/>
        <v>0</v>
      </c>
      <c r="CO426" s="53">
        <f t="shared" si="332"/>
        <v>0</v>
      </c>
      <c r="CP426" s="53">
        <f t="shared" si="332"/>
        <v>0</v>
      </c>
      <c r="CQ426" s="53">
        <f t="shared" si="332"/>
        <v>0</v>
      </c>
      <c r="CR426" s="53">
        <f t="shared" si="332"/>
        <v>0</v>
      </c>
      <c r="CS426" s="53">
        <f t="shared" si="332"/>
        <v>0</v>
      </c>
      <c r="CT426" s="53">
        <f t="shared" si="332"/>
        <v>0</v>
      </c>
      <c r="CU426" s="53">
        <f t="shared" si="332"/>
        <v>0</v>
      </c>
      <c r="CV426" s="53">
        <f t="shared" si="332"/>
        <v>0</v>
      </c>
      <c r="CW426" s="53">
        <f t="shared" si="332"/>
        <v>0</v>
      </c>
      <c r="CX426" s="53">
        <f t="shared" si="332"/>
        <v>0</v>
      </c>
      <c r="DB426" s="2" vm="675">
        <f ca="1">IF(Returns!A430&lt;&gt;0,Returns!A430,"")</f>
        <v>43178</v>
      </c>
      <c r="DC426" s="11">
        <f ca="1">IF(Returns!B441&gt;0,Returns!B441/Returns!B440-1,"")</f>
        <v>2.5859863299097174E-2</v>
      </c>
      <c r="DD426" s="11">
        <f ca="1">IF(Returns!D433&gt;0,Returns!D433/Returns!D432-1,"")</f>
        <v>1.7857504360998977E-2</v>
      </c>
    </row>
    <row r="427" spans="2:108" x14ac:dyDescent="0.3">
      <c r="B427" s="57">
        <f t="shared" ca="1" si="264"/>
        <v>1.8425097596844807E-3</v>
      </c>
      <c r="C427" s="53">
        <f t="shared" ref="C427:BN427" si="333">IFERROR(IF(C$262=0,0,(C168-C169)/C169),0)</f>
        <v>0</v>
      </c>
      <c r="D427" s="53">
        <f t="shared" si="333"/>
        <v>0</v>
      </c>
      <c r="E427" s="53">
        <f t="shared" si="333"/>
        <v>0</v>
      </c>
      <c r="F427" s="53">
        <f t="shared" si="333"/>
        <v>0</v>
      </c>
      <c r="G427" s="53">
        <f t="shared" si="333"/>
        <v>0</v>
      </c>
      <c r="H427" s="53">
        <f t="shared" si="333"/>
        <v>0</v>
      </c>
      <c r="I427" s="53">
        <f t="shared" si="333"/>
        <v>0</v>
      </c>
      <c r="J427" s="53">
        <f t="shared" si="333"/>
        <v>0</v>
      </c>
      <c r="K427" s="53">
        <f t="shared" si="333"/>
        <v>0</v>
      </c>
      <c r="L427" s="53">
        <f t="shared" si="333"/>
        <v>0</v>
      </c>
      <c r="M427" s="53">
        <f t="shared" si="333"/>
        <v>0</v>
      </c>
      <c r="N427" s="53">
        <f t="shared" si="333"/>
        <v>0</v>
      </c>
      <c r="O427" s="53">
        <f t="shared" si="333"/>
        <v>0</v>
      </c>
      <c r="P427" s="53">
        <f t="shared" si="333"/>
        <v>0</v>
      </c>
      <c r="Q427" s="53">
        <f t="shared" si="333"/>
        <v>0</v>
      </c>
      <c r="R427" s="53">
        <f t="shared" si="333"/>
        <v>0</v>
      </c>
      <c r="S427" s="53">
        <f t="shared" si="333"/>
        <v>0</v>
      </c>
      <c r="T427" s="53">
        <f t="shared" si="333"/>
        <v>0</v>
      </c>
      <c r="U427" s="53">
        <f t="shared" si="333"/>
        <v>0</v>
      </c>
      <c r="V427" s="53">
        <f t="shared" si="333"/>
        <v>0</v>
      </c>
      <c r="W427" s="53">
        <f t="shared" si="333"/>
        <v>0</v>
      </c>
      <c r="X427" s="53">
        <f t="shared" si="333"/>
        <v>0</v>
      </c>
      <c r="Y427" s="53">
        <f t="shared" si="333"/>
        <v>0</v>
      </c>
      <c r="Z427" s="53">
        <f t="shared" si="333"/>
        <v>0</v>
      </c>
      <c r="AA427" s="53">
        <f t="shared" si="333"/>
        <v>0</v>
      </c>
      <c r="AB427" s="53">
        <f t="shared" si="333"/>
        <v>0</v>
      </c>
      <c r="AC427" s="53">
        <f t="shared" si="333"/>
        <v>0</v>
      </c>
      <c r="AD427" s="53">
        <f t="shared" si="333"/>
        <v>0</v>
      </c>
      <c r="AE427" s="53">
        <f t="shared" si="333"/>
        <v>0</v>
      </c>
      <c r="AF427" s="53">
        <f t="shared" si="333"/>
        <v>0</v>
      </c>
      <c r="AG427" s="53">
        <f t="shared" si="333"/>
        <v>0</v>
      </c>
      <c r="AH427" s="53">
        <f t="shared" si="333"/>
        <v>0</v>
      </c>
      <c r="AI427" s="53">
        <f t="shared" si="333"/>
        <v>0</v>
      </c>
      <c r="AJ427" s="53">
        <f t="shared" si="333"/>
        <v>0</v>
      </c>
      <c r="AK427" s="53">
        <f t="shared" si="333"/>
        <v>0</v>
      </c>
      <c r="AL427" s="53">
        <f t="shared" si="333"/>
        <v>0</v>
      </c>
      <c r="AM427" s="53">
        <f t="shared" si="333"/>
        <v>0</v>
      </c>
      <c r="AN427" s="53">
        <f t="shared" si="333"/>
        <v>0</v>
      </c>
      <c r="AO427" s="53">
        <f t="shared" si="333"/>
        <v>0</v>
      </c>
      <c r="AP427" s="53">
        <f t="shared" si="333"/>
        <v>0</v>
      </c>
      <c r="AQ427" s="53">
        <f t="shared" si="333"/>
        <v>0</v>
      </c>
      <c r="AR427" s="53">
        <f t="shared" si="333"/>
        <v>0</v>
      </c>
      <c r="AS427" s="53">
        <f t="shared" si="333"/>
        <v>0</v>
      </c>
      <c r="AT427" s="53">
        <f t="shared" si="333"/>
        <v>0</v>
      </c>
      <c r="AU427" s="53">
        <f t="shared" si="333"/>
        <v>0</v>
      </c>
      <c r="AV427" s="53">
        <f t="shared" si="333"/>
        <v>0</v>
      </c>
      <c r="AW427" s="53">
        <f t="shared" si="333"/>
        <v>0</v>
      </c>
      <c r="AX427" s="53">
        <f t="shared" si="333"/>
        <v>0</v>
      </c>
      <c r="AY427" s="53">
        <f t="shared" si="333"/>
        <v>0</v>
      </c>
      <c r="AZ427" s="53">
        <f t="shared" si="333"/>
        <v>0</v>
      </c>
      <c r="BA427" s="53">
        <f t="shared" si="333"/>
        <v>0</v>
      </c>
      <c r="BB427" s="53">
        <f t="shared" si="333"/>
        <v>0</v>
      </c>
      <c r="BC427" s="53">
        <f t="shared" si="333"/>
        <v>0</v>
      </c>
      <c r="BD427" s="53">
        <f t="shared" si="333"/>
        <v>0</v>
      </c>
      <c r="BE427" s="53">
        <f t="shared" si="333"/>
        <v>0</v>
      </c>
      <c r="BF427" s="53">
        <f t="shared" si="333"/>
        <v>0</v>
      </c>
      <c r="BG427" s="53">
        <f t="shared" si="333"/>
        <v>0</v>
      </c>
      <c r="BH427" s="53">
        <f t="shared" si="333"/>
        <v>0</v>
      </c>
      <c r="BI427" s="53">
        <f t="shared" si="333"/>
        <v>0</v>
      </c>
      <c r="BJ427" s="53">
        <f t="shared" si="333"/>
        <v>0</v>
      </c>
      <c r="BK427" s="53">
        <f t="shared" si="333"/>
        <v>0</v>
      </c>
      <c r="BL427" s="53">
        <f t="shared" si="333"/>
        <v>0</v>
      </c>
      <c r="BM427" s="53">
        <f t="shared" si="333"/>
        <v>0</v>
      </c>
      <c r="BN427" s="53">
        <f t="shared" si="333"/>
        <v>0</v>
      </c>
      <c r="BO427" s="53">
        <f t="shared" ref="BO427:CX427" si="334">IFERROR(IF(BO$262=0,0,(BO168-BO169)/BO169),0)</f>
        <v>0</v>
      </c>
      <c r="BP427" s="53">
        <f t="shared" si="334"/>
        <v>0</v>
      </c>
      <c r="BQ427" s="53">
        <f t="shared" si="334"/>
        <v>0</v>
      </c>
      <c r="BR427" s="53">
        <f t="shared" si="334"/>
        <v>0</v>
      </c>
      <c r="BS427" s="53">
        <f t="shared" si="334"/>
        <v>0</v>
      </c>
      <c r="BT427" s="53">
        <f t="shared" si="334"/>
        <v>0</v>
      </c>
      <c r="BU427" s="53">
        <f t="shared" si="334"/>
        <v>0</v>
      </c>
      <c r="BV427" s="53">
        <f t="shared" si="334"/>
        <v>0</v>
      </c>
      <c r="BW427" s="53">
        <f t="shared" si="334"/>
        <v>0</v>
      </c>
      <c r="BX427" s="53">
        <f t="shared" si="334"/>
        <v>0</v>
      </c>
      <c r="BY427" s="53">
        <f t="shared" si="334"/>
        <v>0</v>
      </c>
      <c r="BZ427" s="53">
        <f t="shared" si="334"/>
        <v>0</v>
      </c>
      <c r="CA427" s="53">
        <f t="shared" si="334"/>
        <v>0</v>
      </c>
      <c r="CB427" s="53">
        <f t="shared" si="334"/>
        <v>0</v>
      </c>
      <c r="CC427" s="53">
        <f t="shared" si="334"/>
        <v>0</v>
      </c>
      <c r="CD427" s="53">
        <f t="shared" si="334"/>
        <v>0</v>
      </c>
      <c r="CE427" s="53">
        <f t="shared" si="334"/>
        <v>0</v>
      </c>
      <c r="CF427" s="53">
        <f t="shared" si="334"/>
        <v>0</v>
      </c>
      <c r="CG427" s="53">
        <f t="shared" si="334"/>
        <v>0</v>
      </c>
      <c r="CH427" s="53">
        <f t="shared" si="334"/>
        <v>0</v>
      </c>
      <c r="CI427" s="53">
        <f t="shared" si="334"/>
        <v>0</v>
      </c>
      <c r="CJ427" s="53">
        <f t="shared" si="334"/>
        <v>0</v>
      </c>
      <c r="CK427" s="53">
        <f t="shared" si="334"/>
        <v>0</v>
      </c>
      <c r="CL427" s="53">
        <f t="shared" si="334"/>
        <v>0</v>
      </c>
      <c r="CM427" s="53">
        <f t="shared" si="334"/>
        <v>0</v>
      </c>
      <c r="CN427" s="53">
        <f t="shared" si="334"/>
        <v>0</v>
      </c>
      <c r="CO427" s="53">
        <f t="shared" si="334"/>
        <v>0</v>
      </c>
      <c r="CP427" s="53">
        <f t="shared" si="334"/>
        <v>0</v>
      </c>
      <c r="CQ427" s="53">
        <f t="shared" si="334"/>
        <v>0</v>
      </c>
      <c r="CR427" s="53">
        <f t="shared" si="334"/>
        <v>0</v>
      </c>
      <c r="CS427" s="53">
        <f t="shared" si="334"/>
        <v>0</v>
      </c>
      <c r="CT427" s="53">
        <f t="shared" si="334"/>
        <v>0</v>
      </c>
      <c r="CU427" s="53">
        <f t="shared" si="334"/>
        <v>0</v>
      </c>
      <c r="CV427" s="53">
        <f t="shared" si="334"/>
        <v>0</v>
      </c>
      <c r="CW427" s="53">
        <f t="shared" si="334"/>
        <v>0</v>
      </c>
      <c r="CX427" s="53">
        <f t="shared" si="334"/>
        <v>0</v>
      </c>
      <c r="DB427" s="2" vm="676">
        <f ca="1">IF(Returns!A431&lt;&gt;0,Returns!A431,"")</f>
        <v>43185</v>
      </c>
      <c r="DC427" s="11">
        <f ca="1">IF(Returns!B442&gt;0,Returns!B442/Returns!B441-1,"")</f>
        <v>1.8990611583204142E-2</v>
      </c>
      <c r="DD427" s="11">
        <f ca="1">IF(Returns!D434&gt;0,Returns!D434/Returns!D433-1,"")</f>
        <v>4.2199919423293597E-3</v>
      </c>
    </row>
    <row r="428" spans="2:108" x14ac:dyDescent="0.3">
      <c r="B428" s="57">
        <f t="shared" ca="1" si="264"/>
        <v>2.7193769749377306E-4</v>
      </c>
      <c r="C428" s="53">
        <f t="shared" ref="C428:BN428" si="335">IFERROR(IF(C$262=0,0,(C169-C170)/C170),0)</f>
        <v>0</v>
      </c>
      <c r="D428" s="53">
        <f t="shared" si="335"/>
        <v>0</v>
      </c>
      <c r="E428" s="53">
        <f t="shared" si="335"/>
        <v>0</v>
      </c>
      <c r="F428" s="53">
        <f t="shared" si="335"/>
        <v>0</v>
      </c>
      <c r="G428" s="53">
        <f t="shared" si="335"/>
        <v>0</v>
      </c>
      <c r="H428" s="53">
        <f t="shared" si="335"/>
        <v>0</v>
      </c>
      <c r="I428" s="53">
        <f t="shared" si="335"/>
        <v>0</v>
      </c>
      <c r="J428" s="53">
        <f t="shared" si="335"/>
        <v>0</v>
      </c>
      <c r="K428" s="53">
        <f t="shared" si="335"/>
        <v>0</v>
      </c>
      <c r="L428" s="53">
        <f t="shared" si="335"/>
        <v>0</v>
      </c>
      <c r="M428" s="53">
        <f t="shared" si="335"/>
        <v>0</v>
      </c>
      <c r="N428" s="53">
        <f t="shared" si="335"/>
        <v>0</v>
      </c>
      <c r="O428" s="53">
        <f t="shared" si="335"/>
        <v>0</v>
      </c>
      <c r="P428" s="53">
        <f t="shared" si="335"/>
        <v>0</v>
      </c>
      <c r="Q428" s="53">
        <f t="shared" si="335"/>
        <v>0</v>
      </c>
      <c r="R428" s="53">
        <f t="shared" si="335"/>
        <v>0</v>
      </c>
      <c r="S428" s="53">
        <f t="shared" si="335"/>
        <v>0</v>
      </c>
      <c r="T428" s="53">
        <f t="shared" si="335"/>
        <v>0</v>
      </c>
      <c r="U428" s="53">
        <f t="shared" si="335"/>
        <v>0</v>
      </c>
      <c r="V428" s="53">
        <f t="shared" si="335"/>
        <v>0</v>
      </c>
      <c r="W428" s="53">
        <f t="shared" si="335"/>
        <v>0</v>
      </c>
      <c r="X428" s="53">
        <f t="shared" si="335"/>
        <v>0</v>
      </c>
      <c r="Y428" s="53">
        <f t="shared" si="335"/>
        <v>0</v>
      </c>
      <c r="Z428" s="53">
        <f t="shared" si="335"/>
        <v>0</v>
      </c>
      <c r="AA428" s="53">
        <f t="shared" si="335"/>
        <v>0</v>
      </c>
      <c r="AB428" s="53">
        <f t="shared" si="335"/>
        <v>0</v>
      </c>
      <c r="AC428" s="53">
        <f t="shared" si="335"/>
        <v>0</v>
      </c>
      <c r="AD428" s="53">
        <f t="shared" si="335"/>
        <v>0</v>
      </c>
      <c r="AE428" s="53">
        <f t="shared" si="335"/>
        <v>0</v>
      </c>
      <c r="AF428" s="53">
        <f t="shared" si="335"/>
        <v>0</v>
      </c>
      <c r="AG428" s="53">
        <f t="shared" si="335"/>
        <v>0</v>
      </c>
      <c r="AH428" s="53">
        <f t="shared" si="335"/>
        <v>0</v>
      </c>
      <c r="AI428" s="53">
        <f t="shared" si="335"/>
        <v>0</v>
      </c>
      <c r="AJ428" s="53">
        <f t="shared" si="335"/>
        <v>0</v>
      </c>
      <c r="AK428" s="53">
        <f t="shared" si="335"/>
        <v>0</v>
      </c>
      <c r="AL428" s="53">
        <f t="shared" si="335"/>
        <v>0</v>
      </c>
      <c r="AM428" s="53">
        <f t="shared" si="335"/>
        <v>0</v>
      </c>
      <c r="AN428" s="53">
        <f t="shared" si="335"/>
        <v>0</v>
      </c>
      <c r="AO428" s="53">
        <f t="shared" si="335"/>
        <v>0</v>
      </c>
      <c r="AP428" s="53">
        <f t="shared" si="335"/>
        <v>0</v>
      </c>
      <c r="AQ428" s="53">
        <f t="shared" si="335"/>
        <v>0</v>
      </c>
      <c r="AR428" s="53">
        <f t="shared" si="335"/>
        <v>0</v>
      </c>
      <c r="AS428" s="53">
        <f t="shared" si="335"/>
        <v>0</v>
      </c>
      <c r="AT428" s="53">
        <f t="shared" si="335"/>
        <v>0</v>
      </c>
      <c r="AU428" s="53">
        <f t="shared" si="335"/>
        <v>0</v>
      </c>
      <c r="AV428" s="53">
        <f t="shared" si="335"/>
        <v>0</v>
      </c>
      <c r="AW428" s="53">
        <f t="shared" si="335"/>
        <v>0</v>
      </c>
      <c r="AX428" s="53">
        <f t="shared" si="335"/>
        <v>0</v>
      </c>
      <c r="AY428" s="53">
        <f t="shared" si="335"/>
        <v>0</v>
      </c>
      <c r="AZ428" s="53">
        <f t="shared" si="335"/>
        <v>0</v>
      </c>
      <c r="BA428" s="53">
        <f t="shared" si="335"/>
        <v>0</v>
      </c>
      <c r="BB428" s="53">
        <f t="shared" si="335"/>
        <v>0</v>
      </c>
      <c r="BC428" s="53">
        <f t="shared" si="335"/>
        <v>0</v>
      </c>
      <c r="BD428" s="53">
        <f t="shared" si="335"/>
        <v>0</v>
      </c>
      <c r="BE428" s="53">
        <f t="shared" si="335"/>
        <v>0</v>
      </c>
      <c r="BF428" s="53">
        <f t="shared" si="335"/>
        <v>0</v>
      </c>
      <c r="BG428" s="53">
        <f t="shared" si="335"/>
        <v>0</v>
      </c>
      <c r="BH428" s="53">
        <f t="shared" si="335"/>
        <v>0</v>
      </c>
      <c r="BI428" s="53">
        <f t="shared" si="335"/>
        <v>0</v>
      </c>
      <c r="BJ428" s="53">
        <f t="shared" si="335"/>
        <v>0</v>
      </c>
      <c r="BK428" s="53">
        <f t="shared" si="335"/>
        <v>0</v>
      </c>
      <c r="BL428" s="53">
        <f t="shared" si="335"/>
        <v>0</v>
      </c>
      <c r="BM428" s="53">
        <f t="shared" si="335"/>
        <v>0</v>
      </c>
      <c r="BN428" s="53">
        <f t="shared" si="335"/>
        <v>0</v>
      </c>
      <c r="BO428" s="53">
        <f t="shared" ref="BO428:CX428" si="336">IFERROR(IF(BO$262=0,0,(BO169-BO170)/BO170),0)</f>
        <v>0</v>
      </c>
      <c r="BP428" s="53">
        <f t="shared" si="336"/>
        <v>0</v>
      </c>
      <c r="BQ428" s="53">
        <f t="shared" si="336"/>
        <v>0</v>
      </c>
      <c r="BR428" s="53">
        <f t="shared" si="336"/>
        <v>0</v>
      </c>
      <c r="BS428" s="53">
        <f t="shared" si="336"/>
        <v>0</v>
      </c>
      <c r="BT428" s="53">
        <f t="shared" si="336"/>
        <v>0</v>
      </c>
      <c r="BU428" s="53">
        <f t="shared" si="336"/>
        <v>0</v>
      </c>
      <c r="BV428" s="53">
        <f t="shared" si="336"/>
        <v>0</v>
      </c>
      <c r="BW428" s="53">
        <f t="shared" si="336"/>
        <v>0</v>
      </c>
      <c r="BX428" s="53">
        <f t="shared" si="336"/>
        <v>0</v>
      </c>
      <c r="BY428" s="53">
        <f t="shared" si="336"/>
        <v>0</v>
      </c>
      <c r="BZ428" s="53">
        <f t="shared" si="336"/>
        <v>0</v>
      </c>
      <c r="CA428" s="53">
        <f t="shared" si="336"/>
        <v>0</v>
      </c>
      <c r="CB428" s="53">
        <f t="shared" si="336"/>
        <v>0</v>
      </c>
      <c r="CC428" s="53">
        <f t="shared" si="336"/>
        <v>0</v>
      </c>
      <c r="CD428" s="53">
        <f t="shared" si="336"/>
        <v>0</v>
      </c>
      <c r="CE428" s="53">
        <f t="shared" si="336"/>
        <v>0</v>
      </c>
      <c r="CF428" s="53">
        <f t="shared" si="336"/>
        <v>0</v>
      </c>
      <c r="CG428" s="53">
        <f t="shared" si="336"/>
        <v>0</v>
      </c>
      <c r="CH428" s="53">
        <f t="shared" si="336"/>
        <v>0</v>
      </c>
      <c r="CI428" s="53">
        <f t="shared" si="336"/>
        <v>0</v>
      </c>
      <c r="CJ428" s="53">
        <f t="shared" si="336"/>
        <v>0</v>
      </c>
      <c r="CK428" s="53">
        <f t="shared" si="336"/>
        <v>0</v>
      </c>
      <c r="CL428" s="53">
        <f t="shared" si="336"/>
        <v>0</v>
      </c>
      <c r="CM428" s="53">
        <f t="shared" si="336"/>
        <v>0</v>
      </c>
      <c r="CN428" s="53">
        <f t="shared" si="336"/>
        <v>0</v>
      </c>
      <c r="CO428" s="53">
        <f t="shared" si="336"/>
        <v>0</v>
      </c>
      <c r="CP428" s="53">
        <f t="shared" si="336"/>
        <v>0</v>
      </c>
      <c r="CQ428" s="53">
        <f t="shared" si="336"/>
        <v>0</v>
      </c>
      <c r="CR428" s="53">
        <f t="shared" si="336"/>
        <v>0</v>
      </c>
      <c r="CS428" s="53">
        <f t="shared" si="336"/>
        <v>0</v>
      </c>
      <c r="CT428" s="53">
        <f t="shared" si="336"/>
        <v>0</v>
      </c>
      <c r="CU428" s="53">
        <f t="shared" si="336"/>
        <v>0</v>
      </c>
      <c r="CV428" s="53">
        <f t="shared" si="336"/>
        <v>0</v>
      </c>
      <c r="CW428" s="53">
        <f t="shared" si="336"/>
        <v>0</v>
      </c>
      <c r="CX428" s="53">
        <f t="shared" si="336"/>
        <v>0</v>
      </c>
      <c r="DB428" s="2" vm="677">
        <f ca="1">IF(Returns!A432&lt;&gt;0,Returns!A432,"")</f>
        <v>43192</v>
      </c>
      <c r="DC428" s="11">
        <f ca="1">IF(Returns!B443&gt;0,Returns!B443/Returns!B442-1,"")</f>
        <v>-1.7482823126280245E-4</v>
      </c>
      <c r="DD428" s="11">
        <f ca="1">IF(Returns!D435&gt;0,Returns!D435/Returns!D434-1,"")</f>
        <v>-6.2034691830532562E-3</v>
      </c>
    </row>
    <row r="429" spans="2:108" x14ac:dyDescent="0.3">
      <c r="B429" s="57">
        <f t="shared" ca="1" si="264"/>
        <v>1.5297250052110696E-3</v>
      </c>
      <c r="C429" s="53">
        <f t="shared" ref="C429:BN429" si="337">IFERROR(IF(C$262=0,0,(C170-C171)/C171),0)</f>
        <v>0</v>
      </c>
      <c r="D429" s="53">
        <f t="shared" si="337"/>
        <v>0</v>
      </c>
      <c r="E429" s="53">
        <f t="shared" si="337"/>
        <v>0</v>
      </c>
      <c r="F429" s="53">
        <f t="shared" si="337"/>
        <v>0</v>
      </c>
      <c r="G429" s="53">
        <f t="shared" si="337"/>
        <v>0</v>
      </c>
      <c r="H429" s="53">
        <f t="shared" si="337"/>
        <v>0</v>
      </c>
      <c r="I429" s="53">
        <f t="shared" si="337"/>
        <v>0</v>
      </c>
      <c r="J429" s="53">
        <f t="shared" si="337"/>
        <v>0</v>
      </c>
      <c r="K429" s="53">
        <f t="shared" si="337"/>
        <v>0</v>
      </c>
      <c r="L429" s="53">
        <f t="shared" si="337"/>
        <v>0</v>
      </c>
      <c r="M429" s="53">
        <f t="shared" si="337"/>
        <v>0</v>
      </c>
      <c r="N429" s="53">
        <f t="shared" si="337"/>
        <v>0</v>
      </c>
      <c r="O429" s="53">
        <f t="shared" si="337"/>
        <v>0</v>
      </c>
      <c r="P429" s="53">
        <f t="shared" si="337"/>
        <v>0</v>
      </c>
      <c r="Q429" s="53">
        <f t="shared" si="337"/>
        <v>0</v>
      </c>
      <c r="R429" s="53">
        <f t="shared" si="337"/>
        <v>0</v>
      </c>
      <c r="S429" s="53">
        <f t="shared" si="337"/>
        <v>0</v>
      </c>
      <c r="T429" s="53">
        <f t="shared" si="337"/>
        <v>0</v>
      </c>
      <c r="U429" s="53">
        <f t="shared" si="337"/>
        <v>0</v>
      </c>
      <c r="V429" s="53">
        <f t="shared" si="337"/>
        <v>0</v>
      </c>
      <c r="W429" s="53">
        <f t="shared" si="337"/>
        <v>0</v>
      </c>
      <c r="X429" s="53">
        <f t="shared" si="337"/>
        <v>0</v>
      </c>
      <c r="Y429" s="53">
        <f t="shared" si="337"/>
        <v>0</v>
      </c>
      <c r="Z429" s="53">
        <f t="shared" si="337"/>
        <v>0</v>
      </c>
      <c r="AA429" s="53">
        <f t="shared" si="337"/>
        <v>0</v>
      </c>
      <c r="AB429" s="53">
        <f t="shared" si="337"/>
        <v>0</v>
      </c>
      <c r="AC429" s="53">
        <f t="shared" si="337"/>
        <v>0</v>
      </c>
      <c r="AD429" s="53">
        <f t="shared" si="337"/>
        <v>0</v>
      </c>
      <c r="AE429" s="53">
        <f t="shared" si="337"/>
        <v>0</v>
      </c>
      <c r="AF429" s="53">
        <f t="shared" si="337"/>
        <v>0</v>
      </c>
      <c r="AG429" s="53">
        <f t="shared" si="337"/>
        <v>0</v>
      </c>
      <c r="AH429" s="53">
        <f t="shared" si="337"/>
        <v>0</v>
      </c>
      <c r="AI429" s="53">
        <f t="shared" si="337"/>
        <v>0</v>
      </c>
      <c r="AJ429" s="53">
        <f t="shared" si="337"/>
        <v>0</v>
      </c>
      <c r="AK429" s="53">
        <f t="shared" si="337"/>
        <v>0</v>
      </c>
      <c r="AL429" s="53">
        <f t="shared" si="337"/>
        <v>0</v>
      </c>
      <c r="AM429" s="53">
        <f t="shared" si="337"/>
        <v>0</v>
      </c>
      <c r="AN429" s="53">
        <f t="shared" si="337"/>
        <v>0</v>
      </c>
      <c r="AO429" s="53">
        <f t="shared" si="337"/>
        <v>0</v>
      </c>
      <c r="AP429" s="53">
        <f t="shared" si="337"/>
        <v>0</v>
      </c>
      <c r="AQ429" s="53">
        <f t="shared" si="337"/>
        <v>0</v>
      </c>
      <c r="AR429" s="53">
        <f t="shared" si="337"/>
        <v>0</v>
      </c>
      <c r="AS429" s="53">
        <f t="shared" si="337"/>
        <v>0</v>
      </c>
      <c r="AT429" s="53">
        <f t="shared" si="337"/>
        <v>0</v>
      </c>
      <c r="AU429" s="53">
        <f t="shared" si="337"/>
        <v>0</v>
      </c>
      <c r="AV429" s="53">
        <f t="shared" si="337"/>
        <v>0</v>
      </c>
      <c r="AW429" s="53">
        <f t="shared" si="337"/>
        <v>0</v>
      </c>
      <c r="AX429" s="53">
        <f t="shared" si="337"/>
        <v>0</v>
      </c>
      <c r="AY429" s="53">
        <f t="shared" si="337"/>
        <v>0</v>
      </c>
      <c r="AZ429" s="53">
        <f t="shared" si="337"/>
        <v>0</v>
      </c>
      <c r="BA429" s="53">
        <f t="shared" si="337"/>
        <v>0</v>
      </c>
      <c r="BB429" s="53">
        <f t="shared" si="337"/>
        <v>0</v>
      </c>
      <c r="BC429" s="53">
        <f t="shared" si="337"/>
        <v>0</v>
      </c>
      <c r="BD429" s="53">
        <f t="shared" si="337"/>
        <v>0</v>
      </c>
      <c r="BE429" s="53">
        <f t="shared" si="337"/>
        <v>0</v>
      </c>
      <c r="BF429" s="53">
        <f t="shared" si="337"/>
        <v>0</v>
      </c>
      <c r="BG429" s="53">
        <f t="shared" si="337"/>
        <v>0</v>
      </c>
      <c r="BH429" s="53">
        <f t="shared" si="337"/>
        <v>0</v>
      </c>
      <c r="BI429" s="53">
        <f t="shared" si="337"/>
        <v>0</v>
      </c>
      <c r="BJ429" s="53">
        <f t="shared" si="337"/>
        <v>0</v>
      </c>
      <c r="BK429" s="53">
        <f t="shared" si="337"/>
        <v>0</v>
      </c>
      <c r="BL429" s="53">
        <f t="shared" si="337"/>
        <v>0</v>
      </c>
      <c r="BM429" s="53">
        <f t="shared" si="337"/>
        <v>0</v>
      </c>
      <c r="BN429" s="53">
        <f t="shared" si="337"/>
        <v>0</v>
      </c>
      <c r="BO429" s="53">
        <f t="shared" ref="BO429:CX429" si="338">IFERROR(IF(BO$262=0,0,(BO170-BO171)/BO171),0)</f>
        <v>0</v>
      </c>
      <c r="BP429" s="53">
        <f t="shared" si="338"/>
        <v>0</v>
      </c>
      <c r="BQ429" s="53">
        <f t="shared" si="338"/>
        <v>0</v>
      </c>
      <c r="BR429" s="53">
        <f t="shared" si="338"/>
        <v>0</v>
      </c>
      <c r="BS429" s="53">
        <f t="shared" si="338"/>
        <v>0</v>
      </c>
      <c r="BT429" s="53">
        <f t="shared" si="338"/>
        <v>0</v>
      </c>
      <c r="BU429" s="53">
        <f t="shared" si="338"/>
        <v>0</v>
      </c>
      <c r="BV429" s="53">
        <f t="shared" si="338"/>
        <v>0</v>
      </c>
      <c r="BW429" s="53">
        <f t="shared" si="338"/>
        <v>0</v>
      </c>
      <c r="BX429" s="53">
        <f t="shared" si="338"/>
        <v>0</v>
      </c>
      <c r="BY429" s="53">
        <f t="shared" si="338"/>
        <v>0</v>
      </c>
      <c r="BZ429" s="53">
        <f t="shared" si="338"/>
        <v>0</v>
      </c>
      <c r="CA429" s="53">
        <f t="shared" si="338"/>
        <v>0</v>
      </c>
      <c r="CB429" s="53">
        <f t="shared" si="338"/>
        <v>0</v>
      </c>
      <c r="CC429" s="53">
        <f t="shared" si="338"/>
        <v>0</v>
      </c>
      <c r="CD429" s="53">
        <f t="shared" si="338"/>
        <v>0</v>
      </c>
      <c r="CE429" s="53">
        <f t="shared" si="338"/>
        <v>0</v>
      </c>
      <c r="CF429" s="53">
        <f t="shared" si="338"/>
        <v>0</v>
      </c>
      <c r="CG429" s="53">
        <f t="shared" si="338"/>
        <v>0</v>
      </c>
      <c r="CH429" s="53">
        <f t="shared" si="338"/>
        <v>0</v>
      </c>
      <c r="CI429" s="53">
        <f t="shared" si="338"/>
        <v>0</v>
      </c>
      <c r="CJ429" s="53">
        <f t="shared" si="338"/>
        <v>0</v>
      </c>
      <c r="CK429" s="53">
        <f t="shared" si="338"/>
        <v>0</v>
      </c>
      <c r="CL429" s="53">
        <f t="shared" si="338"/>
        <v>0</v>
      </c>
      <c r="CM429" s="53">
        <f t="shared" si="338"/>
        <v>0</v>
      </c>
      <c r="CN429" s="53">
        <f t="shared" si="338"/>
        <v>0</v>
      </c>
      <c r="CO429" s="53">
        <f t="shared" si="338"/>
        <v>0</v>
      </c>
      <c r="CP429" s="53">
        <f t="shared" si="338"/>
        <v>0</v>
      </c>
      <c r="CQ429" s="53">
        <f t="shared" si="338"/>
        <v>0</v>
      </c>
      <c r="CR429" s="53">
        <f t="shared" si="338"/>
        <v>0</v>
      </c>
      <c r="CS429" s="53">
        <f t="shared" si="338"/>
        <v>0</v>
      </c>
      <c r="CT429" s="53">
        <f t="shared" si="338"/>
        <v>0</v>
      </c>
      <c r="CU429" s="53">
        <f t="shared" si="338"/>
        <v>0</v>
      </c>
      <c r="CV429" s="53">
        <f t="shared" si="338"/>
        <v>0</v>
      </c>
      <c r="CW429" s="53">
        <f t="shared" si="338"/>
        <v>0</v>
      </c>
      <c r="CX429" s="53">
        <f t="shared" si="338"/>
        <v>0</v>
      </c>
      <c r="DB429" s="2" vm="678">
        <f ca="1">IF(Returns!A433&lt;&gt;0,Returns!A433,"")</f>
        <v>43199</v>
      </c>
      <c r="DC429" s="11">
        <f ca="1">IF(Returns!B444&gt;0,Returns!B444/Returns!B443-1,"")</f>
        <v>-9.2500306002903931E-3</v>
      </c>
      <c r="DD429" s="11">
        <f ca="1">IF(Returns!D436&gt;0,Returns!D436/Returns!D435-1,"")</f>
        <v>-2.0023745612605115E-3</v>
      </c>
    </row>
    <row r="430" spans="2:108" x14ac:dyDescent="0.3">
      <c r="B430" s="57">
        <f t="shared" ca="1" si="264"/>
        <v>1.7996063836184565E-4</v>
      </c>
      <c r="C430" s="53">
        <f t="shared" ref="C430:BN430" si="339">IFERROR(IF(C$262=0,0,(C171-C172)/C172),0)</f>
        <v>0</v>
      </c>
      <c r="D430" s="53">
        <f t="shared" si="339"/>
        <v>0</v>
      </c>
      <c r="E430" s="53">
        <f t="shared" si="339"/>
        <v>0</v>
      </c>
      <c r="F430" s="53">
        <f t="shared" si="339"/>
        <v>0</v>
      </c>
      <c r="G430" s="53">
        <f t="shared" si="339"/>
        <v>0</v>
      </c>
      <c r="H430" s="53">
        <f t="shared" si="339"/>
        <v>0</v>
      </c>
      <c r="I430" s="53">
        <f t="shared" si="339"/>
        <v>0</v>
      </c>
      <c r="J430" s="53">
        <f t="shared" si="339"/>
        <v>0</v>
      </c>
      <c r="K430" s="53">
        <f t="shared" si="339"/>
        <v>0</v>
      </c>
      <c r="L430" s="53">
        <f t="shared" si="339"/>
        <v>0</v>
      </c>
      <c r="M430" s="53">
        <f t="shared" si="339"/>
        <v>0</v>
      </c>
      <c r="N430" s="53">
        <f t="shared" si="339"/>
        <v>0</v>
      </c>
      <c r="O430" s="53">
        <f t="shared" si="339"/>
        <v>0</v>
      </c>
      <c r="P430" s="53">
        <f t="shared" si="339"/>
        <v>0</v>
      </c>
      <c r="Q430" s="53">
        <f t="shared" si="339"/>
        <v>0</v>
      </c>
      <c r="R430" s="53">
        <f t="shared" si="339"/>
        <v>0</v>
      </c>
      <c r="S430" s="53">
        <f t="shared" si="339"/>
        <v>0</v>
      </c>
      <c r="T430" s="53">
        <f t="shared" si="339"/>
        <v>0</v>
      </c>
      <c r="U430" s="53">
        <f t="shared" si="339"/>
        <v>0</v>
      </c>
      <c r="V430" s="53">
        <f t="shared" si="339"/>
        <v>0</v>
      </c>
      <c r="W430" s="53">
        <f t="shared" si="339"/>
        <v>0</v>
      </c>
      <c r="X430" s="53">
        <f t="shared" si="339"/>
        <v>0</v>
      </c>
      <c r="Y430" s="53">
        <f t="shared" si="339"/>
        <v>0</v>
      </c>
      <c r="Z430" s="53">
        <f t="shared" si="339"/>
        <v>0</v>
      </c>
      <c r="AA430" s="53">
        <f t="shared" si="339"/>
        <v>0</v>
      </c>
      <c r="AB430" s="53">
        <f t="shared" si="339"/>
        <v>0</v>
      </c>
      <c r="AC430" s="53">
        <f t="shared" si="339"/>
        <v>0</v>
      </c>
      <c r="AD430" s="53">
        <f t="shared" si="339"/>
        <v>0</v>
      </c>
      <c r="AE430" s="53">
        <f t="shared" si="339"/>
        <v>0</v>
      </c>
      <c r="AF430" s="53">
        <f t="shared" si="339"/>
        <v>0</v>
      </c>
      <c r="AG430" s="53">
        <f t="shared" si="339"/>
        <v>0</v>
      </c>
      <c r="AH430" s="53">
        <f t="shared" si="339"/>
        <v>0</v>
      </c>
      <c r="AI430" s="53">
        <f t="shared" si="339"/>
        <v>0</v>
      </c>
      <c r="AJ430" s="53">
        <f t="shared" si="339"/>
        <v>0</v>
      </c>
      <c r="AK430" s="53">
        <f t="shared" si="339"/>
        <v>0</v>
      </c>
      <c r="AL430" s="53">
        <f t="shared" si="339"/>
        <v>0</v>
      </c>
      <c r="AM430" s="53">
        <f t="shared" si="339"/>
        <v>0</v>
      </c>
      <c r="AN430" s="53">
        <f t="shared" si="339"/>
        <v>0</v>
      </c>
      <c r="AO430" s="53">
        <f t="shared" si="339"/>
        <v>0</v>
      </c>
      <c r="AP430" s="53">
        <f t="shared" si="339"/>
        <v>0</v>
      </c>
      <c r="AQ430" s="53">
        <f t="shared" si="339"/>
        <v>0</v>
      </c>
      <c r="AR430" s="53">
        <f t="shared" si="339"/>
        <v>0</v>
      </c>
      <c r="AS430" s="53">
        <f t="shared" si="339"/>
        <v>0</v>
      </c>
      <c r="AT430" s="53">
        <f t="shared" si="339"/>
        <v>0</v>
      </c>
      <c r="AU430" s="53">
        <f t="shared" si="339"/>
        <v>0</v>
      </c>
      <c r="AV430" s="53">
        <f t="shared" si="339"/>
        <v>0</v>
      </c>
      <c r="AW430" s="53">
        <f t="shared" si="339"/>
        <v>0</v>
      </c>
      <c r="AX430" s="53">
        <f t="shared" si="339"/>
        <v>0</v>
      </c>
      <c r="AY430" s="53">
        <f t="shared" si="339"/>
        <v>0</v>
      </c>
      <c r="AZ430" s="53">
        <f t="shared" si="339"/>
        <v>0</v>
      </c>
      <c r="BA430" s="53">
        <f t="shared" si="339"/>
        <v>0</v>
      </c>
      <c r="BB430" s="53">
        <f t="shared" si="339"/>
        <v>0</v>
      </c>
      <c r="BC430" s="53">
        <f t="shared" si="339"/>
        <v>0</v>
      </c>
      <c r="BD430" s="53">
        <f t="shared" si="339"/>
        <v>0</v>
      </c>
      <c r="BE430" s="53">
        <f t="shared" si="339"/>
        <v>0</v>
      </c>
      <c r="BF430" s="53">
        <f t="shared" si="339"/>
        <v>0</v>
      </c>
      <c r="BG430" s="53">
        <f t="shared" si="339"/>
        <v>0</v>
      </c>
      <c r="BH430" s="53">
        <f t="shared" si="339"/>
        <v>0</v>
      </c>
      <c r="BI430" s="53">
        <f t="shared" si="339"/>
        <v>0</v>
      </c>
      <c r="BJ430" s="53">
        <f t="shared" si="339"/>
        <v>0</v>
      </c>
      <c r="BK430" s="53">
        <f t="shared" si="339"/>
        <v>0</v>
      </c>
      <c r="BL430" s="53">
        <f t="shared" si="339"/>
        <v>0</v>
      </c>
      <c r="BM430" s="53">
        <f t="shared" si="339"/>
        <v>0</v>
      </c>
      <c r="BN430" s="53">
        <f t="shared" si="339"/>
        <v>0</v>
      </c>
      <c r="BO430" s="53">
        <f t="shared" ref="BO430:CX430" si="340">IFERROR(IF(BO$262=0,0,(BO171-BO172)/BO172),0)</f>
        <v>0</v>
      </c>
      <c r="BP430" s="53">
        <f t="shared" si="340"/>
        <v>0</v>
      </c>
      <c r="BQ430" s="53">
        <f t="shared" si="340"/>
        <v>0</v>
      </c>
      <c r="BR430" s="53">
        <f t="shared" si="340"/>
        <v>0</v>
      </c>
      <c r="BS430" s="53">
        <f t="shared" si="340"/>
        <v>0</v>
      </c>
      <c r="BT430" s="53">
        <f t="shared" si="340"/>
        <v>0</v>
      </c>
      <c r="BU430" s="53">
        <f t="shared" si="340"/>
        <v>0</v>
      </c>
      <c r="BV430" s="53">
        <f t="shared" si="340"/>
        <v>0</v>
      </c>
      <c r="BW430" s="53">
        <f t="shared" si="340"/>
        <v>0</v>
      </c>
      <c r="BX430" s="53">
        <f t="shared" si="340"/>
        <v>0</v>
      </c>
      <c r="BY430" s="53">
        <f t="shared" si="340"/>
        <v>0</v>
      </c>
      <c r="BZ430" s="53">
        <f t="shared" si="340"/>
        <v>0</v>
      </c>
      <c r="CA430" s="53">
        <f t="shared" si="340"/>
        <v>0</v>
      </c>
      <c r="CB430" s="53">
        <f t="shared" si="340"/>
        <v>0</v>
      </c>
      <c r="CC430" s="53">
        <f t="shared" si="340"/>
        <v>0</v>
      </c>
      <c r="CD430" s="53">
        <f t="shared" si="340"/>
        <v>0</v>
      </c>
      <c r="CE430" s="53">
        <f t="shared" si="340"/>
        <v>0</v>
      </c>
      <c r="CF430" s="53">
        <f t="shared" si="340"/>
        <v>0</v>
      </c>
      <c r="CG430" s="53">
        <f t="shared" si="340"/>
        <v>0</v>
      </c>
      <c r="CH430" s="53">
        <f t="shared" si="340"/>
        <v>0</v>
      </c>
      <c r="CI430" s="53">
        <f t="shared" si="340"/>
        <v>0</v>
      </c>
      <c r="CJ430" s="53">
        <f t="shared" si="340"/>
        <v>0</v>
      </c>
      <c r="CK430" s="53">
        <f t="shared" si="340"/>
        <v>0</v>
      </c>
      <c r="CL430" s="53">
        <f t="shared" si="340"/>
        <v>0</v>
      </c>
      <c r="CM430" s="53">
        <f t="shared" si="340"/>
        <v>0</v>
      </c>
      <c r="CN430" s="53">
        <f t="shared" si="340"/>
        <v>0</v>
      </c>
      <c r="CO430" s="53">
        <f t="shared" si="340"/>
        <v>0</v>
      </c>
      <c r="CP430" s="53">
        <f t="shared" si="340"/>
        <v>0</v>
      </c>
      <c r="CQ430" s="53">
        <f t="shared" si="340"/>
        <v>0</v>
      </c>
      <c r="CR430" s="53">
        <f t="shared" si="340"/>
        <v>0</v>
      </c>
      <c r="CS430" s="53">
        <f t="shared" si="340"/>
        <v>0</v>
      </c>
      <c r="CT430" s="53">
        <f t="shared" si="340"/>
        <v>0</v>
      </c>
      <c r="CU430" s="53">
        <f t="shared" si="340"/>
        <v>0</v>
      </c>
      <c r="CV430" s="53">
        <f t="shared" si="340"/>
        <v>0</v>
      </c>
      <c r="CW430" s="53">
        <f t="shared" si="340"/>
        <v>0</v>
      </c>
      <c r="CX430" s="53">
        <f t="shared" si="340"/>
        <v>0</v>
      </c>
      <c r="DB430" s="2" vm="679">
        <f ca="1">IF(Returns!A434&lt;&gt;0,Returns!A434,"")</f>
        <v>43206</v>
      </c>
      <c r="DC430" s="11">
        <f ca="1">IF(Returns!B445&gt;0,Returns!B445/Returns!B444-1,"")</f>
        <v>6.3713378044476521E-3</v>
      </c>
      <c r="DD430" s="11">
        <f ca="1">IF(Returns!D437&gt;0,Returns!D437/Returns!D436-1,"")</f>
        <v>2.3438168630703249E-2</v>
      </c>
    </row>
    <row r="431" spans="2:108" x14ac:dyDescent="0.3">
      <c r="B431" s="57">
        <f t="shared" ca="1" si="264"/>
        <v>6.02829479647161E-4</v>
      </c>
      <c r="C431" s="53">
        <f t="shared" ref="C431:BN431" si="341">IFERROR(IF(C$262=0,0,(C172-C173)/C173),0)</f>
        <v>0</v>
      </c>
      <c r="D431" s="53">
        <f t="shared" si="341"/>
        <v>0</v>
      </c>
      <c r="E431" s="53">
        <f t="shared" si="341"/>
        <v>0</v>
      </c>
      <c r="F431" s="53">
        <f t="shared" si="341"/>
        <v>0</v>
      </c>
      <c r="G431" s="53">
        <f t="shared" si="341"/>
        <v>0</v>
      </c>
      <c r="H431" s="53">
        <f t="shared" si="341"/>
        <v>0</v>
      </c>
      <c r="I431" s="53">
        <f t="shared" si="341"/>
        <v>0</v>
      </c>
      <c r="J431" s="53">
        <f t="shared" si="341"/>
        <v>0</v>
      </c>
      <c r="K431" s="53">
        <f t="shared" si="341"/>
        <v>0</v>
      </c>
      <c r="L431" s="53">
        <f t="shared" si="341"/>
        <v>0</v>
      </c>
      <c r="M431" s="53">
        <f t="shared" si="341"/>
        <v>0</v>
      </c>
      <c r="N431" s="53">
        <f t="shared" si="341"/>
        <v>0</v>
      </c>
      <c r="O431" s="53">
        <f t="shared" si="341"/>
        <v>0</v>
      </c>
      <c r="P431" s="53">
        <f t="shared" si="341"/>
        <v>0</v>
      </c>
      <c r="Q431" s="53">
        <f t="shared" si="341"/>
        <v>0</v>
      </c>
      <c r="R431" s="53">
        <f t="shared" si="341"/>
        <v>0</v>
      </c>
      <c r="S431" s="53">
        <f t="shared" si="341"/>
        <v>0</v>
      </c>
      <c r="T431" s="53">
        <f t="shared" si="341"/>
        <v>0</v>
      </c>
      <c r="U431" s="53">
        <f t="shared" si="341"/>
        <v>0</v>
      </c>
      <c r="V431" s="53">
        <f t="shared" si="341"/>
        <v>0</v>
      </c>
      <c r="W431" s="53">
        <f t="shared" si="341"/>
        <v>0</v>
      </c>
      <c r="X431" s="53">
        <f t="shared" si="341"/>
        <v>0</v>
      </c>
      <c r="Y431" s="53">
        <f t="shared" si="341"/>
        <v>0</v>
      </c>
      <c r="Z431" s="53">
        <f t="shared" si="341"/>
        <v>0</v>
      </c>
      <c r="AA431" s="53">
        <f t="shared" si="341"/>
        <v>0</v>
      </c>
      <c r="AB431" s="53">
        <f t="shared" si="341"/>
        <v>0</v>
      </c>
      <c r="AC431" s="53">
        <f t="shared" si="341"/>
        <v>0</v>
      </c>
      <c r="AD431" s="53">
        <f t="shared" si="341"/>
        <v>0</v>
      </c>
      <c r="AE431" s="53">
        <f t="shared" si="341"/>
        <v>0</v>
      </c>
      <c r="AF431" s="53">
        <f t="shared" si="341"/>
        <v>0</v>
      </c>
      <c r="AG431" s="53">
        <f t="shared" si="341"/>
        <v>0</v>
      </c>
      <c r="AH431" s="53">
        <f t="shared" si="341"/>
        <v>0</v>
      </c>
      <c r="AI431" s="53">
        <f t="shared" si="341"/>
        <v>0</v>
      </c>
      <c r="AJ431" s="53">
        <f t="shared" si="341"/>
        <v>0</v>
      </c>
      <c r="AK431" s="53">
        <f t="shared" si="341"/>
        <v>0</v>
      </c>
      <c r="AL431" s="53">
        <f t="shared" si="341"/>
        <v>0</v>
      </c>
      <c r="AM431" s="53">
        <f t="shared" si="341"/>
        <v>0</v>
      </c>
      <c r="AN431" s="53">
        <f t="shared" si="341"/>
        <v>0</v>
      </c>
      <c r="AO431" s="53">
        <f t="shared" si="341"/>
        <v>0</v>
      </c>
      <c r="AP431" s="53">
        <f t="shared" si="341"/>
        <v>0</v>
      </c>
      <c r="AQ431" s="53">
        <f t="shared" si="341"/>
        <v>0</v>
      </c>
      <c r="AR431" s="53">
        <f t="shared" si="341"/>
        <v>0</v>
      </c>
      <c r="AS431" s="53">
        <f t="shared" si="341"/>
        <v>0</v>
      </c>
      <c r="AT431" s="53">
        <f t="shared" si="341"/>
        <v>0</v>
      </c>
      <c r="AU431" s="53">
        <f t="shared" si="341"/>
        <v>0</v>
      </c>
      <c r="AV431" s="53">
        <f t="shared" si="341"/>
        <v>0</v>
      </c>
      <c r="AW431" s="53">
        <f t="shared" si="341"/>
        <v>0</v>
      </c>
      <c r="AX431" s="53">
        <f t="shared" si="341"/>
        <v>0</v>
      </c>
      <c r="AY431" s="53">
        <f t="shared" si="341"/>
        <v>0</v>
      </c>
      <c r="AZ431" s="53">
        <f t="shared" si="341"/>
        <v>0</v>
      </c>
      <c r="BA431" s="53">
        <f t="shared" si="341"/>
        <v>0</v>
      </c>
      <c r="BB431" s="53">
        <f t="shared" si="341"/>
        <v>0</v>
      </c>
      <c r="BC431" s="53">
        <f t="shared" si="341"/>
        <v>0</v>
      </c>
      <c r="BD431" s="53">
        <f t="shared" si="341"/>
        <v>0</v>
      </c>
      <c r="BE431" s="53">
        <f t="shared" si="341"/>
        <v>0</v>
      </c>
      <c r="BF431" s="53">
        <f t="shared" si="341"/>
        <v>0</v>
      </c>
      <c r="BG431" s="53">
        <f t="shared" si="341"/>
        <v>0</v>
      </c>
      <c r="BH431" s="53">
        <f t="shared" si="341"/>
        <v>0</v>
      </c>
      <c r="BI431" s="53">
        <f t="shared" si="341"/>
        <v>0</v>
      </c>
      <c r="BJ431" s="53">
        <f t="shared" si="341"/>
        <v>0</v>
      </c>
      <c r="BK431" s="53">
        <f t="shared" si="341"/>
        <v>0</v>
      </c>
      <c r="BL431" s="53">
        <f t="shared" si="341"/>
        <v>0</v>
      </c>
      <c r="BM431" s="53">
        <f t="shared" si="341"/>
        <v>0</v>
      </c>
      <c r="BN431" s="53">
        <f t="shared" si="341"/>
        <v>0</v>
      </c>
      <c r="BO431" s="53">
        <f t="shared" ref="BO431:CX431" si="342">IFERROR(IF(BO$262=0,0,(BO172-BO173)/BO173),0)</f>
        <v>0</v>
      </c>
      <c r="BP431" s="53">
        <f t="shared" si="342"/>
        <v>0</v>
      </c>
      <c r="BQ431" s="53">
        <f t="shared" si="342"/>
        <v>0</v>
      </c>
      <c r="BR431" s="53">
        <f t="shared" si="342"/>
        <v>0</v>
      </c>
      <c r="BS431" s="53">
        <f t="shared" si="342"/>
        <v>0</v>
      </c>
      <c r="BT431" s="53">
        <f t="shared" si="342"/>
        <v>0</v>
      </c>
      <c r="BU431" s="53">
        <f t="shared" si="342"/>
        <v>0</v>
      </c>
      <c r="BV431" s="53">
        <f t="shared" si="342"/>
        <v>0</v>
      </c>
      <c r="BW431" s="53">
        <f t="shared" si="342"/>
        <v>0</v>
      </c>
      <c r="BX431" s="53">
        <f t="shared" si="342"/>
        <v>0</v>
      </c>
      <c r="BY431" s="53">
        <f t="shared" si="342"/>
        <v>0</v>
      </c>
      <c r="BZ431" s="53">
        <f t="shared" si="342"/>
        <v>0</v>
      </c>
      <c r="CA431" s="53">
        <f t="shared" si="342"/>
        <v>0</v>
      </c>
      <c r="CB431" s="53">
        <f t="shared" si="342"/>
        <v>0</v>
      </c>
      <c r="CC431" s="53">
        <f t="shared" si="342"/>
        <v>0</v>
      </c>
      <c r="CD431" s="53">
        <f t="shared" si="342"/>
        <v>0</v>
      </c>
      <c r="CE431" s="53">
        <f t="shared" si="342"/>
        <v>0</v>
      </c>
      <c r="CF431" s="53">
        <f t="shared" si="342"/>
        <v>0</v>
      </c>
      <c r="CG431" s="53">
        <f t="shared" si="342"/>
        <v>0</v>
      </c>
      <c r="CH431" s="53">
        <f t="shared" si="342"/>
        <v>0</v>
      </c>
      <c r="CI431" s="53">
        <f t="shared" si="342"/>
        <v>0</v>
      </c>
      <c r="CJ431" s="53">
        <f t="shared" si="342"/>
        <v>0</v>
      </c>
      <c r="CK431" s="53">
        <f t="shared" si="342"/>
        <v>0</v>
      </c>
      <c r="CL431" s="53">
        <f t="shared" si="342"/>
        <v>0</v>
      </c>
      <c r="CM431" s="53">
        <f t="shared" si="342"/>
        <v>0</v>
      </c>
      <c r="CN431" s="53">
        <f t="shared" si="342"/>
        <v>0</v>
      </c>
      <c r="CO431" s="53">
        <f t="shared" si="342"/>
        <v>0</v>
      </c>
      <c r="CP431" s="53">
        <f t="shared" si="342"/>
        <v>0</v>
      </c>
      <c r="CQ431" s="53">
        <f t="shared" si="342"/>
        <v>0</v>
      </c>
      <c r="CR431" s="53">
        <f t="shared" si="342"/>
        <v>0</v>
      </c>
      <c r="CS431" s="53">
        <f t="shared" si="342"/>
        <v>0</v>
      </c>
      <c r="CT431" s="53">
        <f t="shared" si="342"/>
        <v>0</v>
      </c>
      <c r="CU431" s="53">
        <f t="shared" si="342"/>
        <v>0</v>
      </c>
      <c r="CV431" s="53">
        <f t="shared" si="342"/>
        <v>0</v>
      </c>
      <c r="CW431" s="53">
        <f t="shared" si="342"/>
        <v>0</v>
      </c>
      <c r="CX431" s="53">
        <f t="shared" si="342"/>
        <v>0</v>
      </c>
      <c r="DB431" s="2" vm="680">
        <f ca="1">IF(Returns!A435&lt;&gt;0,Returns!A435,"")</f>
        <v>43213</v>
      </c>
      <c r="DC431" s="11">
        <f ca="1">IF(Returns!B446&gt;0,Returns!B446/Returns!B445-1,"")</f>
        <v>5.986098688787167E-2</v>
      </c>
      <c r="DD431" s="11">
        <f ca="1">IF(Returns!D438&gt;0,Returns!D438/Returns!D437-1,"")</f>
        <v>-4.6751151649113698E-3</v>
      </c>
    </row>
    <row r="432" spans="2:108" x14ac:dyDescent="0.3">
      <c r="B432" s="57">
        <f t="shared" ca="1" si="264"/>
        <v>1.0256566457972054E-3</v>
      </c>
      <c r="C432" s="53">
        <f t="shared" ref="C432:BN432" si="343">IFERROR(IF(C$262=0,0,(C173-C174)/C174),0)</f>
        <v>0</v>
      </c>
      <c r="D432" s="53">
        <f t="shared" si="343"/>
        <v>0</v>
      </c>
      <c r="E432" s="53">
        <f t="shared" si="343"/>
        <v>0</v>
      </c>
      <c r="F432" s="53">
        <f t="shared" si="343"/>
        <v>0</v>
      </c>
      <c r="G432" s="53">
        <f t="shared" si="343"/>
        <v>0</v>
      </c>
      <c r="H432" s="53">
        <f t="shared" si="343"/>
        <v>0</v>
      </c>
      <c r="I432" s="53">
        <f t="shared" si="343"/>
        <v>0</v>
      </c>
      <c r="J432" s="53">
        <f t="shared" si="343"/>
        <v>0</v>
      </c>
      <c r="K432" s="53">
        <f t="shared" si="343"/>
        <v>0</v>
      </c>
      <c r="L432" s="53">
        <f t="shared" si="343"/>
        <v>0</v>
      </c>
      <c r="M432" s="53">
        <f t="shared" si="343"/>
        <v>0</v>
      </c>
      <c r="N432" s="53">
        <f t="shared" si="343"/>
        <v>0</v>
      </c>
      <c r="O432" s="53">
        <f t="shared" si="343"/>
        <v>0</v>
      </c>
      <c r="P432" s="53">
        <f t="shared" si="343"/>
        <v>0</v>
      </c>
      <c r="Q432" s="53">
        <f t="shared" si="343"/>
        <v>0</v>
      </c>
      <c r="R432" s="53">
        <f t="shared" si="343"/>
        <v>0</v>
      </c>
      <c r="S432" s="53">
        <f t="shared" si="343"/>
        <v>0</v>
      </c>
      <c r="T432" s="53">
        <f t="shared" si="343"/>
        <v>0</v>
      </c>
      <c r="U432" s="53">
        <f t="shared" si="343"/>
        <v>0</v>
      </c>
      <c r="V432" s="53">
        <f t="shared" si="343"/>
        <v>0</v>
      </c>
      <c r="W432" s="53">
        <f t="shared" si="343"/>
        <v>0</v>
      </c>
      <c r="X432" s="53">
        <f t="shared" si="343"/>
        <v>0</v>
      </c>
      <c r="Y432" s="53">
        <f t="shared" si="343"/>
        <v>0</v>
      </c>
      <c r="Z432" s="53">
        <f t="shared" si="343"/>
        <v>0</v>
      </c>
      <c r="AA432" s="53">
        <f t="shared" si="343"/>
        <v>0</v>
      </c>
      <c r="AB432" s="53">
        <f t="shared" si="343"/>
        <v>0</v>
      </c>
      <c r="AC432" s="53">
        <f t="shared" si="343"/>
        <v>0</v>
      </c>
      <c r="AD432" s="53">
        <f t="shared" si="343"/>
        <v>0</v>
      </c>
      <c r="AE432" s="53">
        <f t="shared" si="343"/>
        <v>0</v>
      </c>
      <c r="AF432" s="53">
        <f t="shared" si="343"/>
        <v>0</v>
      </c>
      <c r="AG432" s="53">
        <f t="shared" si="343"/>
        <v>0</v>
      </c>
      <c r="AH432" s="53">
        <f t="shared" si="343"/>
        <v>0</v>
      </c>
      <c r="AI432" s="53">
        <f t="shared" si="343"/>
        <v>0</v>
      </c>
      <c r="AJ432" s="53">
        <f t="shared" si="343"/>
        <v>0</v>
      </c>
      <c r="AK432" s="53">
        <f t="shared" si="343"/>
        <v>0</v>
      </c>
      <c r="AL432" s="53">
        <f t="shared" si="343"/>
        <v>0</v>
      </c>
      <c r="AM432" s="53">
        <f t="shared" si="343"/>
        <v>0</v>
      </c>
      <c r="AN432" s="53">
        <f t="shared" si="343"/>
        <v>0</v>
      </c>
      <c r="AO432" s="53">
        <f t="shared" si="343"/>
        <v>0</v>
      </c>
      <c r="AP432" s="53">
        <f t="shared" si="343"/>
        <v>0</v>
      </c>
      <c r="AQ432" s="53">
        <f t="shared" si="343"/>
        <v>0</v>
      </c>
      <c r="AR432" s="53">
        <f t="shared" si="343"/>
        <v>0</v>
      </c>
      <c r="AS432" s="53">
        <f t="shared" si="343"/>
        <v>0</v>
      </c>
      <c r="AT432" s="53">
        <f t="shared" si="343"/>
        <v>0</v>
      </c>
      <c r="AU432" s="53">
        <f t="shared" si="343"/>
        <v>0</v>
      </c>
      <c r="AV432" s="53">
        <f t="shared" si="343"/>
        <v>0</v>
      </c>
      <c r="AW432" s="53">
        <f t="shared" si="343"/>
        <v>0</v>
      </c>
      <c r="AX432" s="53">
        <f t="shared" si="343"/>
        <v>0</v>
      </c>
      <c r="AY432" s="53">
        <f t="shared" si="343"/>
        <v>0</v>
      </c>
      <c r="AZ432" s="53">
        <f t="shared" si="343"/>
        <v>0</v>
      </c>
      <c r="BA432" s="53">
        <f t="shared" si="343"/>
        <v>0</v>
      </c>
      <c r="BB432" s="53">
        <f t="shared" si="343"/>
        <v>0</v>
      </c>
      <c r="BC432" s="53">
        <f t="shared" si="343"/>
        <v>0</v>
      </c>
      <c r="BD432" s="53">
        <f t="shared" si="343"/>
        <v>0</v>
      </c>
      <c r="BE432" s="53">
        <f t="shared" si="343"/>
        <v>0</v>
      </c>
      <c r="BF432" s="53">
        <f t="shared" si="343"/>
        <v>0</v>
      </c>
      <c r="BG432" s="53">
        <f t="shared" si="343"/>
        <v>0</v>
      </c>
      <c r="BH432" s="53">
        <f t="shared" si="343"/>
        <v>0</v>
      </c>
      <c r="BI432" s="53">
        <f t="shared" si="343"/>
        <v>0</v>
      </c>
      <c r="BJ432" s="53">
        <f t="shared" si="343"/>
        <v>0</v>
      </c>
      <c r="BK432" s="53">
        <f t="shared" si="343"/>
        <v>0</v>
      </c>
      <c r="BL432" s="53">
        <f t="shared" si="343"/>
        <v>0</v>
      </c>
      <c r="BM432" s="53">
        <f t="shared" si="343"/>
        <v>0</v>
      </c>
      <c r="BN432" s="53">
        <f t="shared" si="343"/>
        <v>0</v>
      </c>
      <c r="BO432" s="53">
        <f t="shared" ref="BO432:CX432" si="344">IFERROR(IF(BO$262=0,0,(BO173-BO174)/BO174),0)</f>
        <v>0</v>
      </c>
      <c r="BP432" s="53">
        <f t="shared" si="344"/>
        <v>0</v>
      </c>
      <c r="BQ432" s="53">
        <f t="shared" si="344"/>
        <v>0</v>
      </c>
      <c r="BR432" s="53">
        <f t="shared" si="344"/>
        <v>0</v>
      </c>
      <c r="BS432" s="53">
        <f t="shared" si="344"/>
        <v>0</v>
      </c>
      <c r="BT432" s="53">
        <f t="shared" si="344"/>
        <v>0</v>
      </c>
      <c r="BU432" s="53">
        <f t="shared" si="344"/>
        <v>0</v>
      </c>
      <c r="BV432" s="53">
        <f t="shared" si="344"/>
        <v>0</v>
      </c>
      <c r="BW432" s="53">
        <f t="shared" si="344"/>
        <v>0</v>
      </c>
      <c r="BX432" s="53">
        <f t="shared" si="344"/>
        <v>0</v>
      </c>
      <c r="BY432" s="53">
        <f t="shared" si="344"/>
        <v>0</v>
      </c>
      <c r="BZ432" s="53">
        <f t="shared" si="344"/>
        <v>0</v>
      </c>
      <c r="CA432" s="53">
        <f t="shared" si="344"/>
        <v>0</v>
      </c>
      <c r="CB432" s="53">
        <f t="shared" si="344"/>
        <v>0</v>
      </c>
      <c r="CC432" s="53">
        <f t="shared" si="344"/>
        <v>0</v>
      </c>
      <c r="CD432" s="53">
        <f t="shared" si="344"/>
        <v>0</v>
      </c>
      <c r="CE432" s="53">
        <f t="shared" si="344"/>
        <v>0</v>
      </c>
      <c r="CF432" s="53">
        <f t="shared" si="344"/>
        <v>0</v>
      </c>
      <c r="CG432" s="53">
        <f t="shared" si="344"/>
        <v>0</v>
      </c>
      <c r="CH432" s="53">
        <f t="shared" si="344"/>
        <v>0</v>
      </c>
      <c r="CI432" s="53">
        <f t="shared" si="344"/>
        <v>0</v>
      </c>
      <c r="CJ432" s="53">
        <f t="shared" si="344"/>
        <v>0</v>
      </c>
      <c r="CK432" s="53">
        <f t="shared" si="344"/>
        <v>0</v>
      </c>
      <c r="CL432" s="53">
        <f t="shared" si="344"/>
        <v>0</v>
      </c>
      <c r="CM432" s="53">
        <f t="shared" si="344"/>
        <v>0</v>
      </c>
      <c r="CN432" s="53">
        <f t="shared" si="344"/>
        <v>0</v>
      </c>
      <c r="CO432" s="53">
        <f t="shared" si="344"/>
        <v>0</v>
      </c>
      <c r="CP432" s="53">
        <f t="shared" si="344"/>
        <v>0</v>
      </c>
      <c r="CQ432" s="53">
        <f t="shared" si="344"/>
        <v>0</v>
      </c>
      <c r="CR432" s="53">
        <f t="shared" si="344"/>
        <v>0</v>
      </c>
      <c r="CS432" s="53">
        <f t="shared" si="344"/>
        <v>0</v>
      </c>
      <c r="CT432" s="53">
        <f t="shared" si="344"/>
        <v>0</v>
      </c>
      <c r="CU432" s="53">
        <f t="shared" si="344"/>
        <v>0</v>
      </c>
      <c r="CV432" s="53">
        <f t="shared" si="344"/>
        <v>0</v>
      </c>
      <c r="CW432" s="53">
        <f t="shared" si="344"/>
        <v>0</v>
      </c>
      <c r="CX432" s="53">
        <f t="shared" si="344"/>
        <v>0</v>
      </c>
      <c r="DB432" s="2" vm="681">
        <f ca="1">IF(Returns!A436&lt;&gt;0,Returns!A436,"")</f>
        <v>43220</v>
      </c>
      <c r="DC432" s="11">
        <f ca="1">IF(Returns!B447&gt;0,Returns!B447/Returns!B446-1,"")</f>
        <v>3.6954711174108645E-4</v>
      </c>
      <c r="DD432" s="11">
        <f ca="1">IF(Returns!D439&gt;0,Returns!D439/Returns!D438-1,"")</f>
        <v>1.5378299839849952E-3</v>
      </c>
    </row>
    <row r="433" spans="2:108" x14ac:dyDescent="0.3">
      <c r="B433" s="57">
        <f t="shared" ca="1" si="264"/>
        <v>6.1857634711624137E-4</v>
      </c>
      <c r="C433" s="53">
        <f t="shared" ref="C433:BN433" si="345">IFERROR(IF(C$262=0,0,(C174-C175)/C175),0)</f>
        <v>0</v>
      </c>
      <c r="D433" s="53">
        <f t="shared" si="345"/>
        <v>0</v>
      </c>
      <c r="E433" s="53">
        <f t="shared" si="345"/>
        <v>0</v>
      </c>
      <c r="F433" s="53">
        <f t="shared" si="345"/>
        <v>0</v>
      </c>
      <c r="G433" s="53">
        <f t="shared" si="345"/>
        <v>0</v>
      </c>
      <c r="H433" s="53">
        <f t="shared" si="345"/>
        <v>0</v>
      </c>
      <c r="I433" s="53">
        <f t="shared" si="345"/>
        <v>0</v>
      </c>
      <c r="J433" s="53">
        <f t="shared" si="345"/>
        <v>0</v>
      </c>
      <c r="K433" s="53">
        <f t="shared" si="345"/>
        <v>0</v>
      </c>
      <c r="L433" s="53">
        <f t="shared" si="345"/>
        <v>0</v>
      </c>
      <c r="M433" s="53">
        <f t="shared" si="345"/>
        <v>0</v>
      </c>
      <c r="N433" s="53">
        <f t="shared" si="345"/>
        <v>0</v>
      </c>
      <c r="O433" s="53">
        <f t="shared" si="345"/>
        <v>0</v>
      </c>
      <c r="P433" s="53">
        <f t="shared" si="345"/>
        <v>0</v>
      </c>
      <c r="Q433" s="53">
        <f t="shared" si="345"/>
        <v>0</v>
      </c>
      <c r="R433" s="53">
        <f t="shared" si="345"/>
        <v>0</v>
      </c>
      <c r="S433" s="53">
        <f t="shared" si="345"/>
        <v>0</v>
      </c>
      <c r="T433" s="53">
        <f t="shared" si="345"/>
        <v>0</v>
      </c>
      <c r="U433" s="53">
        <f t="shared" si="345"/>
        <v>0</v>
      </c>
      <c r="V433" s="53">
        <f t="shared" si="345"/>
        <v>0</v>
      </c>
      <c r="W433" s="53">
        <f t="shared" si="345"/>
        <v>0</v>
      </c>
      <c r="X433" s="53">
        <f t="shared" si="345"/>
        <v>0</v>
      </c>
      <c r="Y433" s="53">
        <f t="shared" si="345"/>
        <v>0</v>
      </c>
      <c r="Z433" s="53">
        <f t="shared" si="345"/>
        <v>0</v>
      </c>
      <c r="AA433" s="53">
        <f t="shared" si="345"/>
        <v>0</v>
      </c>
      <c r="AB433" s="53">
        <f t="shared" si="345"/>
        <v>0</v>
      </c>
      <c r="AC433" s="53">
        <f t="shared" si="345"/>
        <v>0</v>
      </c>
      <c r="AD433" s="53">
        <f t="shared" si="345"/>
        <v>0</v>
      </c>
      <c r="AE433" s="53">
        <f t="shared" si="345"/>
        <v>0</v>
      </c>
      <c r="AF433" s="53">
        <f t="shared" si="345"/>
        <v>0</v>
      </c>
      <c r="AG433" s="53">
        <f t="shared" si="345"/>
        <v>0</v>
      </c>
      <c r="AH433" s="53">
        <f t="shared" si="345"/>
        <v>0</v>
      </c>
      <c r="AI433" s="53">
        <f t="shared" si="345"/>
        <v>0</v>
      </c>
      <c r="AJ433" s="53">
        <f t="shared" si="345"/>
        <v>0</v>
      </c>
      <c r="AK433" s="53">
        <f t="shared" si="345"/>
        <v>0</v>
      </c>
      <c r="AL433" s="53">
        <f t="shared" si="345"/>
        <v>0</v>
      </c>
      <c r="AM433" s="53">
        <f t="shared" si="345"/>
        <v>0</v>
      </c>
      <c r="AN433" s="53">
        <f t="shared" si="345"/>
        <v>0</v>
      </c>
      <c r="AO433" s="53">
        <f t="shared" si="345"/>
        <v>0</v>
      </c>
      <c r="AP433" s="53">
        <f t="shared" si="345"/>
        <v>0</v>
      </c>
      <c r="AQ433" s="53">
        <f t="shared" si="345"/>
        <v>0</v>
      </c>
      <c r="AR433" s="53">
        <f t="shared" si="345"/>
        <v>0</v>
      </c>
      <c r="AS433" s="53">
        <f t="shared" si="345"/>
        <v>0</v>
      </c>
      <c r="AT433" s="53">
        <f t="shared" si="345"/>
        <v>0</v>
      </c>
      <c r="AU433" s="53">
        <f t="shared" si="345"/>
        <v>0</v>
      </c>
      <c r="AV433" s="53">
        <f t="shared" si="345"/>
        <v>0</v>
      </c>
      <c r="AW433" s="53">
        <f t="shared" si="345"/>
        <v>0</v>
      </c>
      <c r="AX433" s="53">
        <f t="shared" si="345"/>
        <v>0</v>
      </c>
      <c r="AY433" s="53">
        <f t="shared" si="345"/>
        <v>0</v>
      </c>
      <c r="AZ433" s="53">
        <f t="shared" si="345"/>
        <v>0</v>
      </c>
      <c r="BA433" s="53">
        <f t="shared" si="345"/>
        <v>0</v>
      </c>
      <c r="BB433" s="53">
        <f t="shared" si="345"/>
        <v>0</v>
      </c>
      <c r="BC433" s="53">
        <f t="shared" si="345"/>
        <v>0</v>
      </c>
      <c r="BD433" s="53">
        <f t="shared" si="345"/>
        <v>0</v>
      </c>
      <c r="BE433" s="53">
        <f t="shared" si="345"/>
        <v>0</v>
      </c>
      <c r="BF433" s="53">
        <f t="shared" si="345"/>
        <v>0</v>
      </c>
      <c r="BG433" s="53">
        <f t="shared" si="345"/>
        <v>0</v>
      </c>
      <c r="BH433" s="53">
        <f t="shared" si="345"/>
        <v>0</v>
      </c>
      <c r="BI433" s="53">
        <f t="shared" si="345"/>
        <v>0</v>
      </c>
      <c r="BJ433" s="53">
        <f t="shared" si="345"/>
        <v>0</v>
      </c>
      <c r="BK433" s="53">
        <f t="shared" si="345"/>
        <v>0</v>
      </c>
      <c r="BL433" s="53">
        <f t="shared" si="345"/>
        <v>0</v>
      </c>
      <c r="BM433" s="53">
        <f t="shared" si="345"/>
        <v>0</v>
      </c>
      <c r="BN433" s="53">
        <f t="shared" si="345"/>
        <v>0</v>
      </c>
      <c r="BO433" s="53">
        <f t="shared" ref="BO433:CX433" si="346">IFERROR(IF(BO$262=0,0,(BO174-BO175)/BO175),0)</f>
        <v>0</v>
      </c>
      <c r="BP433" s="53">
        <f t="shared" si="346"/>
        <v>0</v>
      </c>
      <c r="BQ433" s="53">
        <f t="shared" si="346"/>
        <v>0</v>
      </c>
      <c r="BR433" s="53">
        <f t="shared" si="346"/>
        <v>0</v>
      </c>
      <c r="BS433" s="53">
        <f t="shared" si="346"/>
        <v>0</v>
      </c>
      <c r="BT433" s="53">
        <f t="shared" si="346"/>
        <v>0</v>
      </c>
      <c r="BU433" s="53">
        <f t="shared" si="346"/>
        <v>0</v>
      </c>
      <c r="BV433" s="53">
        <f t="shared" si="346"/>
        <v>0</v>
      </c>
      <c r="BW433" s="53">
        <f t="shared" si="346"/>
        <v>0</v>
      </c>
      <c r="BX433" s="53">
        <f t="shared" si="346"/>
        <v>0</v>
      </c>
      <c r="BY433" s="53">
        <f t="shared" si="346"/>
        <v>0</v>
      </c>
      <c r="BZ433" s="53">
        <f t="shared" si="346"/>
        <v>0</v>
      </c>
      <c r="CA433" s="53">
        <f t="shared" si="346"/>
        <v>0</v>
      </c>
      <c r="CB433" s="53">
        <f t="shared" si="346"/>
        <v>0</v>
      </c>
      <c r="CC433" s="53">
        <f t="shared" si="346"/>
        <v>0</v>
      </c>
      <c r="CD433" s="53">
        <f t="shared" si="346"/>
        <v>0</v>
      </c>
      <c r="CE433" s="53">
        <f t="shared" si="346"/>
        <v>0</v>
      </c>
      <c r="CF433" s="53">
        <f t="shared" si="346"/>
        <v>0</v>
      </c>
      <c r="CG433" s="53">
        <f t="shared" si="346"/>
        <v>0</v>
      </c>
      <c r="CH433" s="53">
        <f t="shared" si="346"/>
        <v>0</v>
      </c>
      <c r="CI433" s="53">
        <f t="shared" si="346"/>
        <v>0</v>
      </c>
      <c r="CJ433" s="53">
        <f t="shared" si="346"/>
        <v>0</v>
      </c>
      <c r="CK433" s="53">
        <f t="shared" si="346"/>
        <v>0</v>
      </c>
      <c r="CL433" s="53">
        <f t="shared" si="346"/>
        <v>0</v>
      </c>
      <c r="CM433" s="53">
        <f t="shared" si="346"/>
        <v>0</v>
      </c>
      <c r="CN433" s="53">
        <f t="shared" si="346"/>
        <v>0</v>
      </c>
      <c r="CO433" s="53">
        <f t="shared" si="346"/>
        <v>0</v>
      </c>
      <c r="CP433" s="53">
        <f t="shared" si="346"/>
        <v>0</v>
      </c>
      <c r="CQ433" s="53">
        <f t="shared" si="346"/>
        <v>0</v>
      </c>
      <c r="CR433" s="53">
        <f t="shared" si="346"/>
        <v>0</v>
      </c>
      <c r="CS433" s="53">
        <f t="shared" si="346"/>
        <v>0</v>
      </c>
      <c r="CT433" s="53">
        <f t="shared" si="346"/>
        <v>0</v>
      </c>
      <c r="CU433" s="53">
        <f t="shared" si="346"/>
        <v>0</v>
      </c>
      <c r="CV433" s="53">
        <f t="shared" si="346"/>
        <v>0</v>
      </c>
      <c r="CW433" s="53">
        <f t="shared" si="346"/>
        <v>0</v>
      </c>
      <c r="CX433" s="53">
        <f t="shared" si="346"/>
        <v>0</v>
      </c>
      <c r="DB433" s="2" vm="682">
        <f ca="1">IF(Returns!A437&lt;&gt;0,Returns!A437,"")</f>
        <v>43227</v>
      </c>
      <c r="DC433" s="11">
        <f ca="1">IF(Returns!B448&gt;0,Returns!B448/Returns!B447-1,"")</f>
        <v>1.9683519876494415E-3</v>
      </c>
      <c r="DD433" s="11">
        <f ca="1">IF(Returns!D440&gt;0,Returns!D440/Returns!D439-1,"")</f>
        <v>-4.762180552350781E-3</v>
      </c>
    </row>
    <row r="434" spans="2:108" x14ac:dyDescent="0.3">
      <c r="B434" s="57">
        <f t="shared" ca="1" si="264"/>
        <v>2.901128060366822E-3</v>
      </c>
      <c r="C434" s="53">
        <f t="shared" ref="C434:BN434" si="347">IFERROR(IF(C$262=0,0,(C175-C176)/C176),0)</f>
        <v>0</v>
      </c>
      <c r="D434" s="53">
        <f t="shared" si="347"/>
        <v>0</v>
      </c>
      <c r="E434" s="53">
        <f t="shared" si="347"/>
        <v>0</v>
      </c>
      <c r="F434" s="53">
        <f t="shared" si="347"/>
        <v>0</v>
      </c>
      <c r="G434" s="53">
        <f t="shared" si="347"/>
        <v>0</v>
      </c>
      <c r="H434" s="53">
        <f t="shared" si="347"/>
        <v>0</v>
      </c>
      <c r="I434" s="53">
        <f t="shared" si="347"/>
        <v>0</v>
      </c>
      <c r="J434" s="53">
        <f t="shared" si="347"/>
        <v>0</v>
      </c>
      <c r="K434" s="53">
        <f t="shared" si="347"/>
        <v>0</v>
      </c>
      <c r="L434" s="53">
        <f t="shared" si="347"/>
        <v>0</v>
      </c>
      <c r="M434" s="53">
        <f t="shared" si="347"/>
        <v>0</v>
      </c>
      <c r="N434" s="53">
        <f t="shared" si="347"/>
        <v>0</v>
      </c>
      <c r="O434" s="53">
        <f t="shared" si="347"/>
        <v>0</v>
      </c>
      <c r="P434" s="53">
        <f t="shared" si="347"/>
        <v>0</v>
      </c>
      <c r="Q434" s="53">
        <f t="shared" si="347"/>
        <v>0</v>
      </c>
      <c r="R434" s="53">
        <f t="shared" si="347"/>
        <v>0</v>
      </c>
      <c r="S434" s="53">
        <f t="shared" si="347"/>
        <v>0</v>
      </c>
      <c r="T434" s="53">
        <f t="shared" si="347"/>
        <v>0</v>
      </c>
      <c r="U434" s="53">
        <f t="shared" si="347"/>
        <v>0</v>
      </c>
      <c r="V434" s="53">
        <f t="shared" si="347"/>
        <v>0</v>
      </c>
      <c r="W434" s="53">
        <f t="shared" si="347"/>
        <v>0</v>
      </c>
      <c r="X434" s="53">
        <f t="shared" si="347"/>
        <v>0</v>
      </c>
      <c r="Y434" s="53">
        <f t="shared" si="347"/>
        <v>0</v>
      </c>
      <c r="Z434" s="53">
        <f t="shared" si="347"/>
        <v>0</v>
      </c>
      <c r="AA434" s="53">
        <f t="shared" si="347"/>
        <v>0</v>
      </c>
      <c r="AB434" s="53">
        <f t="shared" si="347"/>
        <v>0</v>
      </c>
      <c r="AC434" s="53">
        <f t="shared" si="347"/>
        <v>0</v>
      </c>
      <c r="AD434" s="53">
        <f t="shared" si="347"/>
        <v>0</v>
      </c>
      <c r="AE434" s="53">
        <f t="shared" si="347"/>
        <v>0</v>
      </c>
      <c r="AF434" s="53">
        <f t="shared" si="347"/>
        <v>0</v>
      </c>
      <c r="AG434" s="53">
        <f t="shared" si="347"/>
        <v>0</v>
      </c>
      <c r="AH434" s="53">
        <f t="shared" si="347"/>
        <v>0</v>
      </c>
      <c r="AI434" s="53">
        <f t="shared" si="347"/>
        <v>0</v>
      </c>
      <c r="AJ434" s="53">
        <f t="shared" si="347"/>
        <v>0</v>
      </c>
      <c r="AK434" s="53">
        <f t="shared" si="347"/>
        <v>0</v>
      </c>
      <c r="AL434" s="53">
        <f t="shared" si="347"/>
        <v>0</v>
      </c>
      <c r="AM434" s="53">
        <f t="shared" si="347"/>
        <v>0</v>
      </c>
      <c r="AN434" s="53">
        <f t="shared" si="347"/>
        <v>0</v>
      </c>
      <c r="AO434" s="53">
        <f t="shared" si="347"/>
        <v>0</v>
      </c>
      <c r="AP434" s="53">
        <f t="shared" si="347"/>
        <v>0</v>
      </c>
      <c r="AQ434" s="53">
        <f t="shared" si="347"/>
        <v>0</v>
      </c>
      <c r="AR434" s="53">
        <f t="shared" si="347"/>
        <v>0</v>
      </c>
      <c r="AS434" s="53">
        <f t="shared" si="347"/>
        <v>0</v>
      </c>
      <c r="AT434" s="53">
        <f t="shared" si="347"/>
        <v>0</v>
      </c>
      <c r="AU434" s="53">
        <f t="shared" si="347"/>
        <v>0</v>
      </c>
      <c r="AV434" s="53">
        <f t="shared" si="347"/>
        <v>0</v>
      </c>
      <c r="AW434" s="53">
        <f t="shared" si="347"/>
        <v>0</v>
      </c>
      <c r="AX434" s="53">
        <f t="shared" si="347"/>
        <v>0</v>
      </c>
      <c r="AY434" s="53">
        <f t="shared" si="347"/>
        <v>0</v>
      </c>
      <c r="AZ434" s="53">
        <f t="shared" si="347"/>
        <v>0</v>
      </c>
      <c r="BA434" s="53">
        <f t="shared" si="347"/>
        <v>0</v>
      </c>
      <c r="BB434" s="53">
        <f t="shared" si="347"/>
        <v>0</v>
      </c>
      <c r="BC434" s="53">
        <f t="shared" si="347"/>
        <v>0</v>
      </c>
      <c r="BD434" s="53">
        <f t="shared" si="347"/>
        <v>0</v>
      </c>
      <c r="BE434" s="53">
        <f t="shared" si="347"/>
        <v>0</v>
      </c>
      <c r="BF434" s="53">
        <f t="shared" si="347"/>
        <v>0</v>
      </c>
      <c r="BG434" s="53">
        <f t="shared" si="347"/>
        <v>0</v>
      </c>
      <c r="BH434" s="53">
        <f t="shared" si="347"/>
        <v>0</v>
      </c>
      <c r="BI434" s="53">
        <f t="shared" si="347"/>
        <v>0</v>
      </c>
      <c r="BJ434" s="53">
        <f t="shared" si="347"/>
        <v>0</v>
      </c>
      <c r="BK434" s="53">
        <f t="shared" si="347"/>
        <v>0</v>
      </c>
      <c r="BL434" s="53">
        <f t="shared" si="347"/>
        <v>0</v>
      </c>
      <c r="BM434" s="53">
        <f t="shared" si="347"/>
        <v>0</v>
      </c>
      <c r="BN434" s="53">
        <f t="shared" si="347"/>
        <v>0</v>
      </c>
      <c r="BO434" s="53">
        <f t="shared" ref="BO434:CX434" si="348">IFERROR(IF(BO$262=0,0,(BO175-BO176)/BO176),0)</f>
        <v>0</v>
      </c>
      <c r="BP434" s="53">
        <f t="shared" si="348"/>
        <v>0</v>
      </c>
      <c r="BQ434" s="53">
        <f t="shared" si="348"/>
        <v>0</v>
      </c>
      <c r="BR434" s="53">
        <f t="shared" si="348"/>
        <v>0</v>
      </c>
      <c r="BS434" s="53">
        <f t="shared" si="348"/>
        <v>0</v>
      </c>
      <c r="BT434" s="53">
        <f t="shared" si="348"/>
        <v>0</v>
      </c>
      <c r="BU434" s="53">
        <f t="shared" si="348"/>
        <v>0</v>
      </c>
      <c r="BV434" s="53">
        <f t="shared" si="348"/>
        <v>0</v>
      </c>
      <c r="BW434" s="53">
        <f t="shared" si="348"/>
        <v>0</v>
      </c>
      <c r="BX434" s="53">
        <f t="shared" si="348"/>
        <v>0</v>
      </c>
      <c r="BY434" s="53">
        <f t="shared" si="348"/>
        <v>0</v>
      </c>
      <c r="BZ434" s="53">
        <f t="shared" si="348"/>
        <v>0</v>
      </c>
      <c r="CA434" s="53">
        <f t="shared" si="348"/>
        <v>0</v>
      </c>
      <c r="CB434" s="53">
        <f t="shared" si="348"/>
        <v>0</v>
      </c>
      <c r="CC434" s="53">
        <f t="shared" si="348"/>
        <v>0</v>
      </c>
      <c r="CD434" s="53">
        <f t="shared" si="348"/>
        <v>0</v>
      </c>
      <c r="CE434" s="53">
        <f t="shared" si="348"/>
        <v>0</v>
      </c>
      <c r="CF434" s="53">
        <f t="shared" si="348"/>
        <v>0</v>
      </c>
      <c r="CG434" s="53">
        <f t="shared" si="348"/>
        <v>0</v>
      </c>
      <c r="CH434" s="53">
        <f t="shared" si="348"/>
        <v>0</v>
      </c>
      <c r="CI434" s="53">
        <f t="shared" si="348"/>
        <v>0</v>
      </c>
      <c r="CJ434" s="53">
        <f t="shared" si="348"/>
        <v>0</v>
      </c>
      <c r="CK434" s="53">
        <f t="shared" si="348"/>
        <v>0</v>
      </c>
      <c r="CL434" s="53">
        <f t="shared" si="348"/>
        <v>0</v>
      </c>
      <c r="CM434" s="53">
        <f t="shared" si="348"/>
        <v>0</v>
      </c>
      <c r="CN434" s="53">
        <f t="shared" si="348"/>
        <v>0</v>
      </c>
      <c r="CO434" s="53">
        <f t="shared" si="348"/>
        <v>0</v>
      </c>
      <c r="CP434" s="53">
        <f t="shared" si="348"/>
        <v>0</v>
      </c>
      <c r="CQ434" s="53">
        <f t="shared" si="348"/>
        <v>0</v>
      </c>
      <c r="CR434" s="53">
        <f t="shared" si="348"/>
        <v>0</v>
      </c>
      <c r="CS434" s="53">
        <f t="shared" si="348"/>
        <v>0</v>
      </c>
      <c r="CT434" s="53">
        <f t="shared" si="348"/>
        <v>0</v>
      </c>
      <c r="CU434" s="53">
        <f t="shared" si="348"/>
        <v>0</v>
      </c>
      <c r="CV434" s="53">
        <f t="shared" si="348"/>
        <v>0</v>
      </c>
      <c r="CW434" s="53">
        <f t="shared" si="348"/>
        <v>0</v>
      </c>
      <c r="CX434" s="53">
        <f t="shared" si="348"/>
        <v>0</v>
      </c>
      <c r="DB434" s="2" vm="683">
        <f ca="1">IF(Returns!A438&lt;&gt;0,Returns!A438,"")</f>
        <v>43234</v>
      </c>
      <c r="DC434" s="11">
        <f ca="1">IF(Returns!B449&gt;0,Returns!B449/Returns!B448-1,"")</f>
        <v>3.3126612996416949E-3</v>
      </c>
      <c r="DD434" s="11">
        <f ca="1">IF(Returns!D441&gt;0,Returns!D441/Returns!D440-1,"")</f>
        <v>2.7656117809275571E-2</v>
      </c>
    </row>
    <row r="435" spans="2:108" x14ac:dyDescent="0.3">
      <c r="B435" s="57">
        <f t="shared" ca="1" si="264"/>
        <v>1.0022921464040951E-3</v>
      </c>
      <c r="C435" s="53">
        <f t="shared" ref="C435:BN435" si="349">IFERROR(IF(C$262=0,0,(C176-C177)/C177),0)</f>
        <v>0</v>
      </c>
      <c r="D435" s="53">
        <f t="shared" si="349"/>
        <v>0</v>
      </c>
      <c r="E435" s="53">
        <f t="shared" si="349"/>
        <v>0</v>
      </c>
      <c r="F435" s="53">
        <f t="shared" si="349"/>
        <v>0</v>
      </c>
      <c r="G435" s="53">
        <f t="shared" si="349"/>
        <v>0</v>
      </c>
      <c r="H435" s="53">
        <f t="shared" si="349"/>
        <v>0</v>
      </c>
      <c r="I435" s="53">
        <f t="shared" si="349"/>
        <v>0</v>
      </c>
      <c r="J435" s="53">
        <f t="shared" si="349"/>
        <v>0</v>
      </c>
      <c r="K435" s="53">
        <f t="shared" si="349"/>
        <v>0</v>
      </c>
      <c r="L435" s="53">
        <f t="shared" si="349"/>
        <v>0</v>
      </c>
      <c r="M435" s="53">
        <f t="shared" si="349"/>
        <v>0</v>
      </c>
      <c r="N435" s="53">
        <f t="shared" si="349"/>
        <v>0</v>
      </c>
      <c r="O435" s="53">
        <f t="shared" si="349"/>
        <v>0</v>
      </c>
      <c r="P435" s="53">
        <f t="shared" si="349"/>
        <v>0</v>
      </c>
      <c r="Q435" s="53">
        <f t="shared" si="349"/>
        <v>0</v>
      </c>
      <c r="R435" s="53">
        <f t="shared" si="349"/>
        <v>0</v>
      </c>
      <c r="S435" s="53">
        <f t="shared" si="349"/>
        <v>0</v>
      </c>
      <c r="T435" s="53">
        <f t="shared" si="349"/>
        <v>0</v>
      </c>
      <c r="U435" s="53">
        <f t="shared" si="349"/>
        <v>0</v>
      </c>
      <c r="V435" s="53">
        <f t="shared" si="349"/>
        <v>0</v>
      </c>
      <c r="W435" s="53">
        <f t="shared" si="349"/>
        <v>0</v>
      </c>
      <c r="X435" s="53">
        <f t="shared" si="349"/>
        <v>0</v>
      </c>
      <c r="Y435" s="53">
        <f t="shared" si="349"/>
        <v>0</v>
      </c>
      <c r="Z435" s="53">
        <f t="shared" si="349"/>
        <v>0</v>
      </c>
      <c r="AA435" s="53">
        <f t="shared" si="349"/>
        <v>0</v>
      </c>
      <c r="AB435" s="53">
        <f t="shared" si="349"/>
        <v>0</v>
      </c>
      <c r="AC435" s="53">
        <f t="shared" si="349"/>
        <v>0</v>
      </c>
      <c r="AD435" s="53">
        <f t="shared" si="349"/>
        <v>0</v>
      </c>
      <c r="AE435" s="53">
        <f t="shared" si="349"/>
        <v>0</v>
      </c>
      <c r="AF435" s="53">
        <f t="shared" si="349"/>
        <v>0</v>
      </c>
      <c r="AG435" s="53">
        <f t="shared" si="349"/>
        <v>0</v>
      </c>
      <c r="AH435" s="53">
        <f t="shared" si="349"/>
        <v>0</v>
      </c>
      <c r="AI435" s="53">
        <f t="shared" si="349"/>
        <v>0</v>
      </c>
      <c r="AJ435" s="53">
        <f t="shared" si="349"/>
        <v>0</v>
      </c>
      <c r="AK435" s="53">
        <f t="shared" si="349"/>
        <v>0</v>
      </c>
      <c r="AL435" s="53">
        <f t="shared" si="349"/>
        <v>0</v>
      </c>
      <c r="AM435" s="53">
        <f t="shared" si="349"/>
        <v>0</v>
      </c>
      <c r="AN435" s="53">
        <f t="shared" si="349"/>
        <v>0</v>
      </c>
      <c r="AO435" s="53">
        <f t="shared" si="349"/>
        <v>0</v>
      </c>
      <c r="AP435" s="53">
        <f t="shared" si="349"/>
        <v>0</v>
      </c>
      <c r="AQ435" s="53">
        <f t="shared" si="349"/>
        <v>0</v>
      </c>
      <c r="AR435" s="53">
        <f t="shared" si="349"/>
        <v>0</v>
      </c>
      <c r="AS435" s="53">
        <f t="shared" si="349"/>
        <v>0</v>
      </c>
      <c r="AT435" s="53">
        <f t="shared" si="349"/>
        <v>0</v>
      </c>
      <c r="AU435" s="53">
        <f t="shared" si="349"/>
        <v>0</v>
      </c>
      <c r="AV435" s="53">
        <f t="shared" si="349"/>
        <v>0</v>
      </c>
      <c r="AW435" s="53">
        <f t="shared" si="349"/>
        <v>0</v>
      </c>
      <c r="AX435" s="53">
        <f t="shared" si="349"/>
        <v>0</v>
      </c>
      <c r="AY435" s="53">
        <f t="shared" si="349"/>
        <v>0</v>
      </c>
      <c r="AZ435" s="53">
        <f t="shared" si="349"/>
        <v>0</v>
      </c>
      <c r="BA435" s="53">
        <f t="shared" si="349"/>
        <v>0</v>
      </c>
      <c r="BB435" s="53">
        <f t="shared" si="349"/>
        <v>0</v>
      </c>
      <c r="BC435" s="53">
        <f t="shared" si="349"/>
        <v>0</v>
      </c>
      <c r="BD435" s="53">
        <f t="shared" si="349"/>
        <v>0</v>
      </c>
      <c r="BE435" s="53">
        <f t="shared" si="349"/>
        <v>0</v>
      </c>
      <c r="BF435" s="53">
        <f t="shared" si="349"/>
        <v>0</v>
      </c>
      <c r="BG435" s="53">
        <f t="shared" si="349"/>
        <v>0</v>
      </c>
      <c r="BH435" s="53">
        <f t="shared" si="349"/>
        <v>0</v>
      </c>
      <c r="BI435" s="53">
        <f t="shared" si="349"/>
        <v>0</v>
      </c>
      <c r="BJ435" s="53">
        <f t="shared" si="349"/>
        <v>0</v>
      </c>
      <c r="BK435" s="53">
        <f t="shared" si="349"/>
        <v>0</v>
      </c>
      <c r="BL435" s="53">
        <f t="shared" si="349"/>
        <v>0</v>
      </c>
      <c r="BM435" s="53">
        <f t="shared" si="349"/>
        <v>0</v>
      </c>
      <c r="BN435" s="53">
        <f t="shared" si="349"/>
        <v>0</v>
      </c>
      <c r="BO435" s="53">
        <f t="shared" ref="BO435:CX435" si="350">IFERROR(IF(BO$262=0,0,(BO176-BO177)/BO177),0)</f>
        <v>0</v>
      </c>
      <c r="BP435" s="53">
        <f t="shared" si="350"/>
        <v>0</v>
      </c>
      <c r="BQ435" s="53">
        <f t="shared" si="350"/>
        <v>0</v>
      </c>
      <c r="BR435" s="53">
        <f t="shared" si="350"/>
        <v>0</v>
      </c>
      <c r="BS435" s="53">
        <f t="shared" si="350"/>
        <v>0</v>
      </c>
      <c r="BT435" s="53">
        <f t="shared" si="350"/>
        <v>0</v>
      </c>
      <c r="BU435" s="53">
        <f t="shared" si="350"/>
        <v>0</v>
      </c>
      <c r="BV435" s="53">
        <f t="shared" si="350"/>
        <v>0</v>
      </c>
      <c r="BW435" s="53">
        <f t="shared" si="350"/>
        <v>0</v>
      </c>
      <c r="BX435" s="53">
        <f t="shared" si="350"/>
        <v>0</v>
      </c>
      <c r="BY435" s="53">
        <f t="shared" si="350"/>
        <v>0</v>
      </c>
      <c r="BZ435" s="53">
        <f t="shared" si="350"/>
        <v>0</v>
      </c>
      <c r="CA435" s="53">
        <f t="shared" si="350"/>
        <v>0</v>
      </c>
      <c r="CB435" s="53">
        <f t="shared" si="350"/>
        <v>0</v>
      </c>
      <c r="CC435" s="53">
        <f t="shared" si="350"/>
        <v>0</v>
      </c>
      <c r="CD435" s="53">
        <f t="shared" si="350"/>
        <v>0</v>
      </c>
      <c r="CE435" s="53">
        <f t="shared" si="350"/>
        <v>0</v>
      </c>
      <c r="CF435" s="53">
        <f t="shared" si="350"/>
        <v>0</v>
      </c>
      <c r="CG435" s="53">
        <f t="shared" si="350"/>
        <v>0</v>
      </c>
      <c r="CH435" s="53">
        <f t="shared" si="350"/>
        <v>0</v>
      </c>
      <c r="CI435" s="53">
        <f t="shared" si="350"/>
        <v>0</v>
      </c>
      <c r="CJ435" s="53">
        <f t="shared" si="350"/>
        <v>0</v>
      </c>
      <c r="CK435" s="53">
        <f t="shared" si="350"/>
        <v>0</v>
      </c>
      <c r="CL435" s="53">
        <f t="shared" si="350"/>
        <v>0</v>
      </c>
      <c r="CM435" s="53">
        <f t="shared" si="350"/>
        <v>0</v>
      </c>
      <c r="CN435" s="53">
        <f t="shared" si="350"/>
        <v>0</v>
      </c>
      <c r="CO435" s="53">
        <f t="shared" si="350"/>
        <v>0</v>
      </c>
      <c r="CP435" s="53">
        <f t="shared" si="350"/>
        <v>0</v>
      </c>
      <c r="CQ435" s="53">
        <f t="shared" si="350"/>
        <v>0</v>
      </c>
      <c r="CR435" s="53">
        <f t="shared" si="350"/>
        <v>0</v>
      </c>
      <c r="CS435" s="53">
        <f t="shared" si="350"/>
        <v>0</v>
      </c>
      <c r="CT435" s="53">
        <f t="shared" si="350"/>
        <v>0</v>
      </c>
      <c r="CU435" s="53">
        <f t="shared" si="350"/>
        <v>0</v>
      </c>
      <c r="CV435" s="53">
        <f t="shared" si="350"/>
        <v>0</v>
      </c>
      <c r="CW435" s="53">
        <f t="shared" si="350"/>
        <v>0</v>
      </c>
      <c r="CX435" s="53">
        <f t="shared" si="350"/>
        <v>0</v>
      </c>
      <c r="DB435" s="2" vm="684">
        <f ca="1">IF(Returns!A439&lt;&gt;0,Returns!A439,"")</f>
        <v>43241</v>
      </c>
      <c r="DC435" s="11">
        <f ca="1">IF(Returns!B450&gt;0,Returns!B450/Returns!B449-1,"")</f>
        <v>3.455840815229605E-2</v>
      </c>
      <c r="DD435" s="11">
        <f ca="1">IF(Returns!D442&gt;0,Returns!D442/Returns!D441-1,"")</f>
        <v>-8.9289096110729549E-3</v>
      </c>
    </row>
    <row r="436" spans="2:108" x14ac:dyDescent="0.3">
      <c r="B436" s="57">
        <f t="shared" ca="1" si="264"/>
        <v>7.2073111322820736E-4</v>
      </c>
      <c r="C436" s="53">
        <f t="shared" ref="C436:BN436" si="351">IFERROR(IF(C$262=0,0,(C177-C178)/C178),0)</f>
        <v>0</v>
      </c>
      <c r="D436" s="53">
        <f t="shared" si="351"/>
        <v>0</v>
      </c>
      <c r="E436" s="53">
        <f t="shared" si="351"/>
        <v>0</v>
      </c>
      <c r="F436" s="53">
        <f t="shared" si="351"/>
        <v>0</v>
      </c>
      <c r="G436" s="53">
        <f t="shared" si="351"/>
        <v>0</v>
      </c>
      <c r="H436" s="53">
        <f t="shared" si="351"/>
        <v>0</v>
      </c>
      <c r="I436" s="53">
        <f t="shared" si="351"/>
        <v>0</v>
      </c>
      <c r="J436" s="53">
        <f t="shared" si="351"/>
        <v>0</v>
      </c>
      <c r="K436" s="53">
        <f t="shared" si="351"/>
        <v>0</v>
      </c>
      <c r="L436" s="53">
        <f t="shared" si="351"/>
        <v>0</v>
      </c>
      <c r="M436" s="53">
        <f t="shared" si="351"/>
        <v>0</v>
      </c>
      <c r="N436" s="53">
        <f t="shared" si="351"/>
        <v>0</v>
      </c>
      <c r="O436" s="53">
        <f t="shared" si="351"/>
        <v>0</v>
      </c>
      <c r="P436" s="53">
        <f t="shared" si="351"/>
        <v>0</v>
      </c>
      <c r="Q436" s="53">
        <f t="shared" si="351"/>
        <v>0</v>
      </c>
      <c r="R436" s="53">
        <f t="shared" si="351"/>
        <v>0</v>
      </c>
      <c r="S436" s="53">
        <f t="shared" si="351"/>
        <v>0</v>
      </c>
      <c r="T436" s="53">
        <f t="shared" si="351"/>
        <v>0</v>
      </c>
      <c r="U436" s="53">
        <f t="shared" si="351"/>
        <v>0</v>
      </c>
      <c r="V436" s="53">
        <f t="shared" si="351"/>
        <v>0</v>
      </c>
      <c r="W436" s="53">
        <f t="shared" si="351"/>
        <v>0</v>
      </c>
      <c r="X436" s="53">
        <f t="shared" si="351"/>
        <v>0</v>
      </c>
      <c r="Y436" s="53">
        <f t="shared" si="351"/>
        <v>0</v>
      </c>
      <c r="Z436" s="53">
        <f t="shared" si="351"/>
        <v>0</v>
      </c>
      <c r="AA436" s="53">
        <f t="shared" si="351"/>
        <v>0</v>
      </c>
      <c r="AB436" s="53">
        <f t="shared" si="351"/>
        <v>0</v>
      </c>
      <c r="AC436" s="53">
        <f t="shared" si="351"/>
        <v>0</v>
      </c>
      <c r="AD436" s="53">
        <f t="shared" si="351"/>
        <v>0</v>
      </c>
      <c r="AE436" s="53">
        <f t="shared" si="351"/>
        <v>0</v>
      </c>
      <c r="AF436" s="53">
        <f t="shared" si="351"/>
        <v>0</v>
      </c>
      <c r="AG436" s="53">
        <f t="shared" si="351"/>
        <v>0</v>
      </c>
      <c r="AH436" s="53">
        <f t="shared" si="351"/>
        <v>0</v>
      </c>
      <c r="AI436" s="53">
        <f t="shared" si="351"/>
        <v>0</v>
      </c>
      <c r="AJ436" s="53">
        <f t="shared" si="351"/>
        <v>0</v>
      </c>
      <c r="AK436" s="53">
        <f t="shared" si="351"/>
        <v>0</v>
      </c>
      <c r="AL436" s="53">
        <f t="shared" si="351"/>
        <v>0</v>
      </c>
      <c r="AM436" s="53">
        <f t="shared" si="351"/>
        <v>0</v>
      </c>
      <c r="AN436" s="53">
        <f t="shared" si="351"/>
        <v>0</v>
      </c>
      <c r="AO436" s="53">
        <f t="shared" si="351"/>
        <v>0</v>
      </c>
      <c r="AP436" s="53">
        <f t="shared" si="351"/>
        <v>0</v>
      </c>
      <c r="AQ436" s="53">
        <f t="shared" si="351"/>
        <v>0</v>
      </c>
      <c r="AR436" s="53">
        <f t="shared" si="351"/>
        <v>0</v>
      </c>
      <c r="AS436" s="53">
        <f t="shared" si="351"/>
        <v>0</v>
      </c>
      <c r="AT436" s="53">
        <f t="shared" si="351"/>
        <v>0</v>
      </c>
      <c r="AU436" s="53">
        <f t="shared" si="351"/>
        <v>0</v>
      </c>
      <c r="AV436" s="53">
        <f t="shared" si="351"/>
        <v>0</v>
      </c>
      <c r="AW436" s="53">
        <f t="shared" si="351"/>
        <v>0</v>
      </c>
      <c r="AX436" s="53">
        <f t="shared" si="351"/>
        <v>0</v>
      </c>
      <c r="AY436" s="53">
        <f t="shared" si="351"/>
        <v>0</v>
      </c>
      <c r="AZ436" s="53">
        <f t="shared" si="351"/>
        <v>0</v>
      </c>
      <c r="BA436" s="53">
        <f t="shared" si="351"/>
        <v>0</v>
      </c>
      <c r="BB436" s="53">
        <f t="shared" si="351"/>
        <v>0</v>
      </c>
      <c r="BC436" s="53">
        <f t="shared" si="351"/>
        <v>0</v>
      </c>
      <c r="BD436" s="53">
        <f t="shared" si="351"/>
        <v>0</v>
      </c>
      <c r="BE436" s="53">
        <f t="shared" si="351"/>
        <v>0</v>
      </c>
      <c r="BF436" s="53">
        <f t="shared" si="351"/>
        <v>0</v>
      </c>
      <c r="BG436" s="53">
        <f t="shared" si="351"/>
        <v>0</v>
      </c>
      <c r="BH436" s="53">
        <f t="shared" si="351"/>
        <v>0</v>
      </c>
      <c r="BI436" s="53">
        <f t="shared" si="351"/>
        <v>0</v>
      </c>
      <c r="BJ436" s="53">
        <f t="shared" si="351"/>
        <v>0</v>
      </c>
      <c r="BK436" s="53">
        <f t="shared" si="351"/>
        <v>0</v>
      </c>
      <c r="BL436" s="53">
        <f t="shared" si="351"/>
        <v>0</v>
      </c>
      <c r="BM436" s="53">
        <f t="shared" si="351"/>
        <v>0</v>
      </c>
      <c r="BN436" s="53">
        <f t="shared" si="351"/>
        <v>0</v>
      </c>
      <c r="BO436" s="53">
        <f t="shared" ref="BO436:CX436" si="352">IFERROR(IF(BO$262=0,0,(BO177-BO178)/BO178),0)</f>
        <v>0</v>
      </c>
      <c r="BP436" s="53">
        <f t="shared" si="352"/>
        <v>0</v>
      </c>
      <c r="BQ436" s="53">
        <f t="shared" si="352"/>
        <v>0</v>
      </c>
      <c r="BR436" s="53">
        <f t="shared" si="352"/>
        <v>0</v>
      </c>
      <c r="BS436" s="53">
        <f t="shared" si="352"/>
        <v>0</v>
      </c>
      <c r="BT436" s="53">
        <f t="shared" si="352"/>
        <v>0</v>
      </c>
      <c r="BU436" s="53">
        <f t="shared" si="352"/>
        <v>0</v>
      </c>
      <c r="BV436" s="53">
        <f t="shared" si="352"/>
        <v>0</v>
      </c>
      <c r="BW436" s="53">
        <f t="shared" si="352"/>
        <v>0</v>
      </c>
      <c r="BX436" s="53">
        <f t="shared" si="352"/>
        <v>0</v>
      </c>
      <c r="BY436" s="53">
        <f t="shared" si="352"/>
        <v>0</v>
      </c>
      <c r="BZ436" s="53">
        <f t="shared" si="352"/>
        <v>0</v>
      </c>
      <c r="CA436" s="53">
        <f t="shared" si="352"/>
        <v>0</v>
      </c>
      <c r="CB436" s="53">
        <f t="shared" si="352"/>
        <v>0</v>
      </c>
      <c r="CC436" s="53">
        <f t="shared" si="352"/>
        <v>0</v>
      </c>
      <c r="CD436" s="53">
        <f t="shared" si="352"/>
        <v>0</v>
      </c>
      <c r="CE436" s="53">
        <f t="shared" si="352"/>
        <v>0</v>
      </c>
      <c r="CF436" s="53">
        <f t="shared" si="352"/>
        <v>0</v>
      </c>
      <c r="CG436" s="53">
        <f t="shared" si="352"/>
        <v>0</v>
      </c>
      <c r="CH436" s="53">
        <f t="shared" si="352"/>
        <v>0</v>
      </c>
      <c r="CI436" s="53">
        <f t="shared" si="352"/>
        <v>0</v>
      </c>
      <c r="CJ436" s="53">
        <f t="shared" si="352"/>
        <v>0</v>
      </c>
      <c r="CK436" s="53">
        <f t="shared" si="352"/>
        <v>0</v>
      </c>
      <c r="CL436" s="53">
        <f t="shared" si="352"/>
        <v>0</v>
      </c>
      <c r="CM436" s="53">
        <f t="shared" si="352"/>
        <v>0</v>
      </c>
      <c r="CN436" s="53">
        <f t="shared" si="352"/>
        <v>0</v>
      </c>
      <c r="CO436" s="53">
        <f t="shared" si="352"/>
        <v>0</v>
      </c>
      <c r="CP436" s="53">
        <f t="shared" si="352"/>
        <v>0</v>
      </c>
      <c r="CQ436" s="53">
        <f t="shared" si="352"/>
        <v>0</v>
      </c>
      <c r="CR436" s="53">
        <f t="shared" si="352"/>
        <v>0</v>
      </c>
      <c r="CS436" s="53">
        <f t="shared" si="352"/>
        <v>0</v>
      </c>
      <c r="CT436" s="53">
        <f t="shared" si="352"/>
        <v>0</v>
      </c>
      <c r="CU436" s="53">
        <f t="shared" si="352"/>
        <v>0</v>
      </c>
      <c r="CV436" s="53">
        <f t="shared" si="352"/>
        <v>0</v>
      </c>
      <c r="CW436" s="53">
        <f t="shared" si="352"/>
        <v>0</v>
      </c>
      <c r="CX436" s="53">
        <f t="shared" si="352"/>
        <v>0</v>
      </c>
      <c r="DB436" s="2" vm="685">
        <f ca="1">IF(Returns!A440&lt;&gt;0,Returns!A440,"")</f>
        <v>43249</v>
      </c>
      <c r="DC436" s="11">
        <f ca="1">IF(Returns!B451&gt;0,Returns!B451/Returns!B450-1,"")</f>
        <v>-2.1629645337432057E-3</v>
      </c>
      <c r="DD436" s="11">
        <f ca="1">IF(Returns!D443&gt;0,Returns!D443/Returns!D442-1,"")</f>
        <v>-2.0310153411532417E-2</v>
      </c>
    </row>
    <row r="437" spans="2:108" x14ac:dyDescent="0.3">
      <c r="B437" s="57">
        <f t="shared" ca="1" si="264"/>
        <v>6.3103616077419633E-4</v>
      </c>
      <c r="C437" s="53">
        <f t="shared" ref="C437:BN437" si="353">IFERROR(IF(C$262=0,0,(C178-C179)/C179),0)</f>
        <v>0</v>
      </c>
      <c r="D437" s="53">
        <f t="shared" si="353"/>
        <v>0</v>
      </c>
      <c r="E437" s="53">
        <f t="shared" si="353"/>
        <v>0</v>
      </c>
      <c r="F437" s="53">
        <f t="shared" si="353"/>
        <v>0</v>
      </c>
      <c r="G437" s="53">
        <f t="shared" si="353"/>
        <v>0</v>
      </c>
      <c r="H437" s="53">
        <f t="shared" si="353"/>
        <v>0</v>
      </c>
      <c r="I437" s="53">
        <f t="shared" si="353"/>
        <v>0</v>
      </c>
      <c r="J437" s="53">
        <f t="shared" si="353"/>
        <v>0</v>
      </c>
      <c r="K437" s="53">
        <f t="shared" si="353"/>
        <v>0</v>
      </c>
      <c r="L437" s="53">
        <f t="shared" si="353"/>
        <v>0</v>
      </c>
      <c r="M437" s="53">
        <f t="shared" si="353"/>
        <v>0</v>
      </c>
      <c r="N437" s="53">
        <f t="shared" si="353"/>
        <v>0</v>
      </c>
      <c r="O437" s="53">
        <f t="shared" si="353"/>
        <v>0</v>
      </c>
      <c r="P437" s="53">
        <f t="shared" si="353"/>
        <v>0</v>
      </c>
      <c r="Q437" s="53">
        <f t="shared" si="353"/>
        <v>0</v>
      </c>
      <c r="R437" s="53">
        <f t="shared" si="353"/>
        <v>0</v>
      </c>
      <c r="S437" s="53">
        <f t="shared" si="353"/>
        <v>0</v>
      </c>
      <c r="T437" s="53">
        <f t="shared" si="353"/>
        <v>0</v>
      </c>
      <c r="U437" s="53">
        <f t="shared" si="353"/>
        <v>0</v>
      </c>
      <c r="V437" s="53">
        <f t="shared" si="353"/>
        <v>0</v>
      </c>
      <c r="W437" s="53">
        <f t="shared" si="353"/>
        <v>0</v>
      </c>
      <c r="X437" s="53">
        <f t="shared" si="353"/>
        <v>0</v>
      </c>
      <c r="Y437" s="53">
        <f t="shared" si="353"/>
        <v>0</v>
      </c>
      <c r="Z437" s="53">
        <f t="shared" si="353"/>
        <v>0</v>
      </c>
      <c r="AA437" s="53">
        <f t="shared" si="353"/>
        <v>0</v>
      </c>
      <c r="AB437" s="53">
        <f t="shared" si="353"/>
        <v>0</v>
      </c>
      <c r="AC437" s="53">
        <f t="shared" si="353"/>
        <v>0</v>
      </c>
      <c r="AD437" s="53">
        <f t="shared" si="353"/>
        <v>0</v>
      </c>
      <c r="AE437" s="53">
        <f t="shared" si="353"/>
        <v>0</v>
      </c>
      <c r="AF437" s="53">
        <f t="shared" si="353"/>
        <v>0</v>
      </c>
      <c r="AG437" s="53">
        <f t="shared" si="353"/>
        <v>0</v>
      </c>
      <c r="AH437" s="53">
        <f t="shared" si="353"/>
        <v>0</v>
      </c>
      <c r="AI437" s="53">
        <f t="shared" si="353"/>
        <v>0</v>
      </c>
      <c r="AJ437" s="53">
        <f t="shared" si="353"/>
        <v>0</v>
      </c>
      <c r="AK437" s="53">
        <f t="shared" si="353"/>
        <v>0</v>
      </c>
      <c r="AL437" s="53">
        <f t="shared" si="353"/>
        <v>0</v>
      </c>
      <c r="AM437" s="53">
        <f t="shared" si="353"/>
        <v>0</v>
      </c>
      <c r="AN437" s="53">
        <f t="shared" si="353"/>
        <v>0</v>
      </c>
      <c r="AO437" s="53">
        <f t="shared" si="353"/>
        <v>0</v>
      </c>
      <c r="AP437" s="53">
        <f t="shared" si="353"/>
        <v>0</v>
      </c>
      <c r="AQ437" s="53">
        <f t="shared" si="353"/>
        <v>0</v>
      </c>
      <c r="AR437" s="53">
        <f t="shared" si="353"/>
        <v>0</v>
      </c>
      <c r="AS437" s="53">
        <f t="shared" si="353"/>
        <v>0</v>
      </c>
      <c r="AT437" s="53">
        <f t="shared" si="353"/>
        <v>0</v>
      </c>
      <c r="AU437" s="53">
        <f t="shared" si="353"/>
        <v>0</v>
      </c>
      <c r="AV437" s="53">
        <f t="shared" si="353"/>
        <v>0</v>
      </c>
      <c r="AW437" s="53">
        <f t="shared" si="353"/>
        <v>0</v>
      </c>
      <c r="AX437" s="53">
        <f t="shared" si="353"/>
        <v>0</v>
      </c>
      <c r="AY437" s="53">
        <f t="shared" si="353"/>
        <v>0</v>
      </c>
      <c r="AZ437" s="53">
        <f t="shared" si="353"/>
        <v>0</v>
      </c>
      <c r="BA437" s="53">
        <f t="shared" si="353"/>
        <v>0</v>
      </c>
      <c r="BB437" s="53">
        <f t="shared" si="353"/>
        <v>0</v>
      </c>
      <c r="BC437" s="53">
        <f t="shared" si="353"/>
        <v>0</v>
      </c>
      <c r="BD437" s="53">
        <f t="shared" si="353"/>
        <v>0</v>
      </c>
      <c r="BE437" s="53">
        <f t="shared" si="353"/>
        <v>0</v>
      </c>
      <c r="BF437" s="53">
        <f t="shared" si="353"/>
        <v>0</v>
      </c>
      <c r="BG437" s="53">
        <f t="shared" si="353"/>
        <v>0</v>
      </c>
      <c r="BH437" s="53">
        <f t="shared" si="353"/>
        <v>0</v>
      </c>
      <c r="BI437" s="53">
        <f t="shared" si="353"/>
        <v>0</v>
      </c>
      <c r="BJ437" s="53">
        <f t="shared" si="353"/>
        <v>0</v>
      </c>
      <c r="BK437" s="53">
        <f t="shared" si="353"/>
        <v>0</v>
      </c>
      <c r="BL437" s="53">
        <f t="shared" si="353"/>
        <v>0</v>
      </c>
      <c r="BM437" s="53">
        <f t="shared" si="353"/>
        <v>0</v>
      </c>
      <c r="BN437" s="53">
        <f t="shared" si="353"/>
        <v>0</v>
      </c>
      <c r="BO437" s="53">
        <f t="shared" ref="BO437:CX437" si="354">IFERROR(IF(BO$262=0,0,(BO178-BO179)/BO179),0)</f>
        <v>0</v>
      </c>
      <c r="BP437" s="53">
        <f t="shared" si="354"/>
        <v>0</v>
      </c>
      <c r="BQ437" s="53">
        <f t="shared" si="354"/>
        <v>0</v>
      </c>
      <c r="BR437" s="53">
        <f t="shared" si="354"/>
        <v>0</v>
      </c>
      <c r="BS437" s="53">
        <f t="shared" si="354"/>
        <v>0</v>
      </c>
      <c r="BT437" s="53">
        <f t="shared" si="354"/>
        <v>0</v>
      </c>
      <c r="BU437" s="53">
        <f t="shared" si="354"/>
        <v>0</v>
      </c>
      <c r="BV437" s="53">
        <f t="shared" si="354"/>
        <v>0</v>
      </c>
      <c r="BW437" s="53">
        <f t="shared" si="354"/>
        <v>0</v>
      </c>
      <c r="BX437" s="53">
        <f t="shared" si="354"/>
        <v>0</v>
      </c>
      <c r="BY437" s="53">
        <f t="shared" si="354"/>
        <v>0</v>
      </c>
      <c r="BZ437" s="53">
        <f t="shared" si="354"/>
        <v>0</v>
      </c>
      <c r="CA437" s="53">
        <f t="shared" si="354"/>
        <v>0</v>
      </c>
      <c r="CB437" s="53">
        <f t="shared" si="354"/>
        <v>0</v>
      </c>
      <c r="CC437" s="53">
        <f t="shared" si="354"/>
        <v>0</v>
      </c>
      <c r="CD437" s="53">
        <f t="shared" si="354"/>
        <v>0</v>
      </c>
      <c r="CE437" s="53">
        <f t="shared" si="354"/>
        <v>0</v>
      </c>
      <c r="CF437" s="53">
        <f t="shared" si="354"/>
        <v>0</v>
      </c>
      <c r="CG437" s="53">
        <f t="shared" si="354"/>
        <v>0</v>
      </c>
      <c r="CH437" s="53">
        <f t="shared" si="354"/>
        <v>0</v>
      </c>
      <c r="CI437" s="53">
        <f t="shared" si="354"/>
        <v>0</v>
      </c>
      <c r="CJ437" s="53">
        <f t="shared" si="354"/>
        <v>0</v>
      </c>
      <c r="CK437" s="53">
        <f t="shared" si="354"/>
        <v>0</v>
      </c>
      <c r="CL437" s="53">
        <f t="shared" si="354"/>
        <v>0</v>
      </c>
      <c r="CM437" s="53">
        <f t="shared" si="354"/>
        <v>0</v>
      </c>
      <c r="CN437" s="53">
        <f t="shared" si="354"/>
        <v>0</v>
      </c>
      <c r="CO437" s="53">
        <f t="shared" si="354"/>
        <v>0</v>
      </c>
      <c r="CP437" s="53">
        <f t="shared" si="354"/>
        <v>0</v>
      </c>
      <c r="CQ437" s="53">
        <f t="shared" si="354"/>
        <v>0</v>
      </c>
      <c r="CR437" s="53">
        <f t="shared" si="354"/>
        <v>0</v>
      </c>
      <c r="CS437" s="53">
        <f t="shared" si="354"/>
        <v>0</v>
      </c>
      <c r="CT437" s="53">
        <f t="shared" si="354"/>
        <v>0</v>
      </c>
      <c r="CU437" s="53">
        <f t="shared" si="354"/>
        <v>0</v>
      </c>
      <c r="CV437" s="53">
        <f t="shared" si="354"/>
        <v>0</v>
      </c>
      <c r="CW437" s="53">
        <f t="shared" si="354"/>
        <v>0</v>
      </c>
      <c r="CX437" s="53">
        <f t="shared" si="354"/>
        <v>0</v>
      </c>
      <c r="DB437" s="2" vm="686">
        <f ca="1">IF(Returns!A441&lt;&gt;0,Returns!A441,"")</f>
        <v>43255</v>
      </c>
      <c r="DC437" s="11">
        <f ca="1">IF(Returns!B452&gt;0,Returns!B452/Returns!B451-1,"")</f>
        <v>1.2309931888939474E-2</v>
      </c>
      <c r="DD437" s="11">
        <f ca="1">IF(Returns!D444&gt;0,Returns!D444/Returns!D443-1,"")</f>
        <v>-1.2590216124245379E-2</v>
      </c>
    </row>
    <row r="438" spans="2:108" x14ac:dyDescent="0.3">
      <c r="B438" s="57">
        <f t="shared" ca="1" si="264"/>
        <v>1.0015389382877677E-5</v>
      </c>
      <c r="C438" s="53">
        <f t="shared" ref="C438:BN438" si="355">IFERROR(IF(C$262=0,0,(C179-C180)/C180),0)</f>
        <v>0</v>
      </c>
      <c r="D438" s="53">
        <f t="shared" si="355"/>
        <v>0</v>
      </c>
      <c r="E438" s="53">
        <f t="shared" si="355"/>
        <v>0</v>
      </c>
      <c r="F438" s="53">
        <f t="shared" si="355"/>
        <v>0</v>
      </c>
      <c r="G438" s="53">
        <f t="shared" si="355"/>
        <v>0</v>
      </c>
      <c r="H438" s="53">
        <f t="shared" si="355"/>
        <v>0</v>
      </c>
      <c r="I438" s="53">
        <f t="shared" si="355"/>
        <v>0</v>
      </c>
      <c r="J438" s="53">
        <f t="shared" si="355"/>
        <v>0</v>
      </c>
      <c r="K438" s="53">
        <f t="shared" si="355"/>
        <v>0</v>
      </c>
      <c r="L438" s="53">
        <f t="shared" si="355"/>
        <v>0</v>
      </c>
      <c r="M438" s="53">
        <f t="shared" si="355"/>
        <v>0</v>
      </c>
      <c r="N438" s="53">
        <f t="shared" si="355"/>
        <v>0</v>
      </c>
      <c r="O438" s="53">
        <f t="shared" si="355"/>
        <v>0</v>
      </c>
      <c r="P438" s="53">
        <f t="shared" si="355"/>
        <v>0</v>
      </c>
      <c r="Q438" s="53">
        <f t="shared" si="355"/>
        <v>0</v>
      </c>
      <c r="R438" s="53">
        <f t="shared" si="355"/>
        <v>0</v>
      </c>
      <c r="S438" s="53">
        <f t="shared" si="355"/>
        <v>0</v>
      </c>
      <c r="T438" s="53">
        <f t="shared" si="355"/>
        <v>0</v>
      </c>
      <c r="U438" s="53">
        <f t="shared" si="355"/>
        <v>0</v>
      </c>
      <c r="V438" s="53">
        <f t="shared" si="355"/>
        <v>0</v>
      </c>
      <c r="W438" s="53">
        <f t="shared" si="355"/>
        <v>0</v>
      </c>
      <c r="X438" s="53">
        <f t="shared" si="355"/>
        <v>0</v>
      </c>
      <c r="Y438" s="53">
        <f t="shared" si="355"/>
        <v>0</v>
      </c>
      <c r="Z438" s="53">
        <f t="shared" si="355"/>
        <v>0</v>
      </c>
      <c r="AA438" s="53">
        <f t="shared" si="355"/>
        <v>0</v>
      </c>
      <c r="AB438" s="53">
        <f t="shared" si="355"/>
        <v>0</v>
      </c>
      <c r="AC438" s="53">
        <f t="shared" si="355"/>
        <v>0</v>
      </c>
      <c r="AD438" s="53">
        <f t="shared" si="355"/>
        <v>0</v>
      </c>
      <c r="AE438" s="53">
        <f t="shared" si="355"/>
        <v>0</v>
      </c>
      <c r="AF438" s="53">
        <f t="shared" si="355"/>
        <v>0</v>
      </c>
      <c r="AG438" s="53">
        <f t="shared" si="355"/>
        <v>0</v>
      </c>
      <c r="AH438" s="53">
        <f t="shared" si="355"/>
        <v>0</v>
      </c>
      <c r="AI438" s="53">
        <f t="shared" si="355"/>
        <v>0</v>
      </c>
      <c r="AJ438" s="53">
        <f t="shared" si="355"/>
        <v>0</v>
      </c>
      <c r="AK438" s="53">
        <f t="shared" si="355"/>
        <v>0</v>
      </c>
      <c r="AL438" s="53">
        <f t="shared" si="355"/>
        <v>0</v>
      </c>
      <c r="AM438" s="53">
        <f t="shared" si="355"/>
        <v>0</v>
      </c>
      <c r="AN438" s="53">
        <f t="shared" si="355"/>
        <v>0</v>
      </c>
      <c r="AO438" s="53">
        <f t="shared" si="355"/>
        <v>0</v>
      </c>
      <c r="AP438" s="53">
        <f t="shared" si="355"/>
        <v>0</v>
      </c>
      <c r="AQ438" s="53">
        <f t="shared" si="355"/>
        <v>0</v>
      </c>
      <c r="AR438" s="53">
        <f t="shared" si="355"/>
        <v>0</v>
      </c>
      <c r="AS438" s="53">
        <f t="shared" si="355"/>
        <v>0</v>
      </c>
      <c r="AT438" s="53">
        <f t="shared" si="355"/>
        <v>0</v>
      </c>
      <c r="AU438" s="53">
        <f t="shared" si="355"/>
        <v>0</v>
      </c>
      <c r="AV438" s="53">
        <f t="shared" si="355"/>
        <v>0</v>
      </c>
      <c r="AW438" s="53">
        <f t="shared" si="355"/>
        <v>0</v>
      </c>
      <c r="AX438" s="53">
        <f t="shared" si="355"/>
        <v>0</v>
      </c>
      <c r="AY438" s="53">
        <f t="shared" si="355"/>
        <v>0</v>
      </c>
      <c r="AZ438" s="53">
        <f t="shared" si="355"/>
        <v>0</v>
      </c>
      <c r="BA438" s="53">
        <f t="shared" si="355"/>
        <v>0</v>
      </c>
      <c r="BB438" s="53">
        <f t="shared" si="355"/>
        <v>0</v>
      </c>
      <c r="BC438" s="53">
        <f t="shared" si="355"/>
        <v>0</v>
      </c>
      <c r="BD438" s="53">
        <f t="shared" si="355"/>
        <v>0</v>
      </c>
      <c r="BE438" s="53">
        <f t="shared" si="355"/>
        <v>0</v>
      </c>
      <c r="BF438" s="53">
        <f t="shared" si="355"/>
        <v>0</v>
      </c>
      <c r="BG438" s="53">
        <f t="shared" si="355"/>
        <v>0</v>
      </c>
      <c r="BH438" s="53">
        <f t="shared" si="355"/>
        <v>0</v>
      </c>
      <c r="BI438" s="53">
        <f t="shared" si="355"/>
        <v>0</v>
      </c>
      <c r="BJ438" s="53">
        <f t="shared" si="355"/>
        <v>0</v>
      </c>
      <c r="BK438" s="53">
        <f t="shared" si="355"/>
        <v>0</v>
      </c>
      <c r="BL438" s="53">
        <f t="shared" si="355"/>
        <v>0</v>
      </c>
      <c r="BM438" s="53">
        <f t="shared" si="355"/>
        <v>0</v>
      </c>
      <c r="BN438" s="53">
        <f t="shared" si="355"/>
        <v>0</v>
      </c>
      <c r="BO438" s="53">
        <f t="shared" ref="BO438:CX438" si="356">IFERROR(IF(BO$262=0,0,(BO179-BO180)/BO180),0)</f>
        <v>0</v>
      </c>
      <c r="BP438" s="53">
        <f t="shared" si="356"/>
        <v>0</v>
      </c>
      <c r="BQ438" s="53">
        <f t="shared" si="356"/>
        <v>0</v>
      </c>
      <c r="BR438" s="53">
        <f t="shared" si="356"/>
        <v>0</v>
      </c>
      <c r="BS438" s="53">
        <f t="shared" si="356"/>
        <v>0</v>
      </c>
      <c r="BT438" s="53">
        <f t="shared" si="356"/>
        <v>0</v>
      </c>
      <c r="BU438" s="53">
        <f t="shared" si="356"/>
        <v>0</v>
      </c>
      <c r="BV438" s="53">
        <f t="shared" si="356"/>
        <v>0</v>
      </c>
      <c r="BW438" s="53">
        <f t="shared" si="356"/>
        <v>0</v>
      </c>
      <c r="BX438" s="53">
        <f t="shared" si="356"/>
        <v>0</v>
      </c>
      <c r="BY438" s="53">
        <f t="shared" si="356"/>
        <v>0</v>
      </c>
      <c r="BZ438" s="53">
        <f t="shared" si="356"/>
        <v>0</v>
      </c>
      <c r="CA438" s="53">
        <f t="shared" si="356"/>
        <v>0</v>
      </c>
      <c r="CB438" s="53">
        <f t="shared" si="356"/>
        <v>0</v>
      </c>
      <c r="CC438" s="53">
        <f t="shared" si="356"/>
        <v>0</v>
      </c>
      <c r="CD438" s="53">
        <f t="shared" si="356"/>
        <v>0</v>
      </c>
      <c r="CE438" s="53">
        <f t="shared" si="356"/>
        <v>0</v>
      </c>
      <c r="CF438" s="53">
        <f t="shared" si="356"/>
        <v>0</v>
      </c>
      <c r="CG438" s="53">
        <f t="shared" si="356"/>
        <v>0</v>
      </c>
      <c r="CH438" s="53">
        <f t="shared" si="356"/>
        <v>0</v>
      </c>
      <c r="CI438" s="53">
        <f t="shared" si="356"/>
        <v>0</v>
      </c>
      <c r="CJ438" s="53">
        <f t="shared" si="356"/>
        <v>0</v>
      </c>
      <c r="CK438" s="53">
        <f t="shared" si="356"/>
        <v>0</v>
      </c>
      <c r="CL438" s="53">
        <f t="shared" si="356"/>
        <v>0</v>
      </c>
      <c r="CM438" s="53">
        <f t="shared" si="356"/>
        <v>0</v>
      </c>
      <c r="CN438" s="53">
        <f t="shared" si="356"/>
        <v>0</v>
      </c>
      <c r="CO438" s="53">
        <f t="shared" si="356"/>
        <v>0</v>
      </c>
      <c r="CP438" s="53">
        <f t="shared" si="356"/>
        <v>0</v>
      </c>
      <c r="CQ438" s="53">
        <f t="shared" si="356"/>
        <v>0</v>
      </c>
      <c r="CR438" s="53">
        <f t="shared" si="356"/>
        <v>0</v>
      </c>
      <c r="CS438" s="53">
        <f t="shared" si="356"/>
        <v>0</v>
      </c>
      <c r="CT438" s="53">
        <f t="shared" si="356"/>
        <v>0</v>
      </c>
      <c r="CU438" s="53">
        <f t="shared" si="356"/>
        <v>0</v>
      </c>
      <c r="CV438" s="53">
        <f t="shared" si="356"/>
        <v>0</v>
      </c>
      <c r="CW438" s="53">
        <f t="shared" si="356"/>
        <v>0</v>
      </c>
      <c r="CX438" s="53">
        <f t="shared" si="356"/>
        <v>0</v>
      </c>
      <c r="DB438" s="2" vm="687">
        <f ca="1">IF(Returns!A442&lt;&gt;0,Returns!A442,"")</f>
        <v>43262</v>
      </c>
      <c r="DC438" s="11">
        <f ca="1">IF(Returns!B453&gt;0,Returns!B453/Returns!B452-1,"")</f>
        <v>5.6324427020190138E-2</v>
      </c>
      <c r="DD438" s="11">
        <f ca="1">IF(Returns!D445&gt;0,Returns!D445/Returns!D444-1,"")</f>
        <v>7.6252265839735767E-3</v>
      </c>
    </row>
    <row r="439" spans="2:108" x14ac:dyDescent="0.3">
      <c r="B439" s="57">
        <f t="shared" ca="1" si="264"/>
        <v>1.1431904834093049E-3</v>
      </c>
      <c r="C439" s="53">
        <f t="shared" ref="C439:BN439" si="357">IFERROR(IF(C$262=0,0,(C180-C181)/C181),0)</f>
        <v>0</v>
      </c>
      <c r="D439" s="53">
        <f t="shared" si="357"/>
        <v>0</v>
      </c>
      <c r="E439" s="53">
        <f t="shared" si="357"/>
        <v>0</v>
      </c>
      <c r="F439" s="53">
        <f t="shared" si="357"/>
        <v>0</v>
      </c>
      <c r="G439" s="53">
        <f t="shared" si="357"/>
        <v>0</v>
      </c>
      <c r="H439" s="53">
        <f t="shared" si="357"/>
        <v>0</v>
      </c>
      <c r="I439" s="53">
        <f t="shared" si="357"/>
        <v>0</v>
      </c>
      <c r="J439" s="53">
        <f t="shared" si="357"/>
        <v>0</v>
      </c>
      <c r="K439" s="53">
        <f t="shared" si="357"/>
        <v>0</v>
      </c>
      <c r="L439" s="53">
        <f t="shared" si="357"/>
        <v>0</v>
      </c>
      <c r="M439" s="53">
        <f t="shared" si="357"/>
        <v>0</v>
      </c>
      <c r="N439" s="53">
        <f t="shared" si="357"/>
        <v>0</v>
      </c>
      <c r="O439" s="53">
        <f t="shared" si="357"/>
        <v>0</v>
      </c>
      <c r="P439" s="53">
        <f t="shared" si="357"/>
        <v>0</v>
      </c>
      <c r="Q439" s="53">
        <f t="shared" si="357"/>
        <v>0</v>
      </c>
      <c r="R439" s="53">
        <f t="shared" si="357"/>
        <v>0</v>
      </c>
      <c r="S439" s="53">
        <f t="shared" si="357"/>
        <v>0</v>
      </c>
      <c r="T439" s="53">
        <f t="shared" si="357"/>
        <v>0</v>
      </c>
      <c r="U439" s="53">
        <f t="shared" si="357"/>
        <v>0</v>
      </c>
      <c r="V439" s="53">
        <f t="shared" si="357"/>
        <v>0</v>
      </c>
      <c r="W439" s="53">
        <f t="shared" si="357"/>
        <v>0</v>
      </c>
      <c r="X439" s="53">
        <f t="shared" si="357"/>
        <v>0</v>
      </c>
      <c r="Y439" s="53">
        <f t="shared" si="357"/>
        <v>0</v>
      </c>
      <c r="Z439" s="53">
        <f t="shared" si="357"/>
        <v>0</v>
      </c>
      <c r="AA439" s="53">
        <f t="shared" si="357"/>
        <v>0</v>
      </c>
      <c r="AB439" s="53">
        <f t="shared" si="357"/>
        <v>0</v>
      </c>
      <c r="AC439" s="53">
        <f t="shared" si="357"/>
        <v>0</v>
      </c>
      <c r="AD439" s="53">
        <f t="shared" si="357"/>
        <v>0</v>
      </c>
      <c r="AE439" s="53">
        <f t="shared" si="357"/>
        <v>0</v>
      </c>
      <c r="AF439" s="53">
        <f t="shared" si="357"/>
        <v>0</v>
      </c>
      <c r="AG439" s="53">
        <f t="shared" si="357"/>
        <v>0</v>
      </c>
      <c r="AH439" s="53">
        <f t="shared" si="357"/>
        <v>0</v>
      </c>
      <c r="AI439" s="53">
        <f t="shared" si="357"/>
        <v>0</v>
      </c>
      <c r="AJ439" s="53">
        <f t="shared" si="357"/>
        <v>0</v>
      </c>
      <c r="AK439" s="53">
        <f t="shared" si="357"/>
        <v>0</v>
      </c>
      <c r="AL439" s="53">
        <f t="shared" si="357"/>
        <v>0</v>
      </c>
      <c r="AM439" s="53">
        <f t="shared" si="357"/>
        <v>0</v>
      </c>
      <c r="AN439" s="53">
        <f t="shared" si="357"/>
        <v>0</v>
      </c>
      <c r="AO439" s="53">
        <f t="shared" si="357"/>
        <v>0</v>
      </c>
      <c r="AP439" s="53">
        <f t="shared" si="357"/>
        <v>0</v>
      </c>
      <c r="AQ439" s="53">
        <f t="shared" si="357"/>
        <v>0</v>
      </c>
      <c r="AR439" s="53">
        <f t="shared" si="357"/>
        <v>0</v>
      </c>
      <c r="AS439" s="53">
        <f t="shared" si="357"/>
        <v>0</v>
      </c>
      <c r="AT439" s="53">
        <f t="shared" si="357"/>
        <v>0</v>
      </c>
      <c r="AU439" s="53">
        <f t="shared" si="357"/>
        <v>0</v>
      </c>
      <c r="AV439" s="53">
        <f t="shared" si="357"/>
        <v>0</v>
      </c>
      <c r="AW439" s="53">
        <f t="shared" si="357"/>
        <v>0</v>
      </c>
      <c r="AX439" s="53">
        <f t="shared" si="357"/>
        <v>0</v>
      </c>
      <c r="AY439" s="53">
        <f t="shared" si="357"/>
        <v>0</v>
      </c>
      <c r="AZ439" s="53">
        <f t="shared" si="357"/>
        <v>0</v>
      </c>
      <c r="BA439" s="53">
        <f t="shared" si="357"/>
        <v>0</v>
      </c>
      <c r="BB439" s="53">
        <f t="shared" si="357"/>
        <v>0</v>
      </c>
      <c r="BC439" s="53">
        <f t="shared" si="357"/>
        <v>0</v>
      </c>
      <c r="BD439" s="53">
        <f t="shared" si="357"/>
        <v>0</v>
      </c>
      <c r="BE439" s="53">
        <f t="shared" si="357"/>
        <v>0</v>
      </c>
      <c r="BF439" s="53">
        <f t="shared" si="357"/>
        <v>0</v>
      </c>
      <c r="BG439" s="53">
        <f t="shared" si="357"/>
        <v>0</v>
      </c>
      <c r="BH439" s="53">
        <f t="shared" si="357"/>
        <v>0</v>
      </c>
      <c r="BI439" s="53">
        <f t="shared" si="357"/>
        <v>0</v>
      </c>
      <c r="BJ439" s="53">
        <f t="shared" si="357"/>
        <v>0</v>
      </c>
      <c r="BK439" s="53">
        <f t="shared" si="357"/>
        <v>0</v>
      </c>
      <c r="BL439" s="53">
        <f t="shared" si="357"/>
        <v>0</v>
      </c>
      <c r="BM439" s="53">
        <f t="shared" si="357"/>
        <v>0</v>
      </c>
      <c r="BN439" s="53">
        <f t="shared" si="357"/>
        <v>0</v>
      </c>
      <c r="BO439" s="53">
        <f t="shared" ref="BO439:CX439" si="358">IFERROR(IF(BO$262=0,0,(BO180-BO181)/BO181),0)</f>
        <v>0</v>
      </c>
      <c r="BP439" s="53">
        <f t="shared" si="358"/>
        <v>0</v>
      </c>
      <c r="BQ439" s="53">
        <f t="shared" si="358"/>
        <v>0</v>
      </c>
      <c r="BR439" s="53">
        <f t="shared" si="358"/>
        <v>0</v>
      </c>
      <c r="BS439" s="53">
        <f t="shared" si="358"/>
        <v>0</v>
      </c>
      <c r="BT439" s="53">
        <f t="shared" si="358"/>
        <v>0</v>
      </c>
      <c r="BU439" s="53">
        <f t="shared" si="358"/>
        <v>0</v>
      </c>
      <c r="BV439" s="53">
        <f t="shared" si="358"/>
        <v>0</v>
      </c>
      <c r="BW439" s="53">
        <f t="shared" si="358"/>
        <v>0</v>
      </c>
      <c r="BX439" s="53">
        <f t="shared" si="358"/>
        <v>0</v>
      </c>
      <c r="BY439" s="53">
        <f t="shared" si="358"/>
        <v>0</v>
      </c>
      <c r="BZ439" s="53">
        <f t="shared" si="358"/>
        <v>0</v>
      </c>
      <c r="CA439" s="53">
        <f t="shared" si="358"/>
        <v>0</v>
      </c>
      <c r="CB439" s="53">
        <f t="shared" si="358"/>
        <v>0</v>
      </c>
      <c r="CC439" s="53">
        <f t="shared" si="358"/>
        <v>0</v>
      </c>
      <c r="CD439" s="53">
        <f t="shared" si="358"/>
        <v>0</v>
      </c>
      <c r="CE439" s="53">
        <f t="shared" si="358"/>
        <v>0</v>
      </c>
      <c r="CF439" s="53">
        <f t="shared" si="358"/>
        <v>0</v>
      </c>
      <c r="CG439" s="53">
        <f t="shared" si="358"/>
        <v>0</v>
      </c>
      <c r="CH439" s="53">
        <f t="shared" si="358"/>
        <v>0</v>
      </c>
      <c r="CI439" s="53">
        <f t="shared" si="358"/>
        <v>0</v>
      </c>
      <c r="CJ439" s="53">
        <f t="shared" si="358"/>
        <v>0</v>
      </c>
      <c r="CK439" s="53">
        <f t="shared" si="358"/>
        <v>0</v>
      </c>
      <c r="CL439" s="53">
        <f t="shared" si="358"/>
        <v>0</v>
      </c>
      <c r="CM439" s="53">
        <f t="shared" si="358"/>
        <v>0</v>
      </c>
      <c r="CN439" s="53">
        <f t="shared" si="358"/>
        <v>0</v>
      </c>
      <c r="CO439" s="53">
        <f t="shared" si="358"/>
        <v>0</v>
      </c>
      <c r="CP439" s="53">
        <f t="shared" si="358"/>
        <v>0</v>
      </c>
      <c r="CQ439" s="53">
        <f t="shared" si="358"/>
        <v>0</v>
      </c>
      <c r="CR439" s="53">
        <f t="shared" si="358"/>
        <v>0</v>
      </c>
      <c r="CS439" s="53">
        <f t="shared" si="358"/>
        <v>0</v>
      </c>
      <c r="CT439" s="53">
        <f t="shared" si="358"/>
        <v>0</v>
      </c>
      <c r="CU439" s="53">
        <f t="shared" si="358"/>
        <v>0</v>
      </c>
      <c r="CV439" s="53">
        <f t="shared" si="358"/>
        <v>0</v>
      </c>
      <c r="CW439" s="53">
        <f t="shared" si="358"/>
        <v>0</v>
      </c>
      <c r="CX439" s="53">
        <f t="shared" si="358"/>
        <v>0</v>
      </c>
      <c r="DB439" s="2" vm="688">
        <f ca="1">IF(Returns!A443&lt;&gt;0,Returns!A443,"")</f>
        <v>43269</v>
      </c>
      <c r="DC439" s="11">
        <f ca="1">IF(Returns!B454&gt;0,Returns!B454/Returns!B453-1,"")</f>
        <v>-3.0128533171693839E-2</v>
      </c>
      <c r="DD439" s="11">
        <f ca="1">IF(Returns!D446&gt;0,Returns!D446/Returns!D445-1,"")</f>
        <v>2.3017248893359987E-2</v>
      </c>
    </row>
    <row r="440" spans="2:108" x14ac:dyDescent="0.3">
      <c r="B440" s="57">
        <f t="shared" ca="1" si="264"/>
        <v>5.0767651296018288E-4</v>
      </c>
      <c r="C440" s="53">
        <f t="shared" ref="C440:BN440" si="359">IFERROR(IF(C$262=0,0,(C181-C182)/C182),0)</f>
        <v>0</v>
      </c>
      <c r="D440" s="53">
        <f t="shared" si="359"/>
        <v>0</v>
      </c>
      <c r="E440" s="53">
        <f t="shared" si="359"/>
        <v>0</v>
      </c>
      <c r="F440" s="53">
        <f t="shared" si="359"/>
        <v>0</v>
      </c>
      <c r="G440" s="53">
        <f t="shared" si="359"/>
        <v>0</v>
      </c>
      <c r="H440" s="53">
        <f t="shared" si="359"/>
        <v>0</v>
      </c>
      <c r="I440" s="53">
        <f t="shared" si="359"/>
        <v>0</v>
      </c>
      <c r="J440" s="53">
        <f t="shared" si="359"/>
        <v>0</v>
      </c>
      <c r="K440" s="53">
        <f t="shared" si="359"/>
        <v>0</v>
      </c>
      <c r="L440" s="53">
        <f t="shared" si="359"/>
        <v>0</v>
      </c>
      <c r="M440" s="53">
        <f t="shared" si="359"/>
        <v>0</v>
      </c>
      <c r="N440" s="53">
        <f t="shared" si="359"/>
        <v>0</v>
      </c>
      <c r="O440" s="53">
        <f t="shared" si="359"/>
        <v>0</v>
      </c>
      <c r="P440" s="53">
        <f t="shared" si="359"/>
        <v>0</v>
      </c>
      <c r="Q440" s="53">
        <f t="shared" si="359"/>
        <v>0</v>
      </c>
      <c r="R440" s="53">
        <f t="shared" si="359"/>
        <v>0</v>
      </c>
      <c r="S440" s="53">
        <f t="shared" si="359"/>
        <v>0</v>
      </c>
      <c r="T440" s="53">
        <f t="shared" si="359"/>
        <v>0</v>
      </c>
      <c r="U440" s="53">
        <f t="shared" si="359"/>
        <v>0</v>
      </c>
      <c r="V440" s="53">
        <f t="shared" si="359"/>
        <v>0</v>
      </c>
      <c r="W440" s="53">
        <f t="shared" si="359"/>
        <v>0</v>
      </c>
      <c r="X440" s="53">
        <f t="shared" si="359"/>
        <v>0</v>
      </c>
      <c r="Y440" s="53">
        <f t="shared" si="359"/>
        <v>0</v>
      </c>
      <c r="Z440" s="53">
        <f t="shared" si="359"/>
        <v>0</v>
      </c>
      <c r="AA440" s="53">
        <f t="shared" si="359"/>
        <v>0</v>
      </c>
      <c r="AB440" s="53">
        <f t="shared" si="359"/>
        <v>0</v>
      </c>
      <c r="AC440" s="53">
        <f t="shared" si="359"/>
        <v>0</v>
      </c>
      <c r="AD440" s="53">
        <f t="shared" si="359"/>
        <v>0</v>
      </c>
      <c r="AE440" s="53">
        <f t="shared" si="359"/>
        <v>0</v>
      </c>
      <c r="AF440" s="53">
        <f t="shared" si="359"/>
        <v>0</v>
      </c>
      <c r="AG440" s="53">
        <f t="shared" si="359"/>
        <v>0</v>
      </c>
      <c r="AH440" s="53">
        <f t="shared" si="359"/>
        <v>0</v>
      </c>
      <c r="AI440" s="53">
        <f t="shared" si="359"/>
        <v>0</v>
      </c>
      <c r="AJ440" s="53">
        <f t="shared" si="359"/>
        <v>0</v>
      </c>
      <c r="AK440" s="53">
        <f t="shared" si="359"/>
        <v>0</v>
      </c>
      <c r="AL440" s="53">
        <f t="shared" si="359"/>
        <v>0</v>
      </c>
      <c r="AM440" s="53">
        <f t="shared" si="359"/>
        <v>0</v>
      </c>
      <c r="AN440" s="53">
        <f t="shared" si="359"/>
        <v>0</v>
      </c>
      <c r="AO440" s="53">
        <f t="shared" si="359"/>
        <v>0</v>
      </c>
      <c r="AP440" s="53">
        <f t="shared" si="359"/>
        <v>0</v>
      </c>
      <c r="AQ440" s="53">
        <f t="shared" si="359"/>
        <v>0</v>
      </c>
      <c r="AR440" s="53">
        <f t="shared" si="359"/>
        <v>0</v>
      </c>
      <c r="AS440" s="53">
        <f t="shared" si="359"/>
        <v>0</v>
      </c>
      <c r="AT440" s="53">
        <f t="shared" si="359"/>
        <v>0</v>
      </c>
      <c r="AU440" s="53">
        <f t="shared" si="359"/>
        <v>0</v>
      </c>
      <c r="AV440" s="53">
        <f t="shared" si="359"/>
        <v>0</v>
      </c>
      <c r="AW440" s="53">
        <f t="shared" si="359"/>
        <v>0</v>
      </c>
      <c r="AX440" s="53">
        <f t="shared" si="359"/>
        <v>0</v>
      </c>
      <c r="AY440" s="53">
        <f t="shared" si="359"/>
        <v>0</v>
      </c>
      <c r="AZ440" s="53">
        <f t="shared" si="359"/>
        <v>0</v>
      </c>
      <c r="BA440" s="53">
        <f t="shared" si="359"/>
        <v>0</v>
      </c>
      <c r="BB440" s="53">
        <f t="shared" si="359"/>
        <v>0</v>
      </c>
      <c r="BC440" s="53">
        <f t="shared" si="359"/>
        <v>0</v>
      </c>
      <c r="BD440" s="53">
        <f t="shared" si="359"/>
        <v>0</v>
      </c>
      <c r="BE440" s="53">
        <f t="shared" si="359"/>
        <v>0</v>
      </c>
      <c r="BF440" s="53">
        <f t="shared" si="359"/>
        <v>0</v>
      </c>
      <c r="BG440" s="53">
        <f t="shared" si="359"/>
        <v>0</v>
      </c>
      <c r="BH440" s="53">
        <f t="shared" si="359"/>
        <v>0</v>
      </c>
      <c r="BI440" s="53">
        <f t="shared" si="359"/>
        <v>0</v>
      </c>
      <c r="BJ440" s="53">
        <f t="shared" si="359"/>
        <v>0</v>
      </c>
      <c r="BK440" s="53">
        <f t="shared" si="359"/>
        <v>0</v>
      </c>
      <c r="BL440" s="53">
        <f t="shared" si="359"/>
        <v>0</v>
      </c>
      <c r="BM440" s="53">
        <f t="shared" si="359"/>
        <v>0</v>
      </c>
      <c r="BN440" s="53">
        <f t="shared" si="359"/>
        <v>0</v>
      </c>
      <c r="BO440" s="53">
        <f t="shared" ref="BO440:CX440" si="360">IFERROR(IF(BO$262=0,0,(BO181-BO182)/BO182),0)</f>
        <v>0</v>
      </c>
      <c r="BP440" s="53">
        <f t="shared" si="360"/>
        <v>0</v>
      </c>
      <c r="BQ440" s="53">
        <f t="shared" si="360"/>
        <v>0</v>
      </c>
      <c r="BR440" s="53">
        <f t="shared" si="360"/>
        <v>0</v>
      </c>
      <c r="BS440" s="53">
        <f t="shared" si="360"/>
        <v>0</v>
      </c>
      <c r="BT440" s="53">
        <f t="shared" si="360"/>
        <v>0</v>
      </c>
      <c r="BU440" s="53">
        <f t="shared" si="360"/>
        <v>0</v>
      </c>
      <c r="BV440" s="53">
        <f t="shared" si="360"/>
        <v>0</v>
      </c>
      <c r="BW440" s="53">
        <f t="shared" si="360"/>
        <v>0</v>
      </c>
      <c r="BX440" s="53">
        <f t="shared" si="360"/>
        <v>0</v>
      </c>
      <c r="BY440" s="53">
        <f t="shared" si="360"/>
        <v>0</v>
      </c>
      <c r="BZ440" s="53">
        <f t="shared" si="360"/>
        <v>0</v>
      </c>
      <c r="CA440" s="53">
        <f t="shared" si="360"/>
        <v>0</v>
      </c>
      <c r="CB440" s="53">
        <f t="shared" si="360"/>
        <v>0</v>
      </c>
      <c r="CC440" s="53">
        <f t="shared" si="360"/>
        <v>0</v>
      </c>
      <c r="CD440" s="53">
        <f t="shared" si="360"/>
        <v>0</v>
      </c>
      <c r="CE440" s="53">
        <f t="shared" si="360"/>
        <v>0</v>
      </c>
      <c r="CF440" s="53">
        <f t="shared" si="360"/>
        <v>0</v>
      </c>
      <c r="CG440" s="53">
        <f t="shared" si="360"/>
        <v>0</v>
      </c>
      <c r="CH440" s="53">
        <f t="shared" si="360"/>
        <v>0</v>
      </c>
      <c r="CI440" s="53">
        <f t="shared" si="360"/>
        <v>0</v>
      </c>
      <c r="CJ440" s="53">
        <f t="shared" si="360"/>
        <v>0</v>
      </c>
      <c r="CK440" s="53">
        <f t="shared" si="360"/>
        <v>0</v>
      </c>
      <c r="CL440" s="53">
        <f t="shared" si="360"/>
        <v>0</v>
      </c>
      <c r="CM440" s="53">
        <f t="shared" si="360"/>
        <v>0</v>
      </c>
      <c r="CN440" s="53">
        <f t="shared" si="360"/>
        <v>0</v>
      </c>
      <c r="CO440" s="53">
        <f t="shared" si="360"/>
        <v>0</v>
      </c>
      <c r="CP440" s="53">
        <f t="shared" si="360"/>
        <v>0</v>
      </c>
      <c r="CQ440" s="53">
        <f t="shared" si="360"/>
        <v>0</v>
      </c>
      <c r="CR440" s="53">
        <f t="shared" si="360"/>
        <v>0</v>
      </c>
      <c r="CS440" s="53">
        <f t="shared" si="360"/>
        <v>0</v>
      </c>
      <c r="CT440" s="53">
        <f t="shared" si="360"/>
        <v>0</v>
      </c>
      <c r="CU440" s="53">
        <f t="shared" si="360"/>
        <v>0</v>
      </c>
      <c r="CV440" s="53">
        <f t="shared" si="360"/>
        <v>0</v>
      </c>
      <c r="CW440" s="53">
        <f t="shared" si="360"/>
        <v>0</v>
      </c>
      <c r="CX440" s="53">
        <f t="shared" si="360"/>
        <v>0</v>
      </c>
      <c r="DB440" s="2" vm="689">
        <f ca="1">IF(Returns!A444&lt;&gt;0,Returns!A444,"")</f>
        <v>43276</v>
      </c>
      <c r="DC440" s="11">
        <f ca="1">IF(Returns!B455&gt;0,Returns!B455/Returns!B454-1,"")</f>
        <v>9.2824540103582098E-3</v>
      </c>
      <c r="DD440" s="11">
        <f ca="1">IF(Returns!D447&gt;0,Returns!D447/Returns!D446-1,"")</f>
        <v>1.5474787912528321E-3</v>
      </c>
    </row>
    <row r="441" spans="2:108" x14ac:dyDescent="0.3">
      <c r="B441" s="57">
        <f t="shared" ca="1" si="264"/>
        <v>8.595687965165617E-4</v>
      </c>
      <c r="C441" s="53">
        <f t="shared" ref="C441:BN441" si="361">IFERROR(IF(C$262=0,0,(C182-C183)/C183),0)</f>
        <v>0</v>
      </c>
      <c r="D441" s="53">
        <f t="shared" si="361"/>
        <v>0</v>
      </c>
      <c r="E441" s="53">
        <f t="shared" si="361"/>
        <v>0</v>
      </c>
      <c r="F441" s="53">
        <f t="shared" si="361"/>
        <v>0</v>
      </c>
      <c r="G441" s="53">
        <f t="shared" si="361"/>
        <v>0</v>
      </c>
      <c r="H441" s="53">
        <f t="shared" si="361"/>
        <v>0</v>
      </c>
      <c r="I441" s="53">
        <f t="shared" si="361"/>
        <v>0</v>
      </c>
      <c r="J441" s="53">
        <f t="shared" si="361"/>
        <v>0</v>
      </c>
      <c r="K441" s="53">
        <f t="shared" si="361"/>
        <v>0</v>
      </c>
      <c r="L441" s="53">
        <f t="shared" si="361"/>
        <v>0</v>
      </c>
      <c r="M441" s="53">
        <f t="shared" si="361"/>
        <v>0</v>
      </c>
      <c r="N441" s="53">
        <f t="shared" si="361"/>
        <v>0</v>
      </c>
      <c r="O441" s="53">
        <f t="shared" si="361"/>
        <v>0</v>
      </c>
      <c r="P441" s="53">
        <f t="shared" si="361"/>
        <v>0</v>
      </c>
      <c r="Q441" s="53">
        <f t="shared" si="361"/>
        <v>0</v>
      </c>
      <c r="R441" s="53">
        <f t="shared" si="361"/>
        <v>0</v>
      </c>
      <c r="S441" s="53">
        <f t="shared" si="361"/>
        <v>0</v>
      </c>
      <c r="T441" s="53">
        <f t="shared" si="361"/>
        <v>0</v>
      </c>
      <c r="U441" s="53">
        <f t="shared" si="361"/>
        <v>0</v>
      </c>
      <c r="V441" s="53">
        <f t="shared" si="361"/>
        <v>0</v>
      </c>
      <c r="W441" s="53">
        <f t="shared" si="361"/>
        <v>0</v>
      </c>
      <c r="X441" s="53">
        <f t="shared" si="361"/>
        <v>0</v>
      </c>
      <c r="Y441" s="53">
        <f t="shared" si="361"/>
        <v>0</v>
      </c>
      <c r="Z441" s="53">
        <f t="shared" si="361"/>
        <v>0</v>
      </c>
      <c r="AA441" s="53">
        <f t="shared" si="361"/>
        <v>0</v>
      </c>
      <c r="AB441" s="53">
        <f t="shared" si="361"/>
        <v>0</v>
      </c>
      <c r="AC441" s="53">
        <f t="shared" si="361"/>
        <v>0</v>
      </c>
      <c r="AD441" s="53">
        <f t="shared" si="361"/>
        <v>0</v>
      </c>
      <c r="AE441" s="53">
        <f t="shared" si="361"/>
        <v>0</v>
      </c>
      <c r="AF441" s="53">
        <f t="shared" si="361"/>
        <v>0</v>
      </c>
      <c r="AG441" s="53">
        <f t="shared" si="361"/>
        <v>0</v>
      </c>
      <c r="AH441" s="53">
        <f t="shared" si="361"/>
        <v>0</v>
      </c>
      <c r="AI441" s="53">
        <f t="shared" si="361"/>
        <v>0</v>
      </c>
      <c r="AJ441" s="53">
        <f t="shared" si="361"/>
        <v>0</v>
      </c>
      <c r="AK441" s="53">
        <f t="shared" si="361"/>
        <v>0</v>
      </c>
      <c r="AL441" s="53">
        <f t="shared" si="361"/>
        <v>0</v>
      </c>
      <c r="AM441" s="53">
        <f t="shared" si="361"/>
        <v>0</v>
      </c>
      <c r="AN441" s="53">
        <f t="shared" si="361"/>
        <v>0</v>
      </c>
      <c r="AO441" s="53">
        <f t="shared" si="361"/>
        <v>0</v>
      </c>
      <c r="AP441" s="53">
        <f t="shared" si="361"/>
        <v>0</v>
      </c>
      <c r="AQ441" s="53">
        <f t="shared" si="361"/>
        <v>0</v>
      </c>
      <c r="AR441" s="53">
        <f t="shared" si="361"/>
        <v>0</v>
      </c>
      <c r="AS441" s="53">
        <f t="shared" si="361"/>
        <v>0</v>
      </c>
      <c r="AT441" s="53">
        <f t="shared" si="361"/>
        <v>0</v>
      </c>
      <c r="AU441" s="53">
        <f t="shared" si="361"/>
        <v>0</v>
      </c>
      <c r="AV441" s="53">
        <f t="shared" si="361"/>
        <v>0</v>
      </c>
      <c r="AW441" s="53">
        <f t="shared" si="361"/>
        <v>0</v>
      </c>
      <c r="AX441" s="53">
        <f t="shared" si="361"/>
        <v>0</v>
      </c>
      <c r="AY441" s="53">
        <f t="shared" si="361"/>
        <v>0</v>
      </c>
      <c r="AZ441" s="53">
        <f t="shared" si="361"/>
        <v>0</v>
      </c>
      <c r="BA441" s="53">
        <f t="shared" si="361"/>
        <v>0</v>
      </c>
      <c r="BB441" s="53">
        <f t="shared" si="361"/>
        <v>0</v>
      </c>
      <c r="BC441" s="53">
        <f t="shared" si="361"/>
        <v>0</v>
      </c>
      <c r="BD441" s="53">
        <f t="shared" si="361"/>
        <v>0</v>
      </c>
      <c r="BE441" s="53">
        <f t="shared" si="361"/>
        <v>0</v>
      </c>
      <c r="BF441" s="53">
        <f t="shared" si="361"/>
        <v>0</v>
      </c>
      <c r="BG441" s="53">
        <f t="shared" si="361"/>
        <v>0</v>
      </c>
      <c r="BH441" s="53">
        <f t="shared" si="361"/>
        <v>0</v>
      </c>
      <c r="BI441" s="53">
        <f t="shared" si="361"/>
        <v>0</v>
      </c>
      <c r="BJ441" s="53">
        <f t="shared" si="361"/>
        <v>0</v>
      </c>
      <c r="BK441" s="53">
        <f t="shared" si="361"/>
        <v>0</v>
      </c>
      <c r="BL441" s="53">
        <f t="shared" si="361"/>
        <v>0</v>
      </c>
      <c r="BM441" s="53">
        <f t="shared" si="361"/>
        <v>0</v>
      </c>
      <c r="BN441" s="53">
        <f t="shared" si="361"/>
        <v>0</v>
      </c>
      <c r="BO441" s="53">
        <f t="shared" ref="BO441:CX441" si="362">IFERROR(IF(BO$262=0,0,(BO182-BO183)/BO183),0)</f>
        <v>0</v>
      </c>
      <c r="BP441" s="53">
        <f t="shared" si="362"/>
        <v>0</v>
      </c>
      <c r="BQ441" s="53">
        <f t="shared" si="362"/>
        <v>0</v>
      </c>
      <c r="BR441" s="53">
        <f t="shared" si="362"/>
        <v>0</v>
      </c>
      <c r="BS441" s="53">
        <f t="shared" si="362"/>
        <v>0</v>
      </c>
      <c r="BT441" s="53">
        <f t="shared" si="362"/>
        <v>0</v>
      </c>
      <c r="BU441" s="53">
        <f t="shared" si="362"/>
        <v>0</v>
      </c>
      <c r="BV441" s="53">
        <f t="shared" si="362"/>
        <v>0</v>
      </c>
      <c r="BW441" s="53">
        <f t="shared" si="362"/>
        <v>0</v>
      </c>
      <c r="BX441" s="53">
        <f t="shared" si="362"/>
        <v>0</v>
      </c>
      <c r="BY441" s="53">
        <f t="shared" si="362"/>
        <v>0</v>
      </c>
      <c r="BZ441" s="53">
        <f t="shared" si="362"/>
        <v>0</v>
      </c>
      <c r="CA441" s="53">
        <f t="shared" si="362"/>
        <v>0</v>
      </c>
      <c r="CB441" s="53">
        <f t="shared" si="362"/>
        <v>0</v>
      </c>
      <c r="CC441" s="53">
        <f t="shared" si="362"/>
        <v>0</v>
      </c>
      <c r="CD441" s="53">
        <f t="shared" si="362"/>
        <v>0</v>
      </c>
      <c r="CE441" s="53">
        <f t="shared" si="362"/>
        <v>0</v>
      </c>
      <c r="CF441" s="53">
        <f t="shared" si="362"/>
        <v>0</v>
      </c>
      <c r="CG441" s="53">
        <f t="shared" si="362"/>
        <v>0</v>
      </c>
      <c r="CH441" s="53">
        <f t="shared" si="362"/>
        <v>0</v>
      </c>
      <c r="CI441" s="53">
        <f t="shared" si="362"/>
        <v>0</v>
      </c>
      <c r="CJ441" s="53">
        <f t="shared" si="362"/>
        <v>0</v>
      </c>
      <c r="CK441" s="53">
        <f t="shared" si="362"/>
        <v>0</v>
      </c>
      <c r="CL441" s="53">
        <f t="shared" si="362"/>
        <v>0</v>
      </c>
      <c r="CM441" s="53">
        <f t="shared" si="362"/>
        <v>0</v>
      </c>
      <c r="CN441" s="53">
        <f t="shared" si="362"/>
        <v>0</v>
      </c>
      <c r="CO441" s="53">
        <f t="shared" si="362"/>
        <v>0</v>
      </c>
      <c r="CP441" s="53">
        <f t="shared" si="362"/>
        <v>0</v>
      </c>
      <c r="CQ441" s="53">
        <f t="shared" si="362"/>
        <v>0</v>
      </c>
      <c r="CR441" s="53">
        <f t="shared" si="362"/>
        <v>0</v>
      </c>
      <c r="CS441" s="53">
        <f t="shared" si="362"/>
        <v>0</v>
      </c>
      <c r="CT441" s="53">
        <f t="shared" si="362"/>
        <v>0</v>
      </c>
      <c r="CU441" s="53">
        <f t="shared" si="362"/>
        <v>0</v>
      </c>
      <c r="CV441" s="53">
        <f t="shared" si="362"/>
        <v>0</v>
      </c>
      <c r="CW441" s="53">
        <f t="shared" si="362"/>
        <v>0</v>
      </c>
      <c r="CX441" s="53">
        <f t="shared" si="362"/>
        <v>0</v>
      </c>
      <c r="DB441" s="2" vm="690">
        <f ca="1">IF(Returns!A445&lt;&gt;0,Returns!A445,"")</f>
        <v>43283</v>
      </c>
      <c r="DC441" s="11">
        <f ca="1">IF(Returns!B456&gt;0,Returns!B456/Returns!B455-1,"")</f>
        <v>-2.8007451058019828E-2</v>
      </c>
      <c r="DD441" s="11">
        <f ca="1">IF(Returns!D448&gt;0,Returns!D448/Returns!D447-1,"")</f>
        <v>1.5680851337831037E-2</v>
      </c>
    </row>
    <row r="442" spans="2:108" x14ac:dyDescent="0.3">
      <c r="B442" s="57">
        <f t="shared" ca="1" si="264"/>
        <v>4.0987121903736677E-4</v>
      </c>
      <c r="C442" s="53">
        <f t="shared" ref="C442:BN442" si="363">IFERROR(IF(C$262=0,0,(C183-C184)/C184),0)</f>
        <v>0</v>
      </c>
      <c r="D442" s="53">
        <f t="shared" si="363"/>
        <v>0</v>
      </c>
      <c r="E442" s="53">
        <f t="shared" si="363"/>
        <v>0</v>
      </c>
      <c r="F442" s="53">
        <f t="shared" si="363"/>
        <v>0</v>
      </c>
      <c r="G442" s="53">
        <f t="shared" si="363"/>
        <v>0</v>
      </c>
      <c r="H442" s="53">
        <f t="shared" si="363"/>
        <v>0</v>
      </c>
      <c r="I442" s="53">
        <f t="shared" si="363"/>
        <v>0</v>
      </c>
      <c r="J442" s="53">
        <f t="shared" si="363"/>
        <v>0</v>
      </c>
      <c r="K442" s="53">
        <f t="shared" si="363"/>
        <v>0</v>
      </c>
      <c r="L442" s="53">
        <f t="shared" si="363"/>
        <v>0</v>
      </c>
      <c r="M442" s="53">
        <f t="shared" si="363"/>
        <v>0</v>
      </c>
      <c r="N442" s="53">
        <f t="shared" si="363"/>
        <v>0</v>
      </c>
      <c r="O442" s="53">
        <f t="shared" si="363"/>
        <v>0</v>
      </c>
      <c r="P442" s="53">
        <f t="shared" si="363"/>
        <v>0</v>
      </c>
      <c r="Q442" s="53">
        <f t="shared" si="363"/>
        <v>0</v>
      </c>
      <c r="R442" s="53">
        <f t="shared" si="363"/>
        <v>0</v>
      </c>
      <c r="S442" s="53">
        <f t="shared" si="363"/>
        <v>0</v>
      </c>
      <c r="T442" s="53">
        <f t="shared" si="363"/>
        <v>0</v>
      </c>
      <c r="U442" s="53">
        <f t="shared" si="363"/>
        <v>0</v>
      </c>
      <c r="V442" s="53">
        <f t="shared" si="363"/>
        <v>0</v>
      </c>
      <c r="W442" s="53">
        <f t="shared" si="363"/>
        <v>0</v>
      </c>
      <c r="X442" s="53">
        <f t="shared" si="363"/>
        <v>0</v>
      </c>
      <c r="Y442" s="53">
        <f t="shared" si="363"/>
        <v>0</v>
      </c>
      <c r="Z442" s="53">
        <f t="shared" si="363"/>
        <v>0</v>
      </c>
      <c r="AA442" s="53">
        <f t="shared" si="363"/>
        <v>0</v>
      </c>
      <c r="AB442" s="53">
        <f t="shared" si="363"/>
        <v>0</v>
      </c>
      <c r="AC442" s="53">
        <f t="shared" si="363"/>
        <v>0</v>
      </c>
      <c r="AD442" s="53">
        <f t="shared" si="363"/>
        <v>0</v>
      </c>
      <c r="AE442" s="53">
        <f t="shared" si="363"/>
        <v>0</v>
      </c>
      <c r="AF442" s="53">
        <f t="shared" si="363"/>
        <v>0</v>
      </c>
      <c r="AG442" s="53">
        <f t="shared" si="363"/>
        <v>0</v>
      </c>
      <c r="AH442" s="53">
        <f t="shared" si="363"/>
        <v>0</v>
      </c>
      <c r="AI442" s="53">
        <f t="shared" si="363"/>
        <v>0</v>
      </c>
      <c r="AJ442" s="53">
        <f t="shared" si="363"/>
        <v>0</v>
      </c>
      <c r="AK442" s="53">
        <f t="shared" si="363"/>
        <v>0</v>
      </c>
      <c r="AL442" s="53">
        <f t="shared" si="363"/>
        <v>0</v>
      </c>
      <c r="AM442" s="53">
        <f t="shared" si="363"/>
        <v>0</v>
      </c>
      <c r="AN442" s="53">
        <f t="shared" si="363"/>
        <v>0</v>
      </c>
      <c r="AO442" s="53">
        <f t="shared" si="363"/>
        <v>0</v>
      </c>
      <c r="AP442" s="53">
        <f t="shared" si="363"/>
        <v>0</v>
      </c>
      <c r="AQ442" s="53">
        <f t="shared" si="363"/>
        <v>0</v>
      </c>
      <c r="AR442" s="53">
        <f t="shared" si="363"/>
        <v>0</v>
      </c>
      <c r="AS442" s="53">
        <f t="shared" si="363"/>
        <v>0</v>
      </c>
      <c r="AT442" s="53">
        <f t="shared" si="363"/>
        <v>0</v>
      </c>
      <c r="AU442" s="53">
        <f t="shared" si="363"/>
        <v>0</v>
      </c>
      <c r="AV442" s="53">
        <f t="shared" si="363"/>
        <v>0</v>
      </c>
      <c r="AW442" s="53">
        <f t="shared" si="363"/>
        <v>0</v>
      </c>
      <c r="AX442" s="53">
        <f t="shared" si="363"/>
        <v>0</v>
      </c>
      <c r="AY442" s="53">
        <f t="shared" si="363"/>
        <v>0</v>
      </c>
      <c r="AZ442" s="53">
        <f t="shared" si="363"/>
        <v>0</v>
      </c>
      <c r="BA442" s="53">
        <f t="shared" si="363"/>
        <v>0</v>
      </c>
      <c r="BB442" s="53">
        <f t="shared" si="363"/>
        <v>0</v>
      </c>
      <c r="BC442" s="53">
        <f t="shared" si="363"/>
        <v>0</v>
      </c>
      <c r="BD442" s="53">
        <f t="shared" si="363"/>
        <v>0</v>
      </c>
      <c r="BE442" s="53">
        <f t="shared" si="363"/>
        <v>0</v>
      </c>
      <c r="BF442" s="53">
        <f t="shared" si="363"/>
        <v>0</v>
      </c>
      <c r="BG442" s="53">
        <f t="shared" si="363"/>
        <v>0</v>
      </c>
      <c r="BH442" s="53">
        <f t="shared" si="363"/>
        <v>0</v>
      </c>
      <c r="BI442" s="53">
        <f t="shared" si="363"/>
        <v>0</v>
      </c>
      <c r="BJ442" s="53">
        <f t="shared" si="363"/>
        <v>0</v>
      </c>
      <c r="BK442" s="53">
        <f t="shared" si="363"/>
        <v>0</v>
      </c>
      <c r="BL442" s="53">
        <f t="shared" si="363"/>
        <v>0</v>
      </c>
      <c r="BM442" s="53">
        <f t="shared" si="363"/>
        <v>0</v>
      </c>
      <c r="BN442" s="53">
        <f t="shared" si="363"/>
        <v>0</v>
      </c>
      <c r="BO442" s="53">
        <f t="shared" ref="BO442:CX442" si="364">IFERROR(IF(BO$262=0,0,(BO183-BO184)/BO184),0)</f>
        <v>0</v>
      </c>
      <c r="BP442" s="53">
        <f t="shared" si="364"/>
        <v>0</v>
      </c>
      <c r="BQ442" s="53">
        <f t="shared" si="364"/>
        <v>0</v>
      </c>
      <c r="BR442" s="53">
        <f t="shared" si="364"/>
        <v>0</v>
      </c>
      <c r="BS442" s="53">
        <f t="shared" si="364"/>
        <v>0</v>
      </c>
      <c r="BT442" s="53">
        <f t="shared" si="364"/>
        <v>0</v>
      </c>
      <c r="BU442" s="53">
        <f t="shared" si="364"/>
        <v>0</v>
      </c>
      <c r="BV442" s="53">
        <f t="shared" si="364"/>
        <v>0</v>
      </c>
      <c r="BW442" s="53">
        <f t="shared" si="364"/>
        <v>0</v>
      </c>
      <c r="BX442" s="53">
        <f t="shared" si="364"/>
        <v>0</v>
      </c>
      <c r="BY442" s="53">
        <f t="shared" si="364"/>
        <v>0</v>
      </c>
      <c r="BZ442" s="53">
        <f t="shared" si="364"/>
        <v>0</v>
      </c>
      <c r="CA442" s="53">
        <f t="shared" si="364"/>
        <v>0</v>
      </c>
      <c r="CB442" s="53">
        <f t="shared" si="364"/>
        <v>0</v>
      </c>
      <c r="CC442" s="53">
        <f t="shared" si="364"/>
        <v>0</v>
      </c>
      <c r="CD442" s="53">
        <f t="shared" si="364"/>
        <v>0</v>
      </c>
      <c r="CE442" s="53">
        <f t="shared" si="364"/>
        <v>0</v>
      </c>
      <c r="CF442" s="53">
        <f t="shared" si="364"/>
        <v>0</v>
      </c>
      <c r="CG442" s="53">
        <f t="shared" si="364"/>
        <v>0</v>
      </c>
      <c r="CH442" s="53">
        <f t="shared" si="364"/>
        <v>0</v>
      </c>
      <c r="CI442" s="53">
        <f t="shared" si="364"/>
        <v>0</v>
      </c>
      <c r="CJ442" s="53">
        <f t="shared" si="364"/>
        <v>0</v>
      </c>
      <c r="CK442" s="53">
        <f t="shared" si="364"/>
        <v>0</v>
      </c>
      <c r="CL442" s="53">
        <f t="shared" si="364"/>
        <v>0</v>
      </c>
      <c r="CM442" s="53">
        <f t="shared" si="364"/>
        <v>0</v>
      </c>
      <c r="CN442" s="53">
        <f t="shared" si="364"/>
        <v>0</v>
      </c>
      <c r="CO442" s="53">
        <f t="shared" si="364"/>
        <v>0</v>
      </c>
      <c r="CP442" s="53">
        <f t="shared" si="364"/>
        <v>0</v>
      </c>
      <c r="CQ442" s="53">
        <f t="shared" si="364"/>
        <v>0</v>
      </c>
      <c r="CR442" s="53">
        <f t="shared" si="364"/>
        <v>0</v>
      </c>
      <c r="CS442" s="53">
        <f t="shared" si="364"/>
        <v>0</v>
      </c>
      <c r="CT442" s="53">
        <f t="shared" si="364"/>
        <v>0</v>
      </c>
      <c r="CU442" s="53">
        <f t="shared" si="364"/>
        <v>0</v>
      </c>
      <c r="CV442" s="53">
        <f t="shared" si="364"/>
        <v>0</v>
      </c>
      <c r="CW442" s="53">
        <f t="shared" si="364"/>
        <v>0</v>
      </c>
      <c r="CX442" s="53">
        <f t="shared" si="364"/>
        <v>0</v>
      </c>
      <c r="DB442" s="2" vm="691">
        <f ca="1">IF(Returns!A446&lt;&gt;0,Returns!A446,"")</f>
        <v>43290</v>
      </c>
      <c r="DC442" s="11">
        <f ca="1">IF(Returns!B457&gt;0,Returns!B457/Returns!B456-1,"")</f>
        <v>4.5947540743912496E-2</v>
      </c>
      <c r="DD442" s="11">
        <f ca="1">IF(Returns!D449&gt;0,Returns!D449/Returns!D448-1,"")</f>
        <v>4.529045938668208E-4</v>
      </c>
    </row>
    <row r="443" spans="2:108" x14ac:dyDescent="0.3">
      <c r="B443" s="57">
        <f t="shared" ca="1" si="264"/>
        <v>7.5756340659199125E-4</v>
      </c>
      <c r="C443" s="53">
        <f t="shared" ref="C443:BN443" si="365">IFERROR(IF(C$262=0,0,(C184-C185)/C185),0)</f>
        <v>0</v>
      </c>
      <c r="D443" s="53">
        <f t="shared" si="365"/>
        <v>0</v>
      </c>
      <c r="E443" s="53">
        <f t="shared" si="365"/>
        <v>0</v>
      </c>
      <c r="F443" s="53">
        <f t="shared" si="365"/>
        <v>0</v>
      </c>
      <c r="G443" s="53">
        <f t="shared" si="365"/>
        <v>0</v>
      </c>
      <c r="H443" s="53">
        <f t="shared" si="365"/>
        <v>0</v>
      </c>
      <c r="I443" s="53">
        <f t="shared" si="365"/>
        <v>0</v>
      </c>
      <c r="J443" s="53">
        <f t="shared" si="365"/>
        <v>0</v>
      </c>
      <c r="K443" s="53">
        <f t="shared" si="365"/>
        <v>0</v>
      </c>
      <c r="L443" s="53">
        <f t="shared" si="365"/>
        <v>0</v>
      </c>
      <c r="M443" s="53">
        <f t="shared" si="365"/>
        <v>0</v>
      </c>
      <c r="N443" s="53">
        <f t="shared" si="365"/>
        <v>0</v>
      </c>
      <c r="O443" s="53">
        <f t="shared" si="365"/>
        <v>0</v>
      </c>
      <c r="P443" s="53">
        <f t="shared" si="365"/>
        <v>0</v>
      </c>
      <c r="Q443" s="53">
        <f t="shared" si="365"/>
        <v>0</v>
      </c>
      <c r="R443" s="53">
        <f t="shared" si="365"/>
        <v>0</v>
      </c>
      <c r="S443" s="53">
        <f t="shared" si="365"/>
        <v>0</v>
      </c>
      <c r="T443" s="53">
        <f t="shared" si="365"/>
        <v>0</v>
      </c>
      <c r="U443" s="53">
        <f t="shared" si="365"/>
        <v>0</v>
      </c>
      <c r="V443" s="53">
        <f t="shared" si="365"/>
        <v>0</v>
      </c>
      <c r="W443" s="53">
        <f t="shared" si="365"/>
        <v>0</v>
      </c>
      <c r="X443" s="53">
        <f t="shared" si="365"/>
        <v>0</v>
      </c>
      <c r="Y443" s="53">
        <f t="shared" si="365"/>
        <v>0</v>
      </c>
      <c r="Z443" s="53">
        <f t="shared" si="365"/>
        <v>0</v>
      </c>
      <c r="AA443" s="53">
        <f t="shared" si="365"/>
        <v>0</v>
      </c>
      <c r="AB443" s="53">
        <f t="shared" si="365"/>
        <v>0</v>
      </c>
      <c r="AC443" s="53">
        <f t="shared" si="365"/>
        <v>0</v>
      </c>
      <c r="AD443" s="53">
        <f t="shared" si="365"/>
        <v>0</v>
      </c>
      <c r="AE443" s="53">
        <f t="shared" si="365"/>
        <v>0</v>
      </c>
      <c r="AF443" s="53">
        <f t="shared" si="365"/>
        <v>0</v>
      </c>
      <c r="AG443" s="53">
        <f t="shared" si="365"/>
        <v>0</v>
      </c>
      <c r="AH443" s="53">
        <f t="shared" si="365"/>
        <v>0</v>
      </c>
      <c r="AI443" s="53">
        <f t="shared" si="365"/>
        <v>0</v>
      </c>
      <c r="AJ443" s="53">
        <f t="shared" si="365"/>
        <v>0</v>
      </c>
      <c r="AK443" s="53">
        <f t="shared" si="365"/>
        <v>0</v>
      </c>
      <c r="AL443" s="53">
        <f t="shared" si="365"/>
        <v>0</v>
      </c>
      <c r="AM443" s="53">
        <f t="shared" si="365"/>
        <v>0</v>
      </c>
      <c r="AN443" s="53">
        <f t="shared" si="365"/>
        <v>0</v>
      </c>
      <c r="AO443" s="53">
        <f t="shared" si="365"/>
        <v>0</v>
      </c>
      <c r="AP443" s="53">
        <f t="shared" si="365"/>
        <v>0</v>
      </c>
      <c r="AQ443" s="53">
        <f t="shared" si="365"/>
        <v>0</v>
      </c>
      <c r="AR443" s="53">
        <f t="shared" si="365"/>
        <v>0</v>
      </c>
      <c r="AS443" s="53">
        <f t="shared" si="365"/>
        <v>0</v>
      </c>
      <c r="AT443" s="53">
        <f t="shared" si="365"/>
        <v>0</v>
      </c>
      <c r="AU443" s="53">
        <f t="shared" si="365"/>
        <v>0</v>
      </c>
      <c r="AV443" s="53">
        <f t="shared" si="365"/>
        <v>0</v>
      </c>
      <c r="AW443" s="53">
        <f t="shared" si="365"/>
        <v>0</v>
      </c>
      <c r="AX443" s="53">
        <f t="shared" si="365"/>
        <v>0</v>
      </c>
      <c r="AY443" s="53">
        <f t="shared" si="365"/>
        <v>0</v>
      </c>
      <c r="AZ443" s="53">
        <f t="shared" si="365"/>
        <v>0</v>
      </c>
      <c r="BA443" s="53">
        <f t="shared" si="365"/>
        <v>0</v>
      </c>
      <c r="BB443" s="53">
        <f t="shared" si="365"/>
        <v>0</v>
      </c>
      <c r="BC443" s="53">
        <f t="shared" si="365"/>
        <v>0</v>
      </c>
      <c r="BD443" s="53">
        <f t="shared" si="365"/>
        <v>0</v>
      </c>
      <c r="BE443" s="53">
        <f t="shared" si="365"/>
        <v>0</v>
      </c>
      <c r="BF443" s="53">
        <f t="shared" si="365"/>
        <v>0</v>
      </c>
      <c r="BG443" s="53">
        <f t="shared" si="365"/>
        <v>0</v>
      </c>
      <c r="BH443" s="53">
        <f t="shared" si="365"/>
        <v>0</v>
      </c>
      <c r="BI443" s="53">
        <f t="shared" si="365"/>
        <v>0</v>
      </c>
      <c r="BJ443" s="53">
        <f t="shared" si="365"/>
        <v>0</v>
      </c>
      <c r="BK443" s="53">
        <f t="shared" si="365"/>
        <v>0</v>
      </c>
      <c r="BL443" s="53">
        <f t="shared" si="365"/>
        <v>0</v>
      </c>
      <c r="BM443" s="53">
        <f t="shared" si="365"/>
        <v>0</v>
      </c>
      <c r="BN443" s="53">
        <f t="shared" si="365"/>
        <v>0</v>
      </c>
      <c r="BO443" s="53">
        <f t="shared" ref="BO443:CX443" si="366">IFERROR(IF(BO$262=0,0,(BO184-BO185)/BO185),0)</f>
        <v>0</v>
      </c>
      <c r="BP443" s="53">
        <f t="shared" si="366"/>
        <v>0</v>
      </c>
      <c r="BQ443" s="53">
        <f t="shared" si="366"/>
        <v>0</v>
      </c>
      <c r="BR443" s="53">
        <f t="shared" si="366"/>
        <v>0</v>
      </c>
      <c r="BS443" s="53">
        <f t="shared" si="366"/>
        <v>0</v>
      </c>
      <c r="BT443" s="53">
        <f t="shared" si="366"/>
        <v>0</v>
      </c>
      <c r="BU443" s="53">
        <f t="shared" si="366"/>
        <v>0</v>
      </c>
      <c r="BV443" s="53">
        <f t="shared" si="366"/>
        <v>0</v>
      </c>
      <c r="BW443" s="53">
        <f t="shared" si="366"/>
        <v>0</v>
      </c>
      <c r="BX443" s="53">
        <f t="shared" si="366"/>
        <v>0</v>
      </c>
      <c r="BY443" s="53">
        <f t="shared" si="366"/>
        <v>0</v>
      </c>
      <c r="BZ443" s="53">
        <f t="shared" si="366"/>
        <v>0</v>
      </c>
      <c r="CA443" s="53">
        <f t="shared" si="366"/>
        <v>0</v>
      </c>
      <c r="CB443" s="53">
        <f t="shared" si="366"/>
        <v>0</v>
      </c>
      <c r="CC443" s="53">
        <f t="shared" si="366"/>
        <v>0</v>
      </c>
      <c r="CD443" s="53">
        <f t="shared" si="366"/>
        <v>0</v>
      </c>
      <c r="CE443" s="53">
        <f t="shared" si="366"/>
        <v>0</v>
      </c>
      <c r="CF443" s="53">
        <f t="shared" si="366"/>
        <v>0</v>
      </c>
      <c r="CG443" s="53">
        <f t="shared" si="366"/>
        <v>0</v>
      </c>
      <c r="CH443" s="53">
        <f t="shared" si="366"/>
        <v>0</v>
      </c>
      <c r="CI443" s="53">
        <f t="shared" si="366"/>
        <v>0</v>
      </c>
      <c r="CJ443" s="53">
        <f t="shared" si="366"/>
        <v>0</v>
      </c>
      <c r="CK443" s="53">
        <f t="shared" si="366"/>
        <v>0</v>
      </c>
      <c r="CL443" s="53">
        <f t="shared" si="366"/>
        <v>0</v>
      </c>
      <c r="CM443" s="53">
        <f t="shared" si="366"/>
        <v>0</v>
      </c>
      <c r="CN443" s="53">
        <f t="shared" si="366"/>
        <v>0</v>
      </c>
      <c r="CO443" s="53">
        <f t="shared" si="366"/>
        <v>0</v>
      </c>
      <c r="CP443" s="53">
        <f t="shared" si="366"/>
        <v>0</v>
      </c>
      <c r="CQ443" s="53">
        <f t="shared" si="366"/>
        <v>0</v>
      </c>
      <c r="CR443" s="53">
        <f t="shared" si="366"/>
        <v>0</v>
      </c>
      <c r="CS443" s="53">
        <f t="shared" si="366"/>
        <v>0</v>
      </c>
      <c r="CT443" s="53">
        <f t="shared" si="366"/>
        <v>0</v>
      </c>
      <c r="CU443" s="53">
        <f t="shared" si="366"/>
        <v>0</v>
      </c>
      <c r="CV443" s="53">
        <f t="shared" si="366"/>
        <v>0</v>
      </c>
      <c r="CW443" s="53">
        <f t="shared" si="366"/>
        <v>0</v>
      </c>
      <c r="CX443" s="53">
        <f t="shared" si="366"/>
        <v>0</v>
      </c>
      <c r="DB443" s="2" vm="692">
        <f ca="1">IF(Returns!A447&lt;&gt;0,Returns!A447,"")</f>
        <v>43297</v>
      </c>
      <c r="DC443" s="11">
        <f ca="1">IF(Returns!B458&gt;0,Returns!B458/Returns!B457-1,"")</f>
        <v>-5.6590114827758442E-2</v>
      </c>
      <c r="DD443" s="11">
        <f ca="1">IF(Returns!D450&gt;0,Returns!D450/Returns!D449-1,"")</f>
        <v>-5.8691297318330671E-3</v>
      </c>
    </row>
    <row r="444" spans="2:108" x14ac:dyDescent="0.3">
      <c r="B444" s="57">
        <f t="shared" ca="1" si="264"/>
        <v>4.6178383806799355E-3</v>
      </c>
      <c r="C444" s="53">
        <f t="shared" ref="C444:BN444" si="367">IFERROR(IF(C$262=0,0,(C185-C186)/C186),0)</f>
        <v>0</v>
      </c>
      <c r="D444" s="53">
        <f t="shared" si="367"/>
        <v>0</v>
      </c>
      <c r="E444" s="53">
        <f t="shared" si="367"/>
        <v>0</v>
      </c>
      <c r="F444" s="53">
        <f t="shared" si="367"/>
        <v>0</v>
      </c>
      <c r="G444" s="53">
        <f t="shared" si="367"/>
        <v>0</v>
      </c>
      <c r="H444" s="53">
        <f t="shared" si="367"/>
        <v>0</v>
      </c>
      <c r="I444" s="53">
        <f t="shared" si="367"/>
        <v>0</v>
      </c>
      <c r="J444" s="53">
        <f t="shared" si="367"/>
        <v>0</v>
      </c>
      <c r="K444" s="53">
        <f t="shared" si="367"/>
        <v>0</v>
      </c>
      <c r="L444" s="53">
        <f t="shared" si="367"/>
        <v>0</v>
      </c>
      <c r="M444" s="53">
        <f t="shared" si="367"/>
        <v>0</v>
      </c>
      <c r="N444" s="53">
        <f t="shared" si="367"/>
        <v>0</v>
      </c>
      <c r="O444" s="53">
        <f t="shared" si="367"/>
        <v>0</v>
      </c>
      <c r="P444" s="53">
        <f t="shared" si="367"/>
        <v>0</v>
      </c>
      <c r="Q444" s="53">
        <f t="shared" si="367"/>
        <v>0</v>
      </c>
      <c r="R444" s="53">
        <f t="shared" si="367"/>
        <v>0</v>
      </c>
      <c r="S444" s="53">
        <f t="shared" si="367"/>
        <v>0</v>
      </c>
      <c r="T444" s="53">
        <f t="shared" si="367"/>
        <v>0</v>
      </c>
      <c r="U444" s="53">
        <f t="shared" si="367"/>
        <v>0</v>
      </c>
      <c r="V444" s="53">
        <f t="shared" si="367"/>
        <v>0</v>
      </c>
      <c r="W444" s="53">
        <f t="shared" si="367"/>
        <v>0</v>
      </c>
      <c r="X444" s="53">
        <f t="shared" si="367"/>
        <v>0</v>
      </c>
      <c r="Y444" s="53">
        <f t="shared" si="367"/>
        <v>0</v>
      </c>
      <c r="Z444" s="53">
        <f t="shared" si="367"/>
        <v>0</v>
      </c>
      <c r="AA444" s="53">
        <f t="shared" si="367"/>
        <v>0</v>
      </c>
      <c r="AB444" s="53">
        <f t="shared" si="367"/>
        <v>0</v>
      </c>
      <c r="AC444" s="53">
        <f t="shared" si="367"/>
        <v>0</v>
      </c>
      <c r="AD444" s="53">
        <f t="shared" si="367"/>
        <v>0</v>
      </c>
      <c r="AE444" s="53">
        <f t="shared" si="367"/>
        <v>0</v>
      </c>
      <c r="AF444" s="53">
        <f t="shared" si="367"/>
        <v>0</v>
      </c>
      <c r="AG444" s="53">
        <f t="shared" si="367"/>
        <v>0</v>
      </c>
      <c r="AH444" s="53">
        <f t="shared" si="367"/>
        <v>0</v>
      </c>
      <c r="AI444" s="53">
        <f t="shared" si="367"/>
        <v>0</v>
      </c>
      <c r="AJ444" s="53">
        <f t="shared" si="367"/>
        <v>0</v>
      </c>
      <c r="AK444" s="53">
        <f t="shared" si="367"/>
        <v>0</v>
      </c>
      <c r="AL444" s="53">
        <f t="shared" si="367"/>
        <v>0</v>
      </c>
      <c r="AM444" s="53">
        <f t="shared" si="367"/>
        <v>0</v>
      </c>
      <c r="AN444" s="53">
        <f t="shared" si="367"/>
        <v>0</v>
      </c>
      <c r="AO444" s="53">
        <f t="shared" si="367"/>
        <v>0</v>
      </c>
      <c r="AP444" s="53">
        <f t="shared" si="367"/>
        <v>0</v>
      </c>
      <c r="AQ444" s="53">
        <f t="shared" si="367"/>
        <v>0</v>
      </c>
      <c r="AR444" s="53">
        <f t="shared" si="367"/>
        <v>0</v>
      </c>
      <c r="AS444" s="53">
        <f t="shared" si="367"/>
        <v>0</v>
      </c>
      <c r="AT444" s="53">
        <f t="shared" si="367"/>
        <v>0</v>
      </c>
      <c r="AU444" s="53">
        <f t="shared" si="367"/>
        <v>0</v>
      </c>
      <c r="AV444" s="53">
        <f t="shared" si="367"/>
        <v>0</v>
      </c>
      <c r="AW444" s="53">
        <f t="shared" si="367"/>
        <v>0</v>
      </c>
      <c r="AX444" s="53">
        <f t="shared" si="367"/>
        <v>0</v>
      </c>
      <c r="AY444" s="53">
        <f t="shared" si="367"/>
        <v>0</v>
      </c>
      <c r="AZ444" s="53">
        <f t="shared" si="367"/>
        <v>0</v>
      </c>
      <c r="BA444" s="53">
        <f t="shared" si="367"/>
        <v>0</v>
      </c>
      <c r="BB444" s="53">
        <f t="shared" si="367"/>
        <v>0</v>
      </c>
      <c r="BC444" s="53">
        <f t="shared" si="367"/>
        <v>0</v>
      </c>
      <c r="BD444" s="53">
        <f t="shared" si="367"/>
        <v>0</v>
      </c>
      <c r="BE444" s="53">
        <f t="shared" si="367"/>
        <v>0</v>
      </c>
      <c r="BF444" s="53">
        <f t="shared" si="367"/>
        <v>0</v>
      </c>
      <c r="BG444" s="53">
        <f t="shared" si="367"/>
        <v>0</v>
      </c>
      <c r="BH444" s="53">
        <f t="shared" si="367"/>
        <v>0</v>
      </c>
      <c r="BI444" s="53">
        <f t="shared" si="367"/>
        <v>0</v>
      </c>
      <c r="BJ444" s="53">
        <f t="shared" si="367"/>
        <v>0</v>
      </c>
      <c r="BK444" s="53">
        <f t="shared" si="367"/>
        <v>0</v>
      </c>
      <c r="BL444" s="53">
        <f t="shared" si="367"/>
        <v>0</v>
      </c>
      <c r="BM444" s="53">
        <f t="shared" si="367"/>
        <v>0</v>
      </c>
      <c r="BN444" s="53">
        <f t="shared" si="367"/>
        <v>0</v>
      </c>
      <c r="BO444" s="53">
        <f t="shared" ref="BO444:CX444" si="368">IFERROR(IF(BO$262=0,0,(BO185-BO186)/BO186),0)</f>
        <v>0</v>
      </c>
      <c r="BP444" s="53">
        <f t="shared" si="368"/>
        <v>0</v>
      </c>
      <c r="BQ444" s="53">
        <f t="shared" si="368"/>
        <v>0</v>
      </c>
      <c r="BR444" s="53">
        <f t="shared" si="368"/>
        <v>0</v>
      </c>
      <c r="BS444" s="53">
        <f t="shared" si="368"/>
        <v>0</v>
      </c>
      <c r="BT444" s="53">
        <f t="shared" si="368"/>
        <v>0</v>
      </c>
      <c r="BU444" s="53">
        <f t="shared" si="368"/>
        <v>0</v>
      </c>
      <c r="BV444" s="53">
        <f t="shared" si="368"/>
        <v>0</v>
      </c>
      <c r="BW444" s="53">
        <f t="shared" si="368"/>
        <v>0</v>
      </c>
      <c r="BX444" s="53">
        <f t="shared" si="368"/>
        <v>0</v>
      </c>
      <c r="BY444" s="53">
        <f t="shared" si="368"/>
        <v>0</v>
      </c>
      <c r="BZ444" s="53">
        <f t="shared" si="368"/>
        <v>0</v>
      </c>
      <c r="CA444" s="53">
        <f t="shared" si="368"/>
        <v>0</v>
      </c>
      <c r="CB444" s="53">
        <f t="shared" si="368"/>
        <v>0</v>
      </c>
      <c r="CC444" s="53">
        <f t="shared" si="368"/>
        <v>0</v>
      </c>
      <c r="CD444" s="53">
        <f t="shared" si="368"/>
        <v>0</v>
      </c>
      <c r="CE444" s="53">
        <f t="shared" si="368"/>
        <v>0</v>
      </c>
      <c r="CF444" s="53">
        <f t="shared" si="368"/>
        <v>0</v>
      </c>
      <c r="CG444" s="53">
        <f t="shared" si="368"/>
        <v>0</v>
      </c>
      <c r="CH444" s="53">
        <f t="shared" si="368"/>
        <v>0</v>
      </c>
      <c r="CI444" s="53">
        <f t="shared" si="368"/>
        <v>0</v>
      </c>
      <c r="CJ444" s="53">
        <f t="shared" si="368"/>
        <v>0</v>
      </c>
      <c r="CK444" s="53">
        <f t="shared" si="368"/>
        <v>0</v>
      </c>
      <c r="CL444" s="53">
        <f t="shared" si="368"/>
        <v>0</v>
      </c>
      <c r="CM444" s="53">
        <f t="shared" si="368"/>
        <v>0</v>
      </c>
      <c r="CN444" s="53">
        <f t="shared" si="368"/>
        <v>0</v>
      </c>
      <c r="CO444" s="53">
        <f t="shared" si="368"/>
        <v>0</v>
      </c>
      <c r="CP444" s="53">
        <f t="shared" si="368"/>
        <v>0</v>
      </c>
      <c r="CQ444" s="53">
        <f t="shared" si="368"/>
        <v>0</v>
      </c>
      <c r="CR444" s="53">
        <f t="shared" si="368"/>
        <v>0</v>
      </c>
      <c r="CS444" s="53">
        <f t="shared" si="368"/>
        <v>0</v>
      </c>
      <c r="CT444" s="53">
        <f t="shared" si="368"/>
        <v>0</v>
      </c>
      <c r="CU444" s="53">
        <f t="shared" si="368"/>
        <v>0</v>
      </c>
      <c r="CV444" s="53">
        <f t="shared" si="368"/>
        <v>0</v>
      </c>
      <c r="CW444" s="53">
        <f t="shared" si="368"/>
        <v>0</v>
      </c>
      <c r="CX444" s="53">
        <f t="shared" si="368"/>
        <v>0</v>
      </c>
      <c r="DB444" s="2" vm="693">
        <f ca="1">IF(Returns!A448&lt;&gt;0,Returns!A448,"")</f>
        <v>43304</v>
      </c>
      <c r="DC444" s="11">
        <f ca="1">IF(Returns!B459&gt;0,Returns!B459/Returns!B458-1,"")</f>
        <v>-5.3470219352790282E-2</v>
      </c>
      <c r="DD444" s="11">
        <f ca="1">IF(Returns!D451&gt;0,Returns!D451/Returns!D450-1,"")</f>
        <v>1.4071036222678357E-2</v>
      </c>
    </row>
    <row r="445" spans="2:108" x14ac:dyDescent="0.3">
      <c r="B445" s="57">
        <f t="shared" ca="1" si="264"/>
        <v>6.4898880870373054E-3</v>
      </c>
      <c r="C445" s="53">
        <f t="shared" ref="C445:BN445" si="369">IFERROR(IF(C$262=0,0,(C186-C187)/C187),0)</f>
        <v>0</v>
      </c>
      <c r="D445" s="53">
        <f t="shared" si="369"/>
        <v>0</v>
      </c>
      <c r="E445" s="53">
        <f t="shared" si="369"/>
        <v>0</v>
      </c>
      <c r="F445" s="53">
        <f t="shared" si="369"/>
        <v>0</v>
      </c>
      <c r="G445" s="53">
        <f t="shared" si="369"/>
        <v>0</v>
      </c>
      <c r="H445" s="53">
        <f t="shared" si="369"/>
        <v>0</v>
      </c>
      <c r="I445" s="53">
        <f t="shared" si="369"/>
        <v>0</v>
      </c>
      <c r="J445" s="53">
        <f t="shared" si="369"/>
        <v>0</v>
      </c>
      <c r="K445" s="53">
        <f t="shared" si="369"/>
        <v>0</v>
      </c>
      <c r="L445" s="53">
        <f t="shared" si="369"/>
        <v>0</v>
      </c>
      <c r="M445" s="53">
        <f t="shared" si="369"/>
        <v>0</v>
      </c>
      <c r="N445" s="53">
        <f t="shared" si="369"/>
        <v>0</v>
      </c>
      <c r="O445" s="53">
        <f t="shared" si="369"/>
        <v>0</v>
      </c>
      <c r="P445" s="53">
        <f t="shared" si="369"/>
        <v>0</v>
      </c>
      <c r="Q445" s="53">
        <f t="shared" si="369"/>
        <v>0</v>
      </c>
      <c r="R445" s="53">
        <f t="shared" si="369"/>
        <v>0</v>
      </c>
      <c r="S445" s="53">
        <f t="shared" si="369"/>
        <v>0</v>
      </c>
      <c r="T445" s="53">
        <f t="shared" si="369"/>
        <v>0</v>
      </c>
      <c r="U445" s="53">
        <f t="shared" si="369"/>
        <v>0</v>
      </c>
      <c r="V445" s="53">
        <f t="shared" si="369"/>
        <v>0</v>
      </c>
      <c r="W445" s="53">
        <f t="shared" si="369"/>
        <v>0</v>
      </c>
      <c r="X445" s="53">
        <f t="shared" si="369"/>
        <v>0</v>
      </c>
      <c r="Y445" s="53">
        <f t="shared" si="369"/>
        <v>0</v>
      </c>
      <c r="Z445" s="53">
        <f t="shared" si="369"/>
        <v>0</v>
      </c>
      <c r="AA445" s="53">
        <f t="shared" si="369"/>
        <v>0</v>
      </c>
      <c r="AB445" s="53">
        <f t="shared" si="369"/>
        <v>0</v>
      </c>
      <c r="AC445" s="53">
        <f t="shared" si="369"/>
        <v>0</v>
      </c>
      <c r="AD445" s="53">
        <f t="shared" si="369"/>
        <v>0</v>
      </c>
      <c r="AE445" s="53">
        <f t="shared" si="369"/>
        <v>0</v>
      </c>
      <c r="AF445" s="53">
        <f t="shared" si="369"/>
        <v>0</v>
      </c>
      <c r="AG445" s="53">
        <f t="shared" si="369"/>
        <v>0</v>
      </c>
      <c r="AH445" s="53">
        <f t="shared" si="369"/>
        <v>0</v>
      </c>
      <c r="AI445" s="53">
        <f t="shared" si="369"/>
        <v>0</v>
      </c>
      <c r="AJ445" s="53">
        <f t="shared" si="369"/>
        <v>0</v>
      </c>
      <c r="AK445" s="53">
        <f t="shared" si="369"/>
        <v>0</v>
      </c>
      <c r="AL445" s="53">
        <f t="shared" si="369"/>
        <v>0</v>
      </c>
      <c r="AM445" s="53">
        <f t="shared" si="369"/>
        <v>0</v>
      </c>
      <c r="AN445" s="53">
        <f t="shared" si="369"/>
        <v>0</v>
      </c>
      <c r="AO445" s="53">
        <f t="shared" si="369"/>
        <v>0</v>
      </c>
      <c r="AP445" s="53">
        <f t="shared" si="369"/>
        <v>0</v>
      </c>
      <c r="AQ445" s="53">
        <f t="shared" si="369"/>
        <v>0</v>
      </c>
      <c r="AR445" s="53">
        <f t="shared" si="369"/>
        <v>0</v>
      </c>
      <c r="AS445" s="53">
        <f t="shared" si="369"/>
        <v>0</v>
      </c>
      <c r="AT445" s="53">
        <f t="shared" si="369"/>
        <v>0</v>
      </c>
      <c r="AU445" s="53">
        <f t="shared" si="369"/>
        <v>0</v>
      </c>
      <c r="AV445" s="53">
        <f t="shared" si="369"/>
        <v>0</v>
      </c>
      <c r="AW445" s="53">
        <f t="shared" si="369"/>
        <v>0</v>
      </c>
      <c r="AX445" s="53">
        <f t="shared" si="369"/>
        <v>0</v>
      </c>
      <c r="AY445" s="53">
        <f t="shared" si="369"/>
        <v>0</v>
      </c>
      <c r="AZ445" s="53">
        <f t="shared" si="369"/>
        <v>0</v>
      </c>
      <c r="BA445" s="53">
        <f t="shared" si="369"/>
        <v>0</v>
      </c>
      <c r="BB445" s="53">
        <f t="shared" si="369"/>
        <v>0</v>
      </c>
      <c r="BC445" s="53">
        <f t="shared" si="369"/>
        <v>0</v>
      </c>
      <c r="BD445" s="53">
        <f t="shared" si="369"/>
        <v>0</v>
      </c>
      <c r="BE445" s="53">
        <f t="shared" si="369"/>
        <v>0</v>
      </c>
      <c r="BF445" s="53">
        <f t="shared" si="369"/>
        <v>0</v>
      </c>
      <c r="BG445" s="53">
        <f t="shared" si="369"/>
        <v>0</v>
      </c>
      <c r="BH445" s="53">
        <f t="shared" si="369"/>
        <v>0</v>
      </c>
      <c r="BI445" s="53">
        <f t="shared" si="369"/>
        <v>0</v>
      </c>
      <c r="BJ445" s="53">
        <f t="shared" si="369"/>
        <v>0</v>
      </c>
      <c r="BK445" s="53">
        <f t="shared" si="369"/>
        <v>0</v>
      </c>
      <c r="BL445" s="53">
        <f t="shared" si="369"/>
        <v>0</v>
      </c>
      <c r="BM445" s="53">
        <f t="shared" si="369"/>
        <v>0</v>
      </c>
      <c r="BN445" s="53">
        <f t="shared" si="369"/>
        <v>0</v>
      </c>
      <c r="BO445" s="53">
        <f t="shared" ref="BO445:CX445" si="370">IFERROR(IF(BO$262=0,0,(BO186-BO187)/BO187),0)</f>
        <v>0</v>
      </c>
      <c r="BP445" s="53">
        <f t="shared" si="370"/>
        <v>0</v>
      </c>
      <c r="BQ445" s="53">
        <f t="shared" si="370"/>
        <v>0</v>
      </c>
      <c r="BR445" s="53">
        <f t="shared" si="370"/>
        <v>0</v>
      </c>
      <c r="BS445" s="53">
        <f t="shared" si="370"/>
        <v>0</v>
      </c>
      <c r="BT445" s="53">
        <f t="shared" si="370"/>
        <v>0</v>
      </c>
      <c r="BU445" s="53">
        <f t="shared" si="370"/>
        <v>0</v>
      </c>
      <c r="BV445" s="53">
        <f t="shared" si="370"/>
        <v>0</v>
      </c>
      <c r="BW445" s="53">
        <f t="shared" si="370"/>
        <v>0</v>
      </c>
      <c r="BX445" s="53">
        <f t="shared" si="370"/>
        <v>0</v>
      </c>
      <c r="BY445" s="53">
        <f t="shared" si="370"/>
        <v>0</v>
      </c>
      <c r="BZ445" s="53">
        <f t="shared" si="370"/>
        <v>0</v>
      </c>
      <c r="CA445" s="53">
        <f t="shared" si="370"/>
        <v>0</v>
      </c>
      <c r="CB445" s="53">
        <f t="shared" si="370"/>
        <v>0</v>
      </c>
      <c r="CC445" s="53">
        <f t="shared" si="370"/>
        <v>0</v>
      </c>
      <c r="CD445" s="53">
        <f t="shared" si="370"/>
        <v>0</v>
      </c>
      <c r="CE445" s="53">
        <f t="shared" si="370"/>
        <v>0</v>
      </c>
      <c r="CF445" s="53">
        <f t="shared" si="370"/>
        <v>0</v>
      </c>
      <c r="CG445" s="53">
        <f t="shared" si="370"/>
        <v>0</v>
      </c>
      <c r="CH445" s="53">
        <f t="shared" si="370"/>
        <v>0</v>
      </c>
      <c r="CI445" s="53">
        <f t="shared" si="370"/>
        <v>0</v>
      </c>
      <c r="CJ445" s="53">
        <f t="shared" si="370"/>
        <v>0</v>
      </c>
      <c r="CK445" s="53">
        <f t="shared" si="370"/>
        <v>0</v>
      </c>
      <c r="CL445" s="53">
        <f t="shared" si="370"/>
        <v>0</v>
      </c>
      <c r="CM445" s="53">
        <f t="shared" si="370"/>
        <v>0</v>
      </c>
      <c r="CN445" s="53">
        <f t="shared" si="370"/>
        <v>0</v>
      </c>
      <c r="CO445" s="53">
        <f t="shared" si="370"/>
        <v>0</v>
      </c>
      <c r="CP445" s="53">
        <f t="shared" si="370"/>
        <v>0</v>
      </c>
      <c r="CQ445" s="53">
        <f t="shared" si="370"/>
        <v>0</v>
      </c>
      <c r="CR445" s="53">
        <f t="shared" si="370"/>
        <v>0</v>
      </c>
      <c r="CS445" s="53">
        <f t="shared" si="370"/>
        <v>0</v>
      </c>
      <c r="CT445" s="53">
        <f t="shared" si="370"/>
        <v>0</v>
      </c>
      <c r="CU445" s="53">
        <f t="shared" si="370"/>
        <v>0</v>
      </c>
      <c r="CV445" s="53">
        <f t="shared" si="370"/>
        <v>0</v>
      </c>
      <c r="CW445" s="53">
        <f t="shared" si="370"/>
        <v>0</v>
      </c>
      <c r="CX445" s="53">
        <f t="shared" si="370"/>
        <v>0</v>
      </c>
      <c r="DB445" s="2" vm="694">
        <f ca="1">IF(Returns!A449&lt;&gt;0,Returns!A449,"")</f>
        <v>43311</v>
      </c>
      <c r="DC445" s="11">
        <f ca="1">IF(Returns!B460&gt;0,Returns!B460/Returns!B459-1,"")</f>
        <v>-1.374251513745306E-2</v>
      </c>
      <c r="DD445" s="11">
        <f ca="1">IF(Returns!D452&gt;0,Returns!D452/Returns!D451-1,"")</f>
        <v>4.7150759505469875E-3</v>
      </c>
    </row>
    <row r="446" spans="2:108" x14ac:dyDescent="0.3">
      <c r="B446" s="57">
        <f t="shared" ca="1" si="264"/>
        <v>4.4340967339687903E-4</v>
      </c>
      <c r="C446" s="53">
        <f t="shared" ref="C446:BN446" si="371">IFERROR(IF(C$262=0,0,(C187-C188)/C188),0)</f>
        <v>0</v>
      </c>
      <c r="D446" s="53">
        <f t="shared" si="371"/>
        <v>0</v>
      </c>
      <c r="E446" s="53">
        <f t="shared" si="371"/>
        <v>0</v>
      </c>
      <c r="F446" s="53">
        <f t="shared" si="371"/>
        <v>0</v>
      </c>
      <c r="G446" s="53">
        <f t="shared" si="371"/>
        <v>0</v>
      </c>
      <c r="H446" s="53">
        <f t="shared" si="371"/>
        <v>0</v>
      </c>
      <c r="I446" s="53">
        <f t="shared" si="371"/>
        <v>0</v>
      </c>
      <c r="J446" s="53">
        <f t="shared" si="371"/>
        <v>0</v>
      </c>
      <c r="K446" s="53">
        <f t="shared" si="371"/>
        <v>0</v>
      </c>
      <c r="L446" s="53">
        <f t="shared" si="371"/>
        <v>0</v>
      </c>
      <c r="M446" s="53">
        <f t="shared" si="371"/>
        <v>0</v>
      </c>
      <c r="N446" s="53">
        <f t="shared" si="371"/>
        <v>0</v>
      </c>
      <c r="O446" s="53">
        <f t="shared" si="371"/>
        <v>0</v>
      </c>
      <c r="P446" s="53">
        <f t="shared" si="371"/>
        <v>0</v>
      </c>
      <c r="Q446" s="53">
        <f t="shared" si="371"/>
        <v>0</v>
      </c>
      <c r="R446" s="53">
        <f t="shared" si="371"/>
        <v>0</v>
      </c>
      <c r="S446" s="53">
        <f t="shared" si="371"/>
        <v>0</v>
      </c>
      <c r="T446" s="53">
        <f t="shared" si="371"/>
        <v>0</v>
      </c>
      <c r="U446" s="53">
        <f t="shared" si="371"/>
        <v>0</v>
      </c>
      <c r="V446" s="53">
        <f t="shared" si="371"/>
        <v>0</v>
      </c>
      <c r="W446" s="53">
        <f t="shared" si="371"/>
        <v>0</v>
      </c>
      <c r="X446" s="53">
        <f t="shared" si="371"/>
        <v>0</v>
      </c>
      <c r="Y446" s="53">
        <f t="shared" si="371"/>
        <v>0</v>
      </c>
      <c r="Z446" s="53">
        <f t="shared" si="371"/>
        <v>0</v>
      </c>
      <c r="AA446" s="53">
        <f t="shared" si="371"/>
        <v>0</v>
      </c>
      <c r="AB446" s="53">
        <f t="shared" si="371"/>
        <v>0</v>
      </c>
      <c r="AC446" s="53">
        <f t="shared" si="371"/>
        <v>0</v>
      </c>
      <c r="AD446" s="53">
        <f t="shared" si="371"/>
        <v>0</v>
      </c>
      <c r="AE446" s="53">
        <f t="shared" si="371"/>
        <v>0</v>
      </c>
      <c r="AF446" s="53">
        <f t="shared" si="371"/>
        <v>0</v>
      </c>
      <c r="AG446" s="53">
        <f t="shared" si="371"/>
        <v>0</v>
      </c>
      <c r="AH446" s="53">
        <f t="shared" si="371"/>
        <v>0</v>
      </c>
      <c r="AI446" s="53">
        <f t="shared" si="371"/>
        <v>0</v>
      </c>
      <c r="AJ446" s="53">
        <f t="shared" si="371"/>
        <v>0</v>
      </c>
      <c r="AK446" s="53">
        <f t="shared" si="371"/>
        <v>0</v>
      </c>
      <c r="AL446" s="53">
        <f t="shared" si="371"/>
        <v>0</v>
      </c>
      <c r="AM446" s="53">
        <f t="shared" si="371"/>
        <v>0</v>
      </c>
      <c r="AN446" s="53">
        <f t="shared" si="371"/>
        <v>0</v>
      </c>
      <c r="AO446" s="53">
        <f t="shared" si="371"/>
        <v>0</v>
      </c>
      <c r="AP446" s="53">
        <f t="shared" si="371"/>
        <v>0</v>
      </c>
      <c r="AQ446" s="53">
        <f t="shared" si="371"/>
        <v>0</v>
      </c>
      <c r="AR446" s="53">
        <f t="shared" si="371"/>
        <v>0</v>
      </c>
      <c r="AS446" s="53">
        <f t="shared" si="371"/>
        <v>0</v>
      </c>
      <c r="AT446" s="53">
        <f t="shared" si="371"/>
        <v>0</v>
      </c>
      <c r="AU446" s="53">
        <f t="shared" si="371"/>
        <v>0</v>
      </c>
      <c r="AV446" s="53">
        <f t="shared" si="371"/>
        <v>0</v>
      </c>
      <c r="AW446" s="53">
        <f t="shared" si="371"/>
        <v>0</v>
      </c>
      <c r="AX446" s="53">
        <f t="shared" si="371"/>
        <v>0</v>
      </c>
      <c r="AY446" s="53">
        <f t="shared" si="371"/>
        <v>0</v>
      </c>
      <c r="AZ446" s="53">
        <f t="shared" si="371"/>
        <v>0</v>
      </c>
      <c r="BA446" s="53">
        <f t="shared" si="371"/>
        <v>0</v>
      </c>
      <c r="BB446" s="53">
        <f t="shared" si="371"/>
        <v>0</v>
      </c>
      <c r="BC446" s="53">
        <f t="shared" si="371"/>
        <v>0</v>
      </c>
      <c r="BD446" s="53">
        <f t="shared" si="371"/>
        <v>0</v>
      </c>
      <c r="BE446" s="53">
        <f t="shared" si="371"/>
        <v>0</v>
      </c>
      <c r="BF446" s="53">
        <f t="shared" si="371"/>
        <v>0</v>
      </c>
      <c r="BG446" s="53">
        <f t="shared" si="371"/>
        <v>0</v>
      </c>
      <c r="BH446" s="53">
        <f t="shared" si="371"/>
        <v>0</v>
      </c>
      <c r="BI446" s="53">
        <f t="shared" si="371"/>
        <v>0</v>
      </c>
      <c r="BJ446" s="53">
        <f t="shared" si="371"/>
        <v>0</v>
      </c>
      <c r="BK446" s="53">
        <f t="shared" si="371"/>
        <v>0</v>
      </c>
      <c r="BL446" s="53">
        <f t="shared" si="371"/>
        <v>0</v>
      </c>
      <c r="BM446" s="53">
        <f t="shared" si="371"/>
        <v>0</v>
      </c>
      <c r="BN446" s="53">
        <f t="shared" si="371"/>
        <v>0</v>
      </c>
      <c r="BO446" s="53">
        <f t="shared" ref="BO446:CX446" si="372">IFERROR(IF(BO$262=0,0,(BO187-BO188)/BO188),0)</f>
        <v>0</v>
      </c>
      <c r="BP446" s="53">
        <f t="shared" si="372"/>
        <v>0</v>
      </c>
      <c r="BQ446" s="53">
        <f t="shared" si="372"/>
        <v>0</v>
      </c>
      <c r="BR446" s="53">
        <f t="shared" si="372"/>
        <v>0</v>
      </c>
      <c r="BS446" s="53">
        <f t="shared" si="372"/>
        <v>0</v>
      </c>
      <c r="BT446" s="53">
        <f t="shared" si="372"/>
        <v>0</v>
      </c>
      <c r="BU446" s="53">
        <f t="shared" si="372"/>
        <v>0</v>
      </c>
      <c r="BV446" s="53">
        <f t="shared" si="372"/>
        <v>0</v>
      </c>
      <c r="BW446" s="53">
        <f t="shared" si="372"/>
        <v>0</v>
      </c>
      <c r="BX446" s="53">
        <f t="shared" si="372"/>
        <v>0</v>
      </c>
      <c r="BY446" s="53">
        <f t="shared" si="372"/>
        <v>0</v>
      </c>
      <c r="BZ446" s="53">
        <f t="shared" si="372"/>
        <v>0</v>
      </c>
      <c r="CA446" s="53">
        <f t="shared" si="372"/>
        <v>0</v>
      </c>
      <c r="CB446" s="53">
        <f t="shared" si="372"/>
        <v>0</v>
      </c>
      <c r="CC446" s="53">
        <f t="shared" si="372"/>
        <v>0</v>
      </c>
      <c r="CD446" s="53">
        <f t="shared" si="372"/>
        <v>0</v>
      </c>
      <c r="CE446" s="53">
        <f t="shared" si="372"/>
        <v>0</v>
      </c>
      <c r="CF446" s="53">
        <f t="shared" si="372"/>
        <v>0</v>
      </c>
      <c r="CG446" s="53">
        <f t="shared" si="372"/>
        <v>0</v>
      </c>
      <c r="CH446" s="53">
        <f t="shared" si="372"/>
        <v>0</v>
      </c>
      <c r="CI446" s="53">
        <f t="shared" si="372"/>
        <v>0</v>
      </c>
      <c r="CJ446" s="53">
        <f t="shared" si="372"/>
        <v>0</v>
      </c>
      <c r="CK446" s="53">
        <f t="shared" si="372"/>
        <v>0</v>
      </c>
      <c r="CL446" s="53">
        <f t="shared" si="372"/>
        <v>0</v>
      </c>
      <c r="CM446" s="53">
        <f t="shared" si="372"/>
        <v>0</v>
      </c>
      <c r="CN446" s="53">
        <f t="shared" si="372"/>
        <v>0</v>
      </c>
      <c r="CO446" s="53">
        <f t="shared" si="372"/>
        <v>0</v>
      </c>
      <c r="CP446" s="53">
        <f t="shared" si="372"/>
        <v>0</v>
      </c>
      <c r="CQ446" s="53">
        <f t="shared" si="372"/>
        <v>0</v>
      </c>
      <c r="CR446" s="53">
        <f t="shared" si="372"/>
        <v>0</v>
      </c>
      <c r="CS446" s="53">
        <f t="shared" si="372"/>
        <v>0</v>
      </c>
      <c r="CT446" s="53">
        <f t="shared" si="372"/>
        <v>0</v>
      </c>
      <c r="CU446" s="53">
        <f t="shared" si="372"/>
        <v>0</v>
      </c>
      <c r="CV446" s="53">
        <f t="shared" si="372"/>
        <v>0</v>
      </c>
      <c r="CW446" s="53">
        <f t="shared" si="372"/>
        <v>0</v>
      </c>
      <c r="CX446" s="53">
        <f t="shared" si="372"/>
        <v>0</v>
      </c>
      <c r="DB446" s="2" vm="695">
        <f ca="1">IF(Returns!A450&lt;&gt;0,Returns!A450,"")</f>
        <v>43318</v>
      </c>
      <c r="DC446" s="11">
        <f ca="1">IF(Returns!B461&gt;0,Returns!B461/Returns!B460-1,"")</f>
        <v>-6.8717652194123624E-2</v>
      </c>
      <c r="DD446" s="11">
        <f ca="1">IF(Returns!D453&gt;0,Returns!D453/Returns!D452-1,"")</f>
        <v>6.7646802617389312E-3</v>
      </c>
    </row>
    <row r="447" spans="2:108" x14ac:dyDescent="0.3">
      <c r="B447" s="57">
        <f t="shared" ca="1" si="264"/>
        <v>3.7115052943947663E-3</v>
      </c>
      <c r="C447" s="53">
        <f t="shared" ref="C447:BN447" si="373">IFERROR(IF(C$262=0,0,(C188-C189)/C189),0)</f>
        <v>0</v>
      </c>
      <c r="D447" s="53">
        <f t="shared" si="373"/>
        <v>0</v>
      </c>
      <c r="E447" s="53">
        <f t="shared" si="373"/>
        <v>0</v>
      </c>
      <c r="F447" s="53">
        <f t="shared" si="373"/>
        <v>0</v>
      </c>
      <c r="G447" s="53">
        <f t="shared" si="373"/>
        <v>0</v>
      </c>
      <c r="H447" s="53">
        <f t="shared" si="373"/>
        <v>0</v>
      </c>
      <c r="I447" s="53">
        <f t="shared" si="373"/>
        <v>0</v>
      </c>
      <c r="J447" s="53">
        <f t="shared" si="373"/>
        <v>0</v>
      </c>
      <c r="K447" s="53">
        <f t="shared" si="373"/>
        <v>0</v>
      </c>
      <c r="L447" s="53">
        <f t="shared" si="373"/>
        <v>0</v>
      </c>
      <c r="M447" s="53">
        <f t="shared" si="373"/>
        <v>0</v>
      </c>
      <c r="N447" s="53">
        <f t="shared" si="373"/>
        <v>0</v>
      </c>
      <c r="O447" s="53">
        <f t="shared" si="373"/>
        <v>0</v>
      </c>
      <c r="P447" s="53">
        <f t="shared" si="373"/>
        <v>0</v>
      </c>
      <c r="Q447" s="53">
        <f t="shared" si="373"/>
        <v>0</v>
      </c>
      <c r="R447" s="53">
        <f t="shared" si="373"/>
        <v>0</v>
      </c>
      <c r="S447" s="53">
        <f t="shared" si="373"/>
        <v>0</v>
      </c>
      <c r="T447" s="53">
        <f t="shared" si="373"/>
        <v>0</v>
      </c>
      <c r="U447" s="53">
        <f t="shared" si="373"/>
        <v>0</v>
      </c>
      <c r="V447" s="53">
        <f t="shared" si="373"/>
        <v>0</v>
      </c>
      <c r="W447" s="53">
        <f t="shared" si="373"/>
        <v>0</v>
      </c>
      <c r="X447" s="53">
        <f t="shared" si="373"/>
        <v>0</v>
      </c>
      <c r="Y447" s="53">
        <f t="shared" si="373"/>
        <v>0</v>
      </c>
      <c r="Z447" s="53">
        <f t="shared" si="373"/>
        <v>0</v>
      </c>
      <c r="AA447" s="53">
        <f t="shared" si="373"/>
        <v>0</v>
      </c>
      <c r="AB447" s="53">
        <f t="shared" si="373"/>
        <v>0</v>
      </c>
      <c r="AC447" s="53">
        <f t="shared" si="373"/>
        <v>0</v>
      </c>
      <c r="AD447" s="53">
        <f t="shared" si="373"/>
        <v>0</v>
      </c>
      <c r="AE447" s="53">
        <f t="shared" si="373"/>
        <v>0</v>
      </c>
      <c r="AF447" s="53">
        <f t="shared" si="373"/>
        <v>0</v>
      </c>
      <c r="AG447" s="53">
        <f t="shared" si="373"/>
        <v>0</v>
      </c>
      <c r="AH447" s="53">
        <f t="shared" si="373"/>
        <v>0</v>
      </c>
      <c r="AI447" s="53">
        <f t="shared" si="373"/>
        <v>0</v>
      </c>
      <c r="AJ447" s="53">
        <f t="shared" si="373"/>
        <v>0</v>
      </c>
      <c r="AK447" s="53">
        <f t="shared" si="373"/>
        <v>0</v>
      </c>
      <c r="AL447" s="53">
        <f t="shared" si="373"/>
        <v>0</v>
      </c>
      <c r="AM447" s="53">
        <f t="shared" si="373"/>
        <v>0</v>
      </c>
      <c r="AN447" s="53">
        <f t="shared" si="373"/>
        <v>0</v>
      </c>
      <c r="AO447" s="53">
        <f t="shared" si="373"/>
        <v>0</v>
      </c>
      <c r="AP447" s="53">
        <f t="shared" si="373"/>
        <v>0</v>
      </c>
      <c r="AQ447" s="53">
        <f t="shared" si="373"/>
        <v>0</v>
      </c>
      <c r="AR447" s="53">
        <f t="shared" si="373"/>
        <v>0</v>
      </c>
      <c r="AS447" s="53">
        <f t="shared" si="373"/>
        <v>0</v>
      </c>
      <c r="AT447" s="53">
        <f t="shared" si="373"/>
        <v>0</v>
      </c>
      <c r="AU447" s="53">
        <f t="shared" si="373"/>
        <v>0</v>
      </c>
      <c r="AV447" s="53">
        <f t="shared" si="373"/>
        <v>0</v>
      </c>
      <c r="AW447" s="53">
        <f t="shared" si="373"/>
        <v>0</v>
      </c>
      <c r="AX447" s="53">
        <f t="shared" si="373"/>
        <v>0</v>
      </c>
      <c r="AY447" s="53">
        <f t="shared" si="373"/>
        <v>0</v>
      </c>
      <c r="AZ447" s="53">
        <f t="shared" si="373"/>
        <v>0</v>
      </c>
      <c r="BA447" s="53">
        <f t="shared" si="373"/>
        <v>0</v>
      </c>
      <c r="BB447" s="53">
        <f t="shared" si="373"/>
        <v>0</v>
      </c>
      <c r="BC447" s="53">
        <f t="shared" si="373"/>
        <v>0</v>
      </c>
      <c r="BD447" s="53">
        <f t="shared" si="373"/>
        <v>0</v>
      </c>
      <c r="BE447" s="53">
        <f t="shared" si="373"/>
        <v>0</v>
      </c>
      <c r="BF447" s="53">
        <f t="shared" si="373"/>
        <v>0</v>
      </c>
      <c r="BG447" s="53">
        <f t="shared" si="373"/>
        <v>0</v>
      </c>
      <c r="BH447" s="53">
        <f t="shared" si="373"/>
        <v>0</v>
      </c>
      <c r="BI447" s="53">
        <f t="shared" si="373"/>
        <v>0</v>
      </c>
      <c r="BJ447" s="53">
        <f t="shared" si="373"/>
        <v>0</v>
      </c>
      <c r="BK447" s="53">
        <f t="shared" si="373"/>
        <v>0</v>
      </c>
      <c r="BL447" s="53">
        <f t="shared" si="373"/>
        <v>0</v>
      </c>
      <c r="BM447" s="53">
        <f t="shared" si="373"/>
        <v>0</v>
      </c>
      <c r="BN447" s="53">
        <f t="shared" si="373"/>
        <v>0</v>
      </c>
      <c r="BO447" s="53">
        <f t="shared" ref="BO447:CX447" si="374">IFERROR(IF(BO$262=0,0,(BO188-BO189)/BO189),0)</f>
        <v>0</v>
      </c>
      <c r="BP447" s="53">
        <f t="shared" si="374"/>
        <v>0</v>
      </c>
      <c r="BQ447" s="53">
        <f t="shared" si="374"/>
        <v>0</v>
      </c>
      <c r="BR447" s="53">
        <f t="shared" si="374"/>
        <v>0</v>
      </c>
      <c r="BS447" s="53">
        <f t="shared" si="374"/>
        <v>0</v>
      </c>
      <c r="BT447" s="53">
        <f t="shared" si="374"/>
        <v>0</v>
      </c>
      <c r="BU447" s="53">
        <f t="shared" si="374"/>
        <v>0</v>
      </c>
      <c r="BV447" s="53">
        <f t="shared" si="374"/>
        <v>0</v>
      </c>
      <c r="BW447" s="53">
        <f t="shared" si="374"/>
        <v>0</v>
      </c>
      <c r="BX447" s="53">
        <f t="shared" si="374"/>
        <v>0</v>
      </c>
      <c r="BY447" s="53">
        <f t="shared" si="374"/>
        <v>0</v>
      </c>
      <c r="BZ447" s="53">
        <f t="shared" si="374"/>
        <v>0</v>
      </c>
      <c r="CA447" s="53">
        <f t="shared" si="374"/>
        <v>0</v>
      </c>
      <c r="CB447" s="53">
        <f t="shared" si="374"/>
        <v>0</v>
      </c>
      <c r="CC447" s="53">
        <f t="shared" si="374"/>
        <v>0</v>
      </c>
      <c r="CD447" s="53">
        <f t="shared" si="374"/>
        <v>0</v>
      </c>
      <c r="CE447" s="53">
        <f t="shared" si="374"/>
        <v>0</v>
      </c>
      <c r="CF447" s="53">
        <f t="shared" si="374"/>
        <v>0</v>
      </c>
      <c r="CG447" s="53">
        <f t="shared" si="374"/>
        <v>0</v>
      </c>
      <c r="CH447" s="53">
        <f t="shared" si="374"/>
        <v>0</v>
      </c>
      <c r="CI447" s="53">
        <f t="shared" si="374"/>
        <v>0</v>
      </c>
      <c r="CJ447" s="53">
        <f t="shared" si="374"/>
        <v>0</v>
      </c>
      <c r="CK447" s="53">
        <f t="shared" si="374"/>
        <v>0</v>
      </c>
      <c r="CL447" s="53">
        <f t="shared" si="374"/>
        <v>0</v>
      </c>
      <c r="CM447" s="53">
        <f t="shared" si="374"/>
        <v>0</v>
      </c>
      <c r="CN447" s="53">
        <f t="shared" si="374"/>
        <v>0</v>
      </c>
      <c r="CO447" s="53">
        <f t="shared" si="374"/>
        <v>0</v>
      </c>
      <c r="CP447" s="53">
        <f t="shared" si="374"/>
        <v>0</v>
      </c>
      <c r="CQ447" s="53">
        <f t="shared" si="374"/>
        <v>0</v>
      </c>
      <c r="CR447" s="53">
        <f t="shared" si="374"/>
        <v>0</v>
      </c>
      <c r="CS447" s="53">
        <f t="shared" si="374"/>
        <v>0</v>
      </c>
      <c r="CT447" s="53">
        <f t="shared" si="374"/>
        <v>0</v>
      </c>
      <c r="CU447" s="53">
        <f t="shared" si="374"/>
        <v>0</v>
      </c>
      <c r="CV447" s="53">
        <f t="shared" si="374"/>
        <v>0</v>
      </c>
      <c r="CW447" s="53">
        <f t="shared" si="374"/>
        <v>0</v>
      </c>
      <c r="CX447" s="53">
        <f t="shared" si="374"/>
        <v>0</v>
      </c>
      <c r="DB447" s="2" vm="696">
        <f ca="1">IF(Returns!A451&lt;&gt;0,Returns!A451,"")</f>
        <v>43325</v>
      </c>
      <c r="DC447" s="11">
        <f ca="1">IF(Returns!B462&gt;0,Returns!B462/Returns!B461-1,"")</f>
        <v>1.3829962077172686E-2</v>
      </c>
      <c r="DD447" s="11">
        <f ca="1">IF(Returns!D454&gt;0,Returns!D454/Returns!D453-1,"")</f>
        <v>-1.8593429215565394E-3</v>
      </c>
    </row>
    <row r="448" spans="2:108" x14ac:dyDescent="0.3">
      <c r="B448" s="57">
        <f t="shared" ca="1" si="264"/>
        <v>1.4229286878022576E-3</v>
      </c>
      <c r="C448" s="53">
        <f t="shared" ref="C448:BN448" si="375">IFERROR(IF(C$262=0,0,(C189-C190)/C190),0)</f>
        <v>0</v>
      </c>
      <c r="D448" s="53">
        <f t="shared" si="375"/>
        <v>0</v>
      </c>
      <c r="E448" s="53">
        <f t="shared" si="375"/>
        <v>0</v>
      </c>
      <c r="F448" s="53">
        <f t="shared" si="375"/>
        <v>0</v>
      </c>
      <c r="G448" s="53">
        <f t="shared" si="375"/>
        <v>0</v>
      </c>
      <c r="H448" s="53">
        <f t="shared" si="375"/>
        <v>0</v>
      </c>
      <c r="I448" s="53">
        <f t="shared" si="375"/>
        <v>0</v>
      </c>
      <c r="J448" s="53">
        <f t="shared" si="375"/>
        <v>0</v>
      </c>
      <c r="K448" s="53">
        <f t="shared" si="375"/>
        <v>0</v>
      </c>
      <c r="L448" s="53">
        <f t="shared" si="375"/>
        <v>0</v>
      </c>
      <c r="M448" s="53">
        <f t="shared" si="375"/>
        <v>0</v>
      </c>
      <c r="N448" s="53">
        <f t="shared" si="375"/>
        <v>0</v>
      </c>
      <c r="O448" s="53">
        <f t="shared" si="375"/>
        <v>0</v>
      </c>
      <c r="P448" s="53">
        <f t="shared" si="375"/>
        <v>0</v>
      </c>
      <c r="Q448" s="53">
        <f t="shared" si="375"/>
        <v>0</v>
      </c>
      <c r="R448" s="53">
        <f t="shared" si="375"/>
        <v>0</v>
      </c>
      <c r="S448" s="53">
        <f t="shared" si="375"/>
        <v>0</v>
      </c>
      <c r="T448" s="53">
        <f t="shared" si="375"/>
        <v>0</v>
      </c>
      <c r="U448" s="53">
        <f t="shared" si="375"/>
        <v>0</v>
      </c>
      <c r="V448" s="53">
        <f t="shared" si="375"/>
        <v>0</v>
      </c>
      <c r="W448" s="53">
        <f t="shared" si="375"/>
        <v>0</v>
      </c>
      <c r="X448" s="53">
        <f t="shared" si="375"/>
        <v>0</v>
      </c>
      <c r="Y448" s="53">
        <f t="shared" si="375"/>
        <v>0</v>
      </c>
      <c r="Z448" s="53">
        <f t="shared" si="375"/>
        <v>0</v>
      </c>
      <c r="AA448" s="53">
        <f t="shared" si="375"/>
        <v>0</v>
      </c>
      <c r="AB448" s="53">
        <f t="shared" si="375"/>
        <v>0</v>
      </c>
      <c r="AC448" s="53">
        <f t="shared" si="375"/>
        <v>0</v>
      </c>
      <c r="AD448" s="53">
        <f t="shared" si="375"/>
        <v>0</v>
      </c>
      <c r="AE448" s="53">
        <f t="shared" si="375"/>
        <v>0</v>
      </c>
      <c r="AF448" s="53">
        <f t="shared" si="375"/>
        <v>0</v>
      </c>
      <c r="AG448" s="53">
        <f t="shared" si="375"/>
        <v>0</v>
      </c>
      <c r="AH448" s="53">
        <f t="shared" si="375"/>
        <v>0</v>
      </c>
      <c r="AI448" s="53">
        <f t="shared" si="375"/>
        <v>0</v>
      </c>
      <c r="AJ448" s="53">
        <f t="shared" si="375"/>
        <v>0</v>
      </c>
      <c r="AK448" s="53">
        <f t="shared" si="375"/>
        <v>0</v>
      </c>
      <c r="AL448" s="53">
        <f t="shared" si="375"/>
        <v>0</v>
      </c>
      <c r="AM448" s="53">
        <f t="shared" si="375"/>
        <v>0</v>
      </c>
      <c r="AN448" s="53">
        <f t="shared" si="375"/>
        <v>0</v>
      </c>
      <c r="AO448" s="53">
        <f t="shared" si="375"/>
        <v>0</v>
      </c>
      <c r="AP448" s="53">
        <f t="shared" si="375"/>
        <v>0</v>
      </c>
      <c r="AQ448" s="53">
        <f t="shared" si="375"/>
        <v>0</v>
      </c>
      <c r="AR448" s="53">
        <f t="shared" si="375"/>
        <v>0</v>
      </c>
      <c r="AS448" s="53">
        <f t="shared" si="375"/>
        <v>0</v>
      </c>
      <c r="AT448" s="53">
        <f t="shared" si="375"/>
        <v>0</v>
      </c>
      <c r="AU448" s="53">
        <f t="shared" si="375"/>
        <v>0</v>
      </c>
      <c r="AV448" s="53">
        <f t="shared" si="375"/>
        <v>0</v>
      </c>
      <c r="AW448" s="53">
        <f t="shared" si="375"/>
        <v>0</v>
      </c>
      <c r="AX448" s="53">
        <f t="shared" si="375"/>
        <v>0</v>
      </c>
      <c r="AY448" s="53">
        <f t="shared" si="375"/>
        <v>0</v>
      </c>
      <c r="AZ448" s="53">
        <f t="shared" si="375"/>
        <v>0</v>
      </c>
      <c r="BA448" s="53">
        <f t="shared" si="375"/>
        <v>0</v>
      </c>
      <c r="BB448" s="53">
        <f t="shared" si="375"/>
        <v>0</v>
      </c>
      <c r="BC448" s="53">
        <f t="shared" si="375"/>
        <v>0</v>
      </c>
      <c r="BD448" s="53">
        <f t="shared" si="375"/>
        <v>0</v>
      </c>
      <c r="BE448" s="53">
        <f t="shared" si="375"/>
        <v>0</v>
      </c>
      <c r="BF448" s="53">
        <f t="shared" si="375"/>
        <v>0</v>
      </c>
      <c r="BG448" s="53">
        <f t="shared" si="375"/>
        <v>0</v>
      </c>
      <c r="BH448" s="53">
        <f t="shared" si="375"/>
        <v>0</v>
      </c>
      <c r="BI448" s="53">
        <f t="shared" si="375"/>
        <v>0</v>
      </c>
      <c r="BJ448" s="53">
        <f t="shared" si="375"/>
        <v>0</v>
      </c>
      <c r="BK448" s="53">
        <f t="shared" si="375"/>
        <v>0</v>
      </c>
      <c r="BL448" s="53">
        <f t="shared" si="375"/>
        <v>0</v>
      </c>
      <c r="BM448" s="53">
        <f t="shared" si="375"/>
        <v>0</v>
      </c>
      <c r="BN448" s="53">
        <f t="shared" si="375"/>
        <v>0</v>
      </c>
      <c r="BO448" s="53">
        <f t="shared" ref="BO448:CX448" si="376">IFERROR(IF(BO$262=0,0,(BO189-BO190)/BO190),0)</f>
        <v>0</v>
      </c>
      <c r="BP448" s="53">
        <f t="shared" si="376"/>
        <v>0</v>
      </c>
      <c r="BQ448" s="53">
        <f t="shared" si="376"/>
        <v>0</v>
      </c>
      <c r="BR448" s="53">
        <f t="shared" si="376"/>
        <v>0</v>
      </c>
      <c r="BS448" s="53">
        <f t="shared" si="376"/>
        <v>0</v>
      </c>
      <c r="BT448" s="53">
        <f t="shared" si="376"/>
        <v>0</v>
      </c>
      <c r="BU448" s="53">
        <f t="shared" si="376"/>
        <v>0</v>
      </c>
      <c r="BV448" s="53">
        <f t="shared" si="376"/>
        <v>0</v>
      </c>
      <c r="BW448" s="53">
        <f t="shared" si="376"/>
        <v>0</v>
      </c>
      <c r="BX448" s="53">
        <f t="shared" si="376"/>
        <v>0</v>
      </c>
      <c r="BY448" s="53">
        <f t="shared" si="376"/>
        <v>0</v>
      </c>
      <c r="BZ448" s="53">
        <f t="shared" si="376"/>
        <v>0</v>
      </c>
      <c r="CA448" s="53">
        <f t="shared" si="376"/>
        <v>0</v>
      </c>
      <c r="CB448" s="53">
        <f t="shared" si="376"/>
        <v>0</v>
      </c>
      <c r="CC448" s="53">
        <f t="shared" si="376"/>
        <v>0</v>
      </c>
      <c r="CD448" s="53">
        <f t="shared" si="376"/>
        <v>0</v>
      </c>
      <c r="CE448" s="53">
        <f t="shared" si="376"/>
        <v>0</v>
      </c>
      <c r="CF448" s="53">
        <f t="shared" si="376"/>
        <v>0</v>
      </c>
      <c r="CG448" s="53">
        <f t="shared" si="376"/>
        <v>0</v>
      </c>
      <c r="CH448" s="53">
        <f t="shared" si="376"/>
        <v>0</v>
      </c>
      <c r="CI448" s="53">
        <f t="shared" si="376"/>
        <v>0</v>
      </c>
      <c r="CJ448" s="53">
        <f t="shared" si="376"/>
        <v>0</v>
      </c>
      <c r="CK448" s="53">
        <f t="shared" si="376"/>
        <v>0</v>
      </c>
      <c r="CL448" s="53">
        <f t="shared" si="376"/>
        <v>0</v>
      </c>
      <c r="CM448" s="53">
        <f t="shared" si="376"/>
        <v>0</v>
      </c>
      <c r="CN448" s="53">
        <f t="shared" si="376"/>
        <v>0</v>
      </c>
      <c r="CO448" s="53">
        <f t="shared" si="376"/>
        <v>0</v>
      </c>
      <c r="CP448" s="53">
        <f t="shared" si="376"/>
        <v>0</v>
      </c>
      <c r="CQ448" s="53">
        <f t="shared" si="376"/>
        <v>0</v>
      </c>
      <c r="CR448" s="53">
        <f t="shared" si="376"/>
        <v>0</v>
      </c>
      <c r="CS448" s="53">
        <f t="shared" si="376"/>
        <v>0</v>
      </c>
      <c r="CT448" s="53">
        <f t="shared" si="376"/>
        <v>0</v>
      </c>
      <c r="CU448" s="53">
        <f t="shared" si="376"/>
        <v>0</v>
      </c>
      <c r="CV448" s="53">
        <f t="shared" si="376"/>
        <v>0</v>
      </c>
      <c r="CW448" s="53">
        <f t="shared" si="376"/>
        <v>0</v>
      </c>
      <c r="CX448" s="53">
        <f t="shared" si="376"/>
        <v>0</v>
      </c>
      <c r="DB448" s="2" vm="697">
        <f ca="1">IF(Returns!A452&lt;&gt;0,Returns!A452,"")</f>
        <v>43332</v>
      </c>
      <c r="DC448" s="11">
        <f ca="1">IF(Returns!B463&gt;0,Returns!B463/Returns!B462-1,"")</f>
        <v>2.8159204577521857E-2</v>
      </c>
      <c r="DD448" s="11">
        <f ca="1">IF(Returns!D455&gt;0,Returns!D455/Returns!D454-1,"")</f>
        <v>9.1884486957869438E-3</v>
      </c>
    </row>
    <row r="449" spans="2:108" x14ac:dyDescent="0.3">
      <c r="B449" s="57">
        <f t="shared" ca="1" si="264"/>
        <v>1.2691594817424851E-3</v>
      </c>
      <c r="C449" s="53">
        <f t="shared" ref="C449:BN449" si="377">IFERROR(IF(C$262=0,0,(C190-C191)/C191),0)</f>
        <v>0</v>
      </c>
      <c r="D449" s="53">
        <f t="shared" si="377"/>
        <v>0</v>
      </c>
      <c r="E449" s="53">
        <f t="shared" si="377"/>
        <v>0</v>
      </c>
      <c r="F449" s="53">
        <f t="shared" si="377"/>
        <v>0</v>
      </c>
      <c r="G449" s="53">
        <f t="shared" si="377"/>
        <v>0</v>
      </c>
      <c r="H449" s="53">
        <f t="shared" si="377"/>
        <v>0</v>
      </c>
      <c r="I449" s="53">
        <f t="shared" si="377"/>
        <v>0</v>
      </c>
      <c r="J449" s="53">
        <f t="shared" si="377"/>
        <v>0</v>
      </c>
      <c r="K449" s="53">
        <f t="shared" si="377"/>
        <v>0</v>
      </c>
      <c r="L449" s="53">
        <f t="shared" si="377"/>
        <v>0</v>
      </c>
      <c r="M449" s="53">
        <f t="shared" si="377"/>
        <v>0</v>
      </c>
      <c r="N449" s="53">
        <f t="shared" si="377"/>
        <v>0</v>
      </c>
      <c r="O449" s="53">
        <f t="shared" si="377"/>
        <v>0</v>
      </c>
      <c r="P449" s="53">
        <f t="shared" si="377"/>
        <v>0</v>
      </c>
      <c r="Q449" s="53">
        <f t="shared" si="377"/>
        <v>0</v>
      </c>
      <c r="R449" s="53">
        <f t="shared" si="377"/>
        <v>0</v>
      </c>
      <c r="S449" s="53">
        <f t="shared" si="377"/>
        <v>0</v>
      </c>
      <c r="T449" s="53">
        <f t="shared" si="377"/>
        <v>0</v>
      </c>
      <c r="U449" s="53">
        <f t="shared" si="377"/>
        <v>0</v>
      </c>
      <c r="V449" s="53">
        <f t="shared" si="377"/>
        <v>0</v>
      </c>
      <c r="W449" s="53">
        <f t="shared" si="377"/>
        <v>0</v>
      </c>
      <c r="X449" s="53">
        <f t="shared" si="377"/>
        <v>0</v>
      </c>
      <c r="Y449" s="53">
        <f t="shared" si="377"/>
        <v>0</v>
      </c>
      <c r="Z449" s="53">
        <f t="shared" si="377"/>
        <v>0</v>
      </c>
      <c r="AA449" s="53">
        <f t="shared" si="377"/>
        <v>0</v>
      </c>
      <c r="AB449" s="53">
        <f t="shared" si="377"/>
        <v>0</v>
      </c>
      <c r="AC449" s="53">
        <f t="shared" si="377"/>
        <v>0</v>
      </c>
      <c r="AD449" s="53">
        <f t="shared" si="377"/>
        <v>0</v>
      </c>
      <c r="AE449" s="53">
        <f t="shared" si="377"/>
        <v>0</v>
      </c>
      <c r="AF449" s="53">
        <f t="shared" si="377"/>
        <v>0</v>
      </c>
      <c r="AG449" s="53">
        <f t="shared" si="377"/>
        <v>0</v>
      </c>
      <c r="AH449" s="53">
        <f t="shared" si="377"/>
        <v>0</v>
      </c>
      <c r="AI449" s="53">
        <f t="shared" si="377"/>
        <v>0</v>
      </c>
      <c r="AJ449" s="53">
        <f t="shared" si="377"/>
        <v>0</v>
      </c>
      <c r="AK449" s="53">
        <f t="shared" si="377"/>
        <v>0</v>
      </c>
      <c r="AL449" s="53">
        <f t="shared" si="377"/>
        <v>0</v>
      </c>
      <c r="AM449" s="53">
        <f t="shared" si="377"/>
        <v>0</v>
      </c>
      <c r="AN449" s="53">
        <f t="shared" si="377"/>
        <v>0</v>
      </c>
      <c r="AO449" s="53">
        <f t="shared" si="377"/>
        <v>0</v>
      </c>
      <c r="AP449" s="53">
        <f t="shared" si="377"/>
        <v>0</v>
      </c>
      <c r="AQ449" s="53">
        <f t="shared" si="377"/>
        <v>0</v>
      </c>
      <c r="AR449" s="53">
        <f t="shared" si="377"/>
        <v>0</v>
      </c>
      <c r="AS449" s="53">
        <f t="shared" si="377"/>
        <v>0</v>
      </c>
      <c r="AT449" s="53">
        <f t="shared" si="377"/>
        <v>0</v>
      </c>
      <c r="AU449" s="53">
        <f t="shared" si="377"/>
        <v>0</v>
      </c>
      <c r="AV449" s="53">
        <f t="shared" si="377"/>
        <v>0</v>
      </c>
      <c r="AW449" s="53">
        <f t="shared" si="377"/>
        <v>0</v>
      </c>
      <c r="AX449" s="53">
        <f t="shared" si="377"/>
        <v>0</v>
      </c>
      <c r="AY449" s="53">
        <f t="shared" si="377"/>
        <v>0</v>
      </c>
      <c r="AZ449" s="53">
        <f t="shared" si="377"/>
        <v>0</v>
      </c>
      <c r="BA449" s="53">
        <f t="shared" si="377"/>
        <v>0</v>
      </c>
      <c r="BB449" s="53">
        <f t="shared" si="377"/>
        <v>0</v>
      </c>
      <c r="BC449" s="53">
        <f t="shared" si="377"/>
        <v>0</v>
      </c>
      <c r="BD449" s="53">
        <f t="shared" si="377"/>
        <v>0</v>
      </c>
      <c r="BE449" s="53">
        <f t="shared" si="377"/>
        <v>0</v>
      </c>
      <c r="BF449" s="53">
        <f t="shared" si="377"/>
        <v>0</v>
      </c>
      <c r="BG449" s="53">
        <f t="shared" si="377"/>
        <v>0</v>
      </c>
      <c r="BH449" s="53">
        <f t="shared" si="377"/>
        <v>0</v>
      </c>
      <c r="BI449" s="53">
        <f t="shared" si="377"/>
        <v>0</v>
      </c>
      <c r="BJ449" s="53">
        <f t="shared" si="377"/>
        <v>0</v>
      </c>
      <c r="BK449" s="53">
        <f t="shared" si="377"/>
        <v>0</v>
      </c>
      <c r="BL449" s="53">
        <f t="shared" si="377"/>
        <v>0</v>
      </c>
      <c r="BM449" s="53">
        <f t="shared" si="377"/>
        <v>0</v>
      </c>
      <c r="BN449" s="53">
        <f t="shared" si="377"/>
        <v>0</v>
      </c>
      <c r="BO449" s="53">
        <f t="shared" ref="BO449:CX449" si="378">IFERROR(IF(BO$262=0,0,(BO190-BO191)/BO191),0)</f>
        <v>0</v>
      </c>
      <c r="BP449" s="53">
        <f t="shared" si="378"/>
        <v>0</v>
      </c>
      <c r="BQ449" s="53">
        <f t="shared" si="378"/>
        <v>0</v>
      </c>
      <c r="BR449" s="53">
        <f t="shared" si="378"/>
        <v>0</v>
      </c>
      <c r="BS449" s="53">
        <f t="shared" si="378"/>
        <v>0</v>
      </c>
      <c r="BT449" s="53">
        <f t="shared" si="378"/>
        <v>0</v>
      </c>
      <c r="BU449" s="53">
        <f t="shared" si="378"/>
        <v>0</v>
      </c>
      <c r="BV449" s="53">
        <f t="shared" si="378"/>
        <v>0</v>
      </c>
      <c r="BW449" s="53">
        <f t="shared" si="378"/>
        <v>0</v>
      </c>
      <c r="BX449" s="53">
        <f t="shared" si="378"/>
        <v>0</v>
      </c>
      <c r="BY449" s="53">
        <f t="shared" si="378"/>
        <v>0</v>
      </c>
      <c r="BZ449" s="53">
        <f t="shared" si="378"/>
        <v>0</v>
      </c>
      <c r="CA449" s="53">
        <f t="shared" si="378"/>
        <v>0</v>
      </c>
      <c r="CB449" s="53">
        <f t="shared" si="378"/>
        <v>0</v>
      </c>
      <c r="CC449" s="53">
        <f t="shared" si="378"/>
        <v>0</v>
      </c>
      <c r="CD449" s="53">
        <f t="shared" si="378"/>
        <v>0</v>
      </c>
      <c r="CE449" s="53">
        <f t="shared" si="378"/>
        <v>0</v>
      </c>
      <c r="CF449" s="53">
        <f t="shared" si="378"/>
        <v>0</v>
      </c>
      <c r="CG449" s="53">
        <f t="shared" si="378"/>
        <v>0</v>
      </c>
      <c r="CH449" s="53">
        <f t="shared" si="378"/>
        <v>0</v>
      </c>
      <c r="CI449" s="53">
        <f t="shared" si="378"/>
        <v>0</v>
      </c>
      <c r="CJ449" s="53">
        <f t="shared" si="378"/>
        <v>0</v>
      </c>
      <c r="CK449" s="53">
        <f t="shared" si="378"/>
        <v>0</v>
      </c>
      <c r="CL449" s="53">
        <f t="shared" si="378"/>
        <v>0</v>
      </c>
      <c r="CM449" s="53">
        <f t="shared" si="378"/>
        <v>0</v>
      </c>
      <c r="CN449" s="53">
        <f t="shared" si="378"/>
        <v>0</v>
      </c>
      <c r="CO449" s="53">
        <f t="shared" si="378"/>
        <v>0</v>
      </c>
      <c r="CP449" s="53">
        <f t="shared" si="378"/>
        <v>0</v>
      </c>
      <c r="CQ449" s="53">
        <f t="shared" si="378"/>
        <v>0</v>
      </c>
      <c r="CR449" s="53">
        <f t="shared" si="378"/>
        <v>0</v>
      </c>
      <c r="CS449" s="53">
        <f t="shared" si="378"/>
        <v>0</v>
      </c>
      <c r="CT449" s="53">
        <f t="shared" si="378"/>
        <v>0</v>
      </c>
      <c r="CU449" s="53">
        <f t="shared" si="378"/>
        <v>0</v>
      </c>
      <c r="CV449" s="53">
        <f t="shared" si="378"/>
        <v>0</v>
      </c>
      <c r="CW449" s="53">
        <f t="shared" si="378"/>
        <v>0</v>
      </c>
      <c r="CX449" s="53">
        <f t="shared" si="378"/>
        <v>0</v>
      </c>
      <c r="DB449" s="2" vm="698">
        <f ca="1">IF(Returns!A453&lt;&gt;0,Returns!A453,"")</f>
        <v>43339</v>
      </c>
      <c r="DC449" s="11">
        <f ca="1">IF(Returns!B464&gt;0,Returns!B464/Returns!B463-1,"")</f>
        <v>-6.9503570948885374E-2</v>
      </c>
      <c r="DD449" s="11">
        <f ca="1">IF(Returns!D456&gt;0,Returns!D456/Returns!D455-1,"")</f>
        <v>2.2513097372695245E-2</v>
      </c>
    </row>
    <row r="450" spans="2:108" x14ac:dyDescent="0.3">
      <c r="B450" s="57">
        <f t="shared" ca="1" si="264"/>
        <v>1.3980281156955844E-3</v>
      </c>
      <c r="C450" s="53">
        <f t="shared" ref="C450:BN450" si="379">IFERROR(IF(C$262=0,0,(C191-C192)/C192),0)</f>
        <v>0</v>
      </c>
      <c r="D450" s="53">
        <f t="shared" si="379"/>
        <v>0</v>
      </c>
      <c r="E450" s="53">
        <f t="shared" si="379"/>
        <v>0</v>
      </c>
      <c r="F450" s="53">
        <f t="shared" si="379"/>
        <v>0</v>
      </c>
      <c r="G450" s="53">
        <f t="shared" si="379"/>
        <v>0</v>
      </c>
      <c r="H450" s="53">
        <f t="shared" si="379"/>
        <v>0</v>
      </c>
      <c r="I450" s="53">
        <f t="shared" si="379"/>
        <v>0</v>
      </c>
      <c r="J450" s="53">
        <f t="shared" si="379"/>
        <v>0</v>
      </c>
      <c r="K450" s="53">
        <f t="shared" si="379"/>
        <v>0</v>
      </c>
      <c r="L450" s="53">
        <f t="shared" si="379"/>
        <v>0</v>
      </c>
      <c r="M450" s="53">
        <f t="shared" si="379"/>
        <v>0</v>
      </c>
      <c r="N450" s="53">
        <f t="shared" si="379"/>
        <v>0</v>
      </c>
      <c r="O450" s="53">
        <f t="shared" si="379"/>
        <v>0</v>
      </c>
      <c r="P450" s="53">
        <f t="shared" si="379"/>
        <v>0</v>
      </c>
      <c r="Q450" s="53">
        <f t="shared" si="379"/>
        <v>0</v>
      </c>
      <c r="R450" s="53">
        <f t="shared" si="379"/>
        <v>0</v>
      </c>
      <c r="S450" s="53">
        <f t="shared" si="379"/>
        <v>0</v>
      </c>
      <c r="T450" s="53">
        <f t="shared" si="379"/>
        <v>0</v>
      </c>
      <c r="U450" s="53">
        <f t="shared" si="379"/>
        <v>0</v>
      </c>
      <c r="V450" s="53">
        <f t="shared" si="379"/>
        <v>0</v>
      </c>
      <c r="W450" s="53">
        <f t="shared" si="379"/>
        <v>0</v>
      </c>
      <c r="X450" s="53">
        <f t="shared" si="379"/>
        <v>0</v>
      </c>
      <c r="Y450" s="53">
        <f t="shared" si="379"/>
        <v>0</v>
      </c>
      <c r="Z450" s="53">
        <f t="shared" si="379"/>
        <v>0</v>
      </c>
      <c r="AA450" s="53">
        <f t="shared" si="379"/>
        <v>0</v>
      </c>
      <c r="AB450" s="53">
        <f t="shared" si="379"/>
        <v>0</v>
      </c>
      <c r="AC450" s="53">
        <f t="shared" si="379"/>
        <v>0</v>
      </c>
      <c r="AD450" s="53">
        <f t="shared" si="379"/>
        <v>0</v>
      </c>
      <c r="AE450" s="53">
        <f t="shared" si="379"/>
        <v>0</v>
      </c>
      <c r="AF450" s="53">
        <f t="shared" si="379"/>
        <v>0</v>
      </c>
      <c r="AG450" s="53">
        <f t="shared" si="379"/>
        <v>0</v>
      </c>
      <c r="AH450" s="53">
        <f t="shared" si="379"/>
        <v>0</v>
      </c>
      <c r="AI450" s="53">
        <f t="shared" si="379"/>
        <v>0</v>
      </c>
      <c r="AJ450" s="53">
        <f t="shared" si="379"/>
        <v>0</v>
      </c>
      <c r="AK450" s="53">
        <f t="shared" si="379"/>
        <v>0</v>
      </c>
      <c r="AL450" s="53">
        <f t="shared" si="379"/>
        <v>0</v>
      </c>
      <c r="AM450" s="53">
        <f t="shared" si="379"/>
        <v>0</v>
      </c>
      <c r="AN450" s="53">
        <f t="shared" si="379"/>
        <v>0</v>
      </c>
      <c r="AO450" s="53">
        <f t="shared" si="379"/>
        <v>0</v>
      </c>
      <c r="AP450" s="53">
        <f t="shared" si="379"/>
        <v>0</v>
      </c>
      <c r="AQ450" s="53">
        <f t="shared" si="379"/>
        <v>0</v>
      </c>
      <c r="AR450" s="53">
        <f t="shared" si="379"/>
        <v>0</v>
      </c>
      <c r="AS450" s="53">
        <f t="shared" si="379"/>
        <v>0</v>
      </c>
      <c r="AT450" s="53">
        <f t="shared" si="379"/>
        <v>0</v>
      </c>
      <c r="AU450" s="53">
        <f t="shared" si="379"/>
        <v>0</v>
      </c>
      <c r="AV450" s="53">
        <f t="shared" si="379"/>
        <v>0</v>
      </c>
      <c r="AW450" s="53">
        <f t="shared" si="379"/>
        <v>0</v>
      </c>
      <c r="AX450" s="53">
        <f t="shared" si="379"/>
        <v>0</v>
      </c>
      <c r="AY450" s="53">
        <f t="shared" si="379"/>
        <v>0</v>
      </c>
      <c r="AZ450" s="53">
        <f t="shared" si="379"/>
        <v>0</v>
      </c>
      <c r="BA450" s="53">
        <f t="shared" si="379"/>
        <v>0</v>
      </c>
      <c r="BB450" s="53">
        <f t="shared" si="379"/>
        <v>0</v>
      </c>
      <c r="BC450" s="53">
        <f t="shared" si="379"/>
        <v>0</v>
      </c>
      <c r="BD450" s="53">
        <f t="shared" si="379"/>
        <v>0</v>
      </c>
      <c r="BE450" s="53">
        <f t="shared" si="379"/>
        <v>0</v>
      </c>
      <c r="BF450" s="53">
        <f t="shared" si="379"/>
        <v>0</v>
      </c>
      <c r="BG450" s="53">
        <f t="shared" si="379"/>
        <v>0</v>
      </c>
      <c r="BH450" s="53">
        <f t="shared" si="379"/>
        <v>0</v>
      </c>
      <c r="BI450" s="53">
        <f t="shared" si="379"/>
        <v>0</v>
      </c>
      <c r="BJ450" s="53">
        <f t="shared" si="379"/>
        <v>0</v>
      </c>
      <c r="BK450" s="53">
        <f t="shared" si="379"/>
        <v>0</v>
      </c>
      <c r="BL450" s="53">
        <f t="shared" si="379"/>
        <v>0</v>
      </c>
      <c r="BM450" s="53">
        <f t="shared" si="379"/>
        <v>0</v>
      </c>
      <c r="BN450" s="53">
        <f t="shared" si="379"/>
        <v>0</v>
      </c>
      <c r="BO450" s="53">
        <f t="shared" ref="BO450:CX450" si="380">IFERROR(IF(BO$262=0,0,(BO191-BO192)/BO192),0)</f>
        <v>0</v>
      </c>
      <c r="BP450" s="53">
        <f t="shared" si="380"/>
        <v>0</v>
      </c>
      <c r="BQ450" s="53">
        <f t="shared" si="380"/>
        <v>0</v>
      </c>
      <c r="BR450" s="53">
        <f t="shared" si="380"/>
        <v>0</v>
      </c>
      <c r="BS450" s="53">
        <f t="shared" si="380"/>
        <v>0</v>
      </c>
      <c r="BT450" s="53">
        <f t="shared" si="380"/>
        <v>0</v>
      </c>
      <c r="BU450" s="53">
        <f t="shared" si="380"/>
        <v>0</v>
      </c>
      <c r="BV450" s="53">
        <f t="shared" si="380"/>
        <v>0</v>
      </c>
      <c r="BW450" s="53">
        <f t="shared" si="380"/>
        <v>0</v>
      </c>
      <c r="BX450" s="53">
        <f t="shared" si="380"/>
        <v>0</v>
      </c>
      <c r="BY450" s="53">
        <f t="shared" si="380"/>
        <v>0</v>
      </c>
      <c r="BZ450" s="53">
        <f t="shared" si="380"/>
        <v>0</v>
      </c>
      <c r="CA450" s="53">
        <f t="shared" si="380"/>
        <v>0</v>
      </c>
      <c r="CB450" s="53">
        <f t="shared" si="380"/>
        <v>0</v>
      </c>
      <c r="CC450" s="53">
        <f t="shared" si="380"/>
        <v>0</v>
      </c>
      <c r="CD450" s="53">
        <f t="shared" si="380"/>
        <v>0</v>
      </c>
      <c r="CE450" s="53">
        <f t="shared" si="380"/>
        <v>0</v>
      </c>
      <c r="CF450" s="53">
        <f t="shared" si="380"/>
        <v>0</v>
      </c>
      <c r="CG450" s="53">
        <f t="shared" si="380"/>
        <v>0</v>
      </c>
      <c r="CH450" s="53">
        <f t="shared" si="380"/>
        <v>0</v>
      </c>
      <c r="CI450" s="53">
        <f t="shared" si="380"/>
        <v>0</v>
      </c>
      <c r="CJ450" s="53">
        <f t="shared" si="380"/>
        <v>0</v>
      </c>
      <c r="CK450" s="53">
        <f t="shared" si="380"/>
        <v>0</v>
      </c>
      <c r="CL450" s="53">
        <f t="shared" si="380"/>
        <v>0</v>
      </c>
      <c r="CM450" s="53">
        <f t="shared" si="380"/>
        <v>0</v>
      </c>
      <c r="CN450" s="53">
        <f t="shared" si="380"/>
        <v>0</v>
      </c>
      <c r="CO450" s="53">
        <f t="shared" si="380"/>
        <v>0</v>
      </c>
      <c r="CP450" s="53">
        <f t="shared" si="380"/>
        <v>0</v>
      </c>
      <c r="CQ450" s="53">
        <f t="shared" si="380"/>
        <v>0</v>
      </c>
      <c r="CR450" s="53">
        <f t="shared" si="380"/>
        <v>0</v>
      </c>
      <c r="CS450" s="53">
        <f t="shared" si="380"/>
        <v>0</v>
      </c>
      <c r="CT450" s="53">
        <f t="shared" si="380"/>
        <v>0</v>
      </c>
      <c r="CU450" s="53">
        <f t="shared" si="380"/>
        <v>0</v>
      </c>
      <c r="CV450" s="53">
        <f t="shared" si="380"/>
        <v>0</v>
      </c>
      <c r="CW450" s="53">
        <f t="shared" si="380"/>
        <v>0</v>
      </c>
      <c r="CX450" s="53">
        <f t="shared" si="380"/>
        <v>0</v>
      </c>
      <c r="DB450" s="2" vm="699">
        <f ca="1">IF(Returns!A454&lt;&gt;0,Returns!A454,"")</f>
        <v>43347</v>
      </c>
      <c r="DC450" s="11">
        <f ca="1">IF(Returns!B465&gt;0,Returns!B465/Returns!B464-1,"")</f>
        <v>-5.7329877432675924E-2</v>
      </c>
      <c r="DD450" s="11">
        <f ca="1">IF(Returns!D457&gt;0,Returns!D457/Returns!D456-1,"")</f>
        <v>-1.0663893875324626E-2</v>
      </c>
    </row>
    <row r="451" spans="2:108" x14ac:dyDescent="0.3">
      <c r="B451" s="57">
        <f t="shared" ca="1" si="264"/>
        <v>7.5863825607131417E-3</v>
      </c>
      <c r="C451" s="53">
        <f t="shared" ref="C451:BN451" si="381">IFERROR(IF(C$262=0,0,(C192-C193)/C193),0)</f>
        <v>0</v>
      </c>
      <c r="D451" s="53">
        <f t="shared" si="381"/>
        <v>0</v>
      </c>
      <c r="E451" s="53">
        <f t="shared" si="381"/>
        <v>0</v>
      </c>
      <c r="F451" s="53">
        <f t="shared" si="381"/>
        <v>0</v>
      </c>
      <c r="G451" s="53">
        <f t="shared" si="381"/>
        <v>0</v>
      </c>
      <c r="H451" s="53">
        <f t="shared" si="381"/>
        <v>0</v>
      </c>
      <c r="I451" s="53">
        <f t="shared" si="381"/>
        <v>0</v>
      </c>
      <c r="J451" s="53">
        <f t="shared" si="381"/>
        <v>0</v>
      </c>
      <c r="K451" s="53">
        <f t="shared" si="381"/>
        <v>0</v>
      </c>
      <c r="L451" s="53">
        <f t="shared" si="381"/>
        <v>0</v>
      </c>
      <c r="M451" s="53">
        <f t="shared" si="381"/>
        <v>0</v>
      </c>
      <c r="N451" s="53">
        <f t="shared" si="381"/>
        <v>0</v>
      </c>
      <c r="O451" s="53">
        <f t="shared" si="381"/>
        <v>0</v>
      </c>
      <c r="P451" s="53">
        <f t="shared" si="381"/>
        <v>0</v>
      </c>
      <c r="Q451" s="53">
        <f t="shared" si="381"/>
        <v>0</v>
      </c>
      <c r="R451" s="53">
        <f t="shared" si="381"/>
        <v>0</v>
      </c>
      <c r="S451" s="53">
        <f t="shared" si="381"/>
        <v>0</v>
      </c>
      <c r="T451" s="53">
        <f t="shared" si="381"/>
        <v>0</v>
      </c>
      <c r="U451" s="53">
        <f t="shared" si="381"/>
        <v>0</v>
      </c>
      <c r="V451" s="53">
        <f t="shared" si="381"/>
        <v>0</v>
      </c>
      <c r="W451" s="53">
        <f t="shared" si="381"/>
        <v>0</v>
      </c>
      <c r="X451" s="53">
        <f t="shared" si="381"/>
        <v>0</v>
      </c>
      <c r="Y451" s="53">
        <f t="shared" si="381"/>
        <v>0</v>
      </c>
      <c r="Z451" s="53">
        <f t="shared" si="381"/>
        <v>0</v>
      </c>
      <c r="AA451" s="53">
        <f t="shared" si="381"/>
        <v>0</v>
      </c>
      <c r="AB451" s="53">
        <f t="shared" si="381"/>
        <v>0</v>
      </c>
      <c r="AC451" s="53">
        <f t="shared" si="381"/>
        <v>0</v>
      </c>
      <c r="AD451" s="53">
        <f t="shared" si="381"/>
        <v>0</v>
      </c>
      <c r="AE451" s="53">
        <f t="shared" si="381"/>
        <v>0</v>
      </c>
      <c r="AF451" s="53">
        <f t="shared" si="381"/>
        <v>0</v>
      </c>
      <c r="AG451" s="53">
        <f t="shared" si="381"/>
        <v>0</v>
      </c>
      <c r="AH451" s="53">
        <f t="shared" si="381"/>
        <v>0</v>
      </c>
      <c r="AI451" s="53">
        <f t="shared" si="381"/>
        <v>0</v>
      </c>
      <c r="AJ451" s="53">
        <f t="shared" si="381"/>
        <v>0</v>
      </c>
      <c r="AK451" s="53">
        <f t="shared" si="381"/>
        <v>0</v>
      </c>
      <c r="AL451" s="53">
        <f t="shared" si="381"/>
        <v>0</v>
      </c>
      <c r="AM451" s="53">
        <f t="shared" si="381"/>
        <v>0</v>
      </c>
      <c r="AN451" s="53">
        <f t="shared" si="381"/>
        <v>0</v>
      </c>
      <c r="AO451" s="53">
        <f t="shared" si="381"/>
        <v>0</v>
      </c>
      <c r="AP451" s="53">
        <f t="shared" si="381"/>
        <v>0</v>
      </c>
      <c r="AQ451" s="53">
        <f t="shared" si="381"/>
        <v>0</v>
      </c>
      <c r="AR451" s="53">
        <f t="shared" si="381"/>
        <v>0</v>
      </c>
      <c r="AS451" s="53">
        <f t="shared" si="381"/>
        <v>0</v>
      </c>
      <c r="AT451" s="53">
        <f t="shared" si="381"/>
        <v>0</v>
      </c>
      <c r="AU451" s="53">
        <f t="shared" si="381"/>
        <v>0</v>
      </c>
      <c r="AV451" s="53">
        <f t="shared" si="381"/>
        <v>0</v>
      </c>
      <c r="AW451" s="53">
        <f t="shared" si="381"/>
        <v>0</v>
      </c>
      <c r="AX451" s="53">
        <f t="shared" si="381"/>
        <v>0</v>
      </c>
      <c r="AY451" s="53">
        <f t="shared" si="381"/>
        <v>0</v>
      </c>
      <c r="AZ451" s="53">
        <f t="shared" si="381"/>
        <v>0</v>
      </c>
      <c r="BA451" s="53">
        <f t="shared" si="381"/>
        <v>0</v>
      </c>
      <c r="BB451" s="53">
        <f t="shared" si="381"/>
        <v>0</v>
      </c>
      <c r="BC451" s="53">
        <f t="shared" si="381"/>
        <v>0</v>
      </c>
      <c r="BD451" s="53">
        <f t="shared" si="381"/>
        <v>0</v>
      </c>
      <c r="BE451" s="53">
        <f t="shared" si="381"/>
        <v>0</v>
      </c>
      <c r="BF451" s="53">
        <f t="shared" si="381"/>
        <v>0</v>
      </c>
      <c r="BG451" s="53">
        <f t="shared" si="381"/>
        <v>0</v>
      </c>
      <c r="BH451" s="53">
        <f t="shared" si="381"/>
        <v>0</v>
      </c>
      <c r="BI451" s="53">
        <f t="shared" si="381"/>
        <v>0</v>
      </c>
      <c r="BJ451" s="53">
        <f t="shared" si="381"/>
        <v>0</v>
      </c>
      <c r="BK451" s="53">
        <f t="shared" si="381"/>
        <v>0</v>
      </c>
      <c r="BL451" s="53">
        <f t="shared" si="381"/>
        <v>0</v>
      </c>
      <c r="BM451" s="53">
        <f t="shared" si="381"/>
        <v>0</v>
      </c>
      <c r="BN451" s="53">
        <f t="shared" si="381"/>
        <v>0</v>
      </c>
      <c r="BO451" s="53">
        <f t="shared" ref="BO451:CX451" si="382">IFERROR(IF(BO$262=0,0,(BO192-BO193)/BO193),0)</f>
        <v>0</v>
      </c>
      <c r="BP451" s="53">
        <f t="shared" si="382"/>
        <v>0</v>
      </c>
      <c r="BQ451" s="53">
        <f t="shared" si="382"/>
        <v>0</v>
      </c>
      <c r="BR451" s="53">
        <f t="shared" si="382"/>
        <v>0</v>
      </c>
      <c r="BS451" s="53">
        <f t="shared" si="382"/>
        <v>0</v>
      </c>
      <c r="BT451" s="53">
        <f t="shared" si="382"/>
        <v>0</v>
      </c>
      <c r="BU451" s="53">
        <f t="shared" si="382"/>
        <v>0</v>
      </c>
      <c r="BV451" s="53">
        <f t="shared" si="382"/>
        <v>0</v>
      </c>
      <c r="BW451" s="53">
        <f t="shared" si="382"/>
        <v>0</v>
      </c>
      <c r="BX451" s="53">
        <f t="shared" si="382"/>
        <v>0</v>
      </c>
      <c r="BY451" s="53">
        <f t="shared" si="382"/>
        <v>0</v>
      </c>
      <c r="BZ451" s="53">
        <f t="shared" si="382"/>
        <v>0</v>
      </c>
      <c r="CA451" s="53">
        <f t="shared" si="382"/>
        <v>0</v>
      </c>
      <c r="CB451" s="53">
        <f t="shared" si="382"/>
        <v>0</v>
      </c>
      <c r="CC451" s="53">
        <f t="shared" si="382"/>
        <v>0</v>
      </c>
      <c r="CD451" s="53">
        <f t="shared" si="382"/>
        <v>0</v>
      </c>
      <c r="CE451" s="53">
        <f t="shared" si="382"/>
        <v>0</v>
      </c>
      <c r="CF451" s="53">
        <f t="shared" si="382"/>
        <v>0</v>
      </c>
      <c r="CG451" s="53">
        <f t="shared" si="382"/>
        <v>0</v>
      </c>
      <c r="CH451" s="53">
        <f t="shared" si="382"/>
        <v>0</v>
      </c>
      <c r="CI451" s="53">
        <f t="shared" si="382"/>
        <v>0</v>
      </c>
      <c r="CJ451" s="53">
        <f t="shared" si="382"/>
        <v>0</v>
      </c>
      <c r="CK451" s="53">
        <f t="shared" si="382"/>
        <v>0</v>
      </c>
      <c r="CL451" s="53">
        <f t="shared" si="382"/>
        <v>0</v>
      </c>
      <c r="CM451" s="53">
        <f t="shared" si="382"/>
        <v>0</v>
      </c>
      <c r="CN451" s="53">
        <f t="shared" si="382"/>
        <v>0</v>
      </c>
      <c r="CO451" s="53">
        <f t="shared" si="382"/>
        <v>0</v>
      </c>
      <c r="CP451" s="53">
        <f t="shared" si="382"/>
        <v>0</v>
      </c>
      <c r="CQ451" s="53">
        <f t="shared" si="382"/>
        <v>0</v>
      </c>
      <c r="CR451" s="53">
        <f t="shared" si="382"/>
        <v>0</v>
      </c>
      <c r="CS451" s="53">
        <f t="shared" si="382"/>
        <v>0</v>
      </c>
      <c r="CT451" s="53">
        <f t="shared" si="382"/>
        <v>0</v>
      </c>
      <c r="CU451" s="53">
        <f t="shared" si="382"/>
        <v>0</v>
      </c>
      <c r="CV451" s="53">
        <f t="shared" si="382"/>
        <v>0</v>
      </c>
      <c r="CW451" s="53">
        <f t="shared" si="382"/>
        <v>0</v>
      </c>
      <c r="CX451" s="53">
        <f t="shared" si="382"/>
        <v>0</v>
      </c>
      <c r="DB451" s="2" vm="700">
        <f ca="1">IF(Returns!A455&lt;&gt;0,Returns!A455,"")</f>
        <v>43353</v>
      </c>
      <c r="DC451" s="11">
        <f ca="1">IF(Returns!B466&gt;0,Returns!B466/Returns!B465-1,"")</f>
        <v>0.12523467770927921</v>
      </c>
      <c r="DD451" s="11">
        <f ca="1">IF(Returns!D458&gt;0,Returns!D458/Returns!D457-1,"")</f>
        <v>-4.2541272455387524E-4</v>
      </c>
    </row>
    <row r="452" spans="2:108" x14ac:dyDescent="0.3">
      <c r="B452" s="57">
        <f t="shared" ca="1" si="264"/>
        <v>3.2438028388953193E-4</v>
      </c>
      <c r="C452" s="53">
        <f t="shared" ref="C452:BN452" si="383">IFERROR(IF(C$262=0,0,(C193-C194)/C194),0)</f>
        <v>0</v>
      </c>
      <c r="D452" s="53">
        <f t="shared" si="383"/>
        <v>0</v>
      </c>
      <c r="E452" s="53">
        <f t="shared" si="383"/>
        <v>0</v>
      </c>
      <c r="F452" s="53">
        <f t="shared" si="383"/>
        <v>0</v>
      </c>
      <c r="G452" s="53">
        <f t="shared" si="383"/>
        <v>0</v>
      </c>
      <c r="H452" s="53">
        <f t="shared" si="383"/>
        <v>0</v>
      </c>
      <c r="I452" s="53">
        <f t="shared" si="383"/>
        <v>0</v>
      </c>
      <c r="J452" s="53">
        <f t="shared" si="383"/>
        <v>0</v>
      </c>
      <c r="K452" s="53">
        <f t="shared" si="383"/>
        <v>0</v>
      </c>
      <c r="L452" s="53">
        <f t="shared" si="383"/>
        <v>0</v>
      </c>
      <c r="M452" s="53">
        <f t="shared" si="383"/>
        <v>0</v>
      </c>
      <c r="N452" s="53">
        <f t="shared" si="383"/>
        <v>0</v>
      </c>
      <c r="O452" s="53">
        <f t="shared" si="383"/>
        <v>0</v>
      </c>
      <c r="P452" s="53">
        <f t="shared" si="383"/>
        <v>0</v>
      </c>
      <c r="Q452" s="53">
        <f t="shared" si="383"/>
        <v>0</v>
      </c>
      <c r="R452" s="53">
        <f t="shared" si="383"/>
        <v>0</v>
      </c>
      <c r="S452" s="53">
        <f t="shared" si="383"/>
        <v>0</v>
      </c>
      <c r="T452" s="53">
        <f t="shared" si="383"/>
        <v>0</v>
      </c>
      <c r="U452" s="53">
        <f t="shared" si="383"/>
        <v>0</v>
      </c>
      <c r="V452" s="53">
        <f t="shared" si="383"/>
        <v>0</v>
      </c>
      <c r="W452" s="53">
        <f t="shared" si="383"/>
        <v>0</v>
      </c>
      <c r="X452" s="53">
        <f t="shared" si="383"/>
        <v>0</v>
      </c>
      <c r="Y452" s="53">
        <f t="shared" si="383"/>
        <v>0</v>
      </c>
      <c r="Z452" s="53">
        <f t="shared" si="383"/>
        <v>0</v>
      </c>
      <c r="AA452" s="53">
        <f t="shared" si="383"/>
        <v>0</v>
      </c>
      <c r="AB452" s="53">
        <f t="shared" si="383"/>
        <v>0</v>
      </c>
      <c r="AC452" s="53">
        <f t="shared" si="383"/>
        <v>0</v>
      </c>
      <c r="AD452" s="53">
        <f t="shared" si="383"/>
        <v>0</v>
      </c>
      <c r="AE452" s="53">
        <f t="shared" si="383"/>
        <v>0</v>
      </c>
      <c r="AF452" s="53">
        <f t="shared" si="383"/>
        <v>0</v>
      </c>
      <c r="AG452" s="53">
        <f t="shared" si="383"/>
        <v>0</v>
      </c>
      <c r="AH452" s="53">
        <f t="shared" si="383"/>
        <v>0</v>
      </c>
      <c r="AI452" s="53">
        <f t="shared" si="383"/>
        <v>0</v>
      </c>
      <c r="AJ452" s="53">
        <f t="shared" si="383"/>
        <v>0</v>
      </c>
      <c r="AK452" s="53">
        <f t="shared" si="383"/>
        <v>0</v>
      </c>
      <c r="AL452" s="53">
        <f t="shared" si="383"/>
        <v>0</v>
      </c>
      <c r="AM452" s="53">
        <f t="shared" si="383"/>
        <v>0</v>
      </c>
      <c r="AN452" s="53">
        <f t="shared" si="383"/>
        <v>0</v>
      </c>
      <c r="AO452" s="53">
        <f t="shared" si="383"/>
        <v>0</v>
      </c>
      <c r="AP452" s="53">
        <f t="shared" si="383"/>
        <v>0</v>
      </c>
      <c r="AQ452" s="53">
        <f t="shared" si="383"/>
        <v>0</v>
      </c>
      <c r="AR452" s="53">
        <f t="shared" si="383"/>
        <v>0</v>
      </c>
      <c r="AS452" s="53">
        <f t="shared" si="383"/>
        <v>0</v>
      </c>
      <c r="AT452" s="53">
        <f t="shared" si="383"/>
        <v>0</v>
      </c>
      <c r="AU452" s="53">
        <f t="shared" si="383"/>
        <v>0</v>
      </c>
      <c r="AV452" s="53">
        <f t="shared" si="383"/>
        <v>0</v>
      </c>
      <c r="AW452" s="53">
        <f t="shared" si="383"/>
        <v>0</v>
      </c>
      <c r="AX452" s="53">
        <f t="shared" si="383"/>
        <v>0</v>
      </c>
      <c r="AY452" s="53">
        <f t="shared" si="383"/>
        <v>0</v>
      </c>
      <c r="AZ452" s="53">
        <f t="shared" si="383"/>
        <v>0</v>
      </c>
      <c r="BA452" s="53">
        <f t="shared" si="383"/>
        <v>0</v>
      </c>
      <c r="BB452" s="53">
        <f t="shared" si="383"/>
        <v>0</v>
      </c>
      <c r="BC452" s="53">
        <f t="shared" si="383"/>
        <v>0</v>
      </c>
      <c r="BD452" s="53">
        <f t="shared" si="383"/>
        <v>0</v>
      </c>
      <c r="BE452" s="53">
        <f t="shared" si="383"/>
        <v>0</v>
      </c>
      <c r="BF452" s="53">
        <f t="shared" si="383"/>
        <v>0</v>
      </c>
      <c r="BG452" s="53">
        <f t="shared" si="383"/>
        <v>0</v>
      </c>
      <c r="BH452" s="53">
        <f t="shared" si="383"/>
        <v>0</v>
      </c>
      <c r="BI452" s="53">
        <f t="shared" si="383"/>
        <v>0</v>
      </c>
      <c r="BJ452" s="53">
        <f t="shared" si="383"/>
        <v>0</v>
      </c>
      <c r="BK452" s="53">
        <f t="shared" si="383"/>
        <v>0</v>
      </c>
      <c r="BL452" s="53">
        <f t="shared" si="383"/>
        <v>0</v>
      </c>
      <c r="BM452" s="53">
        <f t="shared" si="383"/>
        <v>0</v>
      </c>
      <c r="BN452" s="53">
        <f t="shared" si="383"/>
        <v>0</v>
      </c>
      <c r="BO452" s="53">
        <f t="shared" ref="BO452:CX452" si="384">IFERROR(IF(BO$262=0,0,(BO193-BO194)/BO194),0)</f>
        <v>0</v>
      </c>
      <c r="BP452" s="53">
        <f t="shared" si="384"/>
        <v>0</v>
      </c>
      <c r="BQ452" s="53">
        <f t="shared" si="384"/>
        <v>0</v>
      </c>
      <c r="BR452" s="53">
        <f t="shared" si="384"/>
        <v>0</v>
      </c>
      <c r="BS452" s="53">
        <f t="shared" si="384"/>
        <v>0</v>
      </c>
      <c r="BT452" s="53">
        <f t="shared" si="384"/>
        <v>0</v>
      </c>
      <c r="BU452" s="53">
        <f t="shared" si="384"/>
        <v>0</v>
      </c>
      <c r="BV452" s="53">
        <f t="shared" si="384"/>
        <v>0</v>
      </c>
      <c r="BW452" s="53">
        <f t="shared" si="384"/>
        <v>0</v>
      </c>
      <c r="BX452" s="53">
        <f t="shared" si="384"/>
        <v>0</v>
      </c>
      <c r="BY452" s="53">
        <f t="shared" si="384"/>
        <v>0</v>
      </c>
      <c r="BZ452" s="53">
        <f t="shared" si="384"/>
        <v>0</v>
      </c>
      <c r="CA452" s="53">
        <f t="shared" si="384"/>
        <v>0</v>
      </c>
      <c r="CB452" s="53">
        <f t="shared" si="384"/>
        <v>0</v>
      </c>
      <c r="CC452" s="53">
        <f t="shared" si="384"/>
        <v>0</v>
      </c>
      <c r="CD452" s="53">
        <f t="shared" si="384"/>
        <v>0</v>
      </c>
      <c r="CE452" s="53">
        <f t="shared" si="384"/>
        <v>0</v>
      </c>
      <c r="CF452" s="53">
        <f t="shared" si="384"/>
        <v>0</v>
      </c>
      <c r="CG452" s="53">
        <f t="shared" si="384"/>
        <v>0</v>
      </c>
      <c r="CH452" s="53">
        <f t="shared" si="384"/>
        <v>0</v>
      </c>
      <c r="CI452" s="53">
        <f t="shared" si="384"/>
        <v>0</v>
      </c>
      <c r="CJ452" s="53">
        <f t="shared" si="384"/>
        <v>0</v>
      </c>
      <c r="CK452" s="53">
        <f t="shared" si="384"/>
        <v>0</v>
      </c>
      <c r="CL452" s="53">
        <f t="shared" si="384"/>
        <v>0</v>
      </c>
      <c r="CM452" s="53">
        <f t="shared" si="384"/>
        <v>0</v>
      </c>
      <c r="CN452" s="53">
        <f t="shared" si="384"/>
        <v>0</v>
      </c>
      <c r="CO452" s="53">
        <f t="shared" si="384"/>
        <v>0</v>
      </c>
      <c r="CP452" s="53">
        <f t="shared" si="384"/>
        <v>0</v>
      </c>
      <c r="CQ452" s="53">
        <f t="shared" si="384"/>
        <v>0</v>
      </c>
      <c r="CR452" s="53">
        <f t="shared" si="384"/>
        <v>0</v>
      </c>
      <c r="CS452" s="53">
        <f t="shared" si="384"/>
        <v>0</v>
      </c>
      <c r="CT452" s="53">
        <f t="shared" si="384"/>
        <v>0</v>
      </c>
      <c r="CU452" s="53">
        <f t="shared" si="384"/>
        <v>0</v>
      </c>
      <c r="CV452" s="53">
        <f t="shared" si="384"/>
        <v>0</v>
      </c>
      <c r="CW452" s="53">
        <f t="shared" si="384"/>
        <v>0</v>
      </c>
      <c r="CX452" s="53">
        <f t="shared" si="384"/>
        <v>0</v>
      </c>
      <c r="DB452" s="2" vm="701">
        <f ca="1">IF(Returns!A456&lt;&gt;0,Returns!A456,"")</f>
        <v>43360</v>
      </c>
      <c r="DC452" s="11">
        <f ca="1">IF(Returns!B467&gt;0,Returns!B467/Returns!B466-1,"")</f>
        <v>-3.6114710354579582E-2</v>
      </c>
      <c r="DD452" s="11">
        <f ca="1">IF(Returns!D459&gt;0,Returns!D459/Returns!D458-1,"")</f>
        <v>-4.1859488737991724E-2</v>
      </c>
    </row>
    <row r="453" spans="2:108" x14ac:dyDescent="0.3">
      <c r="B453" s="57">
        <f t="shared" ca="1" si="264"/>
        <v>1.1707902433194489E-3</v>
      </c>
      <c r="C453" s="53">
        <f t="shared" ref="C453:BN453" si="385">IFERROR(IF(C$262=0,0,(C194-C195)/C195),0)</f>
        <v>0</v>
      </c>
      <c r="D453" s="53">
        <f t="shared" si="385"/>
        <v>0</v>
      </c>
      <c r="E453" s="53">
        <f t="shared" si="385"/>
        <v>0</v>
      </c>
      <c r="F453" s="53">
        <f t="shared" si="385"/>
        <v>0</v>
      </c>
      <c r="G453" s="53">
        <f t="shared" si="385"/>
        <v>0</v>
      </c>
      <c r="H453" s="53">
        <f t="shared" si="385"/>
        <v>0</v>
      </c>
      <c r="I453" s="53">
        <f t="shared" si="385"/>
        <v>0</v>
      </c>
      <c r="J453" s="53">
        <f t="shared" si="385"/>
        <v>0</v>
      </c>
      <c r="K453" s="53">
        <f t="shared" si="385"/>
        <v>0</v>
      </c>
      <c r="L453" s="53">
        <f t="shared" si="385"/>
        <v>0</v>
      </c>
      <c r="M453" s="53">
        <f t="shared" si="385"/>
        <v>0</v>
      </c>
      <c r="N453" s="53">
        <f t="shared" si="385"/>
        <v>0</v>
      </c>
      <c r="O453" s="53">
        <f t="shared" si="385"/>
        <v>0</v>
      </c>
      <c r="P453" s="53">
        <f t="shared" si="385"/>
        <v>0</v>
      </c>
      <c r="Q453" s="53">
        <f t="shared" si="385"/>
        <v>0</v>
      </c>
      <c r="R453" s="53">
        <f t="shared" si="385"/>
        <v>0</v>
      </c>
      <c r="S453" s="53">
        <f t="shared" si="385"/>
        <v>0</v>
      </c>
      <c r="T453" s="53">
        <f t="shared" si="385"/>
        <v>0</v>
      </c>
      <c r="U453" s="53">
        <f t="shared" si="385"/>
        <v>0</v>
      </c>
      <c r="V453" s="53">
        <f t="shared" si="385"/>
        <v>0</v>
      </c>
      <c r="W453" s="53">
        <f t="shared" si="385"/>
        <v>0</v>
      </c>
      <c r="X453" s="53">
        <f t="shared" si="385"/>
        <v>0</v>
      </c>
      <c r="Y453" s="53">
        <f t="shared" si="385"/>
        <v>0</v>
      </c>
      <c r="Z453" s="53">
        <f t="shared" si="385"/>
        <v>0</v>
      </c>
      <c r="AA453" s="53">
        <f t="shared" si="385"/>
        <v>0</v>
      </c>
      <c r="AB453" s="53">
        <f t="shared" si="385"/>
        <v>0</v>
      </c>
      <c r="AC453" s="53">
        <f t="shared" si="385"/>
        <v>0</v>
      </c>
      <c r="AD453" s="53">
        <f t="shared" si="385"/>
        <v>0</v>
      </c>
      <c r="AE453" s="53">
        <f t="shared" si="385"/>
        <v>0</v>
      </c>
      <c r="AF453" s="53">
        <f t="shared" si="385"/>
        <v>0</v>
      </c>
      <c r="AG453" s="53">
        <f t="shared" si="385"/>
        <v>0</v>
      </c>
      <c r="AH453" s="53">
        <f t="shared" si="385"/>
        <v>0</v>
      </c>
      <c r="AI453" s="53">
        <f t="shared" si="385"/>
        <v>0</v>
      </c>
      <c r="AJ453" s="53">
        <f t="shared" si="385"/>
        <v>0</v>
      </c>
      <c r="AK453" s="53">
        <f t="shared" si="385"/>
        <v>0</v>
      </c>
      <c r="AL453" s="53">
        <f t="shared" si="385"/>
        <v>0</v>
      </c>
      <c r="AM453" s="53">
        <f t="shared" si="385"/>
        <v>0</v>
      </c>
      <c r="AN453" s="53">
        <f t="shared" si="385"/>
        <v>0</v>
      </c>
      <c r="AO453" s="53">
        <f t="shared" si="385"/>
        <v>0</v>
      </c>
      <c r="AP453" s="53">
        <f t="shared" si="385"/>
        <v>0</v>
      </c>
      <c r="AQ453" s="53">
        <f t="shared" si="385"/>
        <v>0</v>
      </c>
      <c r="AR453" s="53">
        <f t="shared" si="385"/>
        <v>0</v>
      </c>
      <c r="AS453" s="53">
        <f t="shared" si="385"/>
        <v>0</v>
      </c>
      <c r="AT453" s="53">
        <f t="shared" si="385"/>
        <v>0</v>
      </c>
      <c r="AU453" s="53">
        <f t="shared" si="385"/>
        <v>0</v>
      </c>
      <c r="AV453" s="53">
        <f t="shared" si="385"/>
        <v>0</v>
      </c>
      <c r="AW453" s="53">
        <f t="shared" si="385"/>
        <v>0</v>
      </c>
      <c r="AX453" s="53">
        <f t="shared" si="385"/>
        <v>0</v>
      </c>
      <c r="AY453" s="53">
        <f t="shared" si="385"/>
        <v>0</v>
      </c>
      <c r="AZ453" s="53">
        <f t="shared" si="385"/>
        <v>0</v>
      </c>
      <c r="BA453" s="53">
        <f t="shared" si="385"/>
        <v>0</v>
      </c>
      <c r="BB453" s="53">
        <f t="shared" si="385"/>
        <v>0</v>
      </c>
      <c r="BC453" s="53">
        <f t="shared" si="385"/>
        <v>0</v>
      </c>
      <c r="BD453" s="53">
        <f t="shared" si="385"/>
        <v>0</v>
      </c>
      <c r="BE453" s="53">
        <f t="shared" si="385"/>
        <v>0</v>
      </c>
      <c r="BF453" s="53">
        <f t="shared" si="385"/>
        <v>0</v>
      </c>
      <c r="BG453" s="53">
        <f t="shared" si="385"/>
        <v>0</v>
      </c>
      <c r="BH453" s="53">
        <f t="shared" si="385"/>
        <v>0</v>
      </c>
      <c r="BI453" s="53">
        <f t="shared" si="385"/>
        <v>0</v>
      </c>
      <c r="BJ453" s="53">
        <f t="shared" si="385"/>
        <v>0</v>
      </c>
      <c r="BK453" s="53">
        <f t="shared" si="385"/>
        <v>0</v>
      </c>
      <c r="BL453" s="53">
        <f t="shared" si="385"/>
        <v>0</v>
      </c>
      <c r="BM453" s="53">
        <f t="shared" si="385"/>
        <v>0</v>
      </c>
      <c r="BN453" s="53">
        <f t="shared" si="385"/>
        <v>0</v>
      </c>
      <c r="BO453" s="53">
        <f t="shared" ref="BO453:CX453" si="386">IFERROR(IF(BO$262=0,0,(BO194-BO195)/BO195),0)</f>
        <v>0</v>
      </c>
      <c r="BP453" s="53">
        <f t="shared" si="386"/>
        <v>0</v>
      </c>
      <c r="BQ453" s="53">
        <f t="shared" si="386"/>
        <v>0</v>
      </c>
      <c r="BR453" s="53">
        <f t="shared" si="386"/>
        <v>0</v>
      </c>
      <c r="BS453" s="53">
        <f t="shared" si="386"/>
        <v>0</v>
      </c>
      <c r="BT453" s="53">
        <f t="shared" si="386"/>
        <v>0</v>
      </c>
      <c r="BU453" s="53">
        <f t="shared" si="386"/>
        <v>0</v>
      </c>
      <c r="BV453" s="53">
        <f t="shared" si="386"/>
        <v>0</v>
      </c>
      <c r="BW453" s="53">
        <f t="shared" si="386"/>
        <v>0</v>
      </c>
      <c r="BX453" s="53">
        <f t="shared" si="386"/>
        <v>0</v>
      </c>
      <c r="BY453" s="53">
        <f t="shared" si="386"/>
        <v>0</v>
      </c>
      <c r="BZ453" s="53">
        <f t="shared" si="386"/>
        <v>0</v>
      </c>
      <c r="CA453" s="53">
        <f t="shared" si="386"/>
        <v>0</v>
      </c>
      <c r="CB453" s="53">
        <f t="shared" si="386"/>
        <v>0</v>
      </c>
      <c r="CC453" s="53">
        <f t="shared" si="386"/>
        <v>0</v>
      </c>
      <c r="CD453" s="53">
        <f t="shared" si="386"/>
        <v>0</v>
      </c>
      <c r="CE453" s="53">
        <f t="shared" si="386"/>
        <v>0</v>
      </c>
      <c r="CF453" s="53">
        <f t="shared" si="386"/>
        <v>0</v>
      </c>
      <c r="CG453" s="53">
        <f t="shared" si="386"/>
        <v>0</v>
      </c>
      <c r="CH453" s="53">
        <f t="shared" si="386"/>
        <v>0</v>
      </c>
      <c r="CI453" s="53">
        <f t="shared" si="386"/>
        <v>0</v>
      </c>
      <c r="CJ453" s="53">
        <f t="shared" si="386"/>
        <v>0</v>
      </c>
      <c r="CK453" s="53">
        <f t="shared" si="386"/>
        <v>0</v>
      </c>
      <c r="CL453" s="53">
        <f t="shared" si="386"/>
        <v>0</v>
      </c>
      <c r="CM453" s="53">
        <f t="shared" si="386"/>
        <v>0</v>
      </c>
      <c r="CN453" s="53">
        <f t="shared" si="386"/>
        <v>0</v>
      </c>
      <c r="CO453" s="53">
        <f t="shared" si="386"/>
        <v>0</v>
      </c>
      <c r="CP453" s="53">
        <f t="shared" si="386"/>
        <v>0</v>
      </c>
      <c r="CQ453" s="53">
        <f t="shared" si="386"/>
        <v>0</v>
      </c>
      <c r="CR453" s="53">
        <f t="shared" si="386"/>
        <v>0</v>
      </c>
      <c r="CS453" s="53">
        <f t="shared" si="386"/>
        <v>0</v>
      </c>
      <c r="CT453" s="53">
        <f t="shared" si="386"/>
        <v>0</v>
      </c>
      <c r="CU453" s="53">
        <f t="shared" si="386"/>
        <v>0</v>
      </c>
      <c r="CV453" s="53">
        <f t="shared" si="386"/>
        <v>0</v>
      </c>
      <c r="CW453" s="53">
        <f t="shared" si="386"/>
        <v>0</v>
      </c>
      <c r="CX453" s="53">
        <f t="shared" si="386"/>
        <v>0</v>
      </c>
      <c r="DB453" s="2" vm="702">
        <f ca="1">IF(Returns!A457&lt;&gt;0,Returns!A457,"")</f>
        <v>43367</v>
      </c>
      <c r="DC453" s="11">
        <f ca="1">IF(Returns!B468&gt;0,Returns!B468/Returns!B467-1,"")</f>
        <v>-2.2846549999079313E-2</v>
      </c>
      <c r="DD453" s="11">
        <f ca="1">IF(Returns!D460&gt;0,Returns!D460/Returns!D459-1,"")</f>
        <v>4.1180994616170086E-3</v>
      </c>
    </row>
    <row r="454" spans="2:108" x14ac:dyDescent="0.3">
      <c r="B454" s="57">
        <f t="shared" ca="1" si="264"/>
        <v>1.146977202878271E-2</v>
      </c>
      <c r="C454" s="53">
        <f t="shared" ref="C454:BN454" si="387">IFERROR(IF(C$262=0,0,(C195-C196)/C196),0)</f>
        <v>0</v>
      </c>
      <c r="D454" s="53">
        <f t="shared" si="387"/>
        <v>0</v>
      </c>
      <c r="E454" s="53">
        <f t="shared" si="387"/>
        <v>0</v>
      </c>
      <c r="F454" s="53">
        <f t="shared" si="387"/>
        <v>0</v>
      </c>
      <c r="G454" s="53">
        <f t="shared" si="387"/>
        <v>0</v>
      </c>
      <c r="H454" s="53">
        <f t="shared" si="387"/>
        <v>0</v>
      </c>
      <c r="I454" s="53">
        <f t="shared" si="387"/>
        <v>0</v>
      </c>
      <c r="J454" s="53">
        <f t="shared" si="387"/>
        <v>0</v>
      </c>
      <c r="K454" s="53">
        <f t="shared" si="387"/>
        <v>0</v>
      </c>
      <c r="L454" s="53">
        <f t="shared" si="387"/>
        <v>0</v>
      </c>
      <c r="M454" s="53">
        <f t="shared" si="387"/>
        <v>0</v>
      </c>
      <c r="N454" s="53">
        <f t="shared" si="387"/>
        <v>0</v>
      </c>
      <c r="O454" s="53">
        <f t="shared" si="387"/>
        <v>0</v>
      </c>
      <c r="P454" s="53">
        <f t="shared" si="387"/>
        <v>0</v>
      </c>
      <c r="Q454" s="53">
        <f t="shared" si="387"/>
        <v>0</v>
      </c>
      <c r="R454" s="53">
        <f t="shared" si="387"/>
        <v>0</v>
      </c>
      <c r="S454" s="53">
        <f t="shared" si="387"/>
        <v>0</v>
      </c>
      <c r="T454" s="53">
        <f t="shared" si="387"/>
        <v>0</v>
      </c>
      <c r="U454" s="53">
        <f t="shared" si="387"/>
        <v>0</v>
      </c>
      <c r="V454" s="53">
        <f t="shared" si="387"/>
        <v>0</v>
      </c>
      <c r="W454" s="53">
        <f t="shared" si="387"/>
        <v>0</v>
      </c>
      <c r="X454" s="53">
        <f t="shared" si="387"/>
        <v>0</v>
      </c>
      <c r="Y454" s="53">
        <f t="shared" si="387"/>
        <v>0</v>
      </c>
      <c r="Z454" s="53">
        <f t="shared" si="387"/>
        <v>0</v>
      </c>
      <c r="AA454" s="53">
        <f t="shared" si="387"/>
        <v>0</v>
      </c>
      <c r="AB454" s="53">
        <f t="shared" si="387"/>
        <v>0</v>
      </c>
      <c r="AC454" s="53">
        <f t="shared" si="387"/>
        <v>0</v>
      </c>
      <c r="AD454" s="53">
        <f t="shared" si="387"/>
        <v>0</v>
      </c>
      <c r="AE454" s="53">
        <f t="shared" si="387"/>
        <v>0</v>
      </c>
      <c r="AF454" s="53">
        <f t="shared" si="387"/>
        <v>0</v>
      </c>
      <c r="AG454" s="53">
        <f t="shared" si="387"/>
        <v>0</v>
      </c>
      <c r="AH454" s="53">
        <f t="shared" si="387"/>
        <v>0</v>
      </c>
      <c r="AI454" s="53">
        <f t="shared" si="387"/>
        <v>0</v>
      </c>
      <c r="AJ454" s="53">
        <f t="shared" si="387"/>
        <v>0</v>
      </c>
      <c r="AK454" s="53">
        <f t="shared" si="387"/>
        <v>0</v>
      </c>
      <c r="AL454" s="53">
        <f t="shared" si="387"/>
        <v>0</v>
      </c>
      <c r="AM454" s="53">
        <f t="shared" si="387"/>
        <v>0</v>
      </c>
      <c r="AN454" s="53">
        <f t="shared" si="387"/>
        <v>0</v>
      </c>
      <c r="AO454" s="53">
        <f t="shared" si="387"/>
        <v>0</v>
      </c>
      <c r="AP454" s="53">
        <f t="shared" si="387"/>
        <v>0</v>
      </c>
      <c r="AQ454" s="53">
        <f t="shared" si="387"/>
        <v>0</v>
      </c>
      <c r="AR454" s="53">
        <f t="shared" si="387"/>
        <v>0</v>
      </c>
      <c r="AS454" s="53">
        <f t="shared" si="387"/>
        <v>0</v>
      </c>
      <c r="AT454" s="53">
        <f t="shared" si="387"/>
        <v>0</v>
      </c>
      <c r="AU454" s="53">
        <f t="shared" si="387"/>
        <v>0</v>
      </c>
      <c r="AV454" s="53">
        <f t="shared" si="387"/>
        <v>0</v>
      </c>
      <c r="AW454" s="53">
        <f t="shared" si="387"/>
        <v>0</v>
      </c>
      <c r="AX454" s="53">
        <f t="shared" si="387"/>
        <v>0</v>
      </c>
      <c r="AY454" s="53">
        <f t="shared" si="387"/>
        <v>0</v>
      </c>
      <c r="AZ454" s="53">
        <f t="shared" si="387"/>
        <v>0</v>
      </c>
      <c r="BA454" s="53">
        <f t="shared" si="387"/>
        <v>0</v>
      </c>
      <c r="BB454" s="53">
        <f t="shared" si="387"/>
        <v>0</v>
      </c>
      <c r="BC454" s="53">
        <f t="shared" si="387"/>
        <v>0</v>
      </c>
      <c r="BD454" s="53">
        <f t="shared" si="387"/>
        <v>0</v>
      </c>
      <c r="BE454" s="53">
        <f t="shared" si="387"/>
        <v>0</v>
      </c>
      <c r="BF454" s="53">
        <f t="shared" si="387"/>
        <v>0</v>
      </c>
      <c r="BG454" s="53">
        <f t="shared" si="387"/>
        <v>0</v>
      </c>
      <c r="BH454" s="53">
        <f t="shared" si="387"/>
        <v>0</v>
      </c>
      <c r="BI454" s="53">
        <f t="shared" si="387"/>
        <v>0</v>
      </c>
      <c r="BJ454" s="53">
        <f t="shared" si="387"/>
        <v>0</v>
      </c>
      <c r="BK454" s="53">
        <f t="shared" si="387"/>
        <v>0</v>
      </c>
      <c r="BL454" s="53">
        <f t="shared" si="387"/>
        <v>0</v>
      </c>
      <c r="BM454" s="53">
        <f t="shared" si="387"/>
        <v>0</v>
      </c>
      <c r="BN454" s="53">
        <f t="shared" si="387"/>
        <v>0</v>
      </c>
      <c r="BO454" s="53">
        <f t="shared" ref="BO454:CX454" si="388">IFERROR(IF(BO$262=0,0,(BO195-BO196)/BO196),0)</f>
        <v>0</v>
      </c>
      <c r="BP454" s="53">
        <f t="shared" si="388"/>
        <v>0</v>
      </c>
      <c r="BQ454" s="53">
        <f t="shared" si="388"/>
        <v>0</v>
      </c>
      <c r="BR454" s="53">
        <f t="shared" si="388"/>
        <v>0</v>
      </c>
      <c r="BS454" s="53">
        <f t="shared" si="388"/>
        <v>0</v>
      </c>
      <c r="BT454" s="53">
        <f t="shared" si="388"/>
        <v>0</v>
      </c>
      <c r="BU454" s="53">
        <f t="shared" si="388"/>
        <v>0</v>
      </c>
      <c r="BV454" s="53">
        <f t="shared" si="388"/>
        <v>0</v>
      </c>
      <c r="BW454" s="53">
        <f t="shared" si="388"/>
        <v>0</v>
      </c>
      <c r="BX454" s="53">
        <f t="shared" si="388"/>
        <v>0</v>
      </c>
      <c r="BY454" s="53">
        <f t="shared" si="388"/>
        <v>0</v>
      </c>
      <c r="BZ454" s="53">
        <f t="shared" si="388"/>
        <v>0</v>
      </c>
      <c r="CA454" s="53">
        <f t="shared" si="388"/>
        <v>0</v>
      </c>
      <c r="CB454" s="53">
        <f t="shared" si="388"/>
        <v>0</v>
      </c>
      <c r="CC454" s="53">
        <f t="shared" si="388"/>
        <v>0</v>
      </c>
      <c r="CD454" s="53">
        <f t="shared" si="388"/>
        <v>0</v>
      </c>
      <c r="CE454" s="53">
        <f t="shared" si="388"/>
        <v>0</v>
      </c>
      <c r="CF454" s="53">
        <f t="shared" si="388"/>
        <v>0</v>
      </c>
      <c r="CG454" s="53">
        <f t="shared" si="388"/>
        <v>0</v>
      </c>
      <c r="CH454" s="53">
        <f t="shared" si="388"/>
        <v>0</v>
      </c>
      <c r="CI454" s="53">
        <f t="shared" si="388"/>
        <v>0</v>
      </c>
      <c r="CJ454" s="53">
        <f t="shared" si="388"/>
        <v>0</v>
      </c>
      <c r="CK454" s="53">
        <f t="shared" si="388"/>
        <v>0</v>
      </c>
      <c r="CL454" s="53">
        <f t="shared" si="388"/>
        <v>0</v>
      </c>
      <c r="CM454" s="53">
        <f t="shared" si="388"/>
        <v>0</v>
      </c>
      <c r="CN454" s="53">
        <f t="shared" si="388"/>
        <v>0</v>
      </c>
      <c r="CO454" s="53">
        <f t="shared" si="388"/>
        <v>0</v>
      </c>
      <c r="CP454" s="53">
        <f t="shared" si="388"/>
        <v>0</v>
      </c>
      <c r="CQ454" s="53">
        <f t="shared" si="388"/>
        <v>0</v>
      </c>
      <c r="CR454" s="53">
        <f t="shared" si="388"/>
        <v>0</v>
      </c>
      <c r="CS454" s="53">
        <f t="shared" si="388"/>
        <v>0</v>
      </c>
      <c r="CT454" s="53">
        <f t="shared" si="388"/>
        <v>0</v>
      </c>
      <c r="CU454" s="53">
        <f t="shared" si="388"/>
        <v>0</v>
      </c>
      <c r="CV454" s="53">
        <f t="shared" si="388"/>
        <v>0</v>
      </c>
      <c r="CW454" s="53">
        <f t="shared" si="388"/>
        <v>0</v>
      </c>
      <c r="CX454" s="53">
        <f t="shared" si="388"/>
        <v>0</v>
      </c>
      <c r="DB454" s="2" vm="703">
        <f ca="1">IF(Returns!A458&lt;&gt;0,Returns!A458,"")</f>
        <v>43374</v>
      </c>
      <c r="DC454" s="11">
        <f ca="1">IF(Returns!B469&gt;0,Returns!B469/Returns!B468-1,"")</f>
        <v>-0.13471867128166792</v>
      </c>
      <c r="DD454" s="11">
        <f ca="1">IF(Returns!D461&gt;0,Returns!D461/Returns!D460-1,"")</f>
        <v>-2.9713127430432196E-2</v>
      </c>
    </row>
    <row r="455" spans="2:108" x14ac:dyDescent="0.3">
      <c r="B455" s="57">
        <f t="shared" ca="1" si="264"/>
        <v>1.3912429354988814E-4</v>
      </c>
      <c r="C455" s="53">
        <f t="shared" ref="C455:BN455" si="389">IFERROR(IF(C$262=0,0,(C196-C197)/C197),0)</f>
        <v>0</v>
      </c>
      <c r="D455" s="53">
        <f t="shared" si="389"/>
        <v>0</v>
      </c>
      <c r="E455" s="53">
        <f t="shared" si="389"/>
        <v>0</v>
      </c>
      <c r="F455" s="53">
        <f t="shared" si="389"/>
        <v>0</v>
      </c>
      <c r="G455" s="53">
        <f t="shared" si="389"/>
        <v>0</v>
      </c>
      <c r="H455" s="53">
        <f t="shared" si="389"/>
        <v>0</v>
      </c>
      <c r="I455" s="53">
        <f t="shared" si="389"/>
        <v>0</v>
      </c>
      <c r="J455" s="53">
        <f t="shared" si="389"/>
        <v>0</v>
      </c>
      <c r="K455" s="53">
        <f t="shared" si="389"/>
        <v>0</v>
      </c>
      <c r="L455" s="53">
        <f t="shared" si="389"/>
        <v>0</v>
      </c>
      <c r="M455" s="53">
        <f t="shared" si="389"/>
        <v>0</v>
      </c>
      <c r="N455" s="53">
        <f t="shared" si="389"/>
        <v>0</v>
      </c>
      <c r="O455" s="53">
        <f t="shared" si="389"/>
        <v>0</v>
      </c>
      <c r="P455" s="53">
        <f t="shared" si="389"/>
        <v>0</v>
      </c>
      <c r="Q455" s="53">
        <f t="shared" si="389"/>
        <v>0</v>
      </c>
      <c r="R455" s="53">
        <f t="shared" si="389"/>
        <v>0</v>
      </c>
      <c r="S455" s="53">
        <f t="shared" si="389"/>
        <v>0</v>
      </c>
      <c r="T455" s="53">
        <f t="shared" si="389"/>
        <v>0</v>
      </c>
      <c r="U455" s="53">
        <f t="shared" si="389"/>
        <v>0</v>
      </c>
      <c r="V455" s="53">
        <f t="shared" si="389"/>
        <v>0</v>
      </c>
      <c r="W455" s="53">
        <f t="shared" si="389"/>
        <v>0</v>
      </c>
      <c r="X455" s="53">
        <f t="shared" si="389"/>
        <v>0</v>
      </c>
      <c r="Y455" s="53">
        <f t="shared" si="389"/>
        <v>0</v>
      </c>
      <c r="Z455" s="53">
        <f t="shared" si="389"/>
        <v>0</v>
      </c>
      <c r="AA455" s="53">
        <f t="shared" si="389"/>
        <v>0</v>
      </c>
      <c r="AB455" s="53">
        <f t="shared" si="389"/>
        <v>0</v>
      </c>
      <c r="AC455" s="53">
        <f t="shared" si="389"/>
        <v>0</v>
      </c>
      <c r="AD455" s="53">
        <f t="shared" si="389"/>
        <v>0</v>
      </c>
      <c r="AE455" s="53">
        <f t="shared" si="389"/>
        <v>0</v>
      </c>
      <c r="AF455" s="53">
        <f t="shared" si="389"/>
        <v>0</v>
      </c>
      <c r="AG455" s="53">
        <f t="shared" si="389"/>
        <v>0</v>
      </c>
      <c r="AH455" s="53">
        <f t="shared" si="389"/>
        <v>0</v>
      </c>
      <c r="AI455" s="53">
        <f t="shared" si="389"/>
        <v>0</v>
      </c>
      <c r="AJ455" s="53">
        <f t="shared" si="389"/>
        <v>0</v>
      </c>
      <c r="AK455" s="53">
        <f t="shared" si="389"/>
        <v>0</v>
      </c>
      <c r="AL455" s="53">
        <f t="shared" si="389"/>
        <v>0</v>
      </c>
      <c r="AM455" s="53">
        <f t="shared" si="389"/>
        <v>0</v>
      </c>
      <c r="AN455" s="53">
        <f t="shared" si="389"/>
        <v>0</v>
      </c>
      <c r="AO455" s="53">
        <f t="shared" si="389"/>
        <v>0</v>
      </c>
      <c r="AP455" s="53">
        <f t="shared" si="389"/>
        <v>0</v>
      </c>
      <c r="AQ455" s="53">
        <f t="shared" si="389"/>
        <v>0</v>
      </c>
      <c r="AR455" s="53">
        <f t="shared" si="389"/>
        <v>0</v>
      </c>
      <c r="AS455" s="53">
        <f t="shared" si="389"/>
        <v>0</v>
      </c>
      <c r="AT455" s="53">
        <f t="shared" si="389"/>
        <v>0</v>
      </c>
      <c r="AU455" s="53">
        <f t="shared" si="389"/>
        <v>0</v>
      </c>
      <c r="AV455" s="53">
        <f t="shared" si="389"/>
        <v>0</v>
      </c>
      <c r="AW455" s="53">
        <f t="shared" si="389"/>
        <v>0</v>
      </c>
      <c r="AX455" s="53">
        <f t="shared" si="389"/>
        <v>0</v>
      </c>
      <c r="AY455" s="53">
        <f t="shared" si="389"/>
        <v>0</v>
      </c>
      <c r="AZ455" s="53">
        <f t="shared" si="389"/>
        <v>0</v>
      </c>
      <c r="BA455" s="53">
        <f t="shared" si="389"/>
        <v>0</v>
      </c>
      <c r="BB455" s="53">
        <f t="shared" si="389"/>
        <v>0</v>
      </c>
      <c r="BC455" s="53">
        <f t="shared" si="389"/>
        <v>0</v>
      </c>
      <c r="BD455" s="53">
        <f t="shared" si="389"/>
        <v>0</v>
      </c>
      <c r="BE455" s="53">
        <f t="shared" si="389"/>
        <v>0</v>
      </c>
      <c r="BF455" s="53">
        <f t="shared" si="389"/>
        <v>0</v>
      </c>
      <c r="BG455" s="53">
        <f t="shared" si="389"/>
        <v>0</v>
      </c>
      <c r="BH455" s="53">
        <f t="shared" si="389"/>
        <v>0</v>
      </c>
      <c r="BI455" s="53">
        <f t="shared" si="389"/>
        <v>0</v>
      </c>
      <c r="BJ455" s="53">
        <f t="shared" si="389"/>
        <v>0</v>
      </c>
      <c r="BK455" s="53">
        <f t="shared" si="389"/>
        <v>0</v>
      </c>
      <c r="BL455" s="53">
        <f t="shared" si="389"/>
        <v>0</v>
      </c>
      <c r="BM455" s="53">
        <f t="shared" si="389"/>
        <v>0</v>
      </c>
      <c r="BN455" s="53">
        <f t="shared" si="389"/>
        <v>0</v>
      </c>
      <c r="BO455" s="53">
        <f t="shared" ref="BO455:CX455" si="390">IFERROR(IF(BO$262=0,0,(BO196-BO197)/BO197),0)</f>
        <v>0</v>
      </c>
      <c r="BP455" s="53">
        <f t="shared" si="390"/>
        <v>0</v>
      </c>
      <c r="BQ455" s="53">
        <f t="shared" si="390"/>
        <v>0</v>
      </c>
      <c r="BR455" s="53">
        <f t="shared" si="390"/>
        <v>0</v>
      </c>
      <c r="BS455" s="53">
        <f t="shared" si="390"/>
        <v>0</v>
      </c>
      <c r="BT455" s="53">
        <f t="shared" si="390"/>
        <v>0</v>
      </c>
      <c r="BU455" s="53">
        <f t="shared" si="390"/>
        <v>0</v>
      </c>
      <c r="BV455" s="53">
        <f t="shared" si="390"/>
        <v>0</v>
      </c>
      <c r="BW455" s="53">
        <f t="shared" si="390"/>
        <v>0</v>
      </c>
      <c r="BX455" s="53">
        <f t="shared" si="390"/>
        <v>0</v>
      </c>
      <c r="BY455" s="53">
        <f t="shared" si="390"/>
        <v>0</v>
      </c>
      <c r="BZ455" s="53">
        <f t="shared" si="390"/>
        <v>0</v>
      </c>
      <c r="CA455" s="53">
        <f t="shared" si="390"/>
        <v>0</v>
      </c>
      <c r="CB455" s="53">
        <f t="shared" si="390"/>
        <v>0</v>
      </c>
      <c r="CC455" s="53">
        <f t="shared" si="390"/>
        <v>0</v>
      </c>
      <c r="CD455" s="53">
        <f t="shared" si="390"/>
        <v>0</v>
      </c>
      <c r="CE455" s="53">
        <f t="shared" si="390"/>
        <v>0</v>
      </c>
      <c r="CF455" s="53">
        <f t="shared" si="390"/>
        <v>0</v>
      </c>
      <c r="CG455" s="53">
        <f t="shared" si="390"/>
        <v>0</v>
      </c>
      <c r="CH455" s="53">
        <f t="shared" si="390"/>
        <v>0</v>
      </c>
      <c r="CI455" s="53">
        <f t="shared" si="390"/>
        <v>0</v>
      </c>
      <c r="CJ455" s="53">
        <f t="shared" si="390"/>
        <v>0</v>
      </c>
      <c r="CK455" s="53">
        <f t="shared" si="390"/>
        <v>0</v>
      </c>
      <c r="CL455" s="53">
        <f t="shared" si="390"/>
        <v>0</v>
      </c>
      <c r="CM455" s="53">
        <f t="shared" si="390"/>
        <v>0</v>
      </c>
      <c r="CN455" s="53">
        <f t="shared" si="390"/>
        <v>0</v>
      </c>
      <c r="CO455" s="53">
        <f t="shared" si="390"/>
        <v>0</v>
      </c>
      <c r="CP455" s="53">
        <f t="shared" si="390"/>
        <v>0</v>
      </c>
      <c r="CQ455" s="53">
        <f t="shared" si="390"/>
        <v>0</v>
      </c>
      <c r="CR455" s="53">
        <f t="shared" si="390"/>
        <v>0</v>
      </c>
      <c r="CS455" s="53">
        <f t="shared" si="390"/>
        <v>0</v>
      </c>
      <c r="CT455" s="53">
        <f t="shared" si="390"/>
        <v>0</v>
      </c>
      <c r="CU455" s="53">
        <f t="shared" si="390"/>
        <v>0</v>
      </c>
      <c r="CV455" s="53">
        <f t="shared" si="390"/>
        <v>0</v>
      </c>
      <c r="CW455" s="53">
        <f t="shared" si="390"/>
        <v>0</v>
      </c>
      <c r="CX455" s="53">
        <f t="shared" si="390"/>
        <v>0</v>
      </c>
      <c r="DB455" s="2" vm="704">
        <f ca="1">IF(Returns!A459&lt;&gt;0,Returns!A459,"")</f>
        <v>43381</v>
      </c>
      <c r="DC455" s="11">
        <f ca="1">IF(Returns!B470&gt;0,Returns!B470/Returns!B469-1,"")</f>
        <v>7.3011724563504909E-2</v>
      </c>
      <c r="DD455" s="11">
        <f ca="1">IF(Returns!D462&gt;0,Returns!D462/Returns!D461-1,"")</f>
        <v>2.3594841345125905E-2</v>
      </c>
    </row>
    <row r="456" spans="2:108" x14ac:dyDescent="0.3">
      <c r="B456" s="57">
        <f t="shared" ca="1" si="264"/>
        <v>6.26716128745247E-5</v>
      </c>
      <c r="C456" s="53">
        <f t="shared" ref="C456:BN456" si="391">IFERROR(IF(C$262=0,0,(C197-C198)/C198),0)</f>
        <v>0</v>
      </c>
      <c r="D456" s="53">
        <f t="shared" si="391"/>
        <v>0</v>
      </c>
      <c r="E456" s="53">
        <f t="shared" si="391"/>
        <v>0</v>
      </c>
      <c r="F456" s="53">
        <f t="shared" si="391"/>
        <v>0</v>
      </c>
      <c r="G456" s="53">
        <f t="shared" si="391"/>
        <v>0</v>
      </c>
      <c r="H456" s="53">
        <f t="shared" si="391"/>
        <v>0</v>
      </c>
      <c r="I456" s="53">
        <f t="shared" si="391"/>
        <v>0</v>
      </c>
      <c r="J456" s="53">
        <f t="shared" si="391"/>
        <v>0</v>
      </c>
      <c r="K456" s="53">
        <f t="shared" si="391"/>
        <v>0</v>
      </c>
      <c r="L456" s="53">
        <f t="shared" si="391"/>
        <v>0</v>
      </c>
      <c r="M456" s="53">
        <f t="shared" si="391"/>
        <v>0</v>
      </c>
      <c r="N456" s="53">
        <f t="shared" si="391"/>
        <v>0</v>
      </c>
      <c r="O456" s="53">
        <f t="shared" si="391"/>
        <v>0</v>
      </c>
      <c r="P456" s="53">
        <f t="shared" si="391"/>
        <v>0</v>
      </c>
      <c r="Q456" s="53">
        <f t="shared" si="391"/>
        <v>0</v>
      </c>
      <c r="R456" s="53">
        <f t="shared" si="391"/>
        <v>0</v>
      </c>
      <c r="S456" s="53">
        <f t="shared" si="391"/>
        <v>0</v>
      </c>
      <c r="T456" s="53">
        <f t="shared" si="391"/>
        <v>0</v>
      </c>
      <c r="U456" s="53">
        <f t="shared" si="391"/>
        <v>0</v>
      </c>
      <c r="V456" s="53">
        <f t="shared" si="391"/>
        <v>0</v>
      </c>
      <c r="W456" s="53">
        <f t="shared" si="391"/>
        <v>0</v>
      </c>
      <c r="X456" s="53">
        <f t="shared" si="391"/>
        <v>0</v>
      </c>
      <c r="Y456" s="53">
        <f t="shared" si="391"/>
        <v>0</v>
      </c>
      <c r="Z456" s="53">
        <f t="shared" si="391"/>
        <v>0</v>
      </c>
      <c r="AA456" s="53">
        <f t="shared" si="391"/>
        <v>0</v>
      </c>
      <c r="AB456" s="53">
        <f t="shared" si="391"/>
        <v>0</v>
      </c>
      <c r="AC456" s="53">
        <f t="shared" si="391"/>
        <v>0</v>
      </c>
      <c r="AD456" s="53">
        <f t="shared" si="391"/>
        <v>0</v>
      </c>
      <c r="AE456" s="53">
        <f t="shared" si="391"/>
        <v>0</v>
      </c>
      <c r="AF456" s="53">
        <f t="shared" si="391"/>
        <v>0</v>
      </c>
      <c r="AG456" s="53">
        <f t="shared" si="391"/>
        <v>0</v>
      </c>
      <c r="AH456" s="53">
        <f t="shared" si="391"/>
        <v>0</v>
      </c>
      <c r="AI456" s="53">
        <f t="shared" si="391"/>
        <v>0</v>
      </c>
      <c r="AJ456" s="53">
        <f t="shared" si="391"/>
        <v>0</v>
      </c>
      <c r="AK456" s="53">
        <f t="shared" si="391"/>
        <v>0</v>
      </c>
      <c r="AL456" s="53">
        <f t="shared" si="391"/>
        <v>0</v>
      </c>
      <c r="AM456" s="53">
        <f t="shared" si="391"/>
        <v>0</v>
      </c>
      <c r="AN456" s="53">
        <f t="shared" si="391"/>
        <v>0</v>
      </c>
      <c r="AO456" s="53">
        <f t="shared" si="391"/>
        <v>0</v>
      </c>
      <c r="AP456" s="53">
        <f t="shared" si="391"/>
        <v>0</v>
      </c>
      <c r="AQ456" s="53">
        <f t="shared" si="391"/>
        <v>0</v>
      </c>
      <c r="AR456" s="53">
        <f t="shared" si="391"/>
        <v>0</v>
      </c>
      <c r="AS456" s="53">
        <f t="shared" si="391"/>
        <v>0</v>
      </c>
      <c r="AT456" s="53">
        <f t="shared" si="391"/>
        <v>0</v>
      </c>
      <c r="AU456" s="53">
        <f t="shared" si="391"/>
        <v>0</v>
      </c>
      <c r="AV456" s="53">
        <f t="shared" si="391"/>
        <v>0</v>
      </c>
      <c r="AW456" s="53">
        <f t="shared" si="391"/>
        <v>0</v>
      </c>
      <c r="AX456" s="53">
        <f t="shared" si="391"/>
        <v>0</v>
      </c>
      <c r="AY456" s="53">
        <f t="shared" si="391"/>
        <v>0</v>
      </c>
      <c r="AZ456" s="53">
        <f t="shared" si="391"/>
        <v>0</v>
      </c>
      <c r="BA456" s="53">
        <f t="shared" si="391"/>
        <v>0</v>
      </c>
      <c r="BB456" s="53">
        <f t="shared" si="391"/>
        <v>0</v>
      </c>
      <c r="BC456" s="53">
        <f t="shared" si="391"/>
        <v>0</v>
      </c>
      <c r="BD456" s="53">
        <f t="shared" si="391"/>
        <v>0</v>
      </c>
      <c r="BE456" s="53">
        <f t="shared" si="391"/>
        <v>0</v>
      </c>
      <c r="BF456" s="53">
        <f t="shared" si="391"/>
        <v>0</v>
      </c>
      <c r="BG456" s="53">
        <f t="shared" si="391"/>
        <v>0</v>
      </c>
      <c r="BH456" s="53">
        <f t="shared" si="391"/>
        <v>0</v>
      </c>
      <c r="BI456" s="53">
        <f t="shared" si="391"/>
        <v>0</v>
      </c>
      <c r="BJ456" s="53">
        <f t="shared" si="391"/>
        <v>0</v>
      </c>
      <c r="BK456" s="53">
        <f t="shared" si="391"/>
        <v>0</v>
      </c>
      <c r="BL456" s="53">
        <f t="shared" si="391"/>
        <v>0</v>
      </c>
      <c r="BM456" s="53">
        <f t="shared" si="391"/>
        <v>0</v>
      </c>
      <c r="BN456" s="53">
        <f t="shared" si="391"/>
        <v>0</v>
      </c>
      <c r="BO456" s="53">
        <f t="shared" ref="BO456:CX456" si="392">IFERROR(IF(BO$262=0,0,(BO197-BO198)/BO198),0)</f>
        <v>0</v>
      </c>
      <c r="BP456" s="53">
        <f t="shared" si="392"/>
        <v>0</v>
      </c>
      <c r="BQ456" s="53">
        <f t="shared" si="392"/>
        <v>0</v>
      </c>
      <c r="BR456" s="53">
        <f t="shared" si="392"/>
        <v>0</v>
      </c>
      <c r="BS456" s="53">
        <f t="shared" si="392"/>
        <v>0</v>
      </c>
      <c r="BT456" s="53">
        <f t="shared" si="392"/>
        <v>0</v>
      </c>
      <c r="BU456" s="53">
        <f t="shared" si="392"/>
        <v>0</v>
      </c>
      <c r="BV456" s="53">
        <f t="shared" si="392"/>
        <v>0</v>
      </c>
      <c r="BW456" s="53">
        <f t="shared" si="392"/>
        <v>0</v>
      </c>
      <c r="BX456" s="53">
        <f t="shared" si="392"/>
        <v>0</v>
      </c>
      <c r="BY456" s="53">
        <f t="shared" si="392"/>
        <v>0</v>
      </c>
      <c r="BZ456" s="53">
        <f t="shared" si="392"/>
        <v>0</v>
      </c>
      <c r="CA456" s="53">
        <f t="shared" si="392"/>
        <v>0</v>
      </c>
      <c r="CB456" s="53">
        <f t="shared" si="392"/>
        <v>0</v>
      </c>
      <c r="CC456" s="53">
        <f t="shared" si="392"/>
        <v>0</v>
      </c>
      <c r="CD456" s="53">
        <f t="shared" si="392"/>
        <v>0</v>
      </c>
      <c r="CE456" s="53">
        <f t="shared" si="392"/>
        <v>0</v>
      </c>
      <c r="CF456" s="53">
        <f t="shared" si="392"/>
        <v>0</v>
      </c>
      <c r="CG456" s="53">
        <f t="shared" si="392"/>
        <v>0</v>
      </c>
      <c r="CH456" s="53">
        <f t="shared" si="392"/>
        <v>0</v>
      </c>
      <c r="CI456" s="53">
        <f t="shared" si="392"/>
        <v>0</v>
      </c>
      <c r="CJ456" s="53">
        <f t="shared" si="392"/>
        <v>0</v>
      </c>
      <c r="CK456" s="53">
        <f t="shared" si="392"/>
        <v>0</v>
      </c>
      <c r="CL456" s="53">
        <f t="shared" si="392"/>
        <v>0</v>
      </c>
      <c r="CM456" s="53">
        <f t="shared" si="392"/>
        <v>0</v>
      </c>
      <c r="CN456" s="53">
        <f t="shared" si="392"/>
        <v>0</v>
      </c>
      <c r="CO456" s="53">
        <f t="shared" si="392"/>
        <v>0</v>
      </c>
      <c r="CP456" s="53">
        <f t="shared" si="392"/>
        <v>0</v>
      </c>
      <c r="CQ456" s="53">
        <f t="shared" si="392"/>
        <v>0</v>
      </c>
      <c r="CR456" s="53">
        <f t="shared" si="392"/>
        <v>0</v>
      </c>
      <c r="CS456" s="53">
        <f t="shared" si="392"/>
        <v>0</v>
      </c>
      <c r="CT456" s="53">
        <f t="shared" si="392"/>
        <v>0</v>
      </c>
      <c r="CU456" s="53">
        <f t="shared" si="392"/>
        <v>0</v>
      </c>
      <c r="CV456" s="53">
        <f t="shared" si="392"/>
        <v>0</v>
      </c>
      <c r="CW456" s="53">
        <f t="shared" si="392"/>
        <v>0</v>
      </c>
      <c r="CX456" s="53">
        <f t="shared" si="392"/>
        <v>0</v>
      </c>
      <c r="DB456" s="2" vm="705">
        <f ca="1">IF(Returns!A460&lt;&gt;0,Returns!A460,"")</f>
        <v>43388</v>
      </c>
      <c r="DC456" s="11">
        <f ca="1">IF(Returns!B471&gt;0,Returns!B471/Returns!B470-1,"")</f>
        <v>6.5878675525365082E-2</v>
      </c>
      <c r="DD456" s="11">
        <f ca="1">IF(Returns!D463&gt;0,Returns!D463/Returns!D462-1,"")</f>
        <v>2.8430678367230122E-2</v>
      </c>
    </row>
    <row r="457" spans="2:108" x14ac:dyDescent="0.3">
      <c r="B457" s="57">
        <f t="shared" ref="B457:B516" ca="1" si="393">IF(B455=0,0,(B198-B199)/B199)</f>
        <v>1.1419557764774516E-3</v>
      </c>
      <c r="C457" s="53">
        <f t="shared" ref="C457:BN457" si="394">IFERROR(IF(C$262=0,0,(C198-C199)/C199),0)</f>
        <v>0</v>
      </c>
      <c r="D457" s="53">
        <f t="shared" si="394"/>
        <v>0</v>
      </c>
      <c r="E457" s="53">
        <f t="shared" si="394"/>
        <v>0</v>
      </c>
      <c r="F457" s="53">
        <f t="shared" si="394"/>
        <v>0</v>
      </c>
      <c r="G457" s="53">
        <f t="shared" si="394"/>
        <v>0</v>
      </c>
      <c r="H457" s="53">
        <f t="shared" si="394"/>
        <v>0</v>
      </c>
      <c r="I457" s="53">
        <f t="shared" si="394"/>
        <v>0</v>
      </c>
      <c r="J457" s="53">
        <f t="shared" si="394"/>
        <v>0</v>
      </c>
      <c r="K457" s="53">
        <f t="shared" si="394"/>
        <v>0</v>
      </c>
      <c r="L457" s="53">
        <f t="shared" si="394"/>
        <v>0</v>
      </c>
      <c r="M457" s="53">
        <f t="shared" si="394"/>
        <v>0</v>
      </c>
      <c r="N457" s="53">
        <f t="shared" si="394"/>
        <v>0</v>
      </c>
      <c r="O457" s="53">
        <f t="shared" si="394"/>
        <v>0</v>
      </c>
      <c r="P457" s="53">
        <f t="shared" si="394"/>
        <v>0</v>
      </c>
      <c r="Q457" s="53">
        <f t="shared" si="394"/>
        <v>0</v>
      </c>
      <c r="R457" s="53">
        <f t="shared" si="394"/>
        <v>0</v>
      </c>
      <c r="S457" s="53">
        <f t="shared" si="394"/>
        <v>0</v>
      </c>
      <c r="T457" s="53">
        <f t="shared" si="394"/>
        <v>0</v>
      </c>
      <c r="U457" s="53">
        <f t="shared" si="394"/>
        <v>0</v>
      </c>
      <c r="V457" s="53">
        <f t="shared" si="394"/>
        <v>0</v>
      </c>
      <c r="W457" s="53">
        <f t="shared" si="394"/>
        <v>0</v>
      </c>
      <c r="X457" s="53">
        <f t="shared" si="394"/>
        <v>0</v>
      </c>
      <c r="Y457" s="53">
        <f t="shared" si="394"/>
        <v>0</v>
      </c>
      <c r="Z457" s="53">
        <f t="shared" si="394"/>
        <v>0</v>
      </c>
      <c r="AA457" s="53">
        <f t="shared" si="394"/>
        <v>0</v>
      </c>
      <c r="AB457" s="53">
        <f t="shared" si="394"/>
        <v>0</v>
      </c>
      <c r="AC457" s="53">
        <f t="shared" si="394"/>
        <v>0</v>
      </c>
      <c r="AD457" s="53">
        <f t="shared" si="394"/>
        <v>0</v>
      </c>
      <c r="AE457" s="53">
        <f t="shared" si="394"/>
        <v>0</v>
      </c>
      <c r="AF457" s="53">
        <f t="shared" si="394"/>
        <v>0</v>
      </c>
      <c r="AG457" s="53">
        <f t="shared" si="394"/>
        <v>0</v>
      </c>
      <c r="AH457" s="53">
        <f t="shared" si="394"/>
        <v>0</v>
      </c>
      <c r="AI457" s="53">
        <f t="shared" si="394"/>
        <v>0</v>
      </c>
      <c r="AJ457" s="53">
        <f t="shared" si="394"/>
        <v>0</v>
      </c>
      <c r="AK457" s="53">
        <f t="shared" si="394"/>
        <v>0</v>
      </c>
      <c r="AL457" s="53">
        <f t="shared" si="394"/>
        <v>0</v>
      </c>
      <c r="AM457" s="53">
        <f t="shared" si="394"/>
        <v>0</v>
      </c>
      <c r="AN457" s="53">
        <f t="shared" si="394"/>
        <v>0</v>
      </c>
      <c r="AO457" s="53">
        <f t="shared" si="394"/>
        <v>0</v>
      </c>
      <c r="AP457" s="53">
        <f t="shared" si="394"/>
        <v>0</v>
      </c>
      <c r="AQ457" s="53">
        <f t="shared" si="394"/>
        <v>0</v>
      </c>
      <c r="AR457" s="53">
        <f t="shared" si="394"/>
        <v>0</v>
      </c>
      <c r="AS457" s="53">
        <f t="shared" si="394"/>
        <v>0</v>
      </c>
      <c r="AT457" s="53">
        <f t="shared" si="394"/>
        <v>0</v>
      </c>
      <c r="AU457" s="53">
        <f t="shared" si="394"/>
        <v>0</v>
      </c>
      <c r="AV457" s="53">
        <f t="shared" si="394"/>
        <v>0</v>
      </c>
      <c r="AW457" s="53">
        <f t="shared" si="394"/>
        <v>0</v>
      </c>
      <c r="AX457" s="53">
        <f t="shared" si="394"/>
        <v>0</v>
      </c>
      <c r="AY457" s="53">
        <f t="shared" si="394"/>
        <v>0</v>
      </c>
      <c r="AZ457" s="53">
        <f t="shared" si="394"/>
        <v>0</v>
      </c>
      <c r="BA457" s="53">
        <f t="shared" si="394"/>
        <v>0</v>
      </c>
      <c r="BB457" s="53">
        <f t="shared" si="394"/>
        <v>0</v>
      </c>
      <c r="BC457" s="53">
        <f t="shared" si="394"/>
        <v>0</v>
      </c>
      <c r="BD457" s="53">
        <f t="shared" si="394"/>
        <v>0</v>
      </c>
      <c r="BE457" s="53">
        <f t="shared" si="394"/>
        <v>0</v>
      </c>
      <c r="BF457" s="53">
        <f t="shared" si="394"/>
        <v>0</v>
      </c>
      <c r="BG457" s="53">
        <f t="shared" si="394"/>
        <v>0</v>
      </c>
      <c r="BH457" s="53">
        <f t="shared" si="394"/>
        <v>0</v>
      </c>
      <c r="BI457" s="53">
        <f t="shared" si="394"/>
        <v>0</v>
      </c>
      <c r="BJ457" s="53">
        <f t="shared" si="394"/>
        <v>0</v>
      </c>
      <c r="BK457" s="53">
        <f t="shared" si="394"/>
        <v>0</v>
      </c>
      <c r="BL457" s="53">
        <f t="shared" si="394"/>
        <v>0</v>
      </c>
      <c r="BM457" s="53">
        <f t="shared" si="394"/>
        <v>0</v>
      </c>
      <c r="BN457" s="53">
        <f t="shared" si="394"/>
        <v>0</v>
      </c>
      <c r="BO457" s="53">
        <f t="shared" ref="BO457:CX457" si="395">IFERROR(IF(BO$262=0,0,(BO198-BO199)/BO199),0)</f>
        <v>0</v>
      </c>
      <c r="BP457" s="53">
        <f t="shared" si="395"/>
        <v>0</v>
      </c>
      <c r="BQ457" s="53">
        <f t="shared" si="395"/>
        <v>0</v>
      </c>
      <c r="BR457" s="53">
        <f t="shared" si="395"/>
        <v>0</v>
      </c>
      <c r="BS457" s="53">
        <f t="shared" si="395"/>
        <v>0</v>
      </c>
      <c r="BT457" s="53">
        <f t="shared" si="395"/>
        <v>0</v>
      </c>
      <c r="BU457" s="53">
        <f t="shared" si="395"/>
        <v>0</v>
      </c>
      <c r="BV457" s="53">
        <f t="shared" si="395"/>
        <v>0</v>
      </c>
      <c r="BW457" s="53">
        <f t="shared" si="395"/>
        <v>0</v>
      </c>
      <c r="BX457" s="53">
        <f t="shared" si="395"/>
        <v>0</v>
      </c>
      <c r="BY457" s="53">
        <f t="shared" si="395"/>
        <v>0</v>
      </c>
      <c r="BZ457" s="53">
        <f t="shared" si="395"/>
        <v>0</v>
      </c>
      <c r="CA457" s="53">
        <f t="shared" si="395"/>
        <v>0</v>
      </c>
      <c r="CB457" s="53">
        <f t="shared" si="395"/>
        <v>0</v>
      </c>
      <c r="CC457" s="53">
        <f t="shared" si="395"/>
        <v>0</v>
      </c>
      <c r="CD457" s="53">
        <f t="shared" si="395"/>
        <v>0</v>
      </c>
      <c r="CE457" s="53">
        <f t="shared" si="395"/>
        <v>0</v>
      </c>
      <c r="CF457" s="53">
        <f t="shared" si="395"/>
        <v>0</v>
      </c>
      <c r="CG457" s="53">
        <f t="shared" si="395"/>
        <v>0</v>
      </c>
      <c r="CH457" s="53">
        <f t="shared" si="395"/>
        <v>0</v>
      </c>
      <c r="CI457" s="53">
        <f t="shared" si="395"/>
        <v>0</v>
      </c>
      <c r="CJ457" s="53">
        <f t="shared" si="395"/>
        <v>0</v>
      </c>
      <c r="CK457" s="53">
        <f t="shared" si="395"/>
        <v>0</v>
      </c>
      <c r="CL457" s="53">
        <f t="shared" si="395"/>
        <v>0</v>
      </c>
      <c r="CM457" s="53">
        <f t="shared" si="395"/>
        <v>0</v>
      </c>
      <c r="CN457" s="53">
        <f t="shared" si="395"/>
        <v>0</v>
      </c>
      <c r="CO457" s="53">
        <f t="shared" si="395"/>
        <v>0</v>
      </c>
      <c r="CP457" s="53">
        <f t="shared" si="395"/>
        <v>0</v>
      </c>
      <c r="CQ457" s="53">
        <f t="shared" si="395"/>
        <v>0</v>
      </c>
      <c r="CR457" s="53">
        <f t="shared" si="395"/>
        <v>0</v>
      </c>
      <c r="CS457" s="53">
        <f t="shared" si="395"/>
        <v>0</v>
      </c>
      <c r="CT457" s="53">
        <f t="shared" si="395"/>
        <v>0</v>
      </c>
      <c r="CU457" s="53">
        <f t="shared" si="395"/>
        <v>0</v>
      </c>
      <c r="CV457" s="53">
        <f t="shared" si="395"/>
        <v>0</v>
      </c>
      <c r="CW457" s="53">
        <f t="shared" si="395"/>
        <v>0</v>
      </c>
      <c r="CX457" s="53">
        <f t="shared" si="395"/>
        <v>0</v>
      </c>
      <c r="DB457" s="2" vm="706">
        <f ca="1">IF(Returns!A461&lt;&gt;0,Returns!A461,"")</f>
        <v>43395</v>
      </c>
      <c r="DC457" s="11">
        <f ca="1">IF(Returns!B472&gt;0,Returns!B472/Returns!B471-1,"")</f>
        <v>4.1367534388310423E-2</v>
      </c>
      <c r="DD457" s="11">
        <f ca="1">IF(Returns!D464&gt;0,Returns!D464/Returns!D463-1,"")</f>
        <v>-2.2165868336699868E-2</v>
      </c>
    </row>
    <row r="458" spans="2:108" x14ac:dyDescent="0.3">
      <c r="B458" s="57">
        <f t="shared" ca="1" si="393"/>
        <v>2.0900023545535914E-3</v>
      </c>
      <c r="C458" s="53">
        <f t="shared" ref="C458:BN458" si="396">IFERROR(IF(C$262=0,0,(C199-C200)/C200),0)</f>
        <v>0</v>
      </c>
      <c r="D458" s="53">
        <f t="shared" si="396"/>
        <v>0</v>
      </c>
      <c r="E458" s="53">
        <f t="shared" si="396"/>
        <v>0</v>
      </c>
      <c r="F458" s="53">
        <f t="shared" si="396"/>
        <v>0</v>
      </c>
      <c r="G458" s="53">
        <f t="shared" si="396"/>
        <v>0</v>
      </c>
      <c r="H458" s="53">
        <f t="shared" si="396"/>
        <v>0</v>
      </c>
      <c r="I458" s="53">
        <f t="shared" si="396"/>
        <v>0</v>
      </c>
      <c r="J458" s="53">
        <f t="shared" si="396"/>
        <v>0</v>
      </c>
      <c r="K458" s="53">
        <f t="shared" si="396"/>
        <v>0</v>
      </c>
      <c r="L458" s="53">
        <f t="shared" si="396"/>
        <v>0</v>
      </c>
      <c r="M458" s="53">
        <f t="shared" si="396"/>
        <v>0</v>
      </c>
      <c r="N458" s="53">
        <f t="shared" si="396"/>
        <v>0</v>
      </c>
      <c r="O458" s="53">
        <f t="shared" si="396"/>
        <v>0</v>
      </c>
      <c r="P458" s="53">
        <f t="shared" si="396"/>
        <v>0</v>
      </c>
      <c r="Q458" s="53">
        <f t="shared" si="396"/>
        <v>0</v>
      </c>
      <c r="R458" s="53">
        <f t="shared" si="396"/>
        <v>0</v>
      </c>
      <c r="S458" s="53">
        <f t="shared" si="396"/>
        <v>0</v>
      </c>
      <c r="T458" s="53">
        <f t="shared" si="396"/>
        <v>0</v>
      </c>
      <c r="U458" s="53">
        <f t="shared" si="396"/>
        <v>0</v>
      </c>
      <c r="V458" s="53">
        <f t="shared" si="396"/>
        <v>0</v>
      </c>
      <c r="W458" s="53">
        <f t="shared" si="396"/>
        <v>0</v>
      </c>
      <c r="X458" s="53">
        <f t="shared" si="396"/>
        <v>0</v>
      </c>
      <c r="Y458" s="53">
        <f t="shared" si="396"/>
        <v>0</v>
      </c>
      <c r="Z458" s="53">
        <f t="shared" si="396"/>
        <v>0</v>
      </c>
      <c r="AA458" s="53">
        <f t="shared" si="396"/>
        <v>0</v>
      </c>
      <c r="AB458" s="53">
        <f t="shared" si="396"/>
        <v>0</v>
      </c>
      <c r="AC458" s="53">
        <f t="shared" si="396"/>
        <v>0</v>
      </c>
      <c r="AD458" s="53">
        <f t="shared" si="396"/>
        <v>0</v>
      </c>
      <c r="AE458" s="53">
        <f t="shared" si="396"/>
        <v>0</v>
      </c>
      <c r="AF458" s="53">
        <f t="shared" si="396"/>
        <v>0</v>
      </c>
      <c r="AG458" s="53">
        <f t="shared" si="396"/>
        <v>0</v>
      </c>
      <c r="AH458" s="53">
        <f t="shared" si="396"/>
        <v>0</v>
      </c>
      <c r="AI458" s="53">
        <f t="shared" si="396"/>
        <v>0</v>
      </c>
      <c r="AJ458" s="53">
        <f t="shared" si="396"/>
        <v>0</v>
      </c>
      <c r="AK458" s="53">
        <f t="shared" si="396"/>
        <v>0</v>
      </c>
      <c r="AL458" s="53">
        <f t="shared" si="396"/>
        <v>0</v>
      </c>
      <c r="AM458" s="53">
        <f t="shared" si="396"/>
        <v>0</v>
      </c>
      <c r="AN458" s="53">
        <f t="shared" si="396"/>
        <v>0</v>
      </c>
      <c r="AO458" s="53">
        <f t="shared" si="396"/>
        <v>0</v>
      </c>
      <c r="AP458" s="53">
        <f t="shared" si="396"/>
        <v>0</v>
      </c>
      <c r="AQ458" s="53">
        <f t="shared" si="396"/>
        <v>0</v>
      </c>
      <c r="AR458" s="53">
        <f t="shared" si="396"/>
        <v>0</v>
      </c>
      <c r="AS458" s="53">
        <f t="shared" si="396"/>
        <v>0</v>
      </c>
      <c r="AT458" s="53">
        <f t="shared" si="396"/>
        <v>0</v>
      </c>
      <c r="AU458" s="53">
        <f t="shared" si="396"/>
        <v>0</v>
      </c>
      <c r="AV458" s="53">
        <f t="shared" si="396"/>
        <v>0</v>
      </c>
      <c r="AW458" s="53">
        <f t="shared" si="396"/>
        <v>0</v>
      </c>
      <c r="AX458" s="53">
        <f t="shared" si="396"/>
        <v>0</v>
      </c>
      <c r="AY458" s="53">
        <f t="shared" si="396"/>
        <v>0</v>
      </c>
      <c r="AZ458" s="53">
        <f t="shared" si="396"/>
        <v>0</v>
      </c>
      <c r="BA458" s="53">
        <f t="shared" si="396"/>
        <v>0</v>
      </c>
      <c r="BB458" s="53">
        <f t="shared" si="396"/>
        <v>0</v>
      </c>
      <c r="BC458" s="53">
        <f t="shared" si="396"/>
        <v>0</v>
      </c>
      <c r="BD458" s="53">
        <f t="shared" si="396"/>
        <v>0</v>
      </c>
      <c r="BE458" s="53">
        <f t="shared" si="396"/>
        <v>0</v>
      </c>
      <c r="BF458" s="53">
        <f t="shared" si="396"/>
        <v>0</v>
      </c>
      <c r="BG458" s="53">
        <f t="shared" si="396"/>
        <v>0</v>
      </c>
      <c r="BH458" s="53">
        <f t="shared" si="396"/>
        <v>0</v>
      </c>
      <c r="BI458" s="53">
        <f t="shared" si="396"/>
        <v>0</v>
      </c>
      <c r="BJ458" s="53">
        <f t="shared" si="396"/>
        <v>0</v>
      </c>
      <c r="BK458" s="53">
        <f t="shared" si="396"/>
        <v>0</v>
      </c>
      <c r="BL458" s="53">
        <f t="shared" si="396"/>
        <v>0</v>
      </c>
      <c r="BM458" s="53">
        <f t="shared" si="396"/>
        <v>0</v>
      </c>
      <c r="BN458" s="53">
        <f t="shared" si="396"/>
        <v>0</v>
      </c>
      <c r="BO458" s="53">
        <f t="shared" ref="BO458:CX458" si="397">IFERROR(IF(BO$262=0,0,(BO199-BO200)/BO200),0)</f>
        <v>0</v>
      </c>
      <c r="BP458" s="53">
        <f t="shared" si="397"/>
        <v>0</v>
      </c>
      <c r="BQ458" s="53">
        <f t="shared" si="397"/>
        <v>0</v>
      </c>
      <c r="BR458" s="53">
        <f t="shared" si="397"/>
        <v>0</v>
      </c>
      <c r="BS458" s="53">
        <f t="shared" si="397"/>
        <v>0</v>
      </c>
      <c r="BT458" s="53">
        <f t="shared" si="397"/>
        <v>0</v>
      </c>
      <c r="BU458" s="53">
        <f t="shared" si="397"/>
        <v>0</v>
      </c>
      <c r="BV458" s="53">
        <f t="shared" si="397"/>
        <v>0</v>
      </c>
      <c r="BW458" s="53">
        <f t="shared" si="397"/>
        <v>0</v>
      </c>
      <c r="BX458" s="53">
        <f t="shared" si="397"/>
        <v>0</v>
      </c>
      <c r="BY458" s="53">
        <f t="shared" si="397"/>
        <v>0</v>
      </c>
      <c r="BZ458" s="53">
        <f t="shared" si="397"/>
        <v>0</v>
      </c>
      <c r="CA458" s="53">
        <f t="shared" si="397"/>
        <v>0</v>
      </c>
      <c r="CB458" s="53">
        <f t="shared" si="397"/>
        <v>0</v>
      </c>
      <c r="CC458" s="53">
        <f t="shared" si="397"/>
        <v>0</v>
      </c>
      <c r="CD458" s="53">
        <f t="shared" si="397"/>
        <v>0</v>
      </c>
      <c r="CE458" s="53">
        <f t="shared" si="397"/>
        <v>0</v>
      </c>
      <c r="CF458" s="53">
        <f t="shared" si="397"/>
        <v>0</v>
      </c>
      <c r="CG458" s="53">
        <f t="shared" si="397"/>
        <v>0</v>
      </c>
      <c r="CH458" s="53">
        <f t="shared" si="397"/>
        <v>0</v>
      </c>
      <c r="CI458" s="53">
        <f t="shared" si="397"/>
        <v>0</v>
      </c>
      <c r="CJ458" s="53">
        <f t="shared" si="397"/>
        <v>0</v>
      </c>
      <c r="CK458" s="53">
        <f t="shared" si="397"/>
        <v>0</v>
      </c>
      <c r="CL458" s="53">
        <f t="shared" si="397"/>
        <v>0</v>
      </c>
      <c r="CM458" s="53">
        <f t="shared" si="397"/>
        <v>0</v>
      </c>
      <c r="CN458" s="53">
        <f t="shared" si="397"/>
        <v>0</v>
      </c>
      <c r="CO458" s="53">
        <f t="shared" si="397"/>
        <v>0</v>
      </c>
      <c r="CP458" s="53">
        <f t="shared" si="397"/>
        <v>0</v>
      </c>
      <c r="CQ458" s="53">
        <f t="shared" si="397"/>
        <v>0</v>
      </c>
      <c r="CR458" s="53">
        <f t="shared" si="397"/>
        <v>0</v>
      </c>
      <c r="CS458" s="53">
        <f t="shared" si="397"/>
        <v>0</v>
      </c>
      <c r="CT458" s="53">
        <f t="shared" si="397"/>
        <v>0</v>
      </c>
      <c r="CU458" s="53">
        <f t="shared" si="397"/>
        <v>0</v>
      </c>
      <c r="CV458" s="53">
        <f t="shared" si="397"/>
        <v>0</v>
      </c>
      <c r="CW458" s="53">
        <f t="shared" si="397"/>
        <v>0</v>
      </c>
      <c r="CX458" s="53">
        <f t="shared" si="397"/>
        <v>0</v>
      </c>
      <c r="DB458" s="2" vm="707">
        <f ca="1">IF(Returns!A462&lt;&gt;0,Returns!A462,"")</f>
        <v>43402</v>
      </c>
      <c r="DC458" s="11">
        <f ca="1">IF(Returns!B473&gt;0,Returns!B473/Returns!B472-1,"")</f>
        <v>3.3915248451748203E-2</v>
      </c>
      <c r="DD458" s="11">
        <f ca="1">IF(Returns!D465&gt;0,Returns!D465/Returns!D464-1,"")</f>
        <v>-4.4357464168816585E-2</v>
      </c>
    </row>
    <row r="459" spans="2:108" x14ac:dyDescent="0.3">
      <c r="B459" s="57">
        <f t="shared" ca="1" si="393"/>
        <v>1.7434787838881318E-3</v>
      </c>
      <c r="C459" s="53">
        <f t="shared" ref="C459:BN459" si="398">IFERROR(IF(C$262=0,0,(C200-C201)/C201),0)</f>
        <v>0</v>
      </c>
      <c r="D459" s="53">
        <f t="shared" si="398"/>
        <v>0</v>
      </c>
      <c r="E459" s="53">
        <f t="shared" si="398"/>
        <v>0</v>
      </c>
      <c r="F459" s="53">
        <f t="shared" si="398"/>
        <v>0</v>
      </c>
      <c r="G459" s="53">
        <f t="shared" si="398"/>
        <v>0</v>
      </c>
      <c r="H459" s="53">
        <f t="shared" si="398"/>
        <v>0</v>
      </c>
      <c r="I459" s="53">
        <f t="shared" si="398"/>
        <v>0</v>
      </c>
      <c r="J459" s="53">
        <f t="shared" si="398"/>
        <v>0</v>
      </c>
      <c r="K459" s="53">
        <f t="shared" si="398"/>
        <v>0</v>
      </c>
      <c r="L459" s="53">
        <f t="shared" si="398"/>
        <v>0</v>
      </c>
      <c r="M459" s="53">
        <f t="shared" si="398"/>
        <v>0</v>
      </c>
      <c r="N459" s="53">
        <f t="shared" si="398"/>
        <v>0</v>
      </c>
      <c r="O459" s="53">
        <f t="shared" si="398"/>
        <v>0</v>
      </c>
      <c r="P459" s="53">
        <f t="shared" si="398"/>
        <v>0</v>
      </c>
      <c r="Q459" s="53">
        <f t="shared" si="398"/>
        <v>0</v>
      </c>
      <c r="R459" s="53">
        <f t="shared" si="398"/>
        <v>0</v>
      </c>
      <c r="S459" s="53">
        <f t="shared" si="398"/>
        <v>0</v>
      </c>
      <c r="T459" s="53">
        <f t="shared" si="398"/>
        <v>0</v>
      </c>
      <c r="U459" s="53">
        <f t="shared" si="398"/>
        <v>0</v>
      </c>
      <c r="V459" s="53">
        <f t="shared" si="398"/>
        <v>0</v>
      </c>
      <c r="W459" s="53">
        <f t="shared" si="398"/>
        <v>0</v>
      </c>
      <c r="X459" s="53">
        <f t="shared" si="398"/>
        <v>0</v>
      </c>
      <c r="Y459" s="53">
        <f t="shared" si="398"/>
        <v>0</v>
      </c>
      <c r="Z459" s="53">
        <f t="shared" si="398"/>
        <v>0</v>
      </c>
      <c r="AA459" s="53">
        <f t="shared" si="398"/>
        <v>0</v>
      </c>
      <c r="AB459" s="53">
        <f t="shared" si="398"/>
        <v>0</v>
      </c>
      <c r="AC459" s="53">
        <f t="shared" si="398"/>
        <v>0</v>
      </c>
      <c r="AD459" s="53">
        <f t="shared" si="398"/>
        <v>0</v>
      </c>
      <c r="AE459" s="53">
        <f t="shared" si="398"/>
        <v>0</v>
      </c>
      <c r="AF459" s="53">
        <f t="shared" si="398"/>
        <v>0</v>
      </c>
      <c r="AG459" s="53">
        <f t="shared" si="398"/>
        <v>0</v>
      </c>
      <c r="AH459" s="53">
        <f t="shared" si="398"/>
        <v>0</v>
      </c>
      <c r="AI459" s="53">
        <f t="shared" si="398"/>
        <v>0</v>
      </c>
      <c r="AJ459" s="53">
        <f t="shared" si="398"/>
        <v>0</v>
      </c>
      <c r="AK459" s="53">
        <f t="shared" si="398"/>
        <v>0</v>
      </c>
      <c r="AL459" s="53">
        <f t="shared" si="398"/>
        <v>0</v>
      </c>
      <c r="AM459" s="53">
        <f t="shared" si="398"/>
        <v>0</v>
      </c>
      <c r="AN459" s="53">
        <f t="shared" si="398"/>
        <v>0</v>
      </c>
      <c r="AO459" s="53">
        <f t="shared" si="398"/>
        <v>0</v>
      </c>
      <c r="AP459" s="53">
        <f t="shared" si="398"/>
        <v>0</v>
      </c>
      <c r="AQ459" s="53">
        <f t="shared" si="398"/>
        <v>0</v>
      </c>
      <c r="AR459" s="53">
        <f t="shared" si="398"/>
        <v>0</v>
      </c>
      <c r="AS459" s="53">
        <f t="shared" si="398"/>
        <v>0</v>
      </c>
      <c r="AT459" s="53">
        <f t="shared" si="398"/>
        <v>0</v>
      </c>
      <c r="AU459" s="53">
        <f t="shared" si="398"/>
        <v>0</v>
      </c>
      <c r="AV459" s="53">
        <f t="shared" si="398"/>
        <v>0</v>
      </c>
      <c r="AW459" s="53">
        <f t="shared" si="398"/>
        <v>0</v>
      </c>
      <c r="AX459" s="53">
        <f t="shared" si="398"/>
        <v>0</v>
      </c>
      <c r="AY459" s="53">
        <f t="shared" si="398"/>
        <v>0</v>
      </c>
      <c r="AZ459" s="53">
        <f t="shared" si="398"/>
        <v>0</v>
      </c>
      <c r="BA459" s="53">
        <f t="shared" si="398"/>
        <v>0</v>
      </c>
      <c r="BB459" s="53">
        <f t="shared" si="398"/>
        <v>0</v>
      </c>
      <c r="BC459" s="53">
        <f t="shared" si="398"/>
        <v>0</v>
      </c>
      <c r="BD459" s="53">
        <f t="shared" si="398"/>
        <v>0</v>
      </c>
      <c r="BE459" s="53">
        <f t="shared" si="398"/>
        <v>0</v>
      </c>
      <c r="BF459" s="53">
        <f t="shared" si="398"/>
        <v>0</v>
      </c>
      <c r="BG459" s="53">
        <f t="shared" si="398"/>
        <v>0</v>
      </c>
      <c r="BH459" s="53">
        <f t="shared" si="398"/>
        <v>0</v>
      </c>
      <c r="BI459" s="53">
        <f t="shared" si="398"/>
        <v>0</v>
      </c>
      <c r="BJ459" s="53">
        <f t="shared" si="398"/>
        <v>0</v>
      </c>
      <c r="BK459" s="53">
        <f t="shared" si="398"/>
        <v>0</v>
      </c>
      <c r="BL459" s="53">
        <f t="shared" si="398"/>
        <v>0</v>
      </c>
      <c r="BM459" s="53">
        <f t="shared" si="398"/>
        <v>0</v>
      </c>
      <c r="BN459" s="53">
        <f t="shared" si="398"/>
        <v>0</v>
      </c>
      <c r="BO459" s="53">
        <f t="shared" ref="BO459:CX459" si="399">IFERROR(IF(BO$262=0,0,(BO200-BO201)/BO201),0)</f>
        <v>0</v>
      </c>
      <c r="BP459" s="53">
        <f t="shared" si="399"/>
        <v>0</v>
      </c>
      <c r="BQ459" s="53">
        <f t="shared" si="399"/>
        <v>0</v>
      </c>
      <c r="BR459" s="53">
        <f t="shared" si="399"/>
        <v>0</v>
      </c>
      <c r="BS459" s="53">
        <f t="shared" si="399"/>
        <v>0</v>
      </c>
      <c r="BT459" s="53">
        <f t="shared" si="399"/>
        <v>0</v>
      </c>
      <c r="BU459" s="53">
        <f t="shared" si="399"/>
        <v>0</v>
      </c>
      <c r="BV459" s="53">
        <f t="shared" si="399"/>
        <v>0</v>
      </c>
      <c r="BW459" s="53">
        <f t="shared" si="399"/>
        <v>0</v>
      </c>
      <c r="BX459" s="53">
        <f t="shared" si="399"/>
        <v>0</v>
      </c>
      <c r="BY459" s="53">
        <f t="shared" si="399"/>
        <v>0</v>
      </c>
      <c r="BZ459" s="53">
        <f t="shared" si="399"/>
        <v>0</v>
      </c>
      <c r="CA459" s="53">
        <f t="shared" si="399"/>
        <v>0</v>
      </c>
      <c r="CB459" s="53">
        <f t="shared" si="399"/>
        <v>0</v>
      </c>
      <c r="CC459" s="53">
        <f t="shared" si="399"/>
        <v>0</v>
      </c>
      <c r="CD459" s="53">
        <f t="shared" si="399"/>
        <v>0</v>
      </c>
      <c r="CE459" s="53">
        <f t="shared" si="399"/>
        <v>0</v>
      </c>
      <c r="CF459" s="53">
        <f t="shared" si="399"/>
        <v>0</v>
      </c>
      <c r="CG459" s="53">
        <f t="shared" si="399"/>
        <v>0</v>
      </c>
      <c r="CH459" s="53">
        <f t="shared" si="399"/>
        <v>0</v>
      </c>
      <c r="CI459" s="53">
        <f t="shared" si="399"/>
        <v>0</v>
      </c>
      <c r="CJ459" s="53">
        <f t="shared" si="399"/>
        <v>0</v>
      </c>
      <c r="CK459" s="53">
        <f t="shared" si="399"/>
        <v>0</v>
      </c>
      <c r="CL459" s="53">
        <f t="shared" si="399"/>
        <v>0</v>
      </c>
      <c r="CM459" s="53">
        <f t="shared" si="399"/>
        <v>0</v>
      </c>
      <c r="CN459" s="53">
        <f t="shared" si="399"/>
        <v>0</v>
      </c>
      <c r="CO459" s="53">
        <f t="shared" si="399"/>
        <v>0</v>
      </c>
      <c r="CP459" s="53">
        <f t="shared" si="399"/>
        <v>0</v>
      </c>
      <c r="CQ459" s="53">
        <f t="shared" si="399"/>
        <v>0</v>
      </c>
      <c r="CR459" s="53">
        <f t="shared" si="399"/>
        <v>0</v>
      </c>
      <c r="CS459" s="53">
        <f t="shared" si="399"/>
        <v>0</v>
      </c>
      <c r="CT459" s="53">
        <f t="shared" si="399"/>
        <v>0</v>
      </c>
      <c r="CU459" s="53">
        <f t="shared" si="399"/>
        <v>0</v>
      </c>
      <c r="CV459" s="53">
        <f t="shared" si="399"/>
        <v>0</v>
      </c>
      <c r="CW459" s="53">
        <f t="shared" si="399"/>
        <v>0</v>
      </c>
      <c r="CX459" s="53">
        <f t="shared" si="399"/>
        <v>0</v>
      </c>
      <c r="DB459" s="2" vm="708">
        <f ca="1">IF(Returns!A463&lt;&gt;0,Returns!A463,"")</f>
        <v>43409</v>
      </c>
      <c r="DC459" s="11">
        <f ca="1">IF(Returns!B474&gt;0,Returns!B474/Returns!B473-1,"")</f>
        <v>-1.5110246433203689E-2</v>
      </c>
      <c r="DD459" s="11">
        <f ca="1">IF(Returns!D466&gt;0,Returns!D466/Returns!D465-1,"")</f>
        <v>5.1573131318732202E-2</v>
      </c>
    </row>
    <row r="460" spans="2:108" x14ac:dyDescent="0.3">
      <c r="B460" s="57">
        <f t="shared" ca="1" si="393"/>
        <v>6.2922666674769838E-4</v>
      </c>
      <c r="C460" s="53">
        <f t="shared" ref="C460:BN460" si="400">IFERROR(IF(C$262=0,0,(C201-C202)/C202),0)</f>
        <v>0</v>
      </c>
      <c r="D460" s="53">
        <f t="shared" si="400"/>
        <v>0</v>
      </c>
      <c r="E460" s="53">
        <f t="shared" si="400"/>
        <v>0</v>
      </c>
      <c r="F460" s="53">
        <f t="shared" si="400"/>
        <v>0</v>
      </c>
      <c r="G460" s="53">
        <f t="shared" si="400"/>
        <v>0</v>
      </c>
      <c r="H460" s="53">
        <f t="shared" si="400"/>
        <v>0</v>
      </c>
      <c r="I460" s="53">
        <f t="shared" si="400"/>
        <v>0</v>
      </c>
      <c r="J460" s="53">
        <f t="shared" si="400"/>
        <v>0</v>
      </c>
      <c r="K460" s="53">
        <f t="shared" si="400"/>
        <v>0</v>
      </c>
      <c r="L460" s="53">
        <f t="shared" si="400"/>
        <v>0</v>
      </c>
      <c r="M460" s="53">
        <f t="shared" si="400"/>
        <v>0</v>
      </c>
      <c r="N460" s="53">
        <f t="shared" si="400"/>
        <v>0</v>
      </c>
      <c r="O460" s="53">
        <f t="shared" si="400"/>
        <v>0</v>
      </c>
      <c r="P460" s="53">
        <f t="shared" si="400"/>
        <v>0</v>
      </c>
      <c r="Q460" s="53">
        <f t="shared" si="400"/>
        <v>0</v>
      </c>
      <c r="R460" s="53">
        <f t="shared" si="400"/>
        <v>0</v>
      </c>
      <c r="S460" s="53">
        <f t="shared" si="400"/>
        <v>0</v>
      </c>
      <c r="T460" s="53">
        <f t="shared" si="400"/>
        <v>0</v>
      </c>
      <c r="U460" s="53">
        <f t="shared" si="400"/>
        <v>0</v>
      </c>
      <c r="V460" s="53">
        <f t="shared" si="400"/>
        <v>0</v>
      </c>
      <c r="W460" s="53">
        <f t="shared" si="400"/>
        <v>0</v>
      </c>
      <c r="X460" s="53">
        <f t="shared" si="400"/>
        <v>0</v>
      </c>
      <c r="Y460" s="53">
        <f t="shared" si="400"/>
        <v>0</v>
      </c>
      <c r="Z460" s="53">
        <f t="shared" si="400"/>
        <v>0</v>
      </c>
      <c r="AA460" s="53">
        <f t="shared" si="400"/>
        <v>0</v>
      </c>
      <c r="AB460" s="53">
        <f t="shared" si="400"/>
        <v>0</v>
      </c>
      <c r="AC460" s="53">
        <f t="shared" si="400"/>
        <v>0</v>
      </c>
      <c r="AD460" s="53">
        <f t="shared" si="400"/>
        <v>0</v>
      </c>
      <c r="AE460" s="53">
        <f t="shared" si="400"/>
        <v>0</v>
      </c>
      <c r="AF460" s="53">
        <f t="shared" si="400"/>
        <v>0</v>
      </c>
      <c r="AG460" s="53">
        <f t="shared" si="400"/>
        <v>0</v>
      </c>
      <c r="AH460" s="53">
        <f t="shared" si="400"/>
        <v>0</v>
      </c>
      <c r="AI460" s="53">
        <f t="shared" si="400"/>
        <v>0</v>
      </c>
      <c r="AJ460" s="53">
        <f t="shared" si="400"/>
        <v>0</v>
      </c>
      <c r="AK460" s="53">
        <f t="shared" si="400"/>
        <v>0</v>
      </c>
      <c r="AL460" s="53">
        <f t="shared" si="400"/>
        <v>0</v>
      </c>
      <c r="AM460" s="53">
        <f t="shared" si="400"/>
        <v>0</v>
      </c>
      <c r="AN460" s="53">
        <f t="shared" si="400"/>
        <v>0</v>
      </c>
      <c r="AO460" s="53">
        <f t="shared" si="400"/>
        <v>0</v>
      </c>
      <c r="AP460" s="53">
        <f t="shared" si="400"/>
        <v>0</v>
      </c>
      <c r="AQ460" s="53">
        <f t="shared" si="400"/>
        <v>0</v>
      </c>
      <c r="AR460" s="53">
        <f t="shared" si="400"/>
        <v>0</v>
      </c>
      <c r="AS460" s="53">
        <f t="shared" si="400"/>
        <v>0</v>
      </c>
      <c r="AT460" s="53">
        <f t="shared" si="400"/>
        <v>0</v>
      </c>
      <c r="AU460" s="53">
        <f t="shared" si="400"/>
        <v>0</v>
      </c>
      <c r="AV460" s="53">
        <f t="shared" si="400"/>
        <v>0</v>
      </c>
      <c r="AW460" s="53">
        <f t="shared" si="400"/>
        <v>0</v>
      </c>
      <c r="AX460" s="53">
        <f t="shared" si="400"/>
        <v>0</v>
      </c>
      <c r="AY460" s="53">
        <f t="shared" si="400"/>
        <v>0</v>
      </c>
      <c r="AZ460" s="53">
        <f t="shared" si="400"/>
        <v>0</v>
      </c>
      <c r="BA460" s="53">
        <f t="shared" si="400"/>
        <v>0</v>
      </c>
      <c r="BB460" s="53">
        <f t="shared" si="400"/>
        <v>0</v>
      </c>
      <c r="BC460" s="53">
        <f t="shared" si="400"/>
        <v>0</v>
      </c>
      <c r="BD460" s="53">
        <f t="shared" si="400"/>
        <v>0</v>
      </c>
      <c r="BE460" s="53">
        <f t="shared" si="400"/>
        <v>0</v>
      </c>
      <c r="BF460" s="53">
        <f t="shared" si="400"/>
        <v>0</v>
      </c>
      <c r="BG460" s="53">
        <f t="shared" si="400"/>
        <v>0</v>
      </c>
      <c r="BH460" s="53">
        <f t="shared" si="400"/>
        <v>0</v>
      </c>
      <c r="BI460" s="53">
        <f t="shared" si="400"/>
        <v>0</v>
      </c>
      <c r="BJ460" s="53">
        <f t="shared" si="400"/>
        <v>0</v>
      </c>
      <c r="BK460" s="53">
        <f t="shared" si="400"/>
        <v>0</v>
      </c>
      <c r="BL460" s="53">
        <f t="shared" si="400"/>
        <v>0</v>
      </c>
      <c r="BM460" s="53">
        <f t="shared" si="400"/>
        <v>0</v>
      </c>
      <c r="BN460" s="53">
        <f t="shared" si="400"/>
        <v>0</v>
      </c>
      <c r="BO460" s="53">
        <f t="shared" ref="BO460:CX460" si="401">IFERROR(IF(BO$262=0,0,(BO201-BO202)/BO202),0)</f>
        <v>0</v>
      </c>
      <c r="BP460" s="53">
        <f t="shared" si="401"/>
        <v>0</v>
      </c>
      <c r="BQ460" s="53">
        <f t="shared" si="401"/>
        <v>0</v>
      </c>
      <c r="BR460" s="53">
        <f t="shared" si="401"/>
        <v>0</v>
      </c>
      <c r="BS460" s="53">
        <f t="shared" si="401"/>
        <v>0</v>
      </c>
      <c r="BT460" s="53">
        <f t="shared" si="401"/>
        <v>0</v>
      </c>
      <c r="BU460" s="53">
        <f t="shared" si="401"/>
        <v>0</v>
      </c>
      <c r="BV460" s="53">
        <f t="shared" si="401"/>
        <v>0</v>
      </c>
      <c r="BW460" s="53">
        <f t="shared" si="401"/>
        <v>0</v>
      </c>
      <c r="BX460" s="53">
        <f t="shared" si="401"/>
        <v>0</v>
      </c>
      <c r="BY460" s="53">
        <f t="shared" si="401"/>
        <v>0</v>
      </c>
      <c r="BZ460" s="53">
        <f t="shared" si="401"/>
        <v>0</v>
      </c>
      <c r="CA460" s="53">
        <f t="shared" si="401"/>
        <v>0</v>
      </c>
      <c r="CB460" s="53">
        <f t="shared" si="401"/>
        <v>0</v>
      </c>
      <c r="CC460" s="53">
        <f t="shared" si="401"/>
        <v>0</v>
      </c>
      <c r="CD460" s="53">
        <f t="shared" si="401"/>
        <v>0</v>
      </c>
      <c r="CE460" s="53">
        <f t="shared" si="401"/>
        <v>0</v>
      </c>
      <c r="CF460" s="53">
        <f t="shared" si="401"/>
        <v>0</v>
      </c>
      <c r="CG460" s="53">
        <f t="shared" si="401"/>
        <v>0</v>
      </c>
      <c r="CH460" s="53">
        <f t="shared" si="401"/>
        <v>0</v>
      </c>
      <c r="CI460" s="53">
        <f t="shared" si="401"/>
        <v>0</v>
      </c>
      <c r="CJ460" s="53">
        <f t="shared" si="401"/>
        <v>0</v>
      </c>
      <c r="CK460" s="53">
        <f t="shared" si="401"/>
        <v>0</v>
      </c>
      <c r="CL460" s="53">
        <f t="shared" si="401"/>
        <v>0</v>
      </c>
      <c r="CM460" s="53">
        <f t="shared" si="401"/>
        <v>0</v>
      </c>
      <c r="CN460" s="53">
        <f t="shared" si="401"/>
        <v>0</v>
      </c>
      <c r="CO460" s="53">
        <f t="shared" si="401"/>
        <v>0</v>
      </c>
      <c r="CP460" s="53">
        <f t="shared" si="401"/>
        <v>0</v>
      </c>
      <c r="CQ460" s="53">
        <f t="shared" si="401"/>
        <v>0</v>
      </c>
      <c r="CR460" s="53">
        <f t="shared" si="401"/>
        <v>0</v>
      </c>
      <c r="CS460" s="53">
        <f t="shared" si="401"/>
        <v>0</v>
      </c>
      <c r="CT460" s="53">
        <f t="shared" si="401"/>
        <v>0</v>
      </c>
      <c r="CU460" s="53">
        <f t="shared" si="401"/>
        <v>0</v>
      </c>
      <c r="CV460" s="53">
        <f t="shared" si="401"/>
        <v>0</v>
      </c>
      <c r="CW460" s="53">
        <f t="shared" si="401"/>
        <v>0</v>
      </c>
      <c r="CX460" s="53">
        <f t="shared" si="401"/>
        <v>0</v>
      </c>
      <c r="DB460" s="2" vm="709">
        <f ca="1">IF(Returns!A464&lt;&gt;0,Returns!A464,"")</f>
        <v>43416</v>
      </c>
      <c r="DC460" s="11">
        <f ca="1">IF(Returns!B475&gt;0,Returns!B475/Returns!B474-1,"")</f>
        <v>-2.6541839013031421E-2</v>
      </c>
      <c r="DD460" s="11">
        <f ca="1">IF(Returns!D467&gt;0,Returns!D467/Returns!D466-1,"")</f>
        <v>-4.5010789375495852E-2</v>
      </c>
    </row>
    <row r="461" spans="2:108" x14ac:dyDescent="0.3">
      <c r="B461" s="57">
        <f t="shared" ca="1" si="393"/>
        <v>9.6475808295396588E-4</v>
      </c>
      <c r="C461" s="53">
        <f t="shared" ref="C461:BN461" si="402">IFERROR(IF(C$262=0,0,(C202-C203)/C203),0)</f>
        <v>0</v>
      </c>
      <c r="D461" s="53">
        <f t="shared" si="402"/>
        <v>0</v>
      </c>
      <c r="E461" s="53">
        <f t="shared" si="402"/>
        <v>0</v>
      </c>
      <c r="F461" s="53">
        <f t="shared" si="402"/>
        <v>0</v>
      </c>
      <c r="G461" s="53">
        <f t="shared" si="402"/>
        <v>0</v>
      </c>
      <c r="H461" s="53">
        <f t="shared" si="402"/>
        <v>0</v>
      </c>
      <c r="I461" s="53">
        <f t="shared" si="402"/>
        <v>0</v>
      </c>
      <c r="J461" s="53">
        <f t="shared" si="402"/>
        <v>0</v>
      </c>
      <c r="K461" s="53">
        <f t="shared" si="402"/>
        <v>0</v>
      </c>
      <c r="L461" s="53">
        <f t="shared" si="402"/>
        <v>0</v>
      </c>
      <c r="M461" s="53">
        <f t="shared" si="402"/>
        <v>0</v>
      </c>
      <c r="N461" s="53">
        <f t="shared" si="402"/>
        <v>0</v>
      </c>
      <c r="O461" s="53">
        <f t="shared" si="402"/>
        <v>0</v>
      </c>
      <c r="P461" s="53">
        <f t="shared" si="402"/>
        <v>0</v>
      </c>
      <c r="Q461" s="53">
        <f t="shared" si="402"/>
        <v>0</v>
      </c>
      <c r="R461" s="53">
        <f t="shared" si="402"/>
        <v>0</v>
      </c>
      <c r="S461" s="53">
        <f t="shared" si="402"/>
        <v>0</v>
      </c>
      <c r="T461" s="53">
        <f t="shared" si="402"/>
        <v>0</v>
      </c>
      <c r="U461" s="53">
        <f t="shared" si="402"/>
        <v>0</v>
      </c>
      <c r="V461" s="53">
        <f t="shared" si="402"/>
        <v>0</v>
      </c>
      <c r="W461" s="53">
        <f t="shared" si="402"/>
        <v>0</v>
      </c>
      <c r="X461" s="53">
        <f t="shared" si="402"/>
        <v>0</v>
      </c>
      <c r="Y461" s="53">
        <f t="shared" si="402"/>
        <v>0</v>
      </c>
      <c r="Z461" s="53">
        <f t="shared" si="402"/>
        <v>0</v>
      </c>
      <c r="AA461" s="53">
        <f t="shared" si="402"/>
        <v>0</v>
      </c>
      <c r="AB461" s="53">
        <f t="shared" si="402"/>
        <v>0</v>
      </c>
      <c r="AC461" s="53">
        <f t="shared" si="402"/>
        <v>0</v>
      </c>
      <c r="AD461" s="53">
        <f t="shared" si="402"/>
        <v>0</v>
      </c>
      <c r="AE461" s="53">
        <f t="shared" si="402"/>
        <v>0</v>
      </c>
      <c r="AF461" s="53">
        <f t="shared" si="402"/>
        <v>0</v>
      </c>
      <c r="AG461" s="53">
        <f t="shared" si="402"/>
        <v>0</v>
      </c>
      <c r="AH461" s="53">
        <f t="shared" si="402"/>
        <v>0</v>
      </c>
      <c r="AI461" s="53">
        <f t="shared" si="402"/>
        <v>0</v>
      </c>
      <c r="AJ461" s="53">
        <f t="shared" si="402"/>
        <v>0</v>
      </c>
      <c r="AK461" s="53">
        <f t="shared" si="402"/>
        <v>0</v>
      </c>
      <c r="AL461" s="53">
        <f t="shared" si="402"/>
        <v>0</v>
      </c>
      <c r="AM461" s="53">
        <f t="shared" si="402"/>
        <v>0</v>
      </c>
      <c r="AN461" s="53">
        <f t="shared" si="402"/>
        <v>0</v>
      </c>
      <c r="AO461" s="53">
        <f t="shared" si="402"/>
        <v>0</v>
      </c>
      <c r="AP461" s="53">
        <f t="shared" si="402"/>
        <v>0</v>
      </c>
      <c r="AQ461" s="53">
        <f t="shared" si="402"/>
        <v>0</v>
      </c>
      <c r="AR461" s="53">
        <f t="shared" si="402"/>
        <v>0</v>
      </c>
      <c r="AS461" s="53">
        <f t="shared" si="402"/>
        <v>0</v>
      </c>
      <c r="AT461" s="53">
        <f t="shared" si="402"/>
        <v>0</v>
      </c>
      <c r="AU461" s="53">
        <f t="shared" si="402"/>
        <v>0</v>
      </c>
      <c r="AV461" s="53">
        <f t="shared" si="402"/>
        <v>0</v>
      </c>
      <c r="AW461" s="53">
        <f t="shared" si="402"/>
        <v>0</v>
      </c>
      <c r="AX461" s="53">
        <f t="shared" si="402"/>
        <v>0</v>
      </c>
      <c r="AY461" s="53">
        <f t="shared" si="402"/>
        <v>0</v>
      </c>
      <c r="AZ461" s="53">
        <f t="shared" si="402"/>
        <v>0</v>
      </c>
      <c r="BA461" s="53">
        <f t="shared" si="402"/>
        <v>0</v>
      </c>
      <c r="BB461" s="53">
        <f t="shared" si="402"/>
        <v>0</v>
      </c>
      <c r="BC461" s="53">
        <f t="shared" si="402"/>
        <v>0</v>
      </c>
      <c r="BD461" s="53">
        <f t="shared" si="402"/>
        <v>0</v>
      </c>
      <c r="BE461" s="53">
        <f t="shared" si="402"/>
        <v>0</v>
      </c>
      <c r="BF461" s="53">
        <f t="shared" si="402"/>
        <v>0</v>
      </c>
      <c r="BG461" s="53">
        <f t="shared" si="402"/>
        <v>0</v>
      </c>
      <c r="BH461" s="53">
        <f t="shared" si="402"/>
        <v>0</v>
      </c>
      <c r="BI461" s="53">
        <f t="shared" si="402"/>
        <v>0</v>
      </c>
      <c r="BJ461" s="53">
        <f t="shared" si="402"/>
        <v>0</v>
      </c>
      <c r="BK461" s="53">
        <f t="shared" si="402"/>
        <v>0</v>
      </c>
      <c r="BL461" s="53">
        <f t="shared" si="402"/>
        <v>0</v>
      </c>
      <c r="BM461" s="53">
        <f t="shared" si="402"/>
        <v>0</v>
      </c>
      <c r="BN461" s="53">
        <f t="shared" si="402"/>
        <v>0</v>
      </c>
      <c r="BO461" s="53">
        <f t="shared" ref="BO461:CX461" si="403">IFERROR(IF(BO$262=0,0,(BO202-BO203)/BO203),0)</f>
        <v>0</v>
      </c>
      <c r="BP461" s="53">
        <f t="shared" si="403"/>
        <v>0</v>
      </c>
      <c r="BQ461" s="53">
        <f t="shared" si="403"/>
        <v>0</v>
      </c>
      <c r="BR461" s="53">
        <f t="shared" si="403"/>
        <v>0</v>
      </c>
      <c r="BS461" s="53">
        <f t="shared" si="403"/>
        <v>0</v>
      </c>
      <c r="BT461" s="53">
        <f t="shared" si="403"/>
        <v>0</v>
      </c>
      <c r="BU461" s="53">
        <f t="shared" si="403"/>
        <v>0</v>
      </c>
      <c r="BV461" s="53">
        <f t="shared" si="403"/>
        <v>0</v>
      </c>
      <c r="BW461" s="53">
        <f t="shared" si="403"/>
        <v>0</v>
      </c>
      <c r="BX461" s="53">
        <f t="shared" si="403"/>
        <v>0</v>
      </c>
      <c r="BY461" s="53">
        <f t="shared" si="403"/>
        <v>0</v>
      </c>
      <c r="BZ461" s="53">
        <f t="shared" si="403"/>
        <v>0</v>
      </c>
      <c r="CA461" s="53">
        <f t="shared" si="403"/>
        <v>0</v>
      </c>
      <c r="CB461" s="53">
        <f t="shared" si="403"/>
        <v>0</v>
      </c>
      <c r="CC461" s="53">
        <f t="shared" si="403"/>
        <v>0</v>
      </c>
      <c r="CD461" s="53">
        <f t="shared" si="403"/>
        <v>0</v>
      </c>
      <c r="CE461" s="53">
        <f t="shared" si="403"/>
        <v>0</v>
      </c>
      <c r="CF461" s="53">
        <f t="shared" si="403"/>
        <v>0</v>
      </c>
      <c r="CG461" s="53">
        <f t="shared" si="403"/>
        <v>0</v>
      </c>
      <c r="CH461" s="53">
        <f t="shared" si="403"/>
        <v>0</v>
      </c>
      <c r="CI461" s="53">
        <f t="shared" si="403"/>
        <v>0</v>
      </c>
      <c r="CJ461" s="53">
        <f t="shared" si="403"/>
        <v>0</v>
      </c>
      <c r="CK461" s="53">
        <f t="shared" si="403"/>
        <v>0</v>
      </c>
      <c r="CL461" s="53">
        <f t="shared" si="403"/>
        <v>0</v>
      </c>
      <c r="CM461" s="53">
        <f t="shared" si="403"/>
        <v>0</v>
      </c>
      <c r="CN461" s="53">
        <f t="shared" si="403"/>
        <v>0</v>
      </c>
      <c r="CO461" s="53">
        <f t="shared" si="403"/>
        <v>0</v>
      </c>
      <c r="CP461" s="53">
        <f t="shared" si="403"/>
        <v>0</v>
      </c>
      <c r="CQ461" s="53">
        <f t="shared" si="403"/>
        <v>0</v>
      </c>
      <c r="CR461" s="53">
        <f t="shared" si="403"/>
        <v>0</v>
      </c>
      <c r="CS461" s="53">
        <f t="shared" si="403"/>
        <v>0</v>
      </c>
      <c r="CT461" s="53">
        <f t="shared" si="403"/>
        <v>0</v>
      </c>
      <c r="CU461" s="53">
        <f t="shared" si="403"/>
        <v>0</v>
      </c>
      <c r="CV461" s="53">
        <f t="shared" si="403"/>
        <v>0</v>
      </c>
      <c r="CW461" s="53">
        <f t="shared" si="403"/>
        <v>0</v>
      </c>
      <c r="CX461" s="53">
        <f t="shared" si="403"/>
        <v>0</v>
      </c>
      <c r="DB461" s="2" vm="710">
        <f ca="1">IF(Returns!A465&lt;&gt;0,Returns!A465,"")</f>
        <v>43423</v>
      </c>
      <c r="DC461" s="11">
        <f ca="1">IF(Returns!B476&gt;0,Returns!B476/Returns!B475-1,"")</f>
        <v>-2.3373077608948245E-2</v>
      </c>
      <c r="DD461" s="11">
        <f ca="1">IF(Returns!D468&gt;0,Returns!D468/Returns!D467-1,"")</f>
        <v>-1.1826851575045483E-2</v>
      </c>
    </row>
    <row r="462" spans="2:108" x14ac:dyDescent="0.3">
      <c r="B462" s="57">
        <f t="shared" ca="1" si="393"/>
        <v>8.4329820427292857E-4</v>
      </c>
      <c r="C462" s="53">
        <f t="shared" ref="C462:BN462" si="404">IFERROR(IF(C$262=0,0,(C203-C204)/C204),0)</f>
        <v>0</v>
      </c>
      <c r="D462" s="53">
        <f t="shared" si="404"/>
        <v>0</v>
      </c>
      <c r="E462" s="53">
        <f t="shared" si="404"/>
        <v>0</v>
      </c>
      <c r="F462" s="53">
        <f t="shared" si="404"/>
        <v>0</v>
      </c>
      <c r="G462" s="53">
        <f t="shared" si="404"/>
        <v>0</v>
      </c>
      <c r="H462" s="53">
        <f t="shared" si="404"/>
        <v>0</v>
      </c>
      <c r="I462" s="53">
        <f t="shared" si="404"/>
        <v>0</v>
      </c>
      <c r="J462" s="53">
        <f t="shared" si="404"/>
        <v>0</v>
      </c>
      <c r="K462" s="53">
        <f t="shared" si="404"/>
        <v>0</v>
      </c>
      <c r="L462" s="53">
        <f t="shared" si="404"/>
        <v>0</v>
      </c>
      <c r="M462" s="53">
        <f t="shared" si="404"/>
        <v>0</v>
      </c>
      <c r="N462" s="53">
        <f t="shared" si="404"/>
        <v>0</v>
      </c>
      <c r="O462" s="53">
        <f t="shared" si="404"/>
        <v>0</v>
      </c>
      <c r="P462" s="53">
        <f t="shared" si="404"/>
        <v>0</v>
      </c>
      <c r="Q462" s="53">
        <f t="shared" si="404"/>
        <v>0</v>
      </c>
      <c r="R462" s="53">
        <f t="shared" si="404"/>
        <v>0</v>
      </c>
      <c r="S462" s="53">
        <f t="shared" si="404"/>
        <v>0</v>
      </c>
      <c r="T462" s="53">
        <f t="shared" si="404"/>
        <v>0</v>
      </c>
      <c r="U462" s="53">
        <f t="shared" si="404"/>
        <v>0</v>
      </c>
      <c r="V462" s="53">
        <f t="shared" si="404"/>
        <v>0</v>
      </c>
      <c r="W462" s="53">
        <f t="shared" si="404"/>
        <v>0</v>
      </c>
      <c r="X462" s="53">
        <f t="shared" si="404"/>
        <v>0</v>
      </c>
      <c r="Y462" s="53">
        <f t="shared" si="404"/>
        <v>0</v>
      </c>
      <c r="Z462" s="53">
        <f t="shared" si="404"/>
        <v>0</v>
      </c>
      <c r="AA462" s="53">
        <f t="shared" si="404"/>
        <v>0</v>
      </c>
      <c r="AB462" s="53">
        <f t="shared" si="404"/>
        <v>0</v>
      </c>
      <c r="AC462" s="53">
        <f t="shared" si="404"/>
        <v>0</v>
      </c>
      <c r="AD462" s="53">
        <f t="shared" si="404"/>
        <v>0</v>
      </c>
      <c r="AE462" s="53">
        <f t="shared" si="404"/>
        <v>0</v>
      </c>
      <c r="AF462" s="53">
        <f t="shared" si="404"/>
        <v>0</v>
      </c>
      <c r="AG462" s="53">
        <f t="shared" si="404"/>
        <v>0</v>
      </c>
      <c r="AH462" s="53">
        <f t="shared" si="404"/>
        <v>0</v>
      </c>
      <c r="AI462" s="53">
        <f t="shared" si="404"/>
        <v>0</v>
      </c>
      <c r="AJ462" s="53">
        <f t="shared" si="404"/>
        <v>0</v>
      </c>
      <c r="AK462" s="53">
        <f t="shared" si="404"/>
        <v>0</v>
      </c>
      <c r="AL462" s="53">
        <f t="shared" si="404"/>
        <v>0</v>
      </c>
      <c r="AM462" s="53">
        <f t="shared" si="404"/>
        <v>0</v>
      </c>
      <c r="AN462" s="53">
        <f t="shared" si="404"/>
        <v>0</v>
      </c>
      <c r="AO462" s="53">
        <f t="shared" si="404"/>
        <v>0</v>
      </c>
      <c r="AP462" s="53">
        <f t="shared" si="404"/>
        <v>0</v>
      </c>
      <c r="AQ462" s="53">
        <f t="shared" si="404"/>
        <v>0</v>
      </c>
      <c r="AR462" s="53">
        <f t="shared" si="404"/>
        <v>0</v>
      </c>
      <c r="AS462" s="53">
        <f t="shared" si="404"/>
        <v>0</v>
      </c>
      <c r="AT462" s="53">
        <f t="shared" si="404"/>
        <v>0</v>
      </c>
      <c r="AU462" s="53">
        <f t="shared" si="404"/>
        <v>0</v>
      </c>
      <c r="AV462" s="53">
        <f t="shared" si="404"/>
        <v>0</v>
      </c>
      <c r="AW462" s="53">
        <f t="shared" si="404"/>
        <v>0</v>
      </c>
      <c r="AX462" s="53">
        <f t="shared" si="404"/>
        <v>0</v>
      </c>
      <c r="AY462" s="53">
        <f t="shared" si="404"/>
        <v>0</v>
      </c>
      <c r="AZ462" s="53">
        <f t="shared" si="404"/>
        <v>0</v>
      </c>
      <c r="BA462" s="53">
        <f t="shared" si="404"/>
        <v>0</v>
      </c>
      <c r="BB462" s="53">
        <f t="shared" si="404"/>
        <v>0</v>
      </c>
      <c r="BC462" s="53">
        <f t="shared" si="404"/>
        <v>0</v>
      </c>
      <c r="BD462" s="53">
        <f t="shared" si="404"/>
        <v>0</v>
      </c>
      <c r="BE462" s="53">
        <f t="shared" si="404"/>
        <v>0</v>
      </c>
      <c r="BF462" s="53">
        <f t="shared" si="404"/>
        <v>0</v>
      </c>
      <c r="BG462" s="53">
        <f t="shared" si="404"/>
        <v>0</v>
      </c>
      <c r="BH462" s="53">
        <f t="shared" si="404"/>
        <v>0</v>
      </c>
      <c r="BI462" s="53">
        <f t="shared" si="404"/>
        <v>0</v>
      </c>
      <c r="BJ462" s="53">
        <f t="shared" si="404"/>
        <v>0</v>
      </c>
      <c r="BK462" s="53">
        <f t="shared" si="404"/>
        <v>0</v>
      </c>
      <c r="BL462" s="53">
        <f t="shared" si="404"/>
        <v>0</v>
      </c>
      <c r="BM462" s="53">
        <f t="shared" si="404"/>
        <v>0</v>
      </c>
      <c r="BN462" s="53">
        <f t="shared" si="404"/>
        <v>0</v>
      </c>
      <c r="BO462" s="53">
        <f t="shared" ref="BO462:CX462" si="405">IFERROR(IF(BO$262=0,0,(BO203-BO204)/BO204),0)</f>
        <v>0</v>
      </c>
      <c r="BP462" s="53">
        <f t="shared" si="405"/>
        <v>0</v>
      </c>
      <c r="BQ462" s="53">
        <f t="shared" si="405"/>
        <v>0</v>
      </c>
      <c r="BR462" s="53">
        <f t="shared" si="405"/>
        <v>0</v>
      </c>
      <c r="BS462" s="53">
        <f t="shared" si="405"/>
        <v>0</v>
      </c>
      <c r="BT462" s="53">
        <f t="shared" si="405"/>
        <v>0</v>
      </c>
      <c r="BU462" s="53">
        <f t="shared" si="405"/>
        <v>0</v>
      </c>
      <c r="BV462" s="53">
        <f t="shared" si="405"/>
        <v>0</v>
      </c>
      <c r="BW462" s="53">
        <f t="shared" si="405"/>
        <v>0</v>
      </c>
      <c r="BX462" s="53">
        <f t="shared" si="405"/>
        <v>0</v>
      </c>
      <c r="BY462" s="53">
        <f t="shared" si="405"/>
        <v>0</v>
      </c>
      <c r="BZ462" s="53">
        <f t="shared" si="405"/>
        <v>0</v>
      </c>
      <c r="CA462" s="53">
        <f t="shared" si="405"/>
        <v>0</v>
      </c>
      <c r="CB462" s="53">
        <f t="shared" si="405"/>
        <v>0</v>
      </c>
      <c r="CC462" s="53">
        <f t="shared" si="405"/>
        <v>0</v>
      </c>
      <c r="CD462" s="53">
        <f t="shared" si="405"/>
        <v>0</v>
      </c>
      <c r="CE462" s="53">
        <f t="shared" si="405"/>
        <v>0</v>
      </c>
      <c r="CF462" s="53">
        <f t="shared" si="405"/>
        <v>0</v>
      </c>
      <c r="CG462" s="53">
        <f t="shared" si="405"/>
        <v>0</v>
      </c>
      <c r="CH462" s="53">
        <f t="shared" si="405"/>
        <v>0</v>
      </c>
      <c r="CI462" s="53">
        <f t="shared" si="405"/>
        <v>0</v>
      </c>
      <c r="CJ462" s="53">
        <f t="shared" si="405"/>
        <v>0</v>
      </c>
      <c r="CK462" s="53">
        <f t="shared" si="405"/>
        <v>0</v>
      </c>
      <c r="CL462" s="53">
        <f t="shared" si="405"/>
        <v>0</v>
      </c>
      <c r="CM462" s="53">
        <f t="shared" si="405"/>
        <v>0</v>
      </c>
      <c r="CN462" s="53">
        <f t="shared" si="405"/>
        <v>0</v>
      </c>
      <c r="CO462" s="53">
        <f t="shared" si="405"/>
        <v>0</v>
      </c>
      <c r="CP462" s="53">
        <f t="shared" si="405"/>
        <v>0</v>
      </c>
      <c r="CQ462" s="53">
        <f t="shared" si="405"/>
        <v>0</v>
      </c>
      <c r="CR462" s="53">
        <f t="shared" si="405"/>
        <v>0</v>
      </c>
      <c r="CS462" s="53">
        <f t="shared" si="405"/>
        <v>0</v>
      </c>
      <c r="CT462" s="53">
        <f t="shared" si="405"/>
        <v>0</v>
      </c>
      <c r="CU462" s="53">
        <f t="shared" si="405"/>
        <v>0</v>
      </c>
      <c r="CV462" s="53">
        <f t="shared" si="405"/>
        <v>0</v>
      </c>
      <c r="CW462" s="53">
        <f t="shared" si="405"/>
        <v>0</v>
      </c>
      <c r="CX462" s="53">
        <f t="shared" si="405"/>
        <v>0</v>
      </c>
      <c r="DB462" s="2" vm="711">
        <f ca="1">IF(Returns!A466&lt;&gt;0,Returns!A466,"")</f>
        <v>43430</v>
      </c>
      <c r="DC462" s="11">
        <f ca="1">IF(Returns!B477&gt;0,Returns!B477/Returns!B476-1,"")</f>
        <v>1.2422712218710164E-2</v>
      </c>
      <c r="DD462" s="11">
        <f ca="1">IF(Returns!D469&gt;0,Returns!D469/Returns!D468-1,"")</f>
        <v>-6.8676217265511208E-2</v>
      </c>
    </row>
    <row r="463" spans="2:108" x14ac:dyDescent="0.3">
      <c r="B463" s="57">
        <f t="shared" ca="1" si="393"/>
        <v>3.6488256739611981E-3</v>
      </c>
      <c r="C463" s="53">
        <f t="shared" ref="C463:BN463" si="406">IFERROR(IF(C$262=0,0,(C204-C205)/C205),0)</f>
        <v>0</v>
      </c>
      <c r="D463" s="53">
        <f t="shared" si="406"/>
        <v>0</v>
      </c>
      <c r="E463" s="53">
        <f t="shared" si="406"/>
        <v>0</v>
      </c>
      <c r="F463" s="53">
        <f t="shared" si="406"/>
        <v>0</v>
      </c>
      <c r="G463" s="53">
        <f t="shared" si="406"/>
        <v>0</v>
      </c>
      <c r="H463" s="53">
        <f t="shared" si="406"/>
        <v>0</v>
      </c>
      <c r="I463" s="53">
        <f t="shared" si="406"/>
        <v>0</v>
      </c>
      <c r="J463" s="53">
        <f t="shared" si="406"/>
        <v>0</v>
      </c>
      <c r="K463" s="53">
        <f t="shared" si="406"/>
        <v>0</v>
      </c>
      <c r="L463" s="53">
        <f t="shared" si="406"/>
        <v>0</v>
      </c>
      <c r="M463" s="53">
        <f t="shared" si="406"/>
        <v>0</v>
      </c>
      <c r="N463" s="53">
        <f t="shared" si="406"/>
        <v>0</v>
      </c>
      <c r="O463" s="53">
        <f t="shared" si="406"/>
        <v>0</v>
      </c>
      <c r="P463" s="53">
        <f t="shared" si="406"/>
        <v>0</v>
      </c>
      <c r="Q463" s="53">
        <f t="shared" si="406"/>
        <v>0</v>
      </c>
      <c r="R463" s="53">
        <f t="shared" si="406"/>
        <v>0</v>
      </c>
      <c r="S463" s="53">
        <f t="shared" si="406"/>
        <v>0</v>
      </c>
      <c r="T463" s="53">
        <f t="shared" si="406"/>
        <v>0</v>
      </c>
      <c r="U463" s="53">
        <f t="shared" si="406"/>
        <v>0</v>
      </c>
      <c r="V463" s="53">
        <f t="shared" si="406"/>
        <v>0</v>
      </c>
      <c r="W463" s="53">
        <f t="shared" si="406"/>
        <v>0</v>
      </c>
      <c r="X463" s="53">
        <f t="shared" si="406"/>
        <v>0</v>
      </c>
      <c r="Y463" s="53">
        <f t="shared" si="406"/>
        <v>0</v>
      </c>
      <c r="Z463" s="53">
        <f t="shared" si="406"/>
        <v>0</v>
      </c>
      <c r="AA463" s="53">
        <f t="shared" si="406"/>
        <v>0</v>
      </c>
      <c r="AB463" s="53">
        <f t="shared" si="406"/>
        <v>0</v>
      </c>
      <c r="AC463" s="53">
        <f t="shared" si="406"/>
        <v>0</v>
      </c>
      <c r="AD463" s="53">
        <f t="shared" si="406"/>
        <v>0</v>
      </c>
      <c r="AE463" s="53">
        <f t="shared" si="406"/>
        <v>0</v>
      </c>
      <c r="AF463" s="53">
        <f t="shared" si="406"/>
        <v>0</v>
      </c>
      <c r="AG463" s="53">
        <f t="shared" si="406"/>
        <v>0</v>
      </c>
      <c r="AH463" s="53">
        <f t="shared" si="406"/>
        <v>0</v>
      </c>
      <c r="AI463" s="53">
        <f t="shared" si="406"/>
        <v>0</v>
      </c>
      <c r="AJ463" s="53">
        <f t="shared" si="406"/>
        <v>0</v>
      </c>
      <c r="AK463" s="53">
        <f t="shared" si="406"/>
        <v>0</v>
      </c>
      <c r="AL463" s="53">
        <f t="shared" si="406"/>
        <v>0</v>
      </c>
      <c r="AM463" s="53">
        <f t="shared" si="406"/>
        <v>0</v>
      </c>
      <c r="AN463" s="53">
        <f t="shared" si="406"/>
        <v>0</v>
      </c>
      <c r="AO463" s="53">
        <f t="shared" si="406"/>
        <v>0</v>
      </c>
      <c r="AP463" s="53">
        <f t="shared" si="406"/>
        <v>0</v>
      </c>
      <c r="AQ463" s="53">
        <f t="shared" si="406"/>
        <v>0</v>
      </c>
      <c r="AR463" s="53">
        <f t="shared" si="406"/>
        <v>0</v>
      </c>
      <c r="AS463" s="53">
        <f t="shared" si="406"/>
        <v>0</v>
      </c>
      <c r="AT463" s="53">
        <f t="shared" si="406"/>
        <v>0</v>
      </c>
      <c r="AU463" s="53">
        <f t="shared" si="406"/>
        <v>0</v>
      </c>
      <c r="AV463" s="53">
        <f t="shared" si="406"/>
        <v>0</v>
      </c>
      <c r="AW463" s="53">
        <f t="shared" si="406"/>
        <v>0</v>
      </c>
      <c r="AX463" s="53">
        <f t="shared" si="406"/>
        <v>0</v>
      </c>
      <c r="AY463" s="53">
        <f t="shared" si="406"/>
        <v>0</v>
      </c>
      <c r="AZ463" s="53">
        <f t="shared" si="406"/>
        <v>0</v>
      </c>
      <c r="BA463" s="53">
        <f t="shared" si="406"/>
        <v>0</v>
      </c>
      <c r="BB463" s="53">
        <f t="shared" si="406"/>
        <v>0</v>
      </c>
      <c r="BC463" s="53">
        <f t="shared" si="406"/>
        <v>0</v>
      </c>
      <c r="BD463" s="53">
        <f t="shared" si="406"/>
        <v>0</v>
      </c>
      <c r="BE463" s="53">
        <f t="shared" si="406"/>
        <v>0</v>
      </c>
      <c r="BF463" s="53">
        <f t="shared" si="406"/>
        <v>0</v>
      </c>
      <c r="BG463" s="53">
        <f t="shared" si="406"/>
        <v>0</v>
      </c>
      <c r="BH463" s="53">
        <f t="shared" si="406"/>
        <v>0</v>
      </c>
      <c r="BI463" s="53">
        <f t="shared" si="406"/>
        <v>0</v>
      </c>
      <c r="BJ463" s="53">
        <f t="shared" si="406"/>
        <v>0</v>
      </c>
      <c r="BK463" s="53">
        <f t="shared" si="406"/>
        <v>0</v>
      </c>
      <c r="BL463" s="53">
        <f t="shared" si="406"/>
        <v>0</v>
      </c>
      <c r="BM463" s="53">
        <f t="shared" si="406"/>
        <v>0</v>
      </c>
      <c r="BN463" s="53">
        <f t="shared" si="406"/>
        <v>0</v>
      </c>
      <c r="BO463" s="53">
        <f t="shared" ref="BO463:CX463" si="407">IFERROR(IF(BO$262=0,0,(BO204-BO205)/BO205),0)</f>
        <v>0</v>
      </c>
      <c r="BP463" s="53">
        <f t="shared" si="407"/>
        <v>0</v>
      </c>
      <c r="BQ463" s="53">
        <f t="shared" si="407"/>
        <v>0</v>
      </c>
      <c r="BR463" s="53">
        <f t="shared" si="407"/>
        <v>0</v>
      </c>
      <c r="BS463" s="53">
        <f t="shared" si="407"/>
        <v>0</v>
      </c>
      <c r="BT463" s="53">
        <f t="shared" si="407"/>
        <v>0</v>
      </c>
      <c r="BU463" s="53">
        <f t="shared" si="407"/>
        <v>0</v>
      </c>
      <c r="BV463" s="53">
        <f t="shared" si="407"/>
        <v>0</v>
      </c>
      <c r="BW463" s="53">
        <f t="shared" si="407"/>
        <v>0</v>
      </c>
      <c r="BX463" s="53">
        <f t="shared" si="407"/>
        <v>0</v>
      </c>
      <c r="BY463" s="53">
        <f t="shared" si="407"/>
        <v>0</v>
      </c>
      <c r="BZ463" s="53">
        <f t="shared" si="407"/>
        <v>0</v>
      </c>
      <c r="CA463" s="53">
        <f t="shared" si="407"/>
        <v>0</v>
      </c>
      <c r="CB463" s="53">
        <f t="shared" si="407"/>
        <v>0</v>
      </c>
      <c r="CC463" s="53">
        <f t="shared" si="407"/>
        <v>0</v>
      </c>
      <c r="CD463" s="53">
        <f t="shared" si="407"/>
        <v>0</v>
      </c>
      <c r="CE463" s="53">
        <f t="shared" si="407"/>
        <v>0</v>
      </c>
      <c r="CF463" s="53">
        <f t="shared" si="407"/>
        <v>0</v>
      </c>
      <c r="CG463" s="53">
        <f t="shared" si="407"/>
        <v>0</v>
      </c>
      <c r="CH463" s="53">
        <f t="shared" si="407"/>
        <v>0</v>
      </c>
      <c r="CI463" s="53">
        <f t="shared" si="407"/>
        <v>0</v>
      </c>
      <c r="CJ463" s="53">
        <f t="shared" si="407"/>
        <v>0</v>
      </c>
      <c r="CK463" s="53">
        <f t="shared" si="407"/>
        <v>0</v>
      </c>
      <c r="CL463" s="53">
        <f t="shared" si="407"/>
        <v>0</v>
      </c>
      <c r="CM463" s="53">
        <f t="shared" si="407"/>
        <v>0</v>
      </c>
      <c r="CN463" s="53">
        <f t="shared" si="407"/>
        <v>0</v>
      </c>
      <c r="CO463" s="53">
        <f t="shared" si="407"/>
        <v>0</v>
      </c>
      <c r="CP463" s="53">
        <f t="shared" si="407"/>
        <v>0</v>
      </c>
      <c r="CQ463" s="53">
        <f t="shared" si="407"/>
        <v>0</v>
      </c>
      <c r="CR463" s="53">
        <f t="shared" si="407"/>
        <v>0</v>
      </c>
      <c r="CS463" s="53">
        <f t="shared" si="407"/>
        <v>0</v>
      </c>
      <c r="CT463" s="53">
        <f t="shared" si="407"/>
        <v>0</v>
      </c>
      <c r="CU463" s="53">
        <f t="shared" si="407"/>
        <v>0</v>
      </c>
      <c r="CV463" s="53">
        <f t="shared" si="407"/>
        <v>0</v>
      </c>
      <c r="CW463" s="53">
        <f t="shared" si="407"/>
        <v>0</v>
      </c>
      <c r="CX463" s="53">
        <f t="shared" si="407"/>
        <v>0</v>
      </c>
      <c r="DB463" s="2" vm="712">
        <f ca="1">IF(Returns!A467&lt;&gt;0,Returns!A467,"")</f>
        <v>43437</v>
      </c>
      <c r="DC463" s="11">
        <f ca="1">IF(Returns!B478&gt;0,Returns!B478/Returns!B477-1,"")</f>
        <v>1.4683292390932579E-2</v>
      </c>
      <c r="DD463" s="11">
        <f ca="1">IF(Returns!D470&gt;0,Returns!D470/Returns!D469-1,"")</f>
        <v>2.7490287464393637E-2</v>
      </c>
    </row>
    <row r="464" spans="2:108" x14ac:dyDescent="0.3">
      <c r="B464" s="57">
        <f t="shared" ca="1" si="393"/>
        <v>1.6164204553369619E-3</v>
      </c>
      <c r="C464" s="53">
        <f t="shared" ref="C464:BN464" si="408">IFERROR(IF(C$262=0,0,(C205-C206)/C206),0)</f>
        <v>0</v>
      </c>
      <c r="D464" s="53">
        <f t="shared" si="408"/>
        <v>0</v>
      </c>
      <c r="E464" s="53">
        <f t="shared" si="408"/>
        <v>0</v>
      </c>
      <c r="F464" s="53">
        <f t="shared" si="408"/>
        <v>0</v>
      </c>
      <c r="G464" s="53">
        <f t="shared" si="408"/>
        <v>0</v>
      </c>
      <c r="H464" s="53">
        <f t="shared" si="408"/>
        <v>0</v>
      </c>
      <c r="I464" s="53">
        <f t="shared" si="408"/>
        <v>0</v>
      </c>
      <c r="J464" s="53">
        <f t="shared" si="408"/>
        <v>0</v>
      </c>
      <c r="K464" s="53">
        <f t="shared" si="408"/>
        <v>0</v>
      </c>
      <c r="L464" s="53">
        <f t="shared" si="408"/>
        <v>0</v>
      </c>
      <c r="M464" s="53">
        <f t="shared" si="408"/>
        <v>0</v>
      </c>
      <c r="N464" s="53">
        <f t="shared" si="408"/>
        <v>0</v>
      </c>
      <c r="O464" s="53">
        <f t="shared" si="408"/>
        <v>0</v>
      </c>
      <c r="P464" s="53">
        <f t="shared" si="408"/>
        <v>0</v>
      </c>
      <c r="Q464" s="53">
        <f t="shared" si="408"/>
        <v>0</v>
      </c>
      <c r="R464" s="53">
        <f t="shared" si="408"/>
        <v>0</v>
      </c>
      <c r="S464" s="53">
        <f t="shared" si="408"/>
        <v>0</v>
      </c>
      <c r="T464" s="53">
        <f t="shared" si="408"/>
        <v>0</v>
      </c>
      <c r="U464" s="53">
        <f t="shared" si="408"/>
        <v>0</v>
      </c>
      <c r="V464" s="53">
        <f t="shared" si="408"/>
        <v>0</v>
      </c>
      <c r="W464" s="53">
        <f t="shared" si="408"/>
        <v>0</v>
      </c>
      <c r="X464" s="53">
        <f t="shared" si="408"/>
        <v>0</v>
      </c>
      <c r="Y464" s="53">
        <f t="shared" si="408"/>
        <v>0</v>
      </c>
      <c r="Z464" s="53">
        <f t="shared" si="408"/>
        <v>0</v>
      </c>
      <c r="AA464" s="53">
        <f t="shared" si="408"/>
        <v>0</v>
      </c>
      <c r="AB464" s="53">
        <f t="shared" si="408"/>
        <v>0</v>
      </c>
      <c r="AC464" s="53">
        <f t="shared" si="408"/>
        <v>0</v>
      </c>
      <c r="AD464" s="53">
        <f t="shared" si="408"/>
        <v>0</v>
      </c>
      <c r="AE464" s="53">
        <f t="shared" si="408"/>
        <v>0</v>
      </c>
      <c r="AF464" s="53">
        <f t="shared" si="408"/>
        <v>0</v>
      </c>
      <c r="AG464" s="53">
        <f t="shared" si="408"/>
        <v>0</v>
      </c>
      <c r="AH464" s="53">
        <f t="shared" si="408"/>
        <v>0</v>
      </c>
      <c r="AI464" s="53">
        <f t="shared" si="408"/>
        <v>0</v>
      </c>
      <c r="AJ464" s="53">
        <f t="shared" si="408"/>
        <v>0</v>
      </c>
      <c r="AK464" s="53">
        <f t="shared" si="408"/>
        <v>0</v>
      </c>
      <c r="AL464" s="53">
        <f t="shared" si="408"/>
        <v>0</v>
      </c>
      <c r="AM464" s="53">
        <f t="shared" si="408"/>
        <v>0</v>
      </c>
      <c r="AN464" s="53">
        <f t="shared" si="408"/>
        <v>0</v>
      </c>
      <c r="AO464" s="53">
        <f t="shared" si="408"/>
        <v>0</v>
      </c>
      <c r="AP464" s="53">
        <f t="shared" si="408"/>
        <v>0</v>
      </c>
      <c r="AQ464" s="53">
        <f t="shared" si="408"/>
        <v>0</v>
      </c>
      <c r="AR464" s="53">
        <f t="shared" si="408"/>
        <v>0</v>
      </c>
      <c r="AS464" s="53">
        <f t="shared" si="408"/>
        <v>0</v>
      </c>
      <c r="AT464" s="53">
        <f t="shared" si="408"/>
        <v>0</v>
      </c>
      <c r="AU464" s="53">
        <f t="shared" si="408"/>
        <v>0</v>
      </c>
      <c r="AV464" s="53">
        <f t="shared" si="408"/>
        <v>0</v>
      </c>
      <c r="AW464" s="53">
        <f t="shared" si="408"/>
        <v>0</v>
      </c>
      <c r="AX464" s="53">
        <f t="shared" si="408"/>
        <v>0</v>
      </c>
      <c r="AY464" s="53">
        <f t="shared" si="408"/>
        <v>0</v>
      </c>
      <c r="AZ464" s="53">
        <f t="shared" si="408"/>
        <v>0</v>
      </c>
      <c r="BA464" s="53">
        <f t="shared" si="408"/>
        <v>0</v>
      </c>
      <c r="BB464" s="53">
        <f t="shared" si="408"/>
        <v>0</v>
      </c>
      <c r="BC464" s="53">
        <f t="shared" si="408"/>
        <v>0</v>
      </c>
      <c r="BD464" s="53">
        <f t="shared" si="408"/>
        <v>0</v>
      </c>
      <c r="BE464" s="53">
        <f t="shared" si="408"/>
        <v>0</v>
      </c>
      <c r="BF464" s="53">
        <f t="shared" si="408"/>
        <v>0</v>
      </c>
      <c r="BG464" s="53">
        <f t="shared" si="408"/>
        <v>0</v>
      </c>
      <c r="BH464" s="53">
        <f t="shared" si="408"/>
        <v>0</v>
      </c>
      <c r="BI464" s="53">
        <f t="shared" si="408"/>
        <v>0</v>
      </c>
      <c r="BJ464" s="53">
        <f t="shared" si="408"/>
        <v>0</v>
      </c>
      <c r="BK464" s="53">
        <f t="shared" si="408"/>
        <v>0</v>
      </c>
      <c r="BL464" s="53">
        <f t="shared" si="408"/>
        <v>0</v>
      </c>
      <c r="BM464" s="53">
        <f t="shared" si="408"/>
        <v>0</v>
      </c>
      <c r="BN464" s="53">
        <f t="shared" si="408"/>
        <v>0</v>
      </c>
      <c r="BO464" s="53">
        <f t="shared" ref="BO464:CX464" si="409">IFERROR(IF(BO$262=0,0,(BO205-BO206)/BO206),0)</f>
        <v>0</v>
      </c>
      <c r="BP464" s="53">
        <f t="shared" si="409"/>
        <v>0</v>
      </c>
      <c r="BQ464" s="53">
        <f t="shared" si="409"/>
        <v>0</v>
      </c>
      <c r="BR464" s="53">
        <f t="shared" si="409"/>
        <v>0</v>
      </c>
      <c r="BS464" s="53">
        <f t="shared" si="409"/>
        <v>0</v>
      </c>
      <c r="BT464" s="53">
        <f t="shared" si="409"/>
        <v>0</v>
      </c>
      <c r="BU464" s="53">
        <f t="shared" si="409"/>
        <v>0</v>
      </c>
      <c r="BV464" s="53">
        <f t="shared" si="409"/>
        <v>0</v>
      </c>
      <c r="BW464" s="53">
        <f t="shared" si="409"/>
        <v>0</v>
      </c>
      <c r="BX464" s="53">
        <f t="shared" si="409"/>
        <v>0</v>
      </c>
      <c r="BY464" s="53">
        <f t="shared" si="409"/>
        <v>0</v>
      </c>
      <c r="BZ464" s="53">
        <f t="shared" si="409"/>
        <v>0</v>
      </c>
      <c r="CA464" s="53">
        <f t="shared" si="409"/>
        <v>0</v>
      </c>
      <c r="CB464" s="53">
        <f t="shared" si="409"/>
        <v>0</v>
      </c>
      <c r="CC464" s="53">
        <f t="shared" si="409"/>
        <v>0</v>
      </c>
      <c r="CD464" s="53">
        <f t="shared" si="409"/>
        <v>0</v>
      </c>
      <c r="CE464" s="53">
        <f t="shared" si="409"/>
        <v>0</v>
      </c>
      <c r="CF464" s="53">
        <f t="shared" si="409"/>
        <v>0</v>
      </c>
      <c r="CG464" s="53">
        <f t="shared" si="409"/>
        <v>0</v>
      </c>
      <c r="CH464" s="53">
        <f t="shared" si="409"/>
        <v>0</v>
      </c>
      <c r="CI464" s="53">
        <f t="shared" si="409"/>
        <v>0</v>
      </c>
      <c r="CJ464" s="53">
        <f t="shared" si="409"/>
        <v>0</v>
      </c>
      <c r="CK464" s="53">
        <f t="shared" si="409"/>
        <v>0</v>
      </c>
      <c r="CL464" s="53">
        <f t="shared" si="409"/>
        <v>0</v>
      </c>
      <c r="CM464" s="53">
        <f t="shared" si="409"/>
        <v>0</v>
      </c>
      <c r="CN464" s="53">
        <f t="shared" si="409"/>
        <v>0</v>
      </c>
      <c r="CO464" s="53">
        <f t="shared" si="409"/>
        <v>0</v>
      </c>
      <c r="CP464" s="53">
        <f t="shared" si="409"/>
        <v>0</v>
      </c>
      <c r="CQ464" s="53">
        <f t="shared" si="409"/>
        <v>0</v>
      </c>
      <c r="CR464" s="53">
        <f t="shared" si="409"/>
        <v>0</v>
      </c>
      <c r="CS464" s="53">
        <f t="shared" si="409"/>
        <v>0</v>
      </c>
      <c r="CT464" s="53">
        <f t="shared" si="409"/>
        <v>0</v>
      </c>
      <c r="CU464" s="53">
        <f t="shared" si="409"/>
        <v>0</v>
      </c>
      <c r="CV464" s="53">
        <f t="shared" si="409"/>
        <v>0</v>
      </c>
      <c r="CW464" s="53">
        <f t="shared" si="409"/>
        <v>0</v>
      </c>
      <c r="CX464" s="53">
        <f t="shared" si="409"/>
        <v>0</v>
      </c>
      <c r="DB464" s="2" vm="713">
        <f ca="1">IF(Returns!A468&lt;&gt;0,Returns!A468,"")</f>
        <v>43444</v>
      </c>
      <c r="DC464" s="11">
        <f ca="1">IF(Returns!B479&gt;0,Returns!B479/Returns!B478-1,"")</f>
        <v>2.4620608497389007E-2</v>
      </c>
      <c r="DD464" s="11">
        <f ca="1">IF(Returns!D471&gt;0,Returns!D471/Returns!D470-1,"")</f>
        <v>1.6076394012065842E-2</v>
      </c>
    </row>
    <row r="465" spans="2:108" x14ac:dyDescent="0.3">
      <c r="B465" s="57">
        <f t="shared" ca="1" si="393"/>
        <v>2.3002028098427381E-5</v>
      </c>
      <c r="C465" s="53">
        <f t="shared" ref="C465:BN465" si="410">IFERROR(IF(C$262=0,0,(C206-C207)/C207),0)</f>
        <v>0</v>
      </c>
      <c r="D465" s="53">
        <f t="shared" si="410"/>
        <v>0</v>
      </c>
      <c r="E465" s="53">
        <f t="shared" si="410"/>
        <v>0</v>
      </c>
      <c r="F465" s="53">
        <f t="shared" si="410"/>
        <v>0</v>
      </c>
      <c r="G465" s="53">
        <f t="shared" si="410"/>
        <v>0</v>
      </c>
      <c r="H465" s="53">
        <f t="shared" si="410"/>
        <v>0</v>
      </c>
      <c r="I465" s="53">
        <f t="shared" si="410"/>
        <v>0</v>
      </c>
      <c r="J465" s="53">
        <f t="shared" si="410"/>
        <v>0</v>
      </c>
      <c r="K465" s="53">
        <f t="shared" si="410"/>
        <v>0</v>
      </c>
      <c r="L465" s="53">
        <f t="shared" si="410"/>
        <v>0</v>
      </c>
      <c r="M465" s="53">
        <f t="shared" si="410"/>
        <v>0</v>
      </c>
      <c r="N465" s="53">
        <f t="shared" si="410"/>
        <v>0</v>
      </c>
      <c r="O465" s="53">
        <f t="shared" si="410"/>
        <v>0</v>
      </c>
      <c r="P465" s="53">
        <f t="shared" si="410"/>
        <v>0</v>
      </c>
      <c r="Q465" s="53">
        <f t="shared" si="410"/>
        <v>0</v>
      </c>
      <c r="R465" s="53">
        <f t="shared" si="410"/>
        <v>0</v>
      </c>
      <c r="S465" s="53">
        <f t="shared" si="410"/>
        <v>0</v>
      </c>
      <c r="T465" s="53">
        <f t="shared" si="410"/>
        <v>0</v>
      </c>
      <c r="U465" s="53">
        <f t="shared" si="410"/>
        <v>0</v>
      </c>
      <c r="V465" s="53">
        <f t="shared" si="410"/>
        <v>0</v>
      </c>
      <c r="W465" s="53">
        <f t="shared" si="410"/>
        <v>0</v>
      </c>
      <c r="X465" s="53">
        <f t="shared" si="410"/>
        <v>0</v>
      </c>
      <c r="Y465" s="53">
        <f t="shared" si="410"/>
        <v>0</v>
      </c>
      <c r="Z465" s="53">
        <f t="shared" si="410"/>
        <v>0</v>
      </c>
      <c r="AA465" s="53">
        <f t="shared" si="410"/>
        <v>0</v>
      </c>
      <c r="AB465" s="53">
        <f t="shared" si="410"/>
        <v>0</v>
      </c>
      <c r="AC465" s="53">
        <f t="shared" si="410"/>
        <v>0</v>
      </c>
      <c r="AD465" s="53">
        <f t="shared" si="410"/>
        <v>0</v>
      </c>
      <c r="AE465" s="53">
        <f t="shared" si="410"/>
        <v>0</v>
      </c>
      <c r="AF465" s="53">
        <f t="shared" si="410"/>
        <v>0</v>
      </c>
      <c r="AG465" s="53">
        <f t="shared" si="410"/>
        <v>0</v>
      </c>
      <c r="AH465" s="53">
        <f t="shared" si="410"/>
        <v>0</v>
      </c>
      <c r="AI465" s="53">
        <f t="shared" si="410"/>
        <v>0</v>
      </c>
      <c r="AJ465" s="53">
        <f t="shared" si="410"/>
        <v>0</v>
      </c>
      <c r="AK465" s="53">
        <f t="shared" si="410"/>
        <v>0</v>
      </c>
      <c r="AL465" s="53">
        <f t="shared" si="410"/>
        <v>0</v>
      </c>
      <c r="AM465" s="53">
        <f t="shared" si="410"/>
        <v>0</v>
      </c>
      <c r="AN465" s="53">
        <f t="shared" si="410"/>
        <v>0</v>
      </c>
      <c r="AO465" s="53">
        <f t="shared" si="410"/>
        <v>0</v>
      </c>
      <c r="AP465" s="53">
        <f t="shared" si="410"/>
        <v>0</v>
      </c>
      <c r="AQ465" s="53">
        <f t="shared" si="410"/>
        <v>0</v>
      </c>
      <c r="AR465" s="53">
        <f t="shared" si="410"/>
        <v>0</v>
      </c>
      <c r="AS465" s="53">
        <f t="shared" si="410"/>
        <v>0</v>
      </c>
      <c r="AT465" s="53">
        <f t="shared" si="410"/>
        <v>0</v>
      </c>
      <c r="AU465" s="53">
        <f t="shared" si="410"/>
        <v>0</v>
      </c>
      <c r="AV465" s="53">
        <f t="shared" si="410"/>
        <v>0</v>
      </c>
      <c r="AW465" s="53">
        <f t="shared" si="410"/>
        <v>0</v>
      </c>
      <c r="AX465" s="53">
        <f t="shared" si="410"/>
        <v>0</v>
      </c>
      <c r="AY465" s="53">
        <f t="shared" si="410"/>
        <v>0</v>
      </c>
      <c r="AZ465" s="53">
        <f t="shared" si="410"/>
        <v>0</v>
      </c>
      <c r="BA465" s="53">
        <f t="shared" si="410"/>
        <v>0</v>
      </c>
      <c r="BB465" s="53">
        <f t="shared" si="410"/>
        <v>0</v>
      </c>
      <c r="BC465" s="53">
        <f t="shared" si="410"/>
        <v>0</v>
      </c>
      <c r="BD465" s="53">
        <f t="shared" si="410"/>
        <v>0</v>
      </c>
      <c r="BE465" s="53">
        <f t="shared" si="410"/>
        <v>0</v>
      </c>
      <c r="BF465" s="53">
        <f t="shared" si="410"/>
        <v>0</v>
      </c>
      <c r="BG465" s="53">
        <f t="shared" si="410"/>
        <v>0</v>
      </c>
      <c r="BH465" s="53">
        <f t="shared" si="410"/>
        <v>0</v>
      </c>
      <c r="BI465" s="53">
        <f t="shared" si="410"/>
        <v>0</v>
      </c>
      <c r="BJ465" s="53">
        <f t="shared" si="410"/>
        <v>0</v>
      </c>
      <c r="BK465" s="53">
        <f t="shared" si="410"/>
        <v>0</v>
      </c>
      <c r="BL465" s="53">
        <f t="shared" si="410"/>
        <v>0</v>
      </c>
      <c r="BM465" s="53">
        <f t="shared" si="410"/>
        <v>0</v>
      </c>
      <c r="BN465" s="53">
        <f t="shared" si="410"/>
        <v>0</v>
      </c>
      <c r="BO465" s="53">
        <f t="shared" ref="BO465:CX465" si="411">IFERROR(IF(BO$262=0,0,(BO206-BO207)/BO207),0)</f>
        <v>0</v>
      </c>
      <c r="BP465" s="53">
        <f t="shared" si="411"/>
        <v>0</v>
      </c>
      <c r="BQ465" s="53">
        <f t="shared" si="411"/>
        <v>0</v>
      </c>
      <c r="BR465" s="53">
        <f t="shared" si="411"/>
        <v>0</v>
      </c>
      <c r="BS465" s="53">
        <f t="shared" si="411"/>
        <v>0</v>
      </c>
      <c r="BT465" s="53">
        <f t="shared" si="411"/>
        <v>0</v>
      </c>
      <c r="BU465" s="53">
        <f t="shared" si="411"/>
        <v>0</v>
      </c>
      <c r="BV465" s="53">
        <f t="shared" si="411"/>
        <v>0</v>
      </c>
      <c r="BW465" s="53">
        <f t="shared" si="411"/>
        <v>0</v>
      </c>
      <c r="BX465" s="53">
        <f t="shared" si="411"/>
        <v>0</v>
      </c>
      <c r="BY465" s="53">
        <f t="shared" si="411"/>
        <v>0</v>
      </c>
      <c r="BZ465" s="53">
        <f t="shared" si="411"/>
        <v>0</v>
      </c>
      <c r="CA465" s="53">
        <f t="shared" si="411"/>
        <v>0</v>
      </c>
      <c r="CB465" s="53">
        <f t="shared" si="411"/>
        <v>0</v>
      </c>
      <c r="CC465" s="53">
        <f t="shared" si="411"/>
        <v>0</v>
      </c>
      <c r="CD465" s="53">
        <f t="shared" si="411"/>
        <v>0</v>
      </c>
      <c r="CE465" s="53">
        <f t="shared" si="411"/>
        <v>0</v>
      </c>
      <c r="CF465" s="53">
        <f t="shared" si="411"/>
        <v>0</v>
      </c>
      <c r="CG465" s="53">
        <f t="shared" si="411"/>
        <v>0</v>
      </c>
      <c r="CH465" s="53">
        <f t="shared" si="411"/>
        <v>0</v>
      </c>
      <c r="CI465" s="53">
        <f t="shared" si="411"/>
        <v>0</v>
      </c>
      <c r="CJ465" s="53">
        <f t="shared" si="411"/>
        <v>0</v>
      </c>
      <c r="CK465" s="53">
        <f t="shared" si="411"/>
        <v>0</v>
      </c>
      <c r="CL465" s="53">
        <f t="shared" si="411"/>
        <v>0</v>
      </c>
      <c r="CM465" s="53">
        <f t="shared" si="411"/>
        <v>0</v>
      </c>
      <c r="CN465" s="53">
        <f t="shared" si="411"/>
        <v>0</v>
      </c>
      <c r="CO465" s="53">
        <f t="shared" si="411"/>
        <v>0</v>
      </c>
      <c r="CP465" s="53">
        <f t="shared" si="411"/>
        <v>0</v>
      </c>
      <c r="CQ465" s="53">
        <f t="shared" si="411"/>
        <v>0</v>
      </c>
      <c r="CR465" s="53">
        <f t="shared" si="411"/>
        <v>0</v>
      </c>
      <c r="CS465" s="53">
        <f t="shared" si="411"/>
        <v>0</v>
      </c>
      <c r="CT465" s="53">
        <f t="shared" si="411"/>
        <v>0</v>
      </c>
      <c r="CU465" s="53">
        <f t="shared" si="411"/>
        <v>0</v>
      </c>
      <c r="CV465" s="53">
        <f t="shared" si="411"/>
        <v>0</v>
      </c>
      <c r="CW465" s="53">
        <f t="shared" si="411"/>
        <v>0</v>
      </c>
      <c r="CX465" s="53">
        <f t="shared" si="411"/>
        <v>0</v>
      </c>
      <c r="DB465" s="2" vm="714">
        <f ca="1">IF(Returns!A469&lt;&gt;0,Returns!A469,"")</f>
        <v>43451</v>
      </c>
      <c r="DC465" s="11">
        <f ca="1">IF(Returns!B480&gt;0,Returns!B480/Returns!B479-1,"")</f>
        <v>-3.0465445975127459E-2</v>
      </c>
      <c r="DD465" s="11">
        <f ca="1">IF(Returns!D472&gt;0,Returns!D472/Returns!D471-1,"")</f>
        <v>2.4016619488019808E-2</v>
      </c>
    </row>
    <row r="466" spans="2:108" x14ac:dyDescent="0.3">
      <c r="B466" s="57">
        <f t="shared" ca="1" si="393"/>
        <v>4.7285036250475329E-4</v>
      </c>
      <c r="C466" s="53">
        <f t="shared" ref="C466:BN466" si="412">IFERROR(IF(C$262=0,0,(C207-C208)/C208),0)</f>
        <v>0</v>
      </c>
      <c r="D466" s="53">
        <f t="shared" si="412"/>
        <v>0</v>
      </c>
      <c r="E466" s="53">
        <f t="shared" si="412"/>
        <v>0</v>
      </c>
      <c r="F466" s="53">
        <f t="shared" si="412"/>
        <v>0</v>
      </c>
      <c r="G466" s="53">
        <f t="shared" si="412"/>
        <v>0</v>
      </c>
      <c r="H466" s="53">
        <f t="shared" si="412"/>
        <v>0</v>
      </c>
      <c r="I466" s="53">
        <f t="shared" si="412"/>
        <v>0</v>
      </c>
      <c r="J466" s="53">
        <f t="shared" si="412"/>
        <v>0</v>
      </c>
      <c r="K466" s="53">
        <f t="shared" si="412"/>
        <v>0</v>
      </c>
      <c r="L466" s="53">
        <f t="shared" si="412"/>
        <v>0</v>
      </c>
      <c r="M466" s="53">
        <f t="shared" si="412"/>
        <v>0</v>
      </c>
      <c r="N466" s="53">
        <f t="shared" si="412"/>
        <v>0</v>
      </c>
      <c r="O466" s="53">
        <f t="shared" si="412"/>
        <v>0</v>
      </c>
      <c r="P466" s="53">
        <f t="shared" si="412"/>
        <v>0</v>
      </c>
      <c r="Q466" s="53">
        <f t="shared" si="412"/>
        <v>0</v>
      </c>
      <c r="R466" s="53">
        <f t="shared" si="412"/>
        <v>0</v>
      </c>
      <c r="S466" s="53">
        <f t="shared" si="412"/>
        <v>0</v>
      </c>
      <c r="T466" s="53">
        <f t="shared" si="412"/>
        <v>0</v>
      </c>
      <c r="U466" s="53">
        <f t="shared" si="412"/>
        <v>0</v>
      </c>
      <c r="V466" s="53">
        <f t="shared" si="412"/>
        <v>0</v>
      </c>
      <c r="W466" s="53">
        <f t="shared" si="412"/>
        <v>0</v>
      </c>
      <c r="X466" s="53">
        <f t="shared" si="412"/>
        <v>0</v>
      </c>
      <c r="Y466" s="53">
        <f t="shared" si="412"/>
        <v>0</v>
      </c>
      <c r="Z466" s="53">
        <f t="shared" si="412"/>
        <v>0</v>
      </c>
      <c r="AA466" s="53">
        <f t="shared" si="412"/>
        <v>0</v>
      </c>
      <c r="AB466" s="53">
        <f t="shared" si="412"/>
        <v>0</v>
      </c>
      <c r="AC466" s="53">
        <f t="shared" si="412"/>
        <v>0</v>
      </c>
      <c r="AD466" s="53">
        <f t="shared" si="412"/>
        <v>0</v>
      </c>
      <c r="AE466" s="53">
        <f t="shared" si="412"/>
        <v>0</v>
      </c>
      <c r="AF466" s="53">
        <f t="shared" si="412"/>
        <v>0</v>
      </c>
      <c r="AG466" s="53">
        <f t="shared" si="412"/>
        <v>0</v>
      </c>
      <c r="AH466" s="53">
        <f t="shared" si="412"/>
        <v>0</v>
      </c>
      <c r="AI466" s="53">
        <f t="shared" si="412"/>
        <v>0</v>
      </c>
      <c r="AJ466" s="53">
        <f t="shared" si="412"/>
        <v>0</v>
      </c>
      <c r="AK466" s="53">
        <f t="shared" si="412"/>
        <v>0</v>
      </c>
      <c r="AL466" s="53">
        <f t="shared" si="412"/>
        <v>0</v>
      </c>
      <c r="AM466" s="53">
        <f t="shared" si="412"/>
        <v>0</v>
      </c>
      <c r="AN466" s="53">
        <f t="shared" si="412"/>
        <v>0</v>
      </c>
      <c r="AO466" s="53">
        <f t="shared" si="412"/>
        <v>0</v>
      </c>
      <c r="AP466" s="53">
        <f t="shared" si="412"/>
        <v>0</v>
      </c>
      <c r="AQ466" s="53">
        <f t="shared" si="412"/>
        <v>0</v>
      </c>
      <c r="AR466" s="53">
        <f t="shared" si="412"/>
        <v>0</v>
      </c>
      <c r="AS466" s="53">
        <f t="shared" si="412"/>
        <v>0</v>
      </c>
      <c r="AT466" s="53">
        <f t="shared" si="412"/>
        <v>0</v>
      </c>
      <c r="AU466" s="53">
        <f t="shared" si="412"/>
        <v>0</v>
      </c>
      <c r="AV466" s="53">
        <f t="shared" si="412"/>
        <v>0</v>
      </c>
      <c r="AW466" s="53">
        <f t="shared" si="412"/>
        <v>0</v>
      </c>
      <c r="AX466" s="53">
        <f t="shared" si="412"/>
        <v>0</v>
      </c>
      <c r="AY466" s="53">
        <f t="shared" si="412"/>
        <v>0</v>
      </c>
      <c r="AZ466" s="53">
        <f t="shared" si="412"/>
        <v>0</v>
      </c>
      <c r="BA466" s="53">
        <f t="shared" si="412"/>
        <v>0</v>
      </c>
      <c r="BB466" s="53">
        <f t="shared" si="412"/>
        <v>0</v>
      </c>
      <c r="BC466" s="53">
        <f t="shared" si="412"/>
        <v>0</v>
      </c>
      <c r="BD466" s="53">
        <f t="shared" si="412"/>
        <v>0</v>
      </c>
      <c r="BE466" s="53">
        <f t="shared" si="412"/>
        <v>0</v>
      </c>
      <c r="BF466" s="53">
        <f t="shared" si="412"/>
        <v>0</v>
      </c>
      <c r="BG466" s="53">
        <f t="shared" si="412"/>
        <v>0</v>
      </c>
      <c r="BH466" s="53">
        <f t="shared" si="412"/>
        <v>0</v>
      </c>
      <c r="BI466" s="53">
        <f t="shared" si="412"/>
        <v>0</v>
      </c>
      <c r="BJ466" s="53">
        <f t="shared" si="412"/>
        <v>0</v>
      </c>
      <c r="BK466" s="53">
        <f t="shared" si="412"/>
        <v>0</v>
      </c>
      <c r="BL466" s="53">
        <f t="shared" si="412"/>
        <v>0</v>
      </c>
      <c r="BM466" s="53">
        <f t="shared" si="412"/>
        <v>0</v>
      </c>
      <c r="BN466" s="53">
        <f t="shared" si="412"/>
        <v>0</v>
      </c>
      <c r="BO466" s="53">
        <f t="shared" ref="BO466:CX466" si="413">IFERROR(IF(BO$262=0,0,(BO207-BO208)/BO208),0)</f>
        <v>0</v>
      </c>
      <c r="BP466" s="53">
        <f t="shared" si="413"/>
        <v>0</v>
      </c>
      <c r="BQ466" s="53">
        <f t="shared" si="413"/>
        <v>0</v>
      </c>
      <c r="BR466" s="53">
        <f t="shared" si="413"/>
        <v>0</v>
      </c>
      <c r="BS466" s="53">
        <f t="shared" si="413"/>
        <v>0</v>
      </c>
      <c r="BT466" s="53">
        <f t="shared" si="413"/>
        <v>0</v>
      </c>
      <c r="BU466" s="53">
        <f t="shared" si="413"/>
        <v>0</v>
      </c>
      <c r="BV466" s="53">
        <f t="shared" si="413"/>
        <v>0</v>
      </c>
      <c r="BW466" s="53">
        <f t="shared" si="413"/>
        <v>0</v>
      </c>
      <c r="BX466" s="53">
        <f t="shared" si="413"/>
        <v>0</v>
      </c>
      <c r="BY466" s="53">
        <f t="shared" si="413"/>
        <v>0</v>
      </c>
      <c r="BZ466" s="53">
        <f t="shared" si="413"/>
        <v>0</v>
      </c>
      <c r="CA466" s="53">
        <f t="shared" si="413"/>
        <v>0</v>
      </c>
      <c r="CB466" s="53">
        <f t="shared" si="413"/>
        <v>0</v>
      </c>
      <c r="CC466" s="53">
        <f t="shared" si="413"/>
        <v>0</v>
      </c>
      <c r="CD466" s="53">
        <f t="shared" si="413"/>
        <v>0</v>
      </c>
      <c r="CE466" s="53">
        <f t="shared" si="413"/>
        <v>0</v>
      </c>
      <c r="CF466" s="53">
        <f t="shared" si="413"/>
        <v>0</v>
      </c>
      <c r="CG466" s="53">
        <f t="shared" si="413"/>
        <v>0</v>
      </c>
      <c r="CH466" s="53">
        <f t="shared" si="413"/>
        <v>0</v>
      </c>
      <c r="CI466" s="53">
        <f t="shared" si="413"/>
        <v>0</v>
      </c>
      <c r="CJ466" s="53">
        <f t="shared" si="413"/>
        <v>0</v>
      </c>
      <c r="CK466" s="53">
        <f t="shared" si="413"/>
        <v>0</v>
      </c>
      <c r="CL466" s="53">
        <f t="shared" si="413"/>
        <v>0</v>
      </c>
      <c r="CM466" s="53">
        <f t="shared" si="413"/>
        <v>0</v>
      </c>
      <c r="CN466" s="53">
        <f t="shared" si="413"/>
        <v>0</v>
      </c>
      <c r="CO466" s="53">
        <f t="shared" si="413"/>
        <v>0</v>
      </c>
      <c r="CP466" s="53">
        <f t="shared" si="413"/>
        <v>0</v>
      </c>
      <c r="CQ466" s="53">
        <f t="shared" si="413"/>
        <v>0</v>
      </c>
      <c r="CR466" s="53">
        <f t="shared" si="413"/>
        <v>0</v>
      </c>
      <c r="CS466" s="53">
        <f t="shared" si="413"/>
        <v>0</v>
      </c>
      <c r="CT466" s="53">
        <f t="shared" si="413"/>
        <v>0</v>
      </c>
      <c r="CU466" s="53">
        <f t="shared" si="413"/>
        <v>0</v>
      </c>
      <c r="CV466" s="53">
        <f t="shared" si="413"/>
        <v>0</v>
      </c>
      <c r="CW466" s="53">
        <f t="shared" si="413"/>
        <v>0</v>
      </c>
      <c r="CX466" s="53">
        <f t="shared" si="413"/>
        <v>0</v>
      </c>
      <c r="DB466" s="2" vm="715">
        <f ca="1">IF(Returns!A470&lt;&gt;0,Returns!A470,"")</f>
        <v>43458</v>
      </c>
      <c r="DC466" s="11">
        <f ca="1">IF(Returns!B481&gt;0,Returns!B481/Returns!B480-1,"")</f>
        <v>5.6490621915103567E-2</v>
      </c>
      <c r="DD466" s="11">
        <f ca="1">IF(Returns!D473&gt;0,Returns!D473/Returns!D472-1,"")</f>
        <v>2.9604912372275693E-2</v>
      </c>
    </row>
    <row r="467" spans="2:108" x14ac:dyDescent="0.3">
      <c r="B467" s="57">
        <f t="shared" ca="1" si="393"/>
        <v>2.7610046640127802E-3</v>
      </c>
      <c r="C467" s="53">
        <f t="shared" ref="C467:BN467" si="414">IFERROR(IF(C$262=0,0,(C208-C209)/C209),0)</f>
        <v>0</v>
      </c>
      <c r="D467" s="53">
        <f t="shared" si="414"/>
        <v>0</v>
      </c>
      <c r="E467" s="53">
        <f t="shared" si="414"/>
        <v>0</v>
      </c>
      <c r="F467" s="53">
        <f t="shared" si="414"/>
        <v>0</v>
      </c>
      <c r="G467" s="53">
        <f t="shared" si="414"/>
        <v>0</v>
      </c>
      <c r="H467" s="53">
        <f t="shared" si="414"/>
        <v>0</v>
      </c>
      <c r="I467" s="53">
        <f t="shared" si="414"/>
        <v>0</v>
      </c>
      <c r="J467" s="53">
        <f t="shared" si="414"/>
        <v>0</v>
      </c>
      <c r="K467" s="53">
        <f t="shared" si="414"/>
        <v>0</v>
      </c>
      <c r="L467" s="53">
        <f t="shared" si="414"/>
        <v>0</v>
      </c>
      <c r="M467" s="53">
        <f t="shared" si="414"/>
        <v>0</v>
      </c>
      <c r="N467" s="53">
        <f t="shared" si="414"/>
        <v>0</v>
      </c>
      <c r="O467" s="53">
        <f t="shared" si="414"/>
        <v>0</v>
      </c>
      <c r="P467" s="53">
        <f t="shared" si="414"/>
        <v>0</v>
      </c>
      <c r="Q467" s="53">
        <f t="shared" si="414"/>
        <v>0</v>
      </c>
      <c r="R467" s="53">
        <f t="shared" si="414"/>
        <v>0</v>
      </c>
      <c r="S467" s="53">
        <f t="shared" si="414"/>
        <v>0</v>
      </c>
      <c r="T467" s="53">
        <f t="shared" si="414"/>
        <v>0</v>
      </c>
      <c r="U467" s="53">
        <f t="shared" si="414"/>
        <v>0</v>
      </c>
      <c r="V467" s="53">
        <f t="shared" si="414"/>
        <v>0</v>
      </c>
      <c r="W467" s="53">
        <f t="shared" si="414"/>
        <v>0</v>
      </c>
      <c r="X467" s="53">
        <f t="shared" si="414"/>
        <v>0</v>
      </c>
      <c r="Y467" s="53">
        <f t="shared" si="414"/>
        <v>0</v>
      </c>
      <c r="Z467" s="53">
        <f t="shared" si="414"/>
        <v>0</v>
      </c>
      <c r="AA467" s="53">
        <f t="shared" si="414"/>
        <v>0</v>
      </c>
      <c r="AB467" s="53">
        <f t="shared" si="414"/>
        <v>0</v>
      </c>
      <c r="AC467" s="53">
        <f t="shared" si="414"/>
        <v>0</v>
      </c>
      <c r="AD467" s="53">
        <f t="shared" si="414"/>
        <v>0</v>
      </c>
      <c r="AE467" s="53">
        <f t="shared" si="414"/>
        <v>0</v>
      </c>
      <c r="AF467" s="53">
        <f t="shared" si="414"/>
        <v>0</v>
      </c>
      <c r="AG467" s="53">
        <f t="shared" si="414"/>
        <v>0</v>
      </c>
      <c r="AH467" s="53">
        <f t="shared" si="414"/>
        <v>0</v>
      </c>
      <c r="AI467" s="53">
        <f t="shared" si="414"/>
        <v>0</v>
      </c>
      <c r="AJ467" s="53">
        <f t="shared" si="414"/>
        <v>0</v>
      </c>
      <c r="AK467" s="53">
        <f t="shared" si="414"/>
        <v>0</v>
      </c>
      <c r="AL467" s="53">
        <f t="shared" si="414"/>
        <v>0</v>
      </c>
      <c r="AM467" s="53">
        <f t="shared" si="414"/>
        <v>0</v>
      </c>
      <c r="AN467" s="53">
        <f t="shared" si="414"/>
        <v>0</v>
      </c>
      <c r="AO467" s="53">
        <f t="shared" si="414"/>
        <v>0</v>
      </c>
      <c r="AP467" s="53">
        <f t="shared" si="414"/>
        <v>0</v>
      </c>
      <c r="AQ467" s="53">
        <f t="shared" si="414"/>
        <v>0</v>
      </c>
      <c r="AR467" s="53">
        <f t="shared" si="414"/>
        <v>0</v>
      </c>
      <c r="AS467" s="53">
        <f t="shared" si="414"/>
        <v>0</v>
      </c>
      <c r="AT467" s="53">
        <f t="shared" si="414"/>
        <v>0</v>
      </c>
      <c r="AU467" s="53">
        <f t="shared" si="414"/>
        <v>0</v>
      </c>
      <c r="AV467" s="53">
        <f t="shared" si="414"/>
        <v>0</v>
      </c>
      <c r="AW467" s="53">
        <f t="shared" si="414"/>
        <v>0</v>
      </c>
      <c r="AX467" s="53">
        <f t="shared" si="414"/>
        <v>0</v>
      </c>
      <c r="AY467" s="53">
        <f t="shared" si="414"/>
        <v>0</v>
      </c>
      <c r="AZ467" s="53">
        <f t="shared" si="414"/>
        <v>0</v>
      </c>
      <c r="BA467" s="53">
        <f t="shared" si="414"/>
        <v>0</v>
      </c>
      <c r="BB467" s="53">
        <f t="shared" si="414"/>
        <v>0</v>
      </c>
      <c r="BC467" s="53">
        <f t="shared" si="414"/>
        <v>0</v>
      </c>
      <c r="BD467" s="53">
        <f t="shared" si="414"/>
        <v>0</v>
      </c>
      <c r="BE467" s="53">
        <f t="shared" si="414"/>
        <v>0</v>
      </c>
      <c r="BF467" s="53">
        <f t="shared" si="414"/>
        <v>0</v>
      </c>
      <c r="BG467" s="53">
        <f t="shared" si="414"/>
        <v>0</v>
      </c>
      <c r="BH467" s="53">
        <f t="shared" si="414"/>
        <v>0</v>
      </c>
      <c r="BI467" s="53">
        <f t="shared" si="414"/>
        <v>0</v>
      </c>
      <c r="BJ467" s="53">
        <f t="shared" si="414"/>
        <v>0</v>
      </c>
      <c r="BK467" s="53">
        <f t="shared" si="414"/>
        <v>0</v>
      </c>
      <c r="BL467" s="53">
        <f t="shared" si="414"/>
        <v>0</v>
      </c>
      <c r="BM467" s="53">
        <f t="shared" si="414"/>
        <v>0</v>
      </c>
      <c r="BN467" s="53">
        <f t="shared" si="414"/>
        <v>0</v>
      </c>
      <c r="BO467" s="53">
        <f t="shared" ref="BO467:CX467" si="415">IFERROR(IF(BO$262=0,0,(BO208-BO209)/BO209),0)</f>
        <v>0</v>
      </c>
      <c r="BP467" s="53">
        <f t="shared" si="415"/>
        <v>0</v>
      </c>
      <c r="BQ467" s="53">
        <f t="shared" si="415"/>
        <v>0</v>
      </c>
      <c r="BR467" s="53">
        <f t="shared" si="415"/>
        <v>0</v>
      </c>
      <c r="BS467" s="53">
        <f t="shared" si="415"/>
        <v>0</v>
      </c>
      <c r="BT467" s="53">
        <f t="shared" si="415"/>
        <v>0</v>
      </c>
      <c r="BU467" s="53">
        <f t="shared" si="415"/>
        <v>0</v>
      </c>
      <c r="BV467" s="53">
        <f t="shared" si="415"/>
        <v>0</v>
      </c>
      <c r="BW467" s="53">
        <f t="shared" si="415"/>
        <v>0</v>
      </c>
      <c r="BX467" s="53">
        <f t="shared" si="415"/>
        <v>0</v>
      </c>
      <c r="BY467" s="53">
        <f t="shared" si="415"/>
        <v>0</v>
      </c>
      <c r="BZ467" s="53">
        <f t="shared" si="415"/>
        <v>0</v>
      </c>
      <c r="CA467" s="53">
        <f t="shared" si="415"/>
        <v>0</v>
      </c>
      <c r="CB467" s="53">
        <f t="shared" si="415"/>
        <v>0</v>
      </c>
      <c r="CC467" s="53">
        <f t="shared" si="415"/>
        <v>0</v>
      </c>
      <c r="CD467" s="53">
        <f t="shared" si="415"/>
        <v>0</v>
      </c>
      <c r="CE467" s="53">
        <f t="shared" si="415"/>
        <v>0</v>
      </c>
      <c r="CF467" s="53">
        <f t="shared" si="415"/>
        <v>0</v>
      </c>
      <c r="CG467" s="53">
        <f t="shared" si="415"/>
        <v>0</v>
      </c>
      <c r="CH467" s="53">
        <f t="shared" si="415"/>
        <v>0</v>
      </c>
      <c r="CI467" s="53">
        <f t="shared" si="415"/>
        <v>0</v>
      </c>
      <c r="CJ467" s="53">
        <f t="shared" si="415"/>
        <v>0</v>
      </c>
      <c r="CK467" s="53">
        <f t="shared" si="415"/>
        <v>0</v>
      </c>
      <c r="CL467" s="53">
        <f t="shared" si="415"/>
        <v>0</v>
      </c>
      <c r="CM467" s="53">
        <f t="shared" si="415"/>
        <v>0</v>
      </c>
      <c r="CN467" s="53">
        <f t="shared" si="415"/>
        <v>0</v>
      </c>
      <c r="CO467" s="53">
        <f t="shared" si="415"/>
        <v>0</v>
      </c>
      <c r="CP467" s="53">
        <f t="shared" si="415"/>
        <v>0</v>
      </c>
      <c r="CQ467" s="53">
        <f t="shared" si="415"/>
        <v>0</v>
      </c>
      <c r="CR467" s="53">
        <f t="shared" si="415"/>
        <v>0</v>
      </c>
      <c r="CS467" s="53">
        <f t="shared" si="415"/>
        <v>0</v>
      </c>
      <c r="CT467" s="53">
        <f t="shared" si="415"/>
        <v>0</v>
      </c>
      <c r="CU467" s="53">
        <f t="shared" si="415"/>
        <v>0</v>
      </c>
      <c r="CV467" s="53">
        <f t="shared" si="415"/>
        <v>0</v>
      </c>
      <c r="CW467" s="53">
        <f t="shared" si="415"/>
        <v>0</v>
      </c>
      <c r="CX467" s="53">
        <f t="shared" si="415"/>
        <v>0</v>
      </c>
      <c r="DB467" s="2" vm="716">
        <f ca="1">IF(Returns!A471&lt;&gt;0,Returns!A471,"")</f>
        <v>43465</v>
      </c>
      <c r="DC467" s="11">
        <f ca="1">IF(Returns!B482&gt;0,Returns!B482/Returns!B481-1,"")</f>
        <v>3.0606881730477209E-2</v>
      </c>
      <c r="DD467" s="11">
        <f ca="1">IF(Returns!D474&gt;0,Returns!D474/Returns!D473-1,"")</f>
        <v>1.2487276498787114E-3</v>
      </c>
    </row>
    <row r="468" spans="2:108" x14ac:dyDescent="0.3">
      <c r="B468" s="57">
        <f t="shared" ca="1" si="393"/>
        <v>2.0887732257929403E-3</v>
      </c>
      <c r="C468" s="53">
        <f t="shared" ref="C468:BN468" si="416">IFERROR(IF(C$262=0,0,(C209-C210)/C210),0)</f>
        <v>0</v>
      </c>
      <c r="D468" s="53">
        <f t="shared" si="416"/>
        <v>0</v>
      </c>
      <c r="E468" s="53">
        <f t="shared" si="416"/>
        <v>0</v>
      </c>
      <c r="F468" s="53">
        <f t="shared" si="416"/>
        <v>0</v>
      </c>
      <c r="G468" s="53">
        <f t="shared" si="416"/>
        <v>0</v>
      </c>
      <c r="H468" s="53">
        <f t="shared" si="416"/>
        <v>0</v>
      </c>
      <c r="I468" s="53">
        <f t="shared" si="416"/>
        <v>0</v>
      </c>
      <c r="J468" s="53">
        <f t="shared" si="416"/>
        <v>0</v>
      </c>
      <c r="K468" s="53">
        <f t="shared" si="416"/>
        <v>0</v>
      </c>
      <c r="L468" s="53">
        <f t="shared" si="416"/>
        <v>0</v>
      </c>
      <c r="M468" s="53">
        <f t="shared" si="416"/>
        <v>0</v>
      </c>
      <c r="N468" s="53">
        <f t="shared" si="416"/>
        <v>0</v>
      </c>
      <c r="O468" s="53">
        <f t="shared" si="416"/>
        <v>0</v>
      </c>
      <c r="P468" s="53">
        <f t="shared" si="416"/>
        <v>0</v>
      </c>
      <c r="Q468" s="53">
        <f t="shared" si="416"/>
        <v>0</v>
      </c>
      <c r="R468" s="53">
        <f t="shared" si="416"/>
        <v>0</v>
      </c>
      <c r="S468" s="53">
        <f t="shared" si="416"/>
        <v>0</v>
      </c>
      <c r="T468" s="53">
        <f t="shared" si="416"/>
        <v>0</v>
      </c>
      <c r="U468" s="53">
        <f t="shared" si="416"/>
        <v>0</v>
      </c>
      <c r="V468" s="53">
        <f t="shared" si="416"/>
        <v>0</v>
      </c>
      <c r="W468" s="53">
        <f t="shared" si="416"/>
        <v>0</v>
      </c>
      <c r="X468" s="53">
        <f t="shared" si="416"/>
        <v>0</v>
      </c>
      <c r="Y468" s="53">
        <f t="shared" si="416"/>
        <v>0</v>
      </c>
      <c r="Z468" s="53">
        <f t="shared" si="416"/>
        <v>0</v>
      </c>
      <c r="AA468" s="53">
        <f t="shared" si="416"/>
        <v>0</v>
      </c>
      <c r="AB468" s="53">
        <f t="shared" si="416"/>
        <v>0</v>
      </c>
      <c r="AC468" s="53">
        <f t="shared" si="416"/>
        <v>0</v>
      </c>
      <c r="AD468" s="53">
        <f t="shared" si="416"/>
        <v>0</v>
      </c>
      <c r="AE468" s="53">
        <f t="shared" si="416"/>
        <v>0</v>
      </c>
      <c r="AF468" s="53">
        <f t="shared" si="416"/>
        <v>0</v>
      </c>
      <c r="AG468" s="53">
        <f t="shared" si="416"/>
        <v>0</v>
      </c>
      <c r="AH468" s="53">
        <f t="shared" si="416"/>
        <v>0</v>
      </c>
      <c r="AI468" s="53">
        <f t="shared" si="416"/>
        <v>0</v>
      </c>
      <c r="AJ468" s="53">
        <f t="shared" si="416"/>
        <v>0</v>
      </c>
      <c r="AK468" s="53">
        <f t="shared" si="416"/>
        <v>0</v>
      </c>
      <c r="AL468" s="53">
        <f t="shared" si="416"/>
        <v>0</v>
      </c>
      <c r="AM468" s="53">
        <f t="shared" si="416"/>
        <v>0</v>
      </c>
      <c r="AN468" s="53">
        <f t="shared" si="416"/>
        <v>0</v>
      </c>
      <c r="AO468" s="53">
        <f t="shared" si="416"/>
        <v>0</v>
      </c>
      <c r="AP468" s="53">
        <f t="shared" si="416"/>
        <v>0</v>
      </c>
      <c r="AQ468" s="53">
        <f t="shared" si="416"/>
        <v>0</v>
      </c>
      <c r="AR468" s="53">
        <f t="shared" si="416"/>
        <v>0</v>
      </c>
      <c r="AS468" s="53">
        <f t="shared" si="416"/>
        <v>0</v>
      </c>
      <c r="AT468" s="53">
        <f t="shared" si="416"/>
        <v>0</v>
      </c>
      <c r="AU468" s="53">
        <f t="shared" si="416"/>
        <v>0</v>
      </c>
      <c r="AV468" s="53">
        <f t="shared" si="416"/>
        <v>0</v>
      </c>
      <c r="AW468" s="53">
        <f t="shared" si="416"/>
        <v>0</v>
      </c>
      <c r="AX468" s="53">
        <f t="shared" si="416"/>
        <v>0</v>
      </c>
      <c r="AY468" s="53">
        <f t="shared" si="416"/>
        <v>0</v>
      </c>
      <c r="AZ468" s="53">
        <f t="shared" si="416"/>
        <v>0</v>
      </c>
      <c r="BA468" s="53">
        <f t="shared" si="416"/>
        <v>0</v>
      </c>
      <c r="BB468" s="53">
        <f t="shared" si="416"/>
        <v>0</v>
      </c>
      <c r="BC468" s="53">
        <f t="shared" si="416"/>
        <v>0</v>
      </c>
      <c r="BD468" s="53">
        <f t="shared" si="416"/>
        <v>0</v>
      </c>
      <c r="BE468" s="53">
        <f t="shared" si="416"/>
        <v>0</v>
      </c>
      <c r="BF468" s="53">
        <f t="shared" si="416"/>
        <v>0</v>
      </c>
      <c r="BG468" s="53">
        <f t="shared" si="416"/>
        <v>0</v>
      </c>
      <c r="BH468" s="53">
        <f t="shared" si="416"/>
        <v>0</v>
      </c>
      <c r="BI468" s="53">
        <f t="shared" si="416"/>
        <v>0</v>
      </c>
      <c r="BJ468" s="53">
        <f t="shared" si="416"/>
        <v>0</v>
      </c>
      <c r="BK468" s="53">
        <f t="shared" si="416"/>
        <v>0</v>
      </c>
      <c r="BL468" s="53">
        <f t="shared" si="416"/>
        <v>0</v>
      </c>
      <c r="BM468" s="53">
        <f t="shared" si="416"/>
        <v>0</v>
      </c>
      <c r="BN468" s="53">
        <f t="shared" si="416"/>
        <v>0</v>
      </c>
      <c r="BO468" s="53">
        <f t="shared" ref="BO468:CX468" si="417">IFERROR(IF(BO$262=0,0,(BO209-BO210)/BO210),0)</f>
        <v>0</v>
      </c>
      <c r="BP468" s="53">
        <f t="shared" si="417"/>
        <v>0</v>
      </c>
      <c r="BQ468" s="53">
        <f t="shared" si="417"/>
        <v>0</v>
      </c>
      <c r="BR468" s="53">
        <f t="shared" si="417"/>
        <v>0</v>
      </c>
      <c r="BS468" s="53">
        <f t="shared" si="417"/>
        <v>0</v>
      </c>
      <c r="BT468" s="53">
        <f t="shared" si="417"/>
        <v>0</v>
      </c>
      <c r="BU468" s="53">
        <f t="shared" si="417"/>
        <v>0</v>
      </c>
      <c r="BV468" s="53">
        <f t="shared" si="417"/>
        <v>0</v>
      </c>
      <c r="BW468" s="53">
        <f t="shared" si="417"/>
        <v>0</v>
      </c>
      <c r="BX468" s="53">
        <f t="shared" si="417"/>
        <v>0</v>
      </c>
      <c r="BY468" s="53">
        <f t="shared" si="417"/>
        <v>0</v>
      </c>
      <c r="BZ468" s="53">
        <f t="shared" si="417"/>
        <v>0</v>
      </c>
      <c r="CA468" s="53">
        <f t="shared" si="417"/>
        <v>0</v>
      </c>
      <c r="CB468" s="53">
        <f t="shared" si="417"/>
        <v>0</v>
      </c>
      <c r="CC468" s="53">
        <f t="shared" si="417"/>
        <v>0</v>
      </c>
      <c r="CD468" s="53">
        <f t="shared" si="417"/>
        <v>0</v>
      </c>
      <c r="CE468" s="53">
        <f t="shared" si="417"/>
        <v>0</v>
      </c>
      <c r="CF468" s="53">
        <f t="shared" si="417"/>
        <v>0</v>
      </c>
      <c r="CG468" s="53">
        <f t="shared" si="417"/>
        <v>0</v>
      </c>
      <c r="CH468" s="53">
        <f t="shared" si="417"/>
        <v>0</v>
      </c>
      <c r="CI468" s="53">
        <f t="shared" si="417"/>
        <v>0</v>
      </c>
      <c r="CJ468" s="53">
        <f t="shared" si="417"/>
        <v>0</v>
      </c>
      <c r="CK468" s="53">
        <f t="shared" si="417"/>
        <v>0</v>
      </c>
      <c r="CL468" s="53">
        <f t="shared" si="417"/>
        <v>0</v>
      </c>
      <c r="CM468" s="53">
        <f t="shared" si="417"/>
        <v>0</v>
      </c>
      <c r="CN468" s="53">
        <f t="shared" si="417"/>
        <v>0</v>
      </c>
      <c r="CO468" s="53">
        <f t="shared" si="417"/>
        <v>0</v>
      </c>
      <c r="CP468" s="53">
        <f t="shared" si="417"/>
        <v>0</v>
      </c>
      <c r="CQ468" s="53">
        <f t="shared" si="417"/>
        <v>0</v>
      </c>
      <c r="CR468" s="53">
        <f t="shared" si="417"/>
        <v>0</v>
      </c>
      <c r="CS468" s="53">
        <f t="shared" si="417"/>
        <v>0</v>
      </c>
      <c r="CT468" s="53">
        <f t="shared" si="417"/>
        <v>0</v>
      </c>
      <c r="CU468" s="53">
        <f t="shared" si="417"/>
        <v>0</v>
      </c>
      <c r="CV468" s="53">
        <f t="shared" si="417"/>
        <v>0</v>
      </c>
      <c r="CW468" s="53">
        <f t="shared" si="417"/>
        <v>0</v>
      </c>
      <c r="CX468" s="53">
        <f t="shared" si="417"/>
        <v>0</v>
      </c>
      <c r="DB468" s="2" vm="717">
        <f ca="1">IF(Returns!A472&lt;&gt;0,Returns!A472,"")</f>
        <v>43472</v>
      </c>
      <c r="DC468" s="11">
        <f ca="1">IF(Returns!B483&gt;0,Returns!B483/Returns!B482-1,"")</f>
        <v>9.0550043348425202E-3</v>
      </c>
      <c r="DD468" s="11">
        <f ca="1">IF(Returns!D475&gt;0,Returns!D475/Returns!D474-1,"")</f>
        <v>1.3206292760802096E-2</v>
      </c>
    </row>
    <row r="469" spans="2:108" x14ac:dyDescent="0.3">
      <c r="B469" s="57">
        <f t="shared" ca="1" si="393"/>
        <v>3.5670102783060685E-3</v>
      </c>
      <c r="C469" s="53">
        <f t="shared" ref="C469:BN469" si="418">IFERROR(IF(C$262=0,0,(C210-C211)/C211),0)</f>
        <v>0</v>
      </c>
      <c r="D469" s="53">
        <f t="shared" si="418"/>
        <v>0</v>
      </c>
      <c r="E469" s="53">
        <f t="shared" si="418"/>
        <v>0</v>
      </c>
      <c r="F469" s="53">
        <f t="shared" si="418"/>
        <v>0</v>
      </c>
      <c r="G469" s="53">
        <f t="shared" si="418"/>
        <v>0</v>
      </c>
      <c r="H469" s="53">
        <f t="shared" si="418"/>
        <v>0</v>
      </c>
      <c r="I469" s="53">
        <f t="shared" si="418"/>
        <v>0</v>
      </c>
      <c r="J469" s="53">
        <f t="shared" si="418"/>
        <v>0</v>
      </c>
      <c r="K469" s="53">
        <f t="shared" si="418"/>
        <v>0</v>
      </c>
      <c r="L469" s="53">
        <f t="shared" si="418"/>
        <v>0</v>
      </c>
      <c r="M469" s="53">
        <f t="shared" si="418"/>
        <v>0</v>
      </c>
      <c r="N469" s="53">
        <f t="shared" si="418"/>
        <v>0</v>
      </c>
      <c r="O469" s="53">
        <f t="shared" si="418"/>
        <v>0</v>
      </c>
      <c r="P469" s="53">
        <f t="shared" si="418"/>
        <v>0</v>
      </c>
      <c r="Q469" s="53">
        <f t="shared" si="418"/>
        <v>0</v>
      </c>
      <c r="R469" s="53">
        <f t="shared" si="418"/>
        <v>0</v>
      </c>
      <c r="S469" s="53">
        <f t="shared" si="418"/>
        <v>0</v>
      </c>
      <c r="T469" s="53">
        <f t="shared" si="418"/>
        <v>0</v>
      </c>
      <c r="U469" s="53">
        <f t="shared" si="418"/>
        <v>0</v>
      </c>
      <c r="V469" s="53">
        <f t="shared" si="418"/>
        <v>0</v>
      </c>
      <c r="W469" s="53">
        <f t="shared" si="418"/>
        <v>0</v>
      </c>
      <c r="X469" s="53">
        <f t="shared" si="418"/>
        <v>0</v>
      </c>
      <c r="Y469" s="53">
        <f t="shared" si="418"/>
        <v>0</v>
      </c>
      <c r="Z469" s="53">
        <f t="shared" si="418"/>
        <v>0</v>
      </c>
      <c r="AA469" s="53">
        <f t="shared" si="418"/>
        <v>0</v>
      </c>
      <c r="AB469" s="53">
        <f t="shared" si="418"/>
        <v>0</v>
      </c>
      <c r="AC469" s="53">
        <f t="shared" si="418"/>
        <v>0</v>
      </c>
      <c r="AD469" s="53">
        <f t="shared" si="418"/>
        <v>0</v>
      </c>
      <c r="AE469" s="53">
        <f t="shared" si="418"/>
        <v>0</v>
      </c>
      <c r="AF469" s="53">
        <f t="shared" si="418"/>
        <v>0</v>
      </c>
      <c r="AG469" s="53">
        <f t="shared" si="418"/>
        <v>0</v>
      </c>
      <c r="AH469" s="53">
        <f t="shared" si="418"/>
        <v>0</v>
      </c>
      <c r="AI469" s="53">
        <f t="shared" si="418"/>
        <v>0</v>
      </c>
      <c r="AJ469" s="53">
        <f t="shared" si="418"/>
        <v>0</v>
      </c>
      <c r="AK469" s="53">
        <f t="shared" si="418"/>
        <v>0</v>
      </c>
      <c r="AL469" s="53">
        <f t="shared" si="418"/>
        <v>0</v>
      </c>
      <c r="AM469" s="53">
        <f t="shared" si="418"/>
        <v>0</v>
      </c>
      <c r="AN469" s="53">
        <f t="shared" si="418"/>
        <v>0</v>
      </c>
      <c r="AO469" s="53">
        <f t="shared" si="418"/>
        <v>0</v>
      </c>
      <c r="AP469" s="53">
        <f t="shared" si="418"/>
        <v>0</v>
      </c>
      <c r="AQ469" s="53">
        <f t="shared" si="418"/>
        <v>0</v>
      </c>
      <c r="AR469" s="53">
        <f t="shared" si="418"/>
        <v>0</v>
      </c>
      <c r="AS469" s="53">
        <f t="shared" si="418"/>
        <v>0</v>
      </c>
      <c r="AT469" s="53">
        <f t="shared" si="418"/>
        <v>0</v>
      </c>
      <c r="AU469" s="53">
        <f t="shared" si="418"/>
        <v>0</v>
      </c>
      <c r="AV469" s="53">
        <f t="shared" si="418"/>
        <v>0</v>
      </c>
      <c r="AW469" s="53">
        <f t="shared" si="418"/>
        <v>0</v>
      </c>
      <c r="AX469" s="53">
        <f t="shared" si="418"/>
        <v>0</v>
      </c>
      <c r="AY469" s="53">
        <f t="shared" si="418"/>
        <v>0</v>
      </c>
      <c r="AZ469" s="53">
        <f t="shared" si="418"/>
        <v>0</v>
      </c>
      <c r="BA469" s="53">
        <f t="shared" si="418"/>
        <v>0</v>
      </c>
      <c r="BB469" s="53">
        <f t="shared" si="418"/>
        <v>0</v>
      </c>
      <c r="BC469" s="53">
        <f t="shared" si="418"/>
        <v>0</v>
      </c>
      <c r="BD469" s="53">
        <f t="shared" si="418"/>
        <v>0</v>
      </c>
      <c r="BE469" s="53">
        <f t="shared" si="418"/>
        <v>0</v>
      </c>
      <c r="BF469" s="53">
        <f t="shared" si="418"/>
        <v>0</v>
      </c>
      <c r="BG469" s="53">
        <f t="shared" si="418"/>
        <v>0</v>
      </c>
      <c r="BH469" s="53">
        <f t="shared" si="418"/>
        <v>0</v>
      </c>
      <c r="BI469" s="53">
        <f t="shared" si="418"/>
        <v>0</v>
      </c>
      <c r="BJ469" s="53">
        <f t="shared" si="418"/>
        <v>0</v>
      </c>
      <c r="BK469" s="53">
        <f t="shared" si="418"/>
        <v>0</v>
      </c>
      <c r="BL469" s="53">
        <f t="shared" si="418"/>
        <v>0</v>
      </c>
      <c r="BM469" s="53">
        <f t="shared" si="418"/>
        <v>0</v>
      </c>
      <c r="BN469" s="53">
        <f t="shared" si="418"/>
        <v>0</v>
      </c>
      <c r="BO469" s="53">
        <f t="shared" ref="BO469:CX469" si="419">IFERROR(IF(BO$262=0,0,(BO210-BO211)/BO211),0)</f>
        <v>0</v>
      </c>
      <c r="BP469" s="53">
        <f t="shared" si="419"/>
        <v>0</v>
      </c>
      <c r="BQ469" s="53">
        <f t="shared" si="419"/>
        <v>0</v>
      </c>
      <c r="BR469" s="53">
        <f t="shared" si="419"/>
        <v>0</v>
      </c>
      <c r="BS469" s="53">
        <f t="shared" si="419"/>
        <v>0</v>
      </c>
      <c r="BT469" s="53">
        <f t="shared" si="419"/>
        <v>0</v>
      </c>
      <c r="BU469" s="53">
        <f t="shared" si="419"/>
        <v>0</v>
      </c>
      <c r="BV469" s="53">
        <f t="shared" si="419"/>
        <v>0</v>
      </c>
      <c r="BW469" s="53">
        <f t="shared" si="419"/>
        <v>0</v>
      </c>
      <c r="BX469" s="53">
        <f t="shared" si="419"/>
        <v>0</v>
      </c>
      <c r="BY469" s="53">
        <f t="shared" si="419"/>
        <v>0</v>
      </c>
      <c r="BZ469" s="53">
        <f t="shared" si="419"/>
        <v>0</v>
      </c>
      <c r="CA469" s="53">
        <f t="shared" si="419"/>
        <v>0</v>
      </c>
      <c r="CB469" s="53">
        <f t="shared" si="419"/>
        <v>0</v>
      </c>
      <c r="CC469" s="53">
        <f t="shared" si="419"/>
        <v>0</v>
      </c>
      <c r="CD469" s="53">
        <f t="shared" si="419"/>
        <v>0</v>
      </c>
      <c r="CE469" s="53">
        <f t="shared" si="419"/>
        <v>0</v>
      </c>
      <c r="CF469" s="53">
        <f t="shared" si="419"/>
        <v>0</v>
      </c>
      <c r="CG469" s="53">
        <f t="shared" si="419"/>
        <v>0</v>
      </c>
      <c r="CH469" s="53">
        <f t="shared" si="419"/>
        <v>0</v>
      </c>
      <c r="CI469" s="53">
        <f t="shared" si="419"/>
        <v>0</v>
      </c>
      <c r="CJ469" s="53">
        <f t="shared" si="419"/>
        <v>0</v>
      </c>
      <c r="CK469" s="53">
        <f t="shared" si="419"/>
        <v>0</v>
      </c>
      <c r="CL469" s="53">
        <f t="shared" si="419"/>
        <v>0</v>
      </c>
      <c r="CM469" s="53">
        <f t="shared" si="419"/>
        <v>0</v>
      </c>
      <c r="CN469" s="53">
        <f t="shared" si="419"/>
        <v>0</v>
      </c>
      <c r="CO469" s="53">
        <f t="shared" si="419"/>
        <v>0</v>
      </c>
      <c r="CP469" s="53">
        <f t="shared" si="419"/>
        <v>0</v>
      </c>
      <c r="CQ469" s="53">
        <f t="shared" si="419"/>
        <v>0</v>
      </c>
      <c r="CR469" s="53">
        <f t="shared" si="419"/>
        <v>0</v>
      </c>
      <c r="CS469" s="53">
        <f t="shared" si="419"/>
        <v>0</v>
      </c>
      <c r="CT469" s="53">
        <f t="shared" si="419"/>
        <v>0</v>
      </c>
      <c r="CU469" s="53">
        <f t="shared" si="419"/>
        <v>0</v>
      </c>
      <c r="CV469" s="53">
        <f t="shared" si="419"/>
        <v>0</v>
      </c>
      <c r="CW469" s="53">
        <f t="shared" si="419"/>
        <v>0</v>
      </c>
      <c r="CX469" s="53">
        <f t="shared" si="419"/>
        <v>0</v>
      </c>
      <c r="DB469" s="2" vm="718">
        <f ca="1">IF(Returns!A473&lt;&gt;0,Returns!A473,"")</f>
        <v>43479</v>
      </c>
      <c r="DC469" s="11">
        <f ca="1">IF(Returns!B484&gt;0,Returns!B484/Returns!B483-1,"")</f>
        <v>3.1745051242454192E-2</v>
      </c>
      <c r="DD469" s="11">
        <f ca="1">IF(Returns!D476&gt;0,Returns!D476/Returns!D475-1,"")</f>
        <v>1.6935242799918093E-3</v>
      </c>
    </row>
    <row r="470" spans="2:108" x14ac:dyDescent="0.3">
      <c r="B470" s="57">
        <f t="shared" ca="1" si="393"/>
        <v>2.6475724970076664E-4</v>
      </c>
      <c r="C470" s="53">
        <f t="shared" ref="C470:BN470" si="420">IFERROR(IF(C$262=0,0,(C211-C212)/C212),0)</f>
        <v>0</v>
      </c>
      <c r="D470" s="53">
        <f t="shared" si="420"/>
        <v>0</v>
      </c>
      <c r="E470" s="53">
        <f t="shared" si="420"/>
        <v>0</v>
      </c>
      <c r="F470" s="53">
        <f t="shared" si="420"/>
        <v>0</v>
      </c>
      <c r="G470" s="53">
        <f t="shared" si="420"/>
        <v>0</v>
      </c>
      <c r="H470" s="53">
        <f t="shared" si="420"/>
        <v>0</v>
      </c>
      <c r="I470" s="53">
        <f t="shared" si="420"/>
        <v>0</v>
      </c>
      <c r="J470" s="53">
        <f t="shared" si="420"/>
        <v>0</v>
      </c>
      <c r="K470" s="53">
        <f t="shared" si="420"/>
        <v>0</v>
      </c>
      <c r="L470" s="53">
        <f t="shared" si="420"/>
        <v>0</v>
      </c>
      <c r="M470" s="53">
        <f t="shared" si="420"/>
        <v>0</v>
      </c>
      <c r="N470" s="53">
        <f t="shared" si="420"/>
        <v>0</v>
      </c>
      <c r="O470" s="53">
        <f t="shared" si="420"/>
        <v>0</v>
      </c>
      <c r="P470" s="53">
        <f t="shared" si="420"/>
        <v>0</v>
      </c>
      <c r="Q470" s="53">
        <f t="shared" si="420"/>
        <v>0</v>
      </c>
      <c r="R470" s="53">
        <f t="shared" si="420"/>
        <v>0</v>
      </c>
      <c r="S470" s="53">
        <f t="shared" si="420"/>
        <v>0</v>
      </c>
      <c r="T470" s="53">
        <f t="shared" si="420"/>
        <v>0</v>
      </c>
      <c r="U470" s="53">
        <f t="shared" si="420"/>
        <v>0</v>
      </c>
      <c r="V470" s="53">
        <f t="shared" si="420"/>
        <v>0</v>
      </c>
      <c r="W470" s="53">
        <f t="shared" si="420"/>
        <v>0</v>
      </c>
      <c r="X470" s="53">
        <f t="shared" si="420"/>
        <v>0</v>
      </c>
      <c r="Y470" s="53">
        <f t="shared" si="420"/>
        <v>0</v>
      </c>
      <c r="Z470" s="53">
        <f t="shared" si="420"/>
        <v>0</v>
      </c>
      <c r="AA470" s="53">
        <f t="shared" si="420"/>
        <v>0</v>
      </c>
      <c r="AB470" s="53">
        <f t="shared" si="420"/>
        <v>0</v>
      </c>
      <c r="AC470" s="53">
        <f t="shared" si="420"/>
        <v>0</v>
      </c>
      <c r="AD470" s="53">
        <f t="shared" si="420"/>
        <v>0</v>
      </c>
      <c r="AE470" s="53">
        <f t="shared" si="420"/>
        <v>0</v>
      </c>
      <c r="AF470" s="53">
        <f t="shared" si="420"/>
        <v>0</v>
      </c>
      <c r="AG470" s="53">
        <f t="shared" si="420"/>
        <v>0</v>
      </c>
      <c r="AH470" s="53">
        <f t="shared" si="420"/>
        <v>0</v>
      </c>
      <c r="AI470" s="53">
        <f t="shared" si="420"/>
        <v>0</v>
      </c>
      <c r="AJ470" s="53">
        <f t="shared" si="420"/>
        <v>0</v>
      </c>
      <c r="AK470" s="53">
        <f t="shared" si="420"/>
        <v>0</v>
      </c>
      <c r="AL470" s="53">
        <f t="shared" si="420"/>
        <v>0</v>
      </c>
      <c r="AM470" s="53">
        <f t="shared" si="420"/>
        <v>0</v>
      </c>
      <c r="AN470" s="53">
        <f t="shared" si="420"/>
        <v>0</v>
      </c>
      <c r="AO470" s="53">
        <f t="shared" si="420"/>
        <v>0</v>
      </c>
      <c r="AP470" s="53">
        <f t="shared" si="420"/>
        <v>0</v>
      </c>
      <c r="AQ470" s="53">
        <f t="shared" si="420"/>
        <v>0</v>
      </c>
      <c r="AR470" s="53">
        <f t="shared" si="420"/>
        <v>0</v>
      </c>
      <c r="AS470" s="53">
        <f t="shared" si="420"/>
        <v>0</v>
      </c>
      <c r="AT470" s="53">
        <f t="shared" si="420"/>
        <v>0</v>
      </c>
      <c r="AU470" s="53">
        <f t="shared" si="420"/>
        <v>0</v>
      </c>
      <c r="AV470" s="53">
        <f t="shared" si="420"/>
        <v>0</v>
      </c>
      <c r="AW470" s="53">
        <f t="shared" si="420"/>
        <v>0</v>
      </c>
      <c r="AX470" s="53">
        <f t="shared" si="420"/>
        <v>0</v>
      </c>
      <c r="AY470" s="53">
        <f t="shared" si="420"/>
        <v>0</v>
      </c>
      <c r="AZ470" s="53">
        <f t="shared" si="420"/>
        <v>0</v>
      </c>
      <c r="BA470" s="53">
        <f t="shared" si="420"/>
        <v>0</v>
      </c>
      <c r="BB470" s="53">
        <f t="shared" si="420"/>
        <v>0</v>
      </c>
      <c r="BC470" s="53">
        <f t="shared" si="420"/>
        <v>0</v>
      </c>
      <c r="BD470" s="53">
        <f t="shared" si="420"/>
        <v>0</v>
      </c>
      <c r="BE470" s="53">
        <f t="shared" si="420"/>
        <v>0</v>
      </c>
      <c r="BF470" s="53">
        <f t="shared" si="420"/>
        <v>0</v>
      </c>
      <c r="BG470" s="53">
        <f t="shared" si="420"/>
        <v>0</v>
      </c>
      <c r="BH470" s="53">
        <f t="shared" si="420"/>
        <v>0</v>
      </c>
      <c r="BI470" s="53">
        <f t="shared" si="420"/>
        <v>0</v>
      </c>
      <c r="BJ470" s="53">
        <f t="shared" si="420"/>
        <v>0</v>
      </c>
      <c r="BK470" s="53">
        <f t="shared" si="420"/>
        <v>0</v>
      </c>
      <c r="BL470" s="53">
        <f t="shared" si="420"/>
        <v>0</v>
      </c>
      <c r="BM470" s="53">
        <f t="shared" si="420"/>
        <v>0</v>
      </c>
      <c r="BN470" s="53">
        <f t="shared" si="420"/>
        <v>0</v>
      </c>
      <c r="BO470" s="53">
        <f t="shared" ref="BO470:CX470" si="421">IFERROR(IF(BO$262=0,0,(BO211-BO212)/BO212),0)</f>
        <v>0</v>
      </c>
      <c r="BP470" s="53">
        <f t="shared" si="421"/>
        <v>0</v>
      </c>
      <c r="BQ470" s="53">
        <f t="shared" si="421"/>
        <v>0</v>
      </c>
      <c r="BR470" s="53">
        <f t="shared" si="421"/>
        <v>0</v>
      </c>
      <c r="BS470" s="53">
        <f t="shared" si="421"/>
        <v>0</v>
      </c>
      <c r="BT470" s="53">
        <f t="shared" si="421"/>
        <v>0</v>
      </c>
      <c r="BU470" s="53">
        <f t="shared" si="421"/>
        <v>0</v>
      </c>
      <c r="BV470" s="53">
        <f t="shared" si="421"/>
        <v>0</v>
      </c>
      <c r="BW470" s="53">
        <f t="shared" si="421"/>
        <v>0</v>
      </c>
      <c r="BX470" s="53">
        <f t="shared" si="421"/>
        <v>0</v>
      </c>
      <c r="BY470" s="53">
        <f t="shared" si="421"/>
        <v>0</v>
      </c>
      <c r="BZ470" s="53">
        <f t="shared" si="421"/>
        <v>0</v>
      </c>
      <c r="CA470" s="53">
        <f t="shared" si="421"/>
        <v>0</v>
      </c>
      <c r="CB470" s="53">
        <f t="shared" si="421"/>
        <v>0</v>
      </c>
      <c r="CC470" s="53">
        <f t="shared" si="421"/>
        <v>0</v>
      </c>
      <c r="CD470" s="53">
        <f t="shared" si="421"/>
        <v>0</v>
      </c>
      <c r="CE470" s="53">
        <f t="shared" si="421"/>
        <v>0</v>
      </c>
      <c r="CF470" s="53">
        <f t="shared" si="421"/>
        <v>0</v>
      </c>
      <c r="CG470" s="53">
        <f t="shared" si="421"/>
        <v>0</v>
      </c>
      <c r="CH470" s="53">
        <f t="shared" si="421"/>
        <v>0</v>
      </c>
      <c r="CI470" s="53">
        <f t="shared" si="421"/>
        <v>0</v>
      </c>
      <c r="CJ470" s="53">
        <f t="shared" si="421"/>
        <v>0</v>
      </c>
      <c r="CK470" s="53">
        <f t="shared" si="421"/>
        <v>0</v>
      </c>
      <c r="CL470" s="53">
        <f t="shared" si="421"/>
        <v>0</v>
      </c>
      <c r="CM470" s="53">
        <f t="shared" si="421"/>
        <v>0</v>
      </c>
      <c r="CN470" s="53">
        <f t="shared" si="421"/>
        <v>0</v>
      </c>
      <c r="CO470" s="53">
        <f t="shared" si="421"/>
        <v>0</v>
      </c>
      <c r="CP470" s="53">
        <f t="shared" si="421"/>
        <v>0</v>
      </c>
      <c r="CQ470" s="53">
        <f t="shared" si="421"/>
        <v>0</v>
      </c>
      <c r="CR470" s="53">
        <f t="shared" si="421"/>
        <v>0</v>
      </c>
      <c r="CS470" s="53">
        <f t="shared" si="421"/>
        <v>0</v>
      </c>
      <c r="CT470" s="53">
        <f t="shared" si="421"/>
        <v>0</v>
      </c>
      <c r="CU470" s="53">
        <f t="shared" si="421"/>
        <v>0</v>
      </c>
      <c r="CV470" s="53">
        <f t="shared" si="421"/>
        <v>0</v>
      </c>
      <c r="CW470" s="53">
        <f t="shared" si="421"/>
        <v>0</v>
      </c>
      <c r="CX470" s="53">
        <f t="shared" si="421"/>
        <v>0</v>
      </c>
      <c r="DB470" s="2" vm="719">
        <f ca="1">IF(Returns!A474&lt;&gt;0,Returns!A474,"")</f>
        <v>43487</v>
      </c>
      <c r="DC470" s="11">
        <f ca="1">IF(Returns!B485&gt;0,Returns!B485/Returns!B484-1,"")</f>
        <v>3.1459548898371548E-3</v>
      </c>
      <c r="DD470" s="11">
        <f ca="1">IF(Returns!D477&gt;0,Returns!D477/Returns!D476-1,"")</f>
        <v>3.094498556909886E-2</v>
      </c>
    </row>
    <row r="471" spans="2:108" x14ac:dyDescent="0.3">
      <c r="B471" s="57">
        <f t="shared" ca="1" si="393"/>
        <v>6.7887837100138798E-3</v>
      </c>
      <c r="C471" s="53">
        <f t="shared" ref="C471:BN471" si="422">IFERROR(IF(C$262=0,0,(C212-C213)/C213),0)</f>
        <v>0</v>
      </c>
      <c r="D471" s="53">
        <f t="shared" si="422"/>
        <v>0</v>
      </c>
      <c r="E471" s="53">
        <f t="shared" si="422"/>
        <v>0</v>
      </c>
      <c r="F471" s="53">
        <f t="shared" si="422"/>
        <v>0</v>
      </c>
      <c r="G471" s="53">
        <f t="shared" si="422"/>
        <v>0</v>
      </c>
      <c r="H471" s="53">
        <f t="shared" si="422"/>
        <v>0</v>
      </c>
      <c r="I471" s="53">
        <f t="shared" si="422"/>
        <v>0</v>
      </c>
      <c r="J471" s="53">
        <f t="shared" si="422"/>
        <v>0</v>
      </c>
      <c r="K471" s="53">
        <f t="shared" si="422"/>
        <v>0</v>
      </c>
      <c r="L471" s="53">
        <f t="shared" si="422"/>
        <v>0</v>
      </c>
      <c r="M471" s="53">
        <f t="shared" si="422"/>
        <v>0</v>
      </c>
      <c r="N471" s="53">
        <f t="shared" si="422"/>
        <v>0</v>
      </c>
      <c r="O471" s="53">
        <f t="shared" si="422"/>
        <v>0</v>
      </c>
      <c r="P471" s="53">
        <f t="shared" si="422"/>
        <v>0</v>
      </c>
      <c r="Q471" s="53">
        <f t="shared" si="422"/>
        <v>0</v>
      </c>
      <c r="R471" s="53">
        <f t="shared" si="422"/>
        <v>0</v>
      </c>
      <c r="S471" s="53">
        <f t="shared" si="422"/>
        <v>0</v>
      </c>
      <c r="T471" s="53">
        <f t="shared" si="422"/>
        <v>0</v>
      </c>
      <c r="U471" s="53">
        <f t="shared" si="422"/>
        <v>0</v>
      </c>
      <c r="V471" s="53">
        <f t="shared" si="422"/>
        <v>0</v>
      </c>
      <c r="W471" s="53">
        <f t="shared" si="422"/>
        <v>0</v>
      </c>
      <c r="X471" s="53">
        <f t="shared" si="422"/>
        <v>0</v>
      </c>
      <c r="Y471" s="53">
        <f t="shared" si="422"/>
        <v>0</v>
      </c>
      <c r="Z471" s="53">
        <f t="shared" si="422"/>
        <v>0</v>
      </c>
      <c r="AA471" s="53">
        <f t="shared" si="422"/>
        <v>0</v>
      </c>
      <c r="AB471" s="53">
        <f t="shared" si="422"/>
        <v>0</v>
      </c>
      <c r="AC471" s="53">
        <f t="shared" si="422"/>
        <v>0</v>
      </c>
      <c r="AD471" s="53">
        <f t="shared" si="422"/>
        <v>0</v>
      </c>
      <c r="AE471" s="53">
        <f t="shared" si="422"/>
        <v>0</v>
      </c>
      <c r="AF471" s="53">
        <f t="shared" si="422"/>
        <v>0</v>
      </c>
      <c r="AG471" s="53">
        <f t="shared" si="422"/>
        <v>0</v>
      </c>
      <c r="AH471" s="53">
        <f t="shared" si="422"/>
        <v>0</v>
      </c>
      <c r="AI471" s="53">
        <f t="shared" si="422"/>
        <v>0</v>
      </c>
      <c r="AJ471" s="53">
        <f t="shared" si="422"/>
        <v>0</v>
      </c>
      <c r="AK471" s="53">
        <f t="shared" si="422"/>
        <v>0</v>
      </c>
      <c r="AL471" s="53">
        <f t="shared" si="422"/>
        <v>0</v>
      </c>
      <c r="AM471" s="53">
        <f t="shared" si="422"/>
        <v>0</v>
      </c>
      <c r="AN471" s="53">
        <f t="shared" si="422"/>
        <v>0</v>
      </c>
      <c r="AO471" s="53">
        <f t="shared" si="422"/>
        <v>0</v>
      </c>
      <c r="AP471" s="53">
        <f t="shared" si="422"/>
        <v>0</v>
      </c>
      <c r="AQ471" s="53">
        <f t="shared" si="422"/>
        <v>0</v>
      </c>
      <c r="AR471" s="53">
        <f t="shared" si="422"/>
        <v>0</v>
      </c>
      <c r="AS471" s="53">
        <f t="shared" si="422"/>
        <v>0</v>
      </c>
      <c r="AT471" s="53">
        <f t="shared" si="422"/>
        <v>0</v>
      </c>
      <c r="AU471" s="53">
        <f t="shared" si="422"/>
        <v>0</v>
      </c>
      <c r="AV471" s="53">
        <f t="shared" si="422"/>
        <v>0</v>
      </c>
      <c r="AW471" s="53">
        <f t="shared" si="422"/>
        <v>0</v>
      </c>
      <c r="AX471" s="53">
        <f t="shared" si="422"/>
        <v>0</v>
      </c>
      <c r="AY471" s="53">
        <f t="shared" si="422"/>
        <v>0</v>
      </c>
      <c r="AZ471" s="53">
        <f t="shared" si="422"/>
        <v>0</v>
      </c>
      <c r="BA471" s="53">
        <f t="shared" si="422"/>
        <v>0</v>
      </c>
      <c r="BB471" s="53">
        <f t="shared" si="422"/>
        <v>0</v>
      </c>
      <c r="BC471" s="53">
        <f t="shared" si="422"/>
        <v>0</v>
      </c>
      <c r="BD471" s="53">
        <f t="shared" si="422"/>
        <v>0</v>
      </c>
      <c r="BE471" s="53">
        <f t="shared" si="422"/>
        <v>0</v>
      </c>
      <c r="BF471" s="53">
        <f t="shared" si="422"/>
        <v>0</v>
      </c>
      <c r="BG471" s="53">
        <f t="shared" si="422"/>
        <v>0</v>
      </c>
      <c r="BH471" s="53">
        <f t="shared" si="422"/>
        <v>0</v>
      </c>
      <c r="BI471" s="53">
        <f t="shared" si="422"/>
        <v>0</v>
      </c>
      <c r="BJ471" s="53">
        <f t="shared" si="422"/>
        <v>0</v>
      </c>
      <c r="BK471" s="53">
        <f t="shared" si="422"/>
        <v>0</v>
      </c>
      <c r="BL471" s="53">
        <f t="shared" si="422"/>
        <v>0</v>
      </c>
      <c r="BM471" s="53">
        <f t="shared" si="422"/>
        <v>0</v>
      </c>
      <c r="BN471" s="53">
        <f t="shared" si="422"/>
        <v>0</v>
      </c>
      <c r="BO471" s="53">
        <f t="shared" ref="BO471:CX471" si="423">IFERROR(IF(BO$262=0,0,(BO212-BO213)/BO213),0)</f>
        <v>0</v>
      </c>
      <c r="BP471" s="53">
        <f t="shared" si="423"/>
        <v>0</v>
      </c>
      <c r="BQ471" s="53">
        <f t="shared" si="423"/>
        <v>0</v>
      </c>
      <c r="BR471" s="53">
        <f t="shared" si="423"/>
        <v>0</v>
      </c>
      <c r="BS471" s="53">
        <f t="shared" si="423"/>
        <v>0</v>
      </c>
      <c r="BT471" s="53">
        <f t="shared" si="423"/>
        <v>0</v>
      </c>
      <c r="BU471" s="53">
        <f t="shared" si="423"/>
        <v>0</v>
      </c>
      <c r="BV471" s="53">
        <f t="shared" si="423"/>
        <v>0</v>
      </c>
      <c r="BW471" s="53">
        <f t="shared" si="423"/>
        <v>0</v>
      </c>
      <c r="BX471" s="53">
        <f t="shared" si="423"/>
        <v>0</v>
      </c>
      <c r="BY471" s="53">
        <f t="shared" si="423"/>
        <v>0</v>
      </c>
      <c r="BZ471" s="53">
        <f t="shared" si="423"/>
        <v>0</v>
      </c>
      <c r="CA471" s="53">
        <f t="shared" si="423"/>
        <v>0</v>
      </c>
      <c r="CB471" s="53">
        <f t="shared" si="423"/>
        <v>0</v>
      </c>
      <c r="CC471" s="53">
        <f t="shared" si="423"/>
        <v>0</v>
      </c>
      <c r="CD471" s="53">
        <f t="shared" si="423"/>
        <v>0</v>
      </c>
      <c r="CE471" s="53">
        <f t="shared" si="423"/>
        <v>0</v>
      </c>
      <c r="CF471" s="53">
        <f t="shared" si="423"/>
        <v>0</v>
      </c>
      <c r="CG471" s="53">
        <f t="shared" si="423"/>
        <v>0</v>
      </c>
      <c r="CH471" s="53">
        <f t="shared" si="423"/>
        <v>0</v>
      </c>
      <c r="CI471" s="53">
        <f t="shared" si="423"/>
        <v>0</v>
      </c>
      <c r="CJ471" s="53">
        <f t="shared" si="423"/>
        <v>0</v>
      </c>
      <c r="CK471" s="53">
        <f t="shared" si="423"/>
        <v>0</v>
      </c>
      <c r="CL471" s="53">
        <f t="shared" si="423"/>
        <v>0</v>
      </c>
      <c r="CM471" s="53">
        <f t="shared" si="423"/>
        <v>0</v>
      </c>
      <c r="CN471" s="53">
        <f t="shared" si="423"/>
        <v>0</v>
      </c>
      <c r="CO471" s="53">
        <f t="shared" si="423"/>
        <v>0</v>
      </c>
      <c r="CP471" s="53">
        <f t="shared" si="423"/>
        <v>0</v>
      </c>
      <c r="CQ471" s="53">
        <f t="shared" si="423"/>
        <v>0</v>
      </c>
      <c r="CR471" s="53">
        <f t="shared" si="423"/>
        <v>0</v>
      </c>
      <c r="CS471" s="53">
        <f t="shared" si="423"/>
        <v>0</v>
      </c>
      <c r="CT471" s="53">
        <f t="shared" si="423"/>
        <v>0</v>
      </c>
      <c r="CU471" s="53">
        <f t="shared" si="423"/>
        <v>0</v>
      </c>
      <c r="CV471" s="53">
        <f t="shared" si="423"/>
        <v>0</v>
      </c>
      <c r="CW471" s="53">
        <f t="shared" si="423"/>
        <v>0</v>
      </c>
      <c r="CX471" s="53">
        <f t="shared" si="423"/>
        <v>0</v>
      </c>
      <c r="DB471" s="2" vm="720">
        <f ca="1">IF(Returns!A475&lt;&gt;0,Returns!A475,"")</f>
        <v>43493</v>
      </c>
      <c r="DC471" s="11">
        <f ca="1">IF(Returns!B486&gt;0,Returns!B486/Returns!B485-1,"")</f>
        <v>1.0108189641140353E-2</v>
      </c>
      <c r="DD471" s="11">
        <f ca="1">IF(Returns!D478&gt;0,Returns!D478/Returns!D477-1,"")</f>
        <v>5.7396893049088682E-3</v>
      </c>
    </row>
    <row r="472" spans="2:108" x14ac:dyDescent="0.3">
      <c r="B472" s="57">
        <f t="shared" ca="1" si="393"/>
        <v>1.2847324678208965E-2</v>
      </c>
      <c r="C472" s="53">
        <f t="shared" ref="C472:BN472" si="424">IFERROR(IF(C$262=0,0,(C213-C214)/C214),0)</f>
        <v>0</v>
      </c>
      <c r="D472" s="53">
        <f t="shared" si="424"/>
        <v>0</v>
      </c>
      <c r="E472" s="53">
        <f t="shared" si="424"/>
        <v>0</v>
      </c>
      <c r="F472" s="53">
        <f t="shared" si="424"/>
        <v>0</v>
      </c>
      <c r="G472" s="53">
        <f t="shared" si="424"/>
        <v>0</v>
      </c>
      <c r="H472" s="53">
        <f t="shared" si="424"/>
        <v>0</v>
      </c>
      <c r="I472" s="53">
        <f t="shared" si="424"/>
        <v>0</v>
      </c>
      <c r="J472" s="53">
        <f t="shared" si="424"/>
        <v>0</v>
      </c>
      <c r="K472" s="53">
        <f t="shared" si="424"/>
        <v>0</v>
      </c>
      <c r="L472" s="53">
        <f t="shared" si="424"/>
        <v>0</v>
      </c>
      <c r="M472" s="53">
        <f t="shared" si="424"/>
        <v>0</v>
      </c>
      <c r="N472" s="53">
        <f t="shared" si="424"/>
        <v>0</v>
      </c>
      <c r="O472" s="53">
        <f t="shared" si="424"/>
        <v>0</v>
      </c>
      <c r="P472" s="53">
        <f t="shared" si="424"/>
        <v>0</v>
      </c>
      <c r="Q472" s="53">
        <f t="shared" si="424"/>
        <v>0</v>
      </c>
      <c r="R472" s="53">
        <f t="shared" si="424"/>
        <v>0</v>
      </c>
      <c r="S472" s="53">
        <f t="shared" si="424"/>
        <v>0</v>
      </c>
      <c r="T472" s="53">
        <f t="shared" si="424"/>
        <v>0</v>
      </c>
      <c r="U472" s="53">
        <f t="shared" si="424"/>
        <v>0</v>
      </c>
      <c r="V472" s="53">
        <f t="shared" si="424"/>
        <v>0</v>
      </c>
      <c r="W472" s="53">
        <f t="shared" si="424"/>
        <v>0</v>
      </c>
      <c r="X472" s="53">
        <f t="shared" si="424"/>
        <v>0</v>
      </c>
      <c r="Y472" s="53">
        <f t="shared" si="424"/>
        <v>0</v>
      </c>
      <c r="Z472" s="53">
        <f t="shared" si="424"/>
        <v>0</v>
      </c>
      <c r="AA472" s="53">
        <f t="shared" si="424"/>
        <v>0</v>
      </c>
      <c r="AB472" s="53">
        <f t="shared" si="424"/>
        <v>0</v>
      </c>
      <c r="AC472" s="53">
        <f t="shared" si="424"/>
        <v>0</v>
      </c>
      <c r="AD472" s="53">
        <f t="shared" si="424"/>
        <v>0</v>
      </c>
      <c r="AE472" s="53">
        <f t="shared" si="424"/>
        <v>0</v>
      </c>
      <c r="AF472" s="53">
        <f t="shared" si="424"/>
        <v>0</v>
      </c>
      <c r="AG472" s="53">
        <f t="shared" si="424"/>
        <v>0</v>
      </c>
      <c r="AH472" s="53">
        <f t="shared" si="424"/>
        <v>0</v>
      </c>
      <c r="AI472" s="53">
        <f t="shared" si="424"/>
        <v>0</v>
      </c>
      <c r="AJ472" s="53">
        <f t="shared" si="424"/>
        <v>0</v>
      </c>
      <c r="AK472" s="53">
        <f t="shared" si="424"/>
        <v>0</v>
      </c>
      <c r="AL472" s="53">
        <f t="shared" si="424"/>
        <v>0</v>
      </c>
      <c r="AM472" s="53">
        <f t="shared" si="424"/>
        <v>0</v>
      </c>
      <c r="AN472" s="53">
        <f t="shared" si="424"/>
        <v>0</v>
      </c>
      <c r="AO472" s="53">
        <f t="shared" si="424"/>
        <v>0</v>
      </c>
      <c r="AP472" s="53">
        <f t="shared" si="424"/>
        <v>0</v>
      </c>
      <c r="AQ472" s="53">
        <f t="shared" si="424"/>
        <v>0</v>
      </c>
      <c r="AR472" s="53">
        <f t="shared" si="424"/>
        <v>0</v>
      </c>
      <c r="AS472" s="53">
        <f t="shared" si="424"/>
        <v>0</v>
      </c>
      <c r="AT472" s="53">
        <f t="shared" si="424"/>
        <v>0</v>
      </c>
      <c r="AU472" s="53">
        <f t="shared" si="424"/>
        <v>0</v>
      </c>
      <c r="AV472" s="53">
        <f t="shared" si="424"/>
        <v>0</v>
      </c>
      <c r="AW472" s="53">
        <f t="shared" si="424"/>
        <v>0</v>
      </c>
      <c r="AX472" s="53">
        <f t="shared" si="424"/>
        <v>0</v>
      </c>
      <c r="AY472" s="53">
        <f t="shared" si="424"/>
        <v>0</v>
      </c>
      <c r="AZ472" s="53">
        <f t="shared" si="424"/>
        <v>0</v>
      </c>
      <c r="BA472" s="53">
        <f t="shared" si="424"/>
        <v>0</v>
      </c>
      <c r="BB472" s="53">
        <f t="shared" si="424"/>
        <v>0</v>
      </c>
      <c r="BC472" s="53">
        <f t="shared" si="424"/>
        <v>0</v>
      </c>
      <c r="BD472" s="53">
        <f t="shared" si="424"/>
        <v>0</v>
      </c>
      <c r="BE472" s="53">
        <f t="shared" si="424"/>
        <v>0</v>
      </c>
      <c r="BF472" s="53">
        <f t="shared" si="424"/>
        <v>0</v>
      </c>
      <c r="BG472" s="53">
        <f t="shared" si="424"/>
        <v>0</v>
      </c>
      <c r="BH472" s="53">
        <f t="shared" si="424"/>
        <v>0</v>
      </c>
      <c r="BI472" s="53">
        <f t="shared" si="424"/>
        <v>0</v>
      </c>
      <c r="BJ472" s="53">
        <f t="shared" si="424"/>
        <v>0</v>
      </c>
      <c r="BK472" s="53">
        <f t="shared" si="424"/>
        <v>0</v>
      </c>
      <c r="BL472" s="53">
        <f t="shared" si="424"/>
        <v>0</v>
      </c>
      <c r="BM472" s="53">
        <f t="shared" si="424"/>
        <v>0</v>
      </c>
      <c r="BN472" s="53">
        <f t="shared" si="424"/>
        <v>0</v>
      </c>
      <c r="BO472" s="53">
        <f t="shared" ref="BO472:CX472" si="425">IFERROR(IF(BO$262=0,0,(BO213-BO214)/BO214),0)</f>
        <v>0</v>
      </c>
      <c r="BP472" s="53">
        <f t="shared" si="425"/>
        <v>0</v>
      </c>
      <c r="BQ472" s="53">
        <f t="shared" si="425"/>
        <v>0</v>
      </c>
      <c r="BR472" s="53">
        <f t="shared" si="425"/>
        <v>0</v>
      </c>
      <c r="BS472" s="53">
        <f t="shared" si="425"/>
        <v>0</v>
      </c>
      <c r="BT472" s="53">
        <f t="shared" si="425"/>
        <v>0</v>
      </c>
      <c r="BU472" s="53">
        <f t="shared" si="425"/>
        <v>0</v>
      </c>
      <c r="BV472" s="53">
        <f t="shared" si="425"/>
        <v>0</v>
      </c>
      <c r="BW472" s="53">
        <f t="shared" si="425"/>
        <v>0</v>
      </c>
      <c r="BX472" s="53">
        <f t="shared" si="425"/>
        <v>0</v>
      </c>
      <c r="BY472" s="53">
        <f t="shared" si="425"/>
        <v>0</v>
      </c>
      <c r="BZ472" s="53">
        <f t="shared" si="425"/>
        <v>0</v>
      </c>
      <c r="CA472" s="53">
        <f t="shared" si="425"/>
        <v>0</v>
      </c>
      <c r="CB472" s="53">
        <f t="shared" si="425"/>
        <v>0</v>
      </c>
      <c r="CC472" s="53">
        <f t="shared" si="425"/>
        <v>0</v>
      </c>
      <c r="CD472" s="53">
        <f t="shared" si="425"/>
        <v>0</v>
      </c>
      <c r="CE472" s="53">
        <f t="shared" si="425"/>
        <v>0</v>
      </c>
      <c r="CF472" s="53">
        <f t="shared" si="425"/>
        <v>0</v>
      </c>
      <c r="CG472" s="53">
        <f t="shared" si="425"/>
        <v>0</v>
      </c>
      <c r="CH472" s="53">
        <f t="shared" si="425"/>
        <v>0</v>
      </c>
      <c r="CI472" s="53">
        <f t="shared" si="425"/>
        <v>0</v>
      </c>
      <c r="CJ472" s="53">
        <f t="shared" si="425"/>
        <v>0</v>
      </c>
      <c r="CK472" s="53">
        <f t="shared" si="425"/>
        <v>0</v>
      </c>
      <c r="CL472" s="53">
        <f t="shared" si="425"/>
        <v>0</v>
      </c>
      <c r="CM472" s="53">
        <f t="shared" si="425"/>
        <v>0</v>
      </c>
      <c r="CN472" s="53">
        <f t="shared" si="425"/>
        <v>0</v>
      </c>
      <c r="CO472" s="53">
        <f t="shared" si="425"/>
        <v>0</v>
      </c>
      <c r="CP472" s="53">
        <f t="shared" si="425"/>
        <v>0</v>
      </c>
      <c r="CQ472" s="53">
        <f t="shared" si="425"/>
        <v>0</v>
      </c>
      <c r="CR472" s="53">
        <f t="shared" si="425"/>
        <v>0</v>
      </c>
      <c r="CS472" s="53">
        <f t="shared" si="425"/>
        <v>0</v>
      </c>
      <c r="CT472" s="53">
        <f t="shared" si="425"/>
        <v>0</v>
      </c>
      <c r="CU472" s="53">
        <f t="shared" si="425"/>
        <v>0</v>
      </c>
      <c r="CV472" s="53">
        <f t="shared" si="425"/>
        <v>0</v>
      </c>
      <c r="CW472" s="53">
        <f t="shared" si="425"/>
        <v>0</v>
      </c>
      <c r="CX472" s="53">
        <f t="shared" si="425"/>
        <v>0</v>
      </c>
      <c r="DB472" s="2" vm="721">
        <f ca="1">IF(Returns!A476&lt;&gt;0,Returns!A476,"")</f>
        <v>43500</v>
      </c>
      <c r="DC472" s="11">
        <f ca="1">IF(Returns!B487&gt;0,Returns!B487/Returns!B486-1,"")</f>
        <v>4.7773796926448453E-2</v>
      </c>
      <c r="DD472" s="11">
        <f ca="1">IF(Returns!D479&gt;0,Returns!D479/Returns!D478-1,"")</f>
        <v>-2.1098418071929803E-4</v>
      </c>
    </row>
    <row r="473" spans="2:108" x14ac:dyDescent="0.3">
      <c r="B473" s="57">
        <f t="shared" ca="1" si="393"/>
        <v>6.0893307472956616E-4</v>
      </c>
      <c r="C473" s="53">
        <f t="shared" ref="C473:BN473" si="426">IFERROR(IF(C$262=0,0,(C214-C215)/C215),0)</f>
        <v>0</v>
      </c>
      <c r="D473" s="53">
        <f t="shared" si="426"/>
        <v>0</v>
      </c>
      <c r="E473" s="53">
        <f t="shared" si="426"/>
        <v>0</v>
      </c>
      <c r="F473" s="53">
        <f t="shared" si="426"/>
        <v>0</v>
      </c>
      <c r="G473" s="53">
        <f t="shared" si="426"/>
        <v>0</v>
      </c>
      <c r="H473" s="53">
        <f t="shared" si="426"/>
        <v>0</v>
      </c>
      <c r="I473" s="53">
        <f t="shared" si="426"/>
        <v>0</v>
      </c>
      <c r="J473" s="53">
        <f t="shared" si="426"/>
        <v>0</v>
      </c>
      <c r="K473" s="53">
        <f t="shared" si="426"/>
        <v>0</v>
      </c>
      <c r="L473" s="53">
        <f t="shared" si="426"/>
        <v>0</v>
      </c>
      <c r="M473" s="53">
        <f t="shared" si="426"/>
        <v>0</v>
      </c>
      <c r="N473" s="53">
        <f t="shared" si="426"/>
        <v>0</v>
      </c>
      <c r="O473" s="53">
        <f t="shared" si="426"/>
        <v>0</v>
      </c>
      <c r="P473" s="53">
        <f t="shared" si="426"/>
        <v>0</v>
      </c>
      <c r="Q473" s="53">
        <f t="shared" si="426"/>
        <v>0</v>
      </c>
      <c r="R473" s="53">
        <f t="shared" si="426"/>
        <v>0</v>
      </c>
      <c r="S473" s="53">
        <f t="shared" si="426"/>
        <v>0</v>
      </c>
      <c r="T473" s="53">
        <f t="shared" si="426"/>
        <v>0</v>
      </c>
      <c r="U473" s="53">
        <f t="shared" si="426"/>
        <v>0</v>
      </c>
      <c r="V473" s="53">
        <f t="shared" si="426"/>
        <v>0</v>
      </c>
      <c r="W473" s="53">
        <f t="shared" si="426"/>
        <v>0</v>
      </c>
      <c r="X473" s="53">
        <f t="shared" si="426"/>
        <v>0</v>
      </c>
      <c r="Y473" s="53">
        <f t="shared" si="426"/>
        <v>0</v>
      </c>
      <c r="Z473" s="53">
        <f t="shared" si="426"/>
        <v>0</v>
      </c>
      <c r="AA473" s="53">
        <f t="shared" si="426"/>
        <v>0</v>
      </c>
      <c r="AB473" s="53">
        <f t="shared" si="426"/>
        <v>0</v>
      </c>
      <c r="AC473" s="53">
        <f t="shared" si="426"/>
        <v>0</v>
      </c>
      <c r="AD473" s="53">
        <f t="shared" si="426"/>
        <v>0</v>
      </c>
      <c r="AE473" s="53">
        <f t="shared" si="426"/>
        <v>0</v>
      </c>
      <c r="AF473" s="53">
        <f t="shared" si="426"/>
        <v>0</v>
      </c>
      <c r="AG473" s="53">
        <f t="shared" si="426"/>
        <v>0</v>
      </c>
      <c r="AH473" s="53">
        <f t="shared" si="426"/>
        <v>0</v>
      </c>
      <c r="AI473" s="53">
        <f t="shared" si="426"/>
        <v>0</v>
      </c>
      <c r="AJ473" s="53">
        <f t="shared" si="426"/>
        <v>0</v>
      </c>
      <c r="AK473" s="53">
        <f t="shared" si="426"/>
        <v>0</v>
      </c>
      <c r="AL473" s="53">
        <f t="shared" si="426"/>
        <v>0</v>
      </c>
      <c r="AM473" s="53">
        <f t="shared" si="426"/>
        <v>0</v>
      </c>
      <c r="AN473" s="53">
        <f t="shared" si="426"/>
        <v>0</v>
      </c>
      <c r="AO473" s="53">
        <f t="shared" si="426"/>
        <v>0</v>
      </c>
      <c r="AP473" s="53">
        <f t="shared" si="426"/>
        <v>0</v>
      </c>
      <c r="AQ473" s="53">
        <f t="shared" si="426"/>
        <v>0</v>
      </c>
      <c r="AR473" s="53">
        <f t="shared" si="426"/>
        <v>0</v>
      </c>
      <c r="AS473" s="53">
        <f t="shared" si="426"/>
        <v>0</v>
      </c>
      <c r="AT473" s="53">
        <f t="shared" si="426"/>
        <v>0</v>
      </c>
      <c r="AU473" s="53">
        <f t="shared" si="426"/>
        <v>0</v>
      </c>
      <c r="AV473" s="53">
        <f t="shared" si="426"/>
        <v>0</v>
      </c>
      <c r="AW473" s="53">
        <f t="shared" si="426"/>
        <v>0</v>
      </c>
      <c r="AX473" s="53">
        <f t="shared" si="426"/>
        <v>0</v>
      </c>
      <c r="AY473" s="53">
        <f t="shared" si="426"/>
        <v>0</v>
      </c>
      <c r="AZ473" s="53">
        <f t="shared" si="426"/>
        <v>0</v>
      </c>
      <c r="BA473" s="53">
        <f t="shared" si="426"/>
        <v>0</v>
      </c>
      <c r="BB473" s="53">
        <f t="shared" si="426"/>
        <v>0</v>
      </c>
      <c r="BC473" s="53">
        <f t="shared" si="426"/>
        <v>0</v>
      </c>
      <c r="BD473" s="53">
        <f t="shared" si="426"/>
        <v>0</v>
      </c>
      <c r="BE473" s="53">
        <f t="shared" si="426"/>
        <v>0</v>
      </c>
      <c r="BF473" s="53">
        <f t="shared" si="426"/>
        <v>0</v>
      </c>
      <c r="BG473" s="53">
        <f t="shared" si="426"/>
        <v>0</v>
      </c>
      <c r="BH473" s="53">
        <f t="shared" si="426"/>
        <v>0</v>
      </c>
      <c r="BI473" s="53">
        <f t="shared" si="426"/>
        <v>0</v>
      </c>
      <c r="BJ473" s="53">
        <f t="shared" si="426"/>
        <v>0</v>
      </c>
      <c r="BK473" s="53">
        <f t="shared" si="426"/>
        <v>0</v>
      </c>
      <c r="BL473" s="53">
        <f t="shared" si="426"/>
        <v>0</v>
      </c>
      <c r="BM473" s="53">
        <f t="shared" si="426"/>
        <v>0</v>
      </c>
      <c r="BN473" s="53">
        <f t="shared" si="426"/>
        <v>0</v>
      </c>
      <c r="BO473" s="53">
        <f t="shared" ref="BO473:CX473" si="427">IFERROR(IF(BO$262=0,0,(BO214-BO215)/BO215),0)</f>
        <v>0</v>
      </c>
      <c r="BP473" s="53">
        <f t="shared" si="427"/>
        <v>0</v>
      </c>
      <c r="BQ473" s="53">
        <f t="shared" si="427"/>
        <v>0</v>
      </c>
      <c r="BR473" s="53">
        <f t="shared" si="427"/>
        <v>0</v>
      </c>
      <c r="BS473" s="53">
        <f t="shared" si="427"/>
        <v>0</v>
      </c>
      <c r="BT473" s="53">
        <f t="shared" si="427"/>
        <v>0</v>
      </c>
      <c r="BU473" s="53">
        <f t="shared" si="427"/>
        <v>0</v>
      </c>
      <c r="BV473" s="53">
        <f t="shared" si="427"/>
        <v>0</v>
      </c>
      <c r="BW473" s="53">
        <f t="shared" si="427"/>
        <v>0</v>
      </c>
      <c r="BX473" s="53">
        <f t="shared" si="427"/>
        <v>0</v>
      </c>
      <c r="BY473" s="53">
        <f t="shared" si="427"/>
        <v>0</v>
      </c>
      <c r="BZ473" s="53">
        <f t="shared" si="427"/>
        <v>0</v>
      </c>
      <c r="CA473" s="53">
        <f t="shared" si="427"/>
        <v>0</v>
      </c>
      <c r="CB473" s="53">
        <f t="shared" si="427"/>
        <v>0</v>
      </c>
      <c r="CC473" s="53">
        <f t="shared" si="427"/>
        <v>0</v>
      </c>
      <c r="CD473" s="53">
        <f t="shared" si="427"/>
        <v>0</v>
      </c>
      <c r="CE473" s="53">
        <f t="shared" si="427"/>
        <v>0</v>
      </c>
      <c r="CF473" s="53">
        <f t="shared" si="427"/>
        <v>0</v>
      </c>
      <c r="CG473" s="53">
        <f t="shared" si="427"/>
        <v>0</v>
      </c>
      <c r="CH473" s="53">
        <f t="shared" si="427"/>
        <v>0</v>
      </c>
      <c r="CI473" s="53">
        <f t="shared" si="427"/>
        <v>0</v>
      </c>
      <c r="CJ473" s="53">
        <f t="shared" si="427"/>
        <v>0</v>
      </c>
      <c r="CK473" s="53">
        <f t="shared" si="427"/>
        <v>0</v>
      </c>
      <c r="CL473" s="53">
        <f t="shared" si="427"/>
        <v>0</v>
      </c>
      <c r="CM473" s="53">
        <f t="shared" si="427"/>
        <v>0</v>
      </c>
      <c r="CN473" s="53">
        <f t="shared" si="427"/>
        <v>0</v>
      </c>
      <c r="CO473" s="53">
        <f t="shared" si="427"/>
        <v>0</v>
      </c>
      <c r="CP473" s="53">
        <f t="shared" si="427"/>
        <v>0</v>
      </c>
      <c r="CQ473" s="53">
        <f t="shared" si="427"/>
        <v>0</v>
      </c>
      <c r="CR473" s="53">
        <f t="shared" si="427"/>
        <v>0</v>
      </c>
      <c r="CS473" s="53">
        <f t="shared" si="427"/>
        <v>0</v>
      </c>
      <c r="CT473" s="53">
        <f t="shared" si="427"/>
        <v>0</v>
      </c>
      <c r="CU473" s="53">
        <f t="shared" si="427"/>
        <v>0</v>
      </c>
      <c r="CV473" s="53">
        <f t="shared" si="427"/>
        <v>0</v>
      </c>
      <c r="CW473" s="53">
        <f t="shared" si="427"/>
        <v>0</v>
      </c>
      <c r="CX473" s="53">
        <f t="shared" si="427"/>
        <v>0</v>
      </c>
      <c r="DB473" s="2" vm="722">
        <f ca="1">IF(Returns!A477&lt;&gt;0,Returns!A477,"")</f>
        <v>43507</v>
      </c>
      <c r="DC473" s="11">
        <f ca="1">IF(Returns!B488&gt;0,Returns!B488/Returns!B487-1,"")</f>
        <v>6.0647072996931062E-3</v>
      </c>
      <c r="DD473" s="11">
        <f ca="1">IF(Returns!D480&gt;0,Returns!D480/Returns!D479-1,"")</f>
        <v>-2.2134337930838743E-2</v>
      </c>
    </row>
    <row r="474" spans="2:108" x14ac:dyDescent="0.3">
      <c r="B474" s="57">
        <f t="shared" ca="1" si="393"/>
        <v>6.900218049633698E-4</v>
      </c>
      <c r="C474" s="53">
        <f t="shared" ref="C474:BN474" si="428">IFERROR(IF(C$262=0,0,(C215-C216)/C216),0)</f>
        <v>0</v>
      </c>
      <c r="D474" s="53">
        <f t="shared" si="428"/>
        <v>0</v>
      </c>
      <c r="E474" s="53">
        <f t="shared" si="428"/>
        <v>0</v>
      </c>
      <c r="F474" s="53">
        <f t="shared" si="428"/>
        <v>0</v>
      </c>
      <c r="G474" s="53">
        <f t="shared" si="428"/>
        <v>0</v>
      </c>
      <c r="H474" s="53">
        <f t="shared" si="428"/>
        <v>0</v>
      </c>
      <c r="I474" s="53">
        <f t="shared" si="428"/>
        <v>0</v>
      </c>
      <c r="J474" s="53">
        <f t="shared" si="428"/>
        <v>0</v>
      </c>
      <c r="K474" s="53">
        <f t="shared" si="428"/>
        <v>0</v>
      </c>
      <c r="L474" s="53">
        <f t="shared" si="428"/>
        <v>0</v>
      </c>
      <c r="M474" s="53">
        <f t="shared" si="428"/>
        <v>0</v>
      </c>
      <c r="N474" s="53">
        <f t="shared" si="428"/>
        <v>0</v>
      </c>
      <c r="O474" s="53">
        <f t="shared" si="428"/>
        <v>0</v>
      </c>
      <c r="P474" s="53">
        <f t="shared" si="428"/>
        <v>0</v>
      </c>
      <c r="Q474" s="53">
        <f t="shared" si="428"/>
        <v>0</v>
      </c>
      <c r="R474" s="53">
        <f t="shared" si="428"/>
        <v>0</v>
      </c>
      <c r="S474" s="53">
        <f t="shared" si="428"/>
        <v>0</v>
      </c>
      <c r="T474" s="53">
        <f t="shared" si="428"/>
        <v>0</v>
      </c>
      <c r="U474" s="53">
        <f t="shared" si="428"/>
        <v>0</v>
      </c>
      <c r="V474" s="53">
        <f t="shared" si="428"/>
        <v>0</v>
      </c>
      <c r="W474" s="53">
        <f t="shared" si="428"/>
        <v>0</v>
      </c>
      <c r="X474" s="53">
        <f t="shared" si="428"/>
        <v>0</v>
      </c>
      <c r="Y474" s="53">
        <f t="shared" si="428"/>
        <v>0</v>
      </c>
      <c r="Z474" s="53">
        <f t="shared" si="428"/>
        <v>0</v>
      </c>
      <c r="AA474" s="53">
        <f t="shared" si="428"/>
        <v>0</v>
      </c>
      <c r="AB474" s="53">
        <f t="shared" si="428"/>
        <v>0</v>
      </c>
      <c r="AC474" s="53">
        <f t="shared" si="428"/>
        <v>0</v>
      </c>
      <c r="AD474" s="53">
        <f t="shared" si="428"/>
        <v>0</v>
      </c>
      <c r="AE474" s="53">
        <f t="shared" si="428"/>
        <v>0</v>
      </c>
      <c r="AF474" s="53">
        <f t="shared" si="428"/>
        <v>0</v>
      </c>
      <c r="AG474" s="53">
        <f t="shared" si="428"/>
        <v>0</v>
      </c>
      <c r="AH474" s="53">
        <f t="shared" si="428"/>
        <v>0</v>
      </c>
      <c r="AI474" s="53">
        <f t="shared" si="428"/>
        <v>0</v>
      </c>
      <c r="AJ474" s="53">
        <f t="shared" si="428"/>
        <v>0</v>
      </c>
      <c r="AK474" s="53">
        <f t="shared" si="428"/>
        <v>0</v>
      </c>
      <c r="AL474" s="53">
        <f t="shared" si="428"/>
        <v>0</v>
      </c>
      <c r="AM474" s="53">
        <f t="shared" si="428"/>
        <v>0</v>
      </c>
      <c r="AN474" s="53">
        <f t="shared" si="428"/>
        <v>0</v>
      </c>
      <c r="AO474" s="53">
        <f t="shared" si="428"/>
        <v>0</v>
      </c>
      <c r="AP474" s="53">
        <f t="shared" si="428"/>
        <v>0</v>
      </c>
      <c r="AQ474" s="53">
        <f t="shared" si="428"/>
        <v>0</v>
      </c>
      <c r="AR474" s="53">
        <f t="shared" si="428"/>
        <v>0</v>
      </c>
      <c r="AS474" s="53">
        <f t="shared" si="428"/>
        <v>0</v>
      </c>
      <c r="AT474" s="53">
        <f t="shared" si="428"/>
        <v>0</v>
      </c>
      <c r="AU474" s="53">
        <f t="shared" si="428"/>
        <v>0</v>
      </c>
      <c r="AV474" s="53">
        <f t="shared" si="428"/>
        <v>0</v>
      </c>
      <c r="AW474" s="53">
        <f t="shared" si="428"/>
        <v>0</v>
      </c>
      <c r="AX474" s="53">
        <f t="shared" si="428"/>
        <v>0</v>
      </c>
      <c r="AY474" s="53">
        <f t="shared" si="428"/>
        <v>0</v>
      </c>
      <c r="AZ474" s="53">
        <f t="shared" si="428"/>
        <v>0</v>
      </c>
      <c r="BA474" s="53">
        <f t="shared" si="428"/>
        <v>0</v>
      </c>
      <c r="BB474" s="53">
        <f t="shared" si="428"/>
        <v>0</v>
      </c>
      <c r="BC474" s="53">
        <f t="shared" si="428"/>
        <v>0</v>
      </c>
      <c r="BD474" s="53">
        <f t="shared" si="428"/>
        <v>0</v>
      </c>
      <c r="BE474" s="53">
        <f t="shared" si="428"/>
        <v>0</v>
      </c>
      <c r="BF474" s="53">
        <f t="shared" si="428"/>
        <v>0</v>
      </c>
      <c r="BG474" s="53">
        <f t="shared" si="428"/>
        <v>0</v>
      </c>
      <c r="BH474" s="53">
        <f t="shared" si="428"/>
        <v>0</v>
      </c>
      <c r="BI474" s="53">
        <f t="shared" si="428"/>
        <v>0</v>
      </c>
      <c r="BJ474" s="53">
        <f t="shared" si="428"/>
        <v>0</v>
      </c>
      <c r="BK474" s="53">
        <f t="shared" si="428"/>
        <v>0</v>
      </c>
      <c r="BL474" s="53">
        <f t="shared" si="428"/>
        <v>0</v>
      </c>
      <c r="BM474" s="53">
        <f t="shared" si="428"/>
        <v>0</v>
      </c>
      <c r="BN474" s="53">
        <f t="shared" si="428"/>
        <v>0</v>
      </c>
      <c r="BO474" s="53">
        <f t="shared" ref="BO474:CX474" si="429">IFERROR(IF(BO$262=0,0,(BO215-BO216)/BO216),0)</f>
        <v>0</v>
      </c>
      <c r="BP474" s="53">
        <f t="shared" si="429"/>
        <v>0</v>
      </c>
      <c r="BQ474" s="53">
        <f t="shared" si="429"/>
        <v>0</v>
      </c>
      <c r="BR474" s="53">
        <f t="shared" si="429"/>
        <v>0</v>
      </c>
      <c r="BS474" s="53">
        <f t="shared" si="429"/>
        <v>0</v>
      </c>
      <c r="BT474" s="53">
        <f t="shared" si="429"/>
        <v>0</v>
      </c>
      <c r="BU474" s="53">
        <f t="shared" si="429"/>
        <v>0</v>
      </c>
      <c r="BV474" s="53">
        <f t="shared" si="429"/>
        <v>0</v>
      </c>
      <c r="BW474" s="53">
        <f t="shared" si="429"/>
        <v>0</v>
      </c>
      <c r="BX474" s="53">
        <f t="shared" si="429"/>
        <v>0</v>
      </c>
      <c r="BY474" s="53">
        <f t="shared" si="429"/>
        <v>0</v>
      </c>
      <c r="BZ474" s="53">
        <f t="shared" si="429"/>
        <v>0</v>
      </c>
      <c r="CA474" s="53">
        <f t="shared" si="429"/>
        <v>0</v>
      </c>
      <c r="CB474" s="53">
        <f t="shared" si="429"/>
        <v>0</v>
      </c>
      <c r="CC474" s="53">
        <f t="shared" si="429"/>
        <v>0</v>
      </c>
      <c r="CD474" s="53">
        <f t="shared" si="429"/>
        <v>0</v>
      </c>
      <c r="CE474" s="53">
        <f t="shared" si="429"/>
        <v>0</v>
      </c>
      <c r="CF474" s="53">
        <f t="shared" si="429"/>
        <v>0</v>
      </c>
      <c r="CG474" s="53">
        <f t="shared" si="429"/>
        <v>0</v>
      </c>
      <c r="CH474" s="53">
        <f t="shared" si="429"/>
        <v>0</v>
      </c>
      <c r="CI474" s="53">
        <f t="shared" si="429"/>
        <v>0</v>
      </c>
      <c r="CJ474" s="53">
        <f t="shared" si="429"/>
        <v>0</v>
      </c>
      <c r="CK474" s="53">
        <f t="shared" si="429"/>
        <v>0</v>
      </c>
      <c r="CL474" s="53">
        <f t="shared" si="429"/>
        <v>0</v>
      </c>
      <c r="CM474" s="53">
        <f t="shared" si="429"/>
        <v>0</v>
      </c>
      <c r="CN474" s="53">
        <f t="shared" si="429"/>
        <v>0</v>
      </c>
      <c r="CO474" s="53">
        <f t="shared" si="429"/>
        <v>0</v>
      </c>
      <c r="CP474" s="53">
        <f t="shared" si="429"/>
        <v>0</v>
      </c>
      <c r="CQ474" s="53">
        <f t="shared" si="429"/>
        <v>0</v>
      </c>
      <c r="CR474" s="53">
        <f t="shared" si="429"/>
        <v>0</v>
      </c>
      <c r="CS474" s="53">
        <f t="shared" si="429"/>
        <v>0</v>
      </c>
      <c r="CT474" s="53">
        <f t="shared" si="429"/>
        <v>0</v>
      </c>
      <c r="CU474" s="53">
        <f t="shared" si="429"/>
        <v>0</v>
      </c>
      <c r="CV474" s="53">
        <f t="shared" si="429"/>
        <v>0</v>
      </c>
      <c r="CW474" s="53">
        <f t="shared" si="429"/>
        <v>0</v>
      </c>
      <c r="CX474" s="53">
        <f t="shared" si="429"/>
        <v>0</v>
      </c>
      <c r="DB474" s="2" vm="723">
        <f ca="1">IF(Returns!A478&lt;&gt;0,Returns!A478,"")</f>
        <v>43515</v>
      </c>
      <c r="DC474" s="11">
        <f ca="1">IF(Returns!B489&gt;0,Returns!B489/Returns!B488-1,"")</f>
        <v>-3.6933236855783091E-2</v>
      </c>
      <c r="DD474" s="11">
        <f ca="1">IF(Returns!D481&gt;0,Returns!D481/Returns!D480-1,"")</f>
        <v>1.5663049552389507E-2</v>
      </c>
    </row>
    <row r="475" spans="2:108" x14ac:dyDescent="0.3">
      <c r="B475" s="57">
        <f t="shared" ca="1" si="393"/>
        <v>4.415698047737034E-3</v>
      </c>
      <c r="C475" s="53">
        <f t="shared" ref="C475:BN475" si="430">IFERROR(IF(C$262=0,0,(C216-C217)/C217),0)</f>
        <v>0</v>
      </c>
      <c r="D475" s="53">
        <f t="shared" si="430"/>
        <v>0</v>
      </c>
      <c r="E475" s="53">
        <f t="shared" si="430"/>
        <v>0</v>
      </c>
      <c r="F475" s="53">
        <f t="shared" si="430"/>
        <v>0</v>
      </c>
      <c r="G475" s="53">
        <f t="shared" si="430"/>
        <v>0</v>
      </c>
      <c r="H475" s="53">
        <f t="shared" si="430"/>
        <v>0</v>
      </c>
      <c r="I475" s="53">
        <f t="shared" si="430"/>
        <v>0</v>
      </c>
      <c r="J475" s="53">
        <f t="shared" si="430"/>
        <v>0</v>
      </c>
      <c r="K475" s="53">
        <f t="shared" si="430"/>
        <v>0</v>
      </c>
      <c r="L475" s="53">
        <f t="shared" si="430"/>
        <v>0</v>
      </c>
      <c r="M475" s="53">
        <f t="shared" si="430"/>
        <v>0</v>
      </c>
      <c r="N475" s="53">
        <f t="shared" si="430"/>
        <v>0</v>
      </c>
      <c r="O475" s="53">
        <f t="shared" si="430"/>
        <v>0</v>
      </c>
      <c r="P475" s="53">
        <f t="shared" si="430"/>
        <v>0</v>
      </c>
      <c r="Q475" s="53">
        <f t="shared" si="430"/>
        <v>0</v>
      </c>
      <c r="R475" s="53">
        <f t="shared" si="430"/>
        <v>0</v>
      </c>
      <c r="S475" s="53">
        <f t="shared" si="430"/>
        <v>0</v>
      </c>
      <c r="T475" s="53">
        <f t="shared" si="430"/>
        <v>0</v>
      </c>
      <c r="U475" s="53">
        <f t="shared" si="430"/>
        <v>0</v>
      </c>
      <c r="V475" s="53">
        <f t="shared" si="430"/>
        <v>0</v>
      </c>
      <c r="W475" s="53">
        <f t="shared" si="430"/>
        <v>0</v>
      </c>
      <c r="X475" s="53">
        <f t="shared" si="430"/>
        <v>0</v>
      </c>
      <c r="Y475" s="53">
        <f t="shared" si="430"/>
        <v>0</v>
      </c>
      <c r="Z475" s="53">
        <f t="shared" si="430"/>
        <v>0</v>
      </c>
      <c r="AA475" s="53">
        <f t="shared" si="430"/>
        <v>0</v>
      </c>
      <c r="AB475" s="53">
        <f t="shared" si="430"/>
        <v>0</v>
      </c>
      <c r="AC475" s="53">
        <f t="shared" si="430"/>
        <v>0</v>
      </c>
      <c r="AD475" s="53">
        <f t="shared" si="430"/>
        <v>0</v>
      </c>
      <c r="AE475" s="53">
        <f t="shared" si="430"/>
        <v>0</v>
      </c>
      <c r="AF475" s="53">
        <f t="shared" si="430"/>
        <v>0</v>
      </c>
      <c r="AG475" s="53">
        <f t="shared" si="430"/>
        <v>0</v>
      </c>
      <c r="AH475" s="53">
        <f t="shared" si="430"/>
        <v>0</v>
      </c>
      <c r="AI475" s="53">
        <f t="shared" si="430"/>
        <v>0</v>
      </c>
      <c r="AJ475" s="53">
        <f t="shared" si="430"/>
        <v>0</v>
      </c>
      <c r="AK475" s="53">
        <f t="shared" si="430"/>
        <v>0</v>
      </c>
      <c r="AL475" s="53">
        <f t="shared" si="430"/>
        <v>0</v>
      </c>
      <c r="AM475" s="53">
        <f t="shared" si="430"/>
        <v>0</v>
      </c>
      <c r="AN475" s="53">
        <f t="shared" si="430"/>
        <v>0</v>
      </c>
      <c r="AO475" s="53">
        <f t="shared" si="430"/>
        <v>0</v>
      </c>
      <c r="AP475" s="53">
        <f t="shared" si="430"/>
        <v>0</v>
      </c>
      <c r="AQ475" s="53">
        <f t="shared" si="430"/>
        <v>0</v>
      </c>
      <c r="AR475" s="53">
        <f t="shared" si="430"/>
        <v>0</v>
      </c>
      <c r="AS475" s="53">
        <f t="shared" si="430"/>
        <v>0</v>
      </c>
      <c r="AT475" s="53">
        <f t="shared" si="430"/>
        <v>0</v>
      </c>
      <c r="AU475" s="53">
        <f t="shared" si="430"/>
        <v>0</v>
      </c>
      <c r="AV475" s="53">
        <f t="shared" si="430"/>
        <v>0</v>
      </c>
      <c r="AW475" s="53">
        <f t="shared" si="430"/>
        <v>0</v>
      </c>
      <c r="AX475" s="53">
        <f t="shared" si="430"/>
        <v>0</v>
      </c>
      <c r="AY475" s="53">
        <f t="shared" si="430"/>
        <v>0</v>
      </c>
      <c r="AZ475" s="53">
        <f t="shared" si="430"/>
        <v>0</v>
      </c>
      <c r="BA475" s="53">
        <f t="shared" si="430"/>
        <v>0</v>
      </c>
      <c r="BB475" s="53">
        <f t="shared" si="430"/>
        <v>0</v>
      </c>
      <c r="BC475" s="53">
        <f t="shared" si="430"/>
        <v>0</v>
      </c>
      <c r="BD475" s="53">
        <f t="shared" si="430"/>
        <v>0</v>
      </c>
      <c r="BE475" s="53">
        <f t="shared" si="430"/>
        <v>0</v>
      </c>
      <c r="BF475" s="53">
        <f t="shared" si="430"/>
        <v>0</v>
      </c>
      <c r="BG475" s="53">
        <f t="shared" si="430"/>
        <v>0</v>
      </c>
      <c r="BH475" s="53">
        <f t="shared" si="430"/>
        <v>0</v>
      </c>
      <c r="BI475" s="53">
        <f t="shared" si="430"/>
        <v>0</v>
      </c>
      <c r="BJ475" s="53">
        <f t="shared" si="430"/>
        <v>0</v>
      </c>
      <c r="BK475" s="53">
        <f t="shared" si="430"/>
        <v>0</v>
      </c>
      <c r="BL475" s="53">
        <f t="shared" si="430"/>
        <v>0</v>
      </c>
      <c r="BM475" s="53">
        <f t="shared" si="430"/>
        <v>0</v>
      </c>
      <c r="BN475" s="53">
        <f t="shared" si="430"/>
        <v>0</v>
      </c>
      <c r="BO475" s="53">
        <f t="shared" ref="BO475:CX475" si="431">IFERROR(IF(BO$262=0,0,(BO216-BO217)/BO217),0)</f>
        <v>0</v>
      </c>
      <c r="BP475" s="53">
        <f t="shared" si="431"/>
        <v>0</v>
      </c>
      <c r="BQ475" s="53">
        <f t="shared" si="431"/>
        <v>0</v>
      </c>
      <c r="BR475" s="53">
        <f t="shared" si="431"/>
        <v>0</v>
      </c>
      <c r="BS475" s="53">
        <f t="shared" si="431"/>
        <v>0</v>
      </c>
      <c r="BT475" s="53">
        <f t="shared" si="431"/>
        <v>0</v>
      </c>
      <c r="BU475" s="53">
        <f t="shared" si="431"/>
        <v>0</v>
      </c>
      <c r="BV475" s="53">
        <f t="shared" si="431"/>
        <v>0</v>
      </c>
      <c r="BW475" s="53">
        <f t="shared" si="431"/>
        <v>0</v>
      </c>
      <c r="BX475" s="53">
        <f t="shared" si="431"/>
        <v>0</v>
      </c>
      <c r="BY475" s="53">
        <f t="shared" si="431"/>
        <v>0</v>
      </c>
      <c r="BZ475" s="53">
        <f t="shared" si="431"/>
        <v>0</v>
      </c>
      <c r="CA475" s="53">
        <f t="shared" si="431"/>
        <v>0</v>
      </c>
      <c r="CB475" s="53">
        <f t="shared" si="431"/>
        <v>0</v>
      </c>
      <c r="CC475" s="53">
        <f t="shared" si="431"/>
        <v>0</v>
      </c>
      <c r="CD475" s="53">
        <f t="shared" si="431"/>
        <v>0</v>
      </c>
      <c r="CE475" s="53">
        <f t="shared" si="431"/>
        <v>0</v>
      </c>
      <c r="CF475" s="53">
        <f t="shared" si="431"/>
        <v>0</v>
      </c>
      <c r="CG475" s="53">
        <f t="shared" si="431"/>
        <v>0</v>
      </c>
      <c r="CH475" s="53">
        <f t="shared" si="431"/>
        <v>0</v>
      </c>
      <c r="CI475" s="53">
        <f t="shared" si="431"/>
        <v>0</v>
      </c>
      <c r="CJ475" s="53">
        <f t="shared" si="431"/>
        <v>0</v>
      </c>
      <c r="CK475" s="53">
        <f t="shared" si="431"/>
        <v>0</v>
      </c>
      <c r="CL475" s="53">
        <f t="shared" si="431"/>
        <v>0</v>
      </c>
      <c r="CM475" s="53">
        <f t="shared" si="431"/>
        <v>0</v>
      </c>
      <c r="CN475" s="53">
        <f t="shared" si="431"/>
        <v>0</v>
      </c>
      <c r="CO475" s="53">
        <f t="shared" si="431"/>
        <v>0</v>
      </c>
      <c r="CP475" s="53">
        <f t="shared" si="431"/>
        <v>0</v>
      </c>
      <c r="CQ475" s="53">
        <f t="shared" si="431"/>
        <v>0</v>
      </c>
      <c r="CR475" s="53">
        <f t="shared" si="431"/>
        <v>0</v>
      </c>
      <c r="CS475" s="53">
        <f t="shared" si="431"/>
        <v>0</v>
      </c>
      <c r="CT475" s="53">
        <f t="shared" si="431"/>
        <v>0</v>
      </c>
      <c r="CU475" s="53">
        <f t="shared" si="431"/>
        <v>0</v>
      </c>
      <c r="CV475" s="53">
        <f t="shared" si="431"/>
        <v>0</v>
      </c>
      <c r="CW475" s="53">
        <f t="shared" si="431"/>
        <v>0</v>
      </c>
      <c r="CX475" s="53">
        <f t="shared" si="431"/>
        <v>0</v>
      </c>
      <c r="DB475" s="2" vm="724">
        <f ca="1">IF(Returns!A479&lt;&gt;0,Returns!A479,"")</f>
        <v>43521</v>
      </c>
      <c r="DC475" s="11">
        <f ca="1">IF(Returns!B490&gt;0,Returns!B490/Returns!B489-1,"")</f>
        <v>-1.1100646567688499E-2</v>
      </c>
      <c r="DD475" s="11">
        <f ca="1">IF(Returns!D482&gt;0,Returns!D482/Returns!D481-1,"")</f>
        <v>-1.3406922468097049E-2</v>
      </c>
    </row>
    <row r="476" spans="2:108" x14ac:dyDescent="0.3">
      <c r="B476" s="57">
        <f t="shared" ca="1" si="393"/>
        <v>2.1264122417179337E-3</v>
      </c>
      <c r="C476" s="53">
        <f t="shared" ref="C476:BN476" si="432">IFERROR(IF(C$262=0,0,(C217-C218)/C218),0)</f>
        <v>0</v>
      </c>
      <c r="D476" s="53">
        <f t="shared" si="432"/>
        <v>0</v>
      </c>
      <c r="E476" s="53">
        <f t="shared" si="432"/>
        <v>0</v>
      </c>
      <c r="F476" s="53">
        <f t="shared" si="432"/>
        <v>0</v>
      </c>
      <c r="G476" s="53">
        <f t="shared" si="432"/>
        <v>0</v>
      </c>
      <c r="H476" s="53">
        <f t="shared" si="432"/>
        <v>0</v>
      </c>
      <c r="I476" s="53">
        <f t="shared" si="432"/>
        <v>0</v>
      </c>
      <c r="J476" s="53">
        <f t="shared" si="432"/>
        <v>0</v>
      </c>
      <c r="K476" s="53">
        <f t="shared" si="432"/>
        <v>0</v>
      </c>
      <c r="L476" s="53">
        <f t="shared" si="432"/>
        <v>0</v>
      </c>
      <c r="M476" s="53">
        <f t="shared" si="432"/>
        <v>0</v>
      </c>
      <c r="N476" s="53">
        <f t="shared" si="432"/>
        <v>0</v>
      </c>
      <c r="O476" s="53">
        <f t="shared" si="432"/>
        <v>0</v>
      </c>
      <c r="P476" s="53">
        <f t="shared" si="432"/>
        <v>0</v>
      </c>
      <c r="Q476" s="53">
        <f t="shared" si="432"/>
        <v>0</v>
      </c>
      <c r="R476" s="53">
        <f t="shared" si="432"/>
        <v>0</v>
      </c>
      <c r="S476" s="53">
        <f t="shared" si="432"/>
        <v>0</v>
      </c>
      <c r="T476" s="53">
        <f t="shared" si="432"/>
        <v>0</v>
      </c>
      <c r="U476" s="53">
        <f t="shared" si="432"/>
        <v>0</v>
      </c>
      <c r="V476" s="53">
        <f t="shared" si="432"/>
        <v>0</v>
      </c>
      <c r="W476" s="53">
        <f t="shared" si="432"/>
        <v>0</v>
      </c>
      <c r="X476" s="53">
        <f t="shared" si="432"/>
        <v>0</v>
      </c>
      <c r="Y476" s="53">
        <f t="shared" si="432"/>
        <v>0</v>
      </c>
      <c r="Z476" s="53">
        <f t="shared" si="432"/>
        <v>0</v>
      </c>
      <c r="AA476" s="53">
        <f t="shared" si="432"/>
        <v>0</v>
      </c>
      <c r="AB476" s="53">
        <f t="shared" si="432"/>
        <v>0</v>
      </c>
      <c r="AC476" s="53">
        <f t="shared" si="432"/>
        <v>0</v>
      </c>
      <c r="AD476" s="53">
        <f t="shared" si="432"/>
        <v>0</v>
      </c>
      <c r="AE476" s="53">
        <f t="shared" si="432"/>
        <v>0</v>
      </c>
      <c r="AF476" s="53">
        <f t="shared" si="432"/>
        <v>0</v>
      </c>
      <c r="AG476" s="53">
        <f t="shared" si="432"/>
        <v>0</v>
      </c>
      <c r="AH476" s="53">
        <f t="shared" si="432"/>
        <v>0</v>
      </c>
      <c r="AI476" s="53">
        <f t="shared" si="432"/>
        <v>0</v>
      </c>
      <c r="AJ476" s="53">
        <f t="shared" si="432"/>
        <v>0</v>
      </c>
      <c r="AK476" s="53">
        <f t="shared" si="432"/>
        <v>0</v>
      </c>
      <c r="AL476" s="53">
        <f t="shared" si="432"/>
        <v>0</v>
      </c>
      <c r="AM476" s="53">
        <f t="shared" si="432"/>
        <v>0</v>
      </c>
      <c r="AN476" s="53">
        <f t="shared" si="432"/>
        <v>0</v>
      </c>
      <c r="AO476" s="53">
        <f t="shared" si="432"/>
        <v>0</v>
      </c>
      <c r="AP476" s="53">
        <f t="shared" si="432"/>
        <v>0</v>
      </c>
      <c r="AQ476" s="53">
        <f t="shared" si="432"/>
        <v>0</v>
      </c>
      <c r="AR476" s="53">
        <f t="shared" si="432"/>
        <v>0</v>
      </c>
      <c r="AS476" s="53">
        <f t="shared" si="432"/>
        <v>0</v>
      </c>
      <c r="AT476" s="53">
        <f t="shared" si="432"/>
        <v>0</v>
      </c>
      <c r="AU476" s="53">
        <f t="shared" si="432"/>
        <v>0</v>
      </c>
      <c r="AV476" s="53">
        <f t="shared" si="432"/>
        <v>0</v>
      </c>
      <c r="AW476" s="53">
        <f t="shared" si="432"/>
        <v>0</v>
      </c>
      <c r="AX476" s="53">
        <f t="shared" si="432"/>
        <v>0</v>
      </c>
      <c r="AY476" s="53">
        <f t="shared" si="432"/>
        <v>0</v>
      </c>
      <c r="AZ476" s="53">
        <f t="shared" si="432"/>
        <v>0</v>
      </c>
      <c r="BA476" s="53">
        <f t="shared" si="432"/>
        <v>0</v>
      </c>
      <c r="BB476" s="53">
        <f t="shared" si="432"/>
        <v>0</v>
      </c>
      <c r="BC476" s="53">
        <f t="shared" si="432"/>
        <v>0</v>
      </c>
      <c r="BD476" s="53">
        <f t="shared" si="432"/>
        <v>0</v>
      </c>
      <c r="BE476" s="53">
        <f t="shared" si="432"/>
        <v>0</v>
      </c>
      <c r="BF476" s="53">
        <f t="shared" si="432"/>
        <v>0</v>
      </c>
      <c r="BG476" s="53">
        <f t="shared" si="432"/>
        <v>0</v>
      </c>
      <c r="BH476" s="53">
        <f t="shared" si="432"/>
        <v>0</v>
      </c>
      <c r="BI476" s="53">
        <f t="shared" si="432"/>
        <v>0</v>
      </c>
      <c r="BJ476" s="53">
        <f t="shared" si="432"/>
        <v>0</v>
      </c>
      <c r="BK476" s="53">
        <f t="shared" si="432"/>
        <v>0</v>
      </c>
      <c r="BL476" s="53">
        <f t="shared" si="432"/>
        <v>0</v>
      </c>
      <c r="BM476" s="53">
        <f t="shared" si="432"/>
        <v>0</v>
      </c>
      <c r="BN476" s="53">
        <f t="shared" si="432"/>
        <v>0</v>
      </c>
      <c r="BO476" s="53">
        <f t="shared" ref="BO476:CX476" si="433">IFERROR(IF(BO$262=0,0,(BO217-BO218)/BO218),0)</f>
        <v>0</v>
      </c>
      <c r="BP476" s="53">
        <f t="shared" si="433"/>
        <v>0</v>
      </c>
      <c r="BQ476" s="53">
        <f t="shared" si="433"/>
        <v>0</v>
      </c>
      <c r="BR476" s="53">
        <f t="shared" si="433"/>
        <v>0</v>
      </c>
      <c r="BS476" s="53">
        <f t="shared" si="433"/>
        <v>0</v>
      </c>
      <c r="BT476" s="53">
        <f t="shared" si="433"/>
        <v>0</v>
      </c>
      <c r="BU476" s="53">
        <f t="shared" si="433"/>
        <v>0</v>
      </c>
      <c r="BV476" s="53">
        <f t="shared" si="433"/>
        <v>0</v>
      </c>
      <c r="BW476" s="53">
        <f t="shared" si="433"/>
        <v>0</v>
      </c>
      <c r="BX476" s="53">
        <f t="shared" si="433"/>
        <v>0</v>
      </c>
      <c r="BY476" s="53">
        <f t="shared" si="433"/>
        <v>0</v>
      </c>
      <c r="BZ476" s="53">
        <f t="shared" si="433"/>
        <v>0</v>
      </c>
      <c r="CA476" s="53">
        <f t="shared" si="433"/>
        <v>0</v>
      </c>
      <c r="CB476" s="53">
        <f t="shared" si="433"/>
        <v>0</v>
      </c>
      <c r="CC476" s="53">
        <f t="shared" si="433"/>
        <v>0</v>
      </c>
      <c r="CD476" s="53">
        <f t="shared" si="433"/>
        <v>0</v>
      </c>
      <c r="CE476" s="53">
        <f t="shared" si="433"/>
        <v>0</v>
      </c>
      <c r="CF476" s="53">
        <f t="shared" si="433"/>
        <v>0</v>
      </c>
      <c r="CG476" s="53">
        <f t="shared" si="433"/>
        <v>0</v>
      </c>
      <c r="CH476" s="53">
        <f t="shared" si="433"/>
        <v>0</v>
      </c>
      <c r="CI476" s="53">
        <f t="shared" si="433"/>
        <v>0</v>
      </c>
      <c r="CJ476" s="53">
        <f t="shared" si="433"/>
        <v>0</v>
      </c>
      <c r="CK476" s="53">
        <f t="shared" si="433"/>
        <v>0</v>
      </c>
      <c r="CL476" s="53">
        <f t="shared" si="433"/>
        <v>0</v>
      </c>
      <c r="CM476" s="53">
        <f t="shared" si="433"/>
        <v>0</v>
      </c>
      <c r="CN476" s="53">
        <f t="shared" si="433"/>
        <v>0</v>
      </c>
      <c r="CO476" s="53">
        <f t="shared" si="433"/>
        <v>0</v>
      </c>
      <c r="CP476" s="53">
        <f t="shared" si="433"/>
        <v>0</v>
      </c>
      <c r="CQ476" s="53">
        <f t="shared" si="433"/>
        <v>0</v>
      </c>
      <c r="CR476" s="53">
        <f t="shared" si="433"/>
        <v>0</v>
      </c>
      <c r="CS476" s="53">
        <f t="shared" si="433"/>
        <v>0</v>
      </c>
      <c r="CT476" s="53">
        <f t="shared" si="433"/>
        <v>0</v>
      </c>
      <c r="CU476" s="53">
        <f t="shared" si="433"/>
        <v>0</v>
      </c>
      <c r="CV476" s="53">
        <f t="shared" si="433"/>
        <v>0</v>
      </c>
      <c r="CW476" s="53">
        <f t="shared" si="433"/>
        <v>0</v>
      </c>
      <c r="CX476" s="53">
        <f t="shared" si="433"/>
        <v>0</v>
      </c>
      <c r="DB476" s="2" vm="725">
        <f ca="1">IF(Returns!A480&lt;&gt;0,Returns!A480,"")</f>
        <v>43528</v>
      </c>
      <c r="DC476" s="11">
        <f ca="1">IF(Returns!B491&gt;0,Returns!B491/Returns!B490-1,"")</f>
        <v>-2.4462279293740008E-2</v>
      </c>
      <c r="DD476" s="11">
        <f ca="1">IF(Returns!D483&gt;0,Returns!D483/Returns!D482-1,"")</f>
        <v>1.6718512610413239E-2</v>
      </c>
    </row>
    <row r="477" spans="2:108" x14ac:dyDescent="0.3">
      <c r="B477" s="57">
        <f t="shared" ca="1" si="393"/>
        <v>2.4153159819254462E-3</v>
      </c>
      <c r="C477" s="53">
        <f t="shared" ref="C477:BN477" si="434">IFERROR(IF(C$262=0,0,(C218-C219)/C219),0)</f>
        <v>0</v>
      </c>
      <c r="D477" s="53">
        <f t="shared" si="434"/>
        <v>0</v>
      </c>
      <c r="E477" s="53">
        <f t="shared" si="434"/>
        <v>0</v>
      </c>
      <c r="F477" s="53">
        <f t="shared" si="434"/>
        <v>0</v>
      </c>
      <c r="G477" s="53">
        <f t="shared" si="434"/>
        <v>0</v>
      </c>
      <c r="H477" s="53">
        <f t="shared" si="434"/>
        <v>0</v>
      </c>
      <c r="I477" s="53">
        <f t="shared" si="434"/>
        <v>0</v>
      </c>
      <c r="J477" s="53">
        <f t="shared" si="434"/>
        <v>0</v>
      </c>
      <c r="K477" s="53">
        <f t="shared" si="434"/>
        <v>0</v>
      </c>
      <c r="L477" s="53">
        <f t="shared" si="434"/>
        <v>0</v>
      </c>
      <c r="M477" s="53">
        <f t="shared" si="434"/>
        <v>0</v>
      </c>
      <c r="N477" s="53">
        <f t="shared" si="434"/>
        <v>0</v>
      </c>
      <c r="O477" s="53">
        <f t="shared" si="434"/>
        <v>0</v>
      </c>
      <c r="P477" s="53">
        <f t="shared" si="434"/>
        <v>0</v>
      </c>
      <c r="Q477" s="53">
        <f t="shared" si="434"/>
        <v>0</v>
      </c>
      <c r="R477" s="53">
        <f t="shared" si="434"/>
        <v>0</v>
      </c>
      <c r="S477" s="53">
        <f t="shared" si="434"/>
        <v>0</v>
      </c>
      <c r="T477" s="53">
        <f t="shared" si="434"/>
        <v>0</v>
      </c>
      <c r="U477" s="53">
        <f t="shared" si="434"/>
        <v>0</v>
      </c>
      <c r="V477" s="53">
        <f t="shared" si="434"/>
        <v>0</v>
      </c>
      <c r="W477" s="53">
        <f t="shared" si="434"/>
        <v>0</v>
      </c>
      <c r="X477" s="53">
        <f t="shared" si="434"/>
        <v>0</v>
      </c>
      <c r="Y477" s="53">
        <f t="shared" si="434"/>
        <v>0</v>
      </c>
      <c r="Z477" s="53">
        <f t="shared" si="434"/>
        <v>0</v>
      </c>
      <c r="AA477" s="53">
        <f t="shared" si="434"/>
        <v>0</v>
      </c>
      <c r="AB477" s="53">
        <f t="shared" si="434"/>
        <v>0</v>
      </c>
      <c r="AC477" s="53">
        <f t="shared" si="434"/>
        <v>0</v>
      </c>
      <c r="AD477" s="53">
        <f t="shared" si="434"/>
        <v>0</v>
      </c>
      <c r="AE477" s="53">
        <f t="shared" si="434"/>
        <v>0</v>
      </c>
      <c r="AF477" s="53">
        <f t="shared" si="434"/>
        <v>0</v>
      </c>
      <c r="AG477" s="53">
        <f t="shared" si="434"/>
        <v>0</v>
      </c>
      <c r="AH477" s="53">
        <f t="shared" si="434"/>
        <v>0</v>
      </c>
      <c r="AI477" s="53">
        <f t="shared" si="434"/>
        <v>0</v>
      </c>
      <c r="AJ477" s="53">
        <f t="shared" si="434"/>
        <v>0</v>
      </c>
      <c r="AK477" s="53">
        <f t="shared" si="434"/>
        <v>0</v>
      </c>
      <c r="AL477" s="53">
        <f t="shared" si="434"/>
        <v>0</v>
      </c>
      <c r="AM477" s="53">
        <f t="shared" si="434"/>
        <v>0</v>
      </c>
      <c r="AN477" s="53">
        <f t="shared" si="434"/>
        <v>0</v>
      </c>
      <c r="AO477" s="53">
        <f t="shared" si="434"/>
        <v>0</v>
      </c>
      <c r="AP477" s="53">
        <f t="shared" si="434"/>
        <v>0</v>
      </c>
      <c r="AQ477" s="53">
        <f t="shared" si="434"/>
        <v>0</v>
      </c>
      <c r="AR477" s="53">
        <f t="shared" si="434"/>
        <v>0</v>
      </c>
      <c r="AS477" s="53">
        <f t="shared" si="434"/>
        <v>0</v>
      </c>
      <c r="AT477" s="53">
        <f t="shared" si="434"/>
        <v>0</v>
      </c>
      <c r="AU477" s="53">
        <f t="shared" si="434"/>
        <v>0</v>
      </c>
      <c r="AV477" s="53">
        <f t="shared" si="434"/>
        <v>0</v>
      </c>
      <c r="AW477" s="53">
        <f t="shared" si="434"/>
        <v>0</v>
      </c>
      <c r="AX477" s="53">
        <f t="shared" si="434"/>
        <v>0</v>
      </c>
      <c r="AY477" s="53">
        <f t="shared" si="434"/>
        <v>0</v>
      </c>
      <c r="AZ477" s="53">
        <f t="shared" si="434"/>
        <v>0</v>
      </c>
      <c r="BA477" s="53">
        <f t="shared" si="434"/>
        <v>0</v>
      </c>
      <c r="BB477" s="53">
        <f t="shared" si="434"/>
        <v>0</v>
      </c>
      <c r="BC477" s="53">
        <f t="shared" si="434"/>
        <v>0</v>
      </c>
      <c r="BD477" s="53">
        <f t="shared" si="434"/>
        <v>0</v>
      </c>
      <c r="BE477" s="53">
        <f t="shared" si="434"/>
        <v>0</v>
      </c>
      <c r="BF477" s="53">
        <f t="shared" si="434"/>
        <v>0</v>
      </c>
      <c r="BG477" s="53">
        <f t="shared" si="434"/>
        <v>0</v>
      </c>
      <c r="BH477" s="53">
        <f t="shared" si="434"/>
        <v>0</v>
      </c>
      <c r="BI477" s="53">
        <f t="shared" si="434"/>
        <v>0</v>
      </c>
      <c r="BJ477" s="53">
        <f t="shared" si="434"/>
        <v>0</v>
      </c>
      <c r="BK477" s="53">
        <f t="shared" si="434"/>
        <v>0</v>
      </c>
      <c r="BL477" s="53">
        <f t="shared" si="434"/>
        <v>0</v>
      </c>
      <c r="BM477" s="53">
        <f t="shared" si="434"/>
        <v>0</v>
      </c>
      <c r="BN477" s="53">
        <f t="shared" si="434"/>
        <v>0</v>
      </c>
      <c r="BO477" s="53">
        <f t="shared" ref="BO477:CX477" si="435">IFERROR(IF(BO$262=0,0,(BO218-BO219)/BO219),0)</f>
        <v>0</v>
      </c>
      <c r="BP477" s="53">
        <f t="shared" si="435"/>
        <v>0</v>
      </c>
      <c r="BQ477" s="53">
        <f t="shared" si="435"/>
        <v>0</v>
      </c>
      <c r="BR477" s="53">
        <f t="shared" si="435"/>
        <v>0</v>
      </c>
      <c r="BS477" s="53">
        <f t="shared" si="435"/>
        <v>0</v>
      </c>
      <c r="BT477" s="53">
        <f t="shared" si="435"/>
        <v>0</v>
      </c>
      <c r="BU477" s="53">
        <f t="shared" si="435"/>
        <v>0</v>
      </c>
      <c r="BV477" s="53">
        <f t="shared" si="435"/>
        <v>0</v>
      </c>
      <c r="BW477" s="53">
        <f t="shared" si="435"/>
        <v>0</v>
      </c>
      <c r="BX477" s="53">
        <f t="shared" si="435"/>
        <v>0</v>
      </c>
      <c r="BY477" s="53">
        <f t="shared" si="435"/>
        <v>0</v>
      </c>
      <c r="BZ477" s="53">
        <f t="shared" si="435"/>
        <v>0</v>
      </c>
      <c r="CA477" s="53">
        <f t="shared" si="435"/>
        <v>0</v>
      </c>
      <c r="CB477" s="53">
        <f t="shared" si="435"/>
        <v>0</v>
      </c>
      <c r="CC477" s="53">
        <f t="shared" si="435"/>
        <v>0</v>
      </c>
      <c r="CD477" s="53">
        <f t="shared" si="435"/>
        <v>0</v>
      </c>
      <c r="CE477" s="53">
        <f t="shared" si="435"/>
        <v>0</v>
      </c>
      <c r="CF477" s="53">
        <f t="shared" si="435"/>
        <v>0</v>
      </c>
      <c r="CG477" s="53">
        <f t="shared" si="435"/>
        <v>0</v>
      </c>
      <c r="CH477" s="53">
        <f t="shared" si="435"/>
        <v>0</v>
      </c>
      <c r="CI477" s="53">
        <f t="shared" si="435"/>
        <v>0</v>
      </c>
      <c r="CJ477" s="53">
        <f t="shared" si="435"/>
        <v>0</v>
      </c>
      <c r="CK477" s="53">
        <f t="shared" si="435"/>
        <v>0</v>
      </c>
      <c r="CL477" s="53">
        <f t="shared" si="435"/>
        <v>0</v>
      </c>
      <c r="CM477" s="53">
        <f t="shared" si="435"/>
        <v>0</v>
      </c>
      <c r="CN477" s="53">
        <f t="shared" si="435"/>
        <v>0</v>
      </c>
      <c r="CO477" s="53">
        <f t="shared" si="435"/>
        <v>0</v>
      </c>
      <c r="CP477" s="53">
        <f t="shared" si="435"/>
        <v>0</v>
      </c>
      <c r="CQ477" s="53">
        <f t="shared" si="435"/>
        <v>0</v>
      </c>
      <c r="CR477" s="53">
        <f t="shared" si="435"/>
        <v>0</v>
      </c>
      <c r="CS477" s="53">
        <f t="shared" si="435"/>
        <v>0</v>
      </c>
      <c r="CT477" s="53">
        <f t="shared" si="435"/>
        <v>0</v>
      </c>
      <c r="CU477" s="53">
        <f t="shared" si="435"/>
        <v>0</v>
      </c>
      <c r="CV477" s="53">
        <f t="shared" si="435"/>
        <v>0</v>
      </c>
      <c r="CW477" s="53">
        <f t="shared" si="435"/>
        <v>0</v>
      </c>
      <c r="CX477" s="53">
        <f t="shared" si="435"/>
        <v>0</v>
      </c>
      <c r="DB477" s="2" vm="726">
        <f ca="1">IF(Returns!A481&lt;&gt;0,Returns!A481,"")</f>
        <v>43535</v>
      </c>
      <c r="DC477" s="11">
        <f ca="1">IF(Returns!B492&gt;0,Returns!B492/Returns!B491-1,"")</f>
        <v>-2.6441358430959627E-2</v>
      </c>
      <c r="DD477" s="11">
        <f ca="1">IF(Returns!D484&gt;0,Returns!D484/Returns!D483-1,"")</f>
        <v>1.9141273357588418E-2</v>
      </c>
    </row>
    <row r="478" spans="2:108" x14ac:dyDescent="0.3">
      <c r="B478" s="57">
        <f t="shared" ca="1" si="393"/>
        <v>7.2255886773395976E-4</v>
      </c>
      <c r="C478" s="53">
        <f t="shared" ref="C478:BN478" si="436">IFERROR(IF(C$262=0,0,(C219-C220)/C220),0)</f>
        <v>0</v>
      </c>
      <c r="D478" s="53">
        <f t="shared" si="436"/>
        <v>0</v>
      </c>
      <c r="E478" s="53">
        <f t="shared" si="436"/>
        <v>0</v>
      </c>
      <c r="F478" s="53">
        <f t="shared" si="436"/>
        <v>0</v>
      </c>
      <c r="G478" s="53">
        <f t="shared" si="436"/>
        <v>0</v>
      </c>
      <c r="H478" s="53">
        <f t="shared" si="436"/>
        <v>0</v>
      </c>
      <c r="I478" s="53">
        <f t="shared" si="436"/>
        <v>0</v>
      </c>
      <c r="J478" s="53">
        <f t="shared" si="436"/>
        <v>0</v>
      </c>
      <c r="K478" s="53">
        <f t="shared" si="436"/>
        <v>0</v>
      </c>
      <c r="L478" s="53">
        <f t="shared" si="436"/>
        <v>0</v>
      </c>
      <c r="M478" s="53">
        <f t="shared" si="436"/>
        <v>0</v>
      </c>
      <c r="N478" s="53">
        <f t="shared" si="436"/>
        <v>0</v>
      </c>
      <c r="O478" s="53">
        <f t="shared" si="436"/>
        <v>0</v>
      </c>
      <c r="P478" s="53">
        <f t="shared" si="436"/>
        <v>0</v>
      </c>
      <c r="Q478" s="53">
        <f t="shared" si="436"/>
        <v>0</v>
      </c>
      <c r="R478" s="53">
        <f t="shared" si="436"/>
        <v>0</v>
      </c>
      <c r="S478" s="53">
        <f t="shared" si="436"/>
        <v>0</v>
      </c>
      <c r="T478" s="53">
        <f t="shared" si="436"/>
        <v>0</v>
      </c>
      <c r="U478" s="53">
        <f t="shared" si="436"/>
        <v>0</v>
      </c>
      <c r="V478" s="53">
        <f t="shared" si="436"/>
        <v>0</v>
      </c>
      <c r="W478" s="53">
        <f t="shared" si="436"/>
        <v>0</v>
      </c>
      <c r="X478" s="53">
        <f t="shared" si="436"/>
        <v>0</v>
      </c>
      <c r="Y478" s="53">
        <f t="shared" si="436"/>
        <v>0</v>
      </c>
      <c r="Z478" s="53">
        <f t="shared" si="436"/>
        <v>0</v>
      </c>
      <c r="AA478" s="53">
        <f t="shared" si="436"/>
        <v>0</v>
      </c>
      <c r="AB478" s="53">
        <f t="shared" si="436"/>
        <v>0</v>
      </c>
      <c r="AC478" s="53">
        <f t="shared" si="436"/>
        <v>0</v>
      </c>
      <c r="AD478" s="53">
        <f t="shared" si="436"/>
        <v>0</v>
      </c>
      <c r="AE478" s="53">
        <f t="shared" si="436"/>
        <v>0</v>
      </c>
      <c r="AF478" s="53">
        <f t="shared" si="436"/>
        <v>0</v>
      </c>
      <c r="AG478" s="53">
        <f t="shared" si="436"/>
        <v>0</v>
      </c>
      <c r="AH478" s="53">
        <f t="shared" si="436"/>
        <v>0</v>
      </c>
      <c r="AI478" s="53">
        <f t="shared" si="436"/>
        <v>0</v>
      </c>
      <c r="AJ478" s="53">
        <f t="shared" si="436"/>
        <v>0</v>
      </c>
      <c r="AK478" s="53">
        <f t="shared" si="436"/>
        <v>0</v>
      </c>
      <c r="AL478" s="53">
        <f t="shared" si="436"/>
        <v>0</v>
      </c>
      <c r="AM478" s="53">
        <f t="shared" si="436"/>
        <v>0</v>
      </c>
      <c r="AN478" s="53">
        <f t="shared" si="436"/>
        <v>0</v>
      </c>
      <c r="AO478" s="53">
        <f t="shared" si="436"/>
        <v>0</v>
      </c>
      <c r="AP478" s="53">
        <f t="shared" si="436"/>
        <v>0</v>
      </c>
      <c r="AQ478" s="53">
        <f t="shared" si="436"/>
        <v>0</v>
      </c>
      <c r="AR478" s="53">
        <f t="shared" si="436"/>
        <v>0</v>
      </c>
      <c r="AS478" s="53">
        <f t="shared" si="436"/>
        <v>0</v>
      </c>
      <c r="AT478" s="53">
        <f t="shared" si="436"/>
        <v>0</v>
      </c>
      <c r="AU478" s="53">
        <f t="shared" si="436"/>
        <v>0</v>
      </c>
      <c r="AV478" s="53">
        <f t="shared" si="436"/>
        <v>0</v>
      </c>
      <c r="AW478" s="53">
        <f t="shared" si="436"/>
        <v>0</v>
      </c>
      <c r="AX478" s="53">
        <f t="shared" si="436"/>
        <v>0</v>
      </c>
      <c r="AY478" s="53">
        <f t="shared" si="436"/>
        <v>0</v>
      </c>
      <c r="AZ478" s="53">
        <f t="shared" si="436"/>
        <v>0</v>
      </c>
      <c r="BA478" s="53">
        <f t="shared" si="436"/>
        <v>0</v>
      </c>
      <c r="BB478" s="53">
        <f t="shared" si="436"/>
        <v>0</v>
      </c>
      <c r="BC478" s="53">
        <f t="shared" si="436"/>
        <v>0</v>
      </c>
      <c r="BD478" s="53">
        <f t="shared" si="436"/>
        <v>0</v>
      </c>
      <c r="BE478" s="53">
        <f t="shared" si="436"/>
        <v>0</v>
      </c>
      <c r="BF478" s="53">
        <f t="shared" si="436"/>
        <v>0</v>
      </c>
      <c r="BG478" s="53">
        <f t="shared" si="436"/>
        <v>0</v>
      </c>
      <c r="BH478" s="53">
        <f t="shared" si="436"/>
        <v>0</v>
      </c>
      <c r="BI478" s="53">
        <f t="shared" si="436"/>
        <v>0</v>
      </c>
      <c r="BJ478" s="53">
        <f t="shared" si="436"/>
        <v>0</v>
      </c>
      <c r="BK478" s="53">
        <f t="shared" si="436"/>
        <v>0</v>
      </c>
      <c r="BL478" s="53">
        <f t="shared" si="436"/>
        <v>0</v>
      </c>
      <c r="BM478" s="53">
        <f t="shared" si="436"/>
        <v>0</v>
      </c>
      <c r="BN478" s="53">
        <f t="shared" si="436"/>
        <v>0</v>
      </c>
      <c r="BO478" s="53">
        <f t="shared" ref="BO478:CX478" si="437">IFERROR(IF(BO$262=0,0,(BO219-BO220)/BO220),0)</f>
        <v>0</v>
      </c>
      <c r="BP478" s="53">
        <f t="shared" si="437"/>
        <v>0</v>
      </c>
      <c r="BQ478" s="53">
        <f t="shared" si="437"/>
        <v>0</v>
      </c>
      <c r="BR478" s="53">
        <f t="shared" si="437"/>
        <v>0</v>
      </c>
      <c r="BS478" s="53">
        <f t="shared" si="437"/>
        <v>0</v>
      </c>
      <c r="BT478" s="53">
        <f t="shared" si="437"/>
        <v>0</v>
      </c>
      <c r="BU478" s="53">
        <f t="shared" si="437"/>
        <v>0</v>
      </c>
      <c r="BV478" s="53">
        <f t="shared" si="437"/>
        <v>0</v>
      </c>
      <c r="BW478" s="53">
        <f t="shared" si="437"/>
        <v>0</v>
      </c>
      <c r="BX478" s="53">
        <f t="shared" si="437"/>
        <v>0</v>
      </c>
      <c r="BY478" s="53">
        <f t="shared" si="437"/>
        <v>0</v>
      </c>
      <c r="BZ478" s="53">
        <f t="shared" si="437"/>
        <v>0</v>
      </c>
      <c r="CA478" s="53">
        <f t="shared" si="437"/>
        <v>0</v>
      </c>
      <c r="CB478" s="53">
        <f t="shared" si="437"/>
        <v>0</v>
      </c>
      <c r="CC478" s="53">
        <f t="shared" si="437"/>
        <v>0</v>
      </c>
      <c r="CD478" s="53">
        <f t="shared" si="437"/>
        <v>0</v>
      </c>
      <c r="CE478" s="53">
        <f t="shared" si="437"/>
        <v>0</v>
      </c>
      <c r="CF478" s="53">
        <f t="shared" si="437"/>
        <v>0</v>
      </c>
      <c r="CG478" s="53">
        <f t="shared" si="437"/>
        <v>0</v>
      </c>
      <c r="CH478" s="53">
        <f t="shared" si="437"/>
        <v>0</v>
      </c>
      <c r="CI478" s="53">
        <f t="shared" si="437"/>
        <v>0</v>
      </c>
      <c r="CJ478" s="53">
        <f t="shared" si="437"/>
        <v>0</v>
      </c>
      <c r="CK478" s="53">
        <f t="shared" si="437"/>
        <v>0</v>
      </c>
      <c r="CL478" s="53">
        <f t="shared" si="437"/>
        <v>0</v>
      </c>
      <c r="CM478" s="53">
        <f t="shared" si="437"/>
        <v>0</v>
      </c>
      <c r="CN478" s="53">
        <f t="shared" si="437"/>
        <v>0</v>
      </c>
      <c r="CO478" s="53">
        <f t="shared" si="437"/>
        <v>0</v>
      </c>
      <c r="CP478" s="53">
        <f t="shared" si="437"/>
        <v>0</v>
      </c>
      <c r="CQ478" s="53">
        <f t="shared" si="437"/>
        <v>0</v>
      </c>
      <c r="CR478" s="53">
        <f t="shared" si="437"/>
        <v>0</v>
      </c>
      <c r="CS478" s="53">
        <f t="shared" si="437"/>
        <v>0</v>
      </c>
      <c r="CT478" s="53">
        <f t="shared" si="437"/>
        <v>0</v>
      </c>
      <c r="CU478" s="53">
        <f t="shared" si="437"/>
        <v>0</v>
      </c>
      <c r="CV478" s="53">
        <f t="shared" si="437"/>
        <v>0</v>
      </c>
      <c r="CW478" s="53">
        <f t="shared" si="437"/>
        <v>0</v>
      </c>
      <c r="CX478" s="53">
        <f t="shared" si="437"/>
        <v>0</v>
      </c>
      <c r="DB478" s="2" vm="727">
        <f ca="1">IF(Returns!A482&lt;&gt;0,Returns!A482,"")</f>
        <v>43542</v>
      </c>
      <c r="DC478" s="11">
        <f ca="1">IF(Returns!B493&gt;0,Returns!B493/Returns!B492-1,"")</f>
        <v>1.6314849555228772E-2</v>
      </c>
      <c r="DD478" s="11">
        <f ca="1">IF(Returns!D485&gt;0,Returns!D485/Returns!D484-1,"")</f>
        <v>-4.7995107297160722E-4</v>
      </c>
    </row>
    <row r="479" spans="2:108" x14ac:dyDescent="0.3">
      <c r="B479" s="57">
        <f t="shared" ca="1" si="393"/>
        <v>8.5690408311621547E-3</v>
      </c>
      <c r="C479" s="53">
        <f t="shared" ref="C479:BN479" si="438">IFERROR(IF(C$262=0,0,(C220-C221)/C221),0)</f>
        <v>0</v>
      </c>
      <c r="D479" s="53">
        <f t="shared" si="438"/>
        <v>0</v>
      </c>
      <c r="E479" s="53">
        <f t="shared" si="438"/>
        <v>0</v>
      </c>
      <c r="F479" s="53">
        <f t="shared" si="438"/>
        <v>0</v>
      </c>
      <c r="G479" s="53">
        <f t="shared" si="438"/>
        <v>0</v>
      </c>
      <c r="H479" s="53">
        <f t="shared" si="438"/>
        <v>0</v>
      </c>
      <c r="I479" s="53">
        <f t="shared" si="438"/>
        <v>0</v>
      </c>
      <c r="J479" s="53">
        <f t="shared" si="438"/>
        <v>0</v>
      </c>
      <c r="K479" s="53">
        <f t="shared" si="438"/>
        <v>0</v>
      </c>
      <c r="L479" s="53">
        <f t="shared" si="438"/>
        <v>0</v>
      </c>
      <c r="M479" s="53">
        <f t="shared" si="438"/>
        <v>0</v>
      </c>
      <c r="N479" s="53">
        <f t="shared" si="438"/>
        <v>0</v>
      </c>
      <c r="O479" s="53">
        <f t="shared" si="438"/>
        <v>0</v>
      </c>
      <c r="P479" s="53">
        <f t="shared" si="438"/>
        <v>0</v>
      </c>
      <c r="Q479" s="53">
        <f t="shared" si="438"/>
        <v>0</v>
      </c>
      <c r="R479" s="53">
        <f t="shared" si="438"/>
        <v>0</v>
      </c>
      <c r="S479" s="53">
        <f t="shared" si="438"/>
        <v>0</v>
      </c>
      <c r="T479" s="53">
        <f t="shared" si="438"/>
        <v>0</v>
      </c>
      <c r="U479" s="53">
        <f t="shared" si="438"/>
        <v>0</v>
      </c>
      <c r="V479" s="53">
        <f t="shared" si="438"/>
        <v>0</v>
      </c>
      <c r="W479" s="53">
        <f t="shared" si="438"/>
        <v>0</v>
      </c>
      <c r="X479" s="53">
        <f t="shared" si="438"/>
        <v>0</v>
      </c>
      <c r="Y479" s="53">
        <f t="shared" si="438"/>
        <v>0</v>
      </c>
      <c r="Z479" s="53">
        <f t="shared" si="438"/>
        <v>0</v>
      </c>
      <c r="AA479" s="53">
        <f t="shared" si="438"/>
        <v>0</v>
      </c>
      <c r="AB479" s="53">
        <f t="shared" si="438"/>
        <v>0</v>
      </c>
      <c r="AC479" s="53">
        <f t="shared" si="438"/>
        <v>0</v>
      </c>
      <c r="AD479" s="53">
        <f t="shared" si="438"/>
        <v>0</v>
      </c>
      <c r="AE479" s="53">
        <f t="shared" si="438"/>
        <v>0</v>
      </c>
      <c r="AF479" s="53">
        <f t="shared" si="438"/>
        <v>0</v>
      </c>
      <c r="AG479" s="53">
        <f t="shared" si="438"/>
        <v>0</v>
      </c>
      <c r="AH479" s="53">
        <f t="shared" si="438"/>
        <v>0</v>
      </c>
      <c r="AI479" s="53">
        <f t="shared" si="438"/>
        <v>0</v>
      </c>
      <c r="AJ479" s="53">
        <f t="shared" si="438"/>
        <v>0</v>
      </c>
      <c r="AK479" s="53">
        <f t="shared" si="438"/>
        <v>0</v>
      </c>
      <c r="AL479" s="53">
        <f t="shared" si="438"/>
        <v>0</v>
      </c>
      <c r="AM479" s="53">
        <f t="shared" si="438"/>
        <v>0</v>
      </c>
      <c r="AN479" s="53">
        <f t="shared" si="438"/>
        <v>0</v>
      </c>
      <c r="AO479" s="53">
        <f t="shared" si="438"/>
        <v>0</v>
      </c>
      <c r="AP479" s="53">
        <f t="shared" si="438"/>
        <v>0</v>
      </c>
      <c r="AQ479" s="53">
        <f t="shared" si="438"/>
        <v>0</v>
      </c>
      <c r="AR479" s="53">
        <f t="shared" si="438"/>
        <v>0</v>
      </c>
      <c r="AS479" s="53">
        <f t="shared" si="438"/>
        <v>0</v>
      </c>
      <c r="AT479" s="53">
        <f t="shared" si="438"/>
        <v>0</v>
      </c>
      <c r="AU479" s="53">
        <f t="shared" si="438"/>
        <v>0</v>
      </c>
      <c r="AV479" s="53">
        <f t="shared" si="438"/>
        <v>0</v>
      </c>
      <c r="AW479" s="53">
        <f t="shared" si="438"/>
        <v>0</v>
      </c>
      <c r="AX479" s="53">
        <f t="shared" si="438"/>
        <v>0</v>
      </c>
      <c r="AY479" s="53">
        <f t="shared" si="438"/>
        <v>0</v>
      </c>
      <c r="AZ479" s="53">
        <f t="shared" si="438"/>
        <v>0</v>
      </c>
      <c r="BA479" s="53">
        <f t="shared" si="438"/>
        <v>0</v>
      </c>
      <c r="BB479" s="53">
        <f t="shared" si="438"/>
        <v>0</v>
      </c>
      <c r="BC479" s="53">
        <f t="shared" si="438"/>
        <v>0</v>
      </c>
      <c r="BD479" s="53">
        <f t="shared" si="438"/>
        <v>0</v>
      </c>
      <c r="BE479" s="53">
        <f t="shared" si="438"/>
        <v>0</v>
      </c>
      <c r="BF479" s="53">
        <f t="shared" si="438"/>
        <v>0</v>
      </c>
      <c r="BG479" s="53">
        <f t="shared" si="438"/>
        <v>0</v>
      </c>
      <c r="BH479" s="53">
        <f t="shared" si="438"/>
        <v>0</v>
      </c>
      <c r="BI479" s="53">
        <f t="shared" si="438"/>
        <v>0</v>
      </c>
      <c r="BJ479" s="53">
        <f t="shared" si="438"/>
        <v>0</v>
      </c>
      <c r="BK479" s="53">
        <f t="shared" si="438"/>
        <v>0</v>
      </c>
      <c r="BL479" s="53">
        <f t="shared" si="438"/>
        <v>0</v>
      </c>
      <c r="BM479" s="53">
        <f t="shared" si="438"/>
        <v>0</v>
      </c>
      <c r="BN479" s="53">
        <f t="shared" si="438"/>
        <v>0</v>
      </c>
      <c r="BO479" s="53">
        <f t="shared" ref="BO479:CX479" si="439">IFERROR(IF(BO$262=0,0,(BO220-BO221)/BO221),0)</f>
        <v>0</v>
      </c>
      <c r="BP479" s="53">
        <f t="shared" si="439"/>
        <v>0</v>
      </c>
      <c r="BQ479" s="53">
        <f t="shared" si="439"/>
        <v>0</v>
      </c>
      <c r="BR479" s="53">
        <f t="shared" si="439"/>
        <v>0</v>
      </c>
      <c r="BS479" s="53">
        <f t="shared" si="439"/>
        <v>0</v>
      </c>
      <c r="BT479" s="53">
        <f t="shared" si="439"/>
        <v>0</v>
      </c>
      <c r="BU479" s="53">
        <f t="shared" si="439"/>
        <v>0</v>
      </c>
      <c r="BV479" s="53">
        <f t="shared" si="439"/>
        <v>0</v>
      </c>
      <c r="BW479" s="53">
        <f t="shared" si="439"/>
        <v>0</v>
      </c>
      <c r="BX479" s="53">
        <f t="shared" si="439"/>
        <v>0</v>
      </c>
      <c r="BY479" s="53">
        <f t="shared" si="439"/>
        <v>0</v>
      </c>
      <c r="BZ479" s="53">
        <f t="shared" si="439"/>
        <v>0</v>
      </c>
      <c r="CA479" s="53">
        <f t="shared" si="439"/>
        <v>0</v>
      </c>
      <c r="CB479" s="53">
        <f t="shared" si="439"/>
        <v>0</v>
      </c>
      <c r="CC479" s="53">
        <f t="shared" si="439"/>
        <v>0</v>
      </c>
      <c r="CD479" s="53">
        <f t="shared" si="439"/>
        <v>0</v>
      </c>
      <c r="CE479" s="53">
        <f t="shared" si="439"/>
        <v>0</v>
      </c>
      <c r="CF479" s="53">
        <f t="shared" si="439"/>
        <v>0</v>
      </c>
      <c r="CG479" s="53">
        <f t="shared" si="439"/>
        <v>0</v>
      </c>
      <c r="CH479" s="53">
        <f t="shared" si="439"/>
        <v>0</v>
      </c>
      <c r="CI479" s="53">
        <f t="shared" si="439"/>
        <v>0</v>
      </c>
      <c r="CJ479" s="53">
        <f t="shared" si="439"/>
        <v>0</v>
      </c>
      <c r="CK479" s="53">
        <f t="shared" si="439"/>
        <v>0</v>
      </c>
      <c r="CL479" s="53">
        <f t="shared" si="439"/>
        <v>0</v>
      </c>
      <c r="CM479" s="53">
        <f t="shared" si="439"/>
        <v>0</v>
      </c>
      <c r="CN479" s="53">
        <f t="shared" si="439"/>
        <v>0</v>
      </c>
      <c r="CO479" s="53">
        <f t="shared" si="439"/>
        <v>0</v>
      </c>
      <c r="CP479" s="53">
        <f t="shared" si="439"/>
        <v>0</v>
      </c>
      <c r="CQ479" s="53">
        <f t="shared" si="439"/>
        <v>0</v>
      </c>
      <c r="CR479" s="53">
        <f t="shared" si="439"/>
        <v>0</v>
      </c>
      <c r="CS479" s="53">
        <f t="shared" si="439"/>
        <v>0</v>
      </c>
      <c r="CT479" s="53">
        <f t="shared" si="439"/>
        <v>0</v>
      </c>
      <c r="CU479" s="53">
        <f t="shared" si="439"/>
        <v>0</v>
      </c>
      <c r="CV479" s="53">
        <f t="shared" si="439"/>
        <v>0</v>
      </c>
      <c r="CW479" s="53">
        <f t="shared" si="439"/>
        <v>0</v>
      </c>
      <c r="CX479" s="53">
        <f t="shared" si="439"/>
        <v>0</v>
      </c>
      <c r="DB479" s="2" vm="728">
        <f ca="1">IF(Returns!A483&lt;&gt;0,Returns!A483,"")</f>
        <v>43549</v>
      </c>
      <c r="DC479" s="11">
        <f ca="1">IF(Returns!B494&gt;0,Returns!B494/Returns!B493-1,"")</f>
        <v>3.6385204237180169E-2</v>
      </c>
      <c r="DD479" s="11">
        <f ca="1">IF(Returns!D486&gt;0,Returns!D486/Returns!D485-1,"")</f>
        <v>5.5747014104505777E-3</v>
      </c>
    </row>
    <row r="480" spans="2:108" x14ac:dyDescent="0.3">
      <c r="B480" s="57">
        <f t="shared" ca="1" si="393"/>
        <v>1.501219381467178E-3</v>
      </c>
      <c r="C480" s="53">
        <f t="shared" ref="C480:BN480" si="440">IFERROR(IF(C$262=0,0,(C221-C222)/C222),0)</f>
        <v>0</v>
      </c>
      <c r="D480" s="53">
        <f t="shared" si="440"/>
        <v>0</v>
      </c>
      <c r="E480" s="53">
        <f t="shared" si="440"/>
        <v>0</v>
      </c>
      <c r="F480" s="53">
        <f t="shared" si="440"/>
        <v>0</v>
      </c>
      <c r="G480" s="53">
        <f t="shared" si="440"/>
        <v>0</v>
      </c>
      <c r="H480" s="53">
        <f t="shared" si="440"/>
        <v>0</v>
      </c>
      <c r="I480" s="53">
        <f t="shared" si="440"/>
        <v>0</v>
      </c>
      <c r="J480" s="53">
        <f t="shared" si="440"/>
        <v>0</v>
      </c>
      <c r="K480" s="53">
        <f t="shared" si="440"/>
        <v>0</v>
      </c>
      <c r="L480" s="53">
        <f t="shared" si="440"/>
        <v>0</v>
      </c>
      <c r="M480" s="53">
        <f t="shared" si="440"/>
        <v>0</v>
      </c>
      <c r="N480" s="53">
        <f t="shared" si="440"/>
        <v>0</v>
      </c>
      <c r="O480" s="53">
        <f t="shared" si="440"/>
        <v>0</v>
      </c>
      <c r="P480" s="53">
        <f t="shared" si="440"/>
        <v>0</v>
      </c>
      <c r="Q480" s="53">
        <f t="shared" si="440"/>
        <v>0</v>
      </c>
      <c r="R480" s="53">
        <f t="shared" si="440"/>
        <v>0</v>
      </c>
      <c r="S480" s="53">
        <f t="shared" si="440"/>
        <v>0</v>
      </c>
      <c r="T480" s="53">
        <f t="shared" si="440"/>
        <v>0</v>
      </c>
      <c r="U480" s="53">
        <f t="shared" si="440"/>
        <v>0</v>
      </c>
      <c r="V480" s="53">
        <f t="shared" si="440"/>
        <v>0</v>
      </c>
      <c r="W480" s="53">
        <f t="shared" si="440"/>
        <v>0</v>
      </c>
      <c r="X480" s="53">
        <f t="shared" si="440"/>
        <v>0</v>
      </c>
      <c r="Y480" s="53">
        <f t="shared" si="440"/>
        <v>0</v>
      </c>
      <c r="Z480" s="53">
        <f t="shared" si="440"/>
        <v>0</v>
      </c>
      <c r="AA480" s="53">
        <f t="shared" si="440"/>
        <v>0</v>
      </c>
      <c r="AB480" s="53">
        <f t="shared" si="440"/>
        <v>0</v>
      </c>
      <c r="AC480" s="53">
        <f t="shared" si="440"/>
        <v>0</v>
      </c>
      <c r="AD480" s="53">
        <f t="shared" si="440"/>
        <v>0</v>
      </c>
      <c r="AE480" s="53">
        <f t="shared" si="440"/>
        <v>0</v>
      </c>
      <c r="AF480" s="53">
        <f t="shared" si="440"/>
        <v>0</v>
      </c>
      <c r="AG480" s="53">
        <f t="shared" si="440"/>
        <v>0</v>
      </c>
      <c r="AH480" s="53">
        <f t="shared" si="440"/>
        <v>0</v>
      </c>
      <c r="AI480" s="53">
        <f t="shared" si="440"/>
        <v>0</v>
      </c>
      <c r="AJ480" s="53">
        <f t="shared" si="440"/>
        <v>0</v>
      </c>
      <c r="AK480" s="53">
        <f t="shared" si="440"/>
        <v>0</v>
      </c>
      <c r="AL480" s="53">
        <f t="shared" si="440"/>
        <v>0</v>
      </c>
      <c r="AM480" s="53">
        <f t="shared" si="440"/>
        <v>0</v>
      </c>
      <c r="AN480" s="53">
        <f t="shared" si="440"/>
        <v>0</v>
      </c>
      <c r="AO480" s="53">
        <f t="shared" si="440"/>
        <v>0</v>
      </c>
      <c r="AP480" s="53">
        <f t="shared" si="440"/>
        <v>0</v>
      </c>
      <c r="AQ480" s="53">
        <f t="shared" si="440"/>
        <v>0</v>
      </c>
      <c r="AR480" s="53">
        <f t="shared" si="440"/>
        <v>0</v>
      </c>
      <c r="AS480" s="53">
        <f t="shared" si="440"/>
        <v>0</v>
      </c>
      <c r="AT480" s="53">
        <f t="shared" si="440"/>
        <v>0</v>
      </c>
      <c r="AU480" s="53">
        <f t="shared" si="440"/>
        <v>0</v>
      </c>
      <c r="AV480" s="53">
        <f t="shared" si="440"/>
        <v>0</v>
      </c>
      <c r="AW480" s="53">
        <f t="shared" si="440"/>
        <v>0</v>
      </c>
      <c r="AX480" s="53">
        <f t="shared" si="440"/>
        <v>0</v>
      </c>
      <c r="AY480" s="53">
        <f t="shared" si="440"/>
        <v>0</v>
      </c>
      <c r="AZ480" s="53">
        <f t="shared" si="440"/>
        <v>0</v>
      </c>
      <c r="BA480" s="53">
        <f t="shared" si="440"/>
        <v>0</v>
      </c>
      <c r="BB480" s="53">
        <f t="shared" si="440"/>
        <v>0</v>
      </c>
      <c r="BC480" s="53">
        <f t="shared" si="440"/>
        <v>0</v>
      </c>
      <c r="BD480" s="53">
        <f t="shared" si="440"/>
        <v>0</v>
      </c>
      <c r="BE480" s="53">
        <f t="shared" si="440"/>
        <v>0</v>
      </c>
      <c r="BF480" s="53">
        <f t="shared" si="440"/>
        <v>0</v>
      </c>
      <c r="BG480" s="53">
        <f t="shared" si="440"/>
        <v>0</v>
      </c>
      <c r="BH480" s="53">
        <f t="shared" si="440"/>
        <v>0</v>
      </c>
      <c r="BI480" s="53">
        <f t="shared" si="440"/>
        <v>0</v>
      </c>
      <c r="BJ480" s="53">
        <f t="shared" si="440"/>
        <v>0</v>
      </c>
      <c r="BK480" s="53">
        <f t="shared" si="440"/>
        <v>0</v>
      </c>
      <c r="BL480" s="53">
        <f t="shared" si="440"/>
        <v>0</v>
      </c>
      <c r="BM480" s="53">
        <f t="shared" si="440"/>
        <v>0</v>
      </c>
      <c r="BN480" s="53">
        <f t="shared" si="440"/>
        <v>0</v>
      </c>
      <c r="BO480" s="53">
        <f t="shared" ref="BO480:CX480" si="441">IFERROR(IF(BO$262=0,0,(BO221-BO222)/BO222),0)</f>
        <v>0</v>
      </c>
      <c r="BP480" s="53">
        <f t="shared" si="441"/>
        <v>0</v>
      </c>
      <c r="BQ480" s="53">
        <f t="shared" si="441"/>
        <v>0</v>
      </c>
      <c r="BR480" s="53">
        <f t="shared" si="441"/>
        <v>0</v>
      </c>
      <c r="BS480" s="53">
        <f t="shared" si="441"/>
        <v>0</v>
      </c>
      <c r="BT480" s="53">
        <f t="shared" si="441"/>
        <v>0</v>
      </c>
      <c r="BU480" s="53">
        <f t="shared" si="441"/>
        <v>0</v>
      </c>
      <c r="BV480" s="53">
        <f t="shared" si="441"/>
        <v>0</v>
      </c>
      <c r="BW480" s="53">
        <f t="shared" si="441"/>
        <v>0</v>
      </c>
      <c r="BX480" s="53">
        <f t="shared" si="441"/>
        <v>0</v>
      </c>
      <c r="BY480" s="53">
        <f t="shared" si="441"/>
        <v>0</v>
      </c>
      <c r="BZ480" s="53">
        <f t="shared" si="441"/>
        <v>0</v>
      </c>
      <c r="CA480" s="53">
        <f t="shared" si="441"/>
        <v>0</v>
      </c>
      <c r="CB480" s="53">
        <f t="shared" si="441"/>
        <v>0</v>
      </c>
      <c r="CC480" s="53">
        <f t="shared" si="441"/>
        <v>0</v>
      </c>
      <c r="CD480" s="53">
        <f t="shared" si="441"/>
        <v>0</v>
      </c>
      <c r="CE480" s="53">
        <f t="shared" si="441"/>
        <v>0</v>
      </c>
      <c r="CF480" s="53">
        <f t="shared" si="441"/>
        <v>0</v>
      </c>
      <c r="CG480" s="53">
        <f t="shared" si="441"/>
        <v>0</v>
      </c>
      <c r="CH480" s="53">
        <f t="shared" si="441"/>
        <v>0</v>
      </c>
      <c r="CI480" s="53">
        <f t="shared" si="441"/>
        <v>0</v>
      </c>
      <c r="CJ480" s="53">
        <f t="shared" si="441"/>
        <v>0</v>
      </c>
      <c r="CK480" s="53">
        <f t="shared" si="441"/>
        <v>0</v>
      </c>
      <c r="CL480" s="53">
        <f t="shared" si="441"/>
        <v>0</v>
      </c>
      <c r="CM480" s="53">
        <f t="shared" si="441"/>
        <v>0</v>
      </c>
      <c r="CN480" s="53">
        <f t="shared" si="441"/>
        <v>0</v>
      </c>
      <c r="CO480" s="53">
        <f t="shared" si="441"/>
        <v>0</v>
      </c>
      <c r="CP480" s="53">
        <f t="shared" si="441"/>
        <v>0</v>
      </c>
      <c r="CQ480" s="53">
        <f t="shared" si="441"/>
        <v>0</v>
      </c>
      <c r="CR480" s="53">
        <f t="shared" si="441"/>
        <v>0</v>
      </c>
      <c r="CS480" s="53">
        <f t="shared" si="441"/>
        <v>0</v>
      </c>
      <c r="CT480" s="53">
        <f t="shared" si="441"/>
        <v>0</v>
      </c>
      <c r="CU480" s="53">
        <f t="shared" si="441"/>
        <v>0</v>
      </c>
      <c r="CV480" s="53">
        <f t="shared" si="441"/>
        <v>0</v>
      </c>
      <c r="CW480" s="53">
        <f t="shared" si="441"/>
        <v>0</v>
      </c>
      <c r="CX480" s="53">
        <f t="shared" si="441"/>
        <v>0</v>
      </c>
      <c r="DB480" s="2" vm="729">
        <f ca="1">IF(Returns!A484&lt;&gt;0,Returns!A484,"")</f>
        <v>43556</v>
      </c>
      <c r="DC480" s="11">
        <f ca="1">IF(Returns!B495&gt;0,Returns!B495/Returns!B494-1,"")</f>
        <v>2.2265961372862408E-2</v>
      </c>
      <c r="DD480" s="11">
        <f ca="1">IF(Returns!D487&gt;0,Returns!D487/Returns!D486-1,"")</f>
        <v>-6.1030417119523062E-4</v>
      </c>
    </row>
    <row r="481" spans="2:108" x14ac:dyDescent="0.3">
      <c r="B481" s="57">
        <f t="shared" ca="1" si="393"/>
        <v>3.7518119223382985E-3</v>
      </c>
      <c r="C481" s="53">
        <f t="shared" ref="C481:BN481" si="442">IFERROR(IF(C$262=0,0,(C222-C223)/C223),0)</f>
        <v>0</v>
      </c>
      <c r="D481" s="53">
        <f t="shared" si="442"/>
        <v>0</v>
      </c>
      <c r="E481" s="53">
        <f t="shared" si="442"/>
        <v>0</v>
      </c>
      <c r="F481" s="53">
        <f t="shared" si="442"/>
        <v>0</v>
      </c>
      <c r="G481" s="53">
        <f t="shared" si="442"/>
        <v>0</v>
      </c>
      <c r="H481" s="53">
        <f t="shared" si="442"/>
        <v>0</v>
      </c>
      <c r="I481" s="53">
        <f t="shared" si="442"/>
        <v>0</v>
      </c>
      <c r="J481" s="53">
        <f t="shared" si="442"/>
        <v>0</v>
      </c>
      <c r="K481" s="53">
        <f t="shared" si="442"/>
        <v>0</v>
      </c>
      <c r="L481" s="53">
        <f t="shared" si="442"/>
        <v>0</v>
      </c>
      <c r="M481" s="53">
        <f t="shared" si="442"/>
        <v>0</v>
      </c>
      <c r="N481" s="53">
        <f t="shared" si="442"/>
        <v>0</v>
      </c>
      <c r="O481" s="53">
        <f t="shared" si="442"/>
        <v>0</v>
      </c>
      <c r="P481" s="53">
        <f t="shared" si="442"/>
        <v>0</v>
      </c>
      <c r="Q481" s="53">
        <f t="shared" si="442"/>
        <v>0</v>
      </c>
      <c r="R481" s="53">
        <f t="shared" si="442"/>
        <v>0</v>
      </c>
      <c r="S481" s="53">
        <f t="shared" si="442"/>
        <v>0</v>
      </c>
      <c r="T481" s="53">
        <f t="shared" si="442"/>
        <v>0</v>
      </c>
      <c r="U481" s="53">
        <f t="shared" si="442"/>
        <v>0</v>
      </c>
      <c r="V481" s="53">
        <f t="shared" si="442"/>
        <v>0</v>
      </c>
      <c r="W481" s="53">
        <f t="shared" si="442"/>
        <v>0</v>
      </c>
      <c r="X481" s="53">
        <f t="shared" si="442"/>
        <v>0</v>
      </c>
      <c r="Y481" s="53">
        <f t="shared" si="442"/>
        <v>0</v>
      </c>
      <c r="Z481" s="53">
        <f t="shared" si="442"/>
        <v>0</v>
      </c>
      <c r="AA481" s="53">
        <f t="shared" si="442"/>
        <v>0</v>
      </c>
      <c r="AB481" s="53">
        <f t="shared" si="442"/>
        <v>0</v>
      </c>
      <c r="AC481" s="53">
        <f t="shared" si="442"/>
        <v>0</v>
      </c>
      <c r="AD481" s="53">
        <f t="shared" si="442"/>
        <v>0</v>
      </c>
      <c r="AE481" s="53">
        <f t="shared" si="442"/>
        <v>0</v>
      </c>
      <c r="AF481" s="53">
        <f t="shared" si="442"/>
        <v>0</v>
      </c>
      <c r="AG481" s="53">
        <f t="shared" si="442"/>
        <v>0</v>
      </c>
      <c r="AH481" s="53">
        <f t="shared" si="442"/>
        <v>0</v>
      </c>
      <c r="AI481" s="53">
        <f t="shared" si="442"/>
        <v>0</v>
      </c>
      <c r="AJ481" s="53">
        <f t="shared" si="442"/>
        <v>0</v>
      </c>
      <c r="AK481" s="53">
        <f t="shared" si="442"/>
        <v>0</v>
      </c>
      <c r="AL481" s="53">
        <f t="shared" si="442"/>
        <v>0</v>
      </c>
      <c r="AM481" s="53">
        <f t="shared" si="442"/>
        <v>0</v>
      </c>
      <c r="AN481" s="53">
        <f t="shared" si="442"/>
        <v>0</v>
      </c>
      <c r="AO481" s="53">
        <f t="shared" si="442"/>
        <v>0</v>
      </c>
      <c r="AP481" s="53">
        <f t="shared" si="442"/>
        <v>0</v>
      </c>
      <c r="AQ481" s="53">
        <f t="shared" si="442"/>
        <v>0</v>
      </c>
      <c r="AR481" s="53">
        <f t="shared" si="442"/>
        <v>0</v>
      </c>
      <c r="AS481" s="53">
        <f t="shared" si="442"/>
        <v>0</v>
      </c>
      <c r="AT481" s="53">
        <f t="shared" si="442"/>
        <v>0</v>
      </c>
      <c r="AU481" s="53">
        <f t="shared" si="442"/>
        <v>0</v>
      </c>
      <c r="AV481" s="53">
        <f t="shared" si="442"/>
        <v>0</v>
      </c>
      <c r="AW481" s="53">
        <f t="shared" si="442"/>
        <v>0</v>
      </c>
      <c r="AX481" s="53">
        <f t="shared" si="442"/>
        <v>0</v>
      </c>
      <c r="AY481" s="53">
        <f t="shared" si="442"/>
        <v>0</v>
      </c>
      <c r="AZ481" s="53">
        <f t="shared" si="442"/>
        <v>0</v>
      </c>
      <c r="BA481" s="53">
        <f t="shared" si="442"/>
        <v>0</v>
      </c>
      <c r="BB481" s="53">
        <f t="shared" si="442"/>
        <v>0</v>
      </c>
      <c r="BC481" s="53">
        <f t="shared" si="442"/>
        <v>0</v>
      </c>
      <c r="BD481" s="53">
        <f t="shared" si="442"/>
        <v>0</v>
      </c>
      <c r="BE481" s="53">
        <f t="shared" si="442"/>
        <v>0</v>
      </c>
      <c r="BF481" s="53">
        <f t="shared" si="442"/>
        <v>0</v>
      </c>
      <c r="BG481" s="53">
        <f t="shared" si="442"/>
        <v>0</v>
      </c>
      <c r="BH481" s="53">
        <f t="shared" si="442"/>
        <v>0</v>
      </c>
      <c r="BI481" s="53">
        <f t="shared" si="442"/>
        <v>0</v>
      </c>
      <c r="BJ481" s="53">
        <f t="shared" si="442"/>
        <v>0</v>
      </c>
      <c r="BK481" s="53">
        <f t="shared" si="442"/>
        <v>0</v>
      </c>
      <c r="BL481" s="53">
        <f t="shared" si="442"/>
        <v>0</v>
      </c>
      <c r="BM481" s="53">
        <f t="shared" si="442"/>
        <v>0</v>
      </c>
      <c r="BN481" s="53">
        <f t="shared" si="442"/>
        <v>0</v>
      </c>
      <c r="BO481" s="53">
        <f t="shared" ref="BO481:CX481" si="443">IFERROR(IF(BO$262=0,0,(BO222-BO223)/BO223),0)</f>
        <v>0</v>
      </c>
      <c r="BP481" s="53">
        <f t="shared" si="443"/>
        <v>0</v>
      </c>
      <c r="BQ481" s="53">
        <f t="shared" si="443"/>
        <v>0</v>
      </c>
      <c r="BR481" s="53">
        <f t="shared" si="443"/>
        <v>0</v>
      </c>
      <c r="BS481" s="53">
        <f t="shared" si="443"/>
        <v>0</v>
      </c>
      <c r="BT481" s="53">
        <f t="shared" si="443"/>
        <v>0</v>
      </c>
      <c r="BU481" s="53">
        <f t="shared" si="443"/>
        <v>0</v>
      </c>
      <c r="BV481" s="53">
        <f t="shared" si="443"/>
        <v>0</v>
      </c>
      <c r="BW481" s="53">
        <f t="shared" si="443"/>
        <v>0</v>
      </c>
      <c r="BX481" s="53">
        <f t="shared" si="443"/>
        <v>0</v>
      </c>
      <c r="BY481" s="53">
        <f t="shared" si="443"/>
        <v>0</v>
      </c>
      <c r="BZ481" s="53">
        <f t="shared" si="443"/>
        <v>0</v>
      </c>
      <c r="CA481" s="53">
        <f t="shared" si="443"/>
        <v>0</v>
      </c>
      <c r="CB481" s="53">
        <f t="shared" si="443"/>
        <v>0</v>
      </c>
      <c r="CC481" s="53">
        <f t="shared" si="443"/>
        <v>0</v>
      </c>
      <c r="CD481" s="53">
        <f t="shared" si="443"/>
        <v>0</v>
      </c>
      <c r="CE481" s="53">
        <f t="shared" si="443"/>
        <v>0</v>
      </c>
      <c r="CF481" s="53">
        <f t="shared" si="443"/>
        <v>0</v>
      </c>
      <c r="CG481" s="53">
        <f t="shared" si="443"/>
        <v>0</v>
      </c>
      <c r="CH481" s="53">
        <f t="shared" si="443"/>
        <v>0</v>
      </c>
      <c r="CI481" s="53">
        <f t="shared" si="443"/>
        <v>0</v>
      </c>
      <c r="CJ481" s="53">
        <f t="shared" si="443"/>
        <v>0</v>
      </c>
      <c r="CK481" s="53">
        <f t="shared" si="443"/>
        <v>0</v>
      </c>
      <c r="CL481" s="53">
        <f t="shared" si="443"/>
        <v>0</v>
      </c>
      <c r="CM481" s="53">
        <f t="shared" si="443"/>
        <v>0</v>
      </c>
      <c r="CN481" s="53">
        <f t="shared" si="443"/>
        <v>0</v>
      </c>
      <c r="CO481" s="53">
        <f t="shared" si="443"/>
        <v>0</v>
      </c>
      <c r="CP481" s="53">
        <f t="shared" si="443"/>
        <v>0</v>
      </c>
      <c r="CQ481" s="53">
        <f t="shared" si="443"/>
        <v>0</v>
      </c>
      <c r="CR481" s="53">
        <f t="shared" si="443"/>
        <v>0</v>
      </c>
      <c r="CS481" s="53">
        <f t="shared" si="443"/>
        <v>0</v>
      </c>
      <c r="CT481" s="53">
        <f t="shared" si="443"/>
        <v>0</v>
      </c>
      <c r="CU481" s="53">
        <f t="shared" si="443"/>
        <v>0</v>
      </c>
      <c r="CV481" s="53">
        <f t="shared" si="443"/>
        <v>0</v>
      </c>
      <c r="CW481" s="53">
        <f t="shared" si="443"/>
        <v>0</v>
      </c>
      <c r="CX481" s="53">
        <f t="shared" si="443"/>
        <v>0</v>
      </c>
      <c r="DB481" s="2" vm="730">
        <f ca="1">IF(Returns!A485&lt;&gt;0,Returns!A485,"")</f>
        <v>43563</v>
      </c>
      <c r="DC481" s="11">
        <f ca="1">IF(Returns!B496&gt;0,Returns!B496/Returns!B495-1,"")</f>
        <v>-9.2450164809292357E-3</v>
      </c>
      <c r="DD481" s="11">
        <f ca="1">IF(Returns!D488&gt;0,Returns!D488/Returns!D487-1,"")</f>
        <v>-1.4462011550334664E-3</v>
      </c>
    </row>
    <row r="482" spans="2:108" x14ac:dyDescent="0.3">
      <c r="B482" s="57">
        <f t="shared" ca="1" si="393"/>
        <v>6.246956684867272E-3</v>
      </c>
      <c r="C482" s="53">
        <f t="shared" ref="C482:BN482" si="444">IFERROR(IF(C$262=0,0,(C223-C224)/C224),0)</f>
        <v>0</v>
      </c>
      <c r="D482" s="53">
        <f t="shared" si="444"/>
        <v>0</v>
      </c>
      <c r="E482" s="53">
        <f t="shared" si="444"/>
        <v>0</v>
      </c>
      <c r="F482" s="53">
        <f t="shared" si="444"/>
        <v>0</v>
      </c>
      <c r="G482" s="53">
        <f t="shared" si="444"/>
        <v>0</v>
      </c>
      <c r="H482" s="53">
        <f t="shared" si="444"/>
        <v>0</v>
      </c>
      <c r="I482" s="53">
        <f t="shared" si="444"/>
        <v>0</v>
      </c>
      <c r="J482" s="53">
        <f t="shared" si="444"/>
        <v>0</v>
      </c>
      <c r="K482" s="53">
        <f t="shared" si="444"/>
        <v>0</v>
      </c>
      <c r="L482" s="53">
        <f t="shared" si="444"/>
        <v>0</v>
      </c>
      <c r="M482" s="53">
        <f t="shared" si="444"/>
        <v>0</v>
      </c>
      <c r="N482" s="53">
        <f t="shared" si="444"/>
        <v>0</v>
      </c>
      <c r="O482" s="53">
        <f t="shared" si="444"/>
        <v>0</v>
      </c>
      <c r="P482" s="53">
        <f t="shared" si="444"/>
        <v>0</v>
      </c>
      <c r="Q482" s="53">
        <f t="shared" si="444"/>
        <v>0</v>
      </c>
      <c r="R482" s="53">
        <f t="shared" si="444"/>
        <v>0</v>
      </c>
      <c r="S482" s="53">
        <f t="shared" si="444"/>
        <v>0</v>
      </c>
      <c r="T482" s="53">
        <f t="shared" si="444"/>
        <v>0</v>
      </c>
      <c r="U482" s="53">
        <f t="shared" si="444"/>
        <v>0</v>
      </c>
      <c r="V482" s="53">
        <f t="shared" si="444"/>
        <v>0</v>
      </c>
      <c r="W482" s="53">
        <f t="shared" si="444"/>
        <v>0</v>
      </c>
      <c r="X482" s="53">
        <f t="shared" si="444"/>
        <v>0</v>
      </c>
      <c r="Y482" s="53">
        <f t="shared" si="444"/>
        <v>0</v>
      </c>
      <c r="Z482" s="53">
        <f t="shared" si="444"/>
        <v>0</v>
      </c>
      <c r="AA482" s="53">
        <f t="shared" si="444"/>
        <v>0</v>
      </c>
      <c r="AB482" s="53">
        <f t="shared" si="444"/>
        <v>0</v>
      </c>
      <c r="AC482" s="53">
        <f t="shared" si="444"/>
        <v>0</v>
      </c>
      <c r="AD482" s="53">
        <f t="shared" si="444"/>
        <v>0</v>
      </c>
      <c r="AE482" s="53">
        <f t="shared" si="444"/>
        <v>0</v>
      </c>
      <c r="AF482" s="53">
        <f t="shared" si="444"/>
        <v>0</v>
      </c>
      <c r="AG482" s="53">
        <f t="shared" si="444"/>
        <v>0</v>
      </c>
      <c r="AH482" s="53">
        <f t="shared" si="444"/>
        <v>0</v>
      </c>
      <c r="AI482" s="53">
        <f t="shared" si="444"/>
        <v>0</v>
      </c>
      <c r="AJ482" s="53">
        <f t="shared" si="444"/>
        <v>0</v>
      </c>
      <c r="AK482" s="53">
        <f t="shared" si="444"/>
        <v>0</v>
      </c>
      <c r="AL482" s="53">
        <f t="shared" si="444"/>
        <v>0</v>
      </c>
      <c r="AM482" s="53">
        <f t="shared" si="444"/>
        <v>0</v>
      </c>
      <c r="AN482" s="53">
        <f t="shared" si="444"/>
        <v>0</v>
      </c>
      <c r="AO482" s="53">
        <f t="shared" si="444"/>
        <v>0</v>
      </c>
      <c r="AP482" s="53">
        <f t="shared" si="444"/>
        <v>0</v>
      </c>
      <c r="AQ482" s="53">
        <f t="shared" si="444"/>
        <v>0</v>
      </c>
      <c r="AR482" s="53">
        <f t="shared" si="444"/>
        <v>0</v>
      </c>
      <c r="AS482" s="53">
        <f t="shared" si="444"/>
        <v>0</v>
      </c>
      <c r="AT482" s="53">
        <f t="shared" si="444"/>
        <v>0</v>
      </c>
      <c r="AU482" s="53">
        <f t="shared" si="444"/>
        <v>0</v>
      </c>
      <c r="AV482" s="53">
        <f t="shared" si="444"/>
        <v>0</v>
      </c>
      <c r="AW482" s="53">
        <f t="shared" si="444"/>
        <v>0</v>
      </c>
      <c r="AX482" s="53">
        <f t="shared" si="444"/>
        <v>0</v>
      </c>
      <c r="AY482" s="53">
        <f t="shared" si="444"/>
        <v>0</v>
      </c>
      <c r="AZ482" s="53">
        <f t="shared" si="444"/>
        <v>0</v>
      </c>
      <c r="BA482" s="53">
        <f t="shared" si="444"/>
        <v>0</v>
      </c>
      <c r="BB482" s="53">
        <f t="shared" si="444"/>
        <v>0</v>
      </c>
      <c r="BC482" s="53">
        <f t="shared" si="444"/>
        <v>0</v>
      </c>
      <c r="BD482" s="53">
        <f t="shared" si="444"/>
        <v>0</v>
      </c>
      <c r="BE482" s="53">
        <f t="shared" si="444"/>
        <v>0</v>
      </c>
      <c r="BF482" s="53">
        <f t="shared" si="444"/>
        <v>0</v>
      </c>
      <c r="BG482" s="53">
        <f t="shared" si="444"/>
        <v>0</v>
      </c>
      <c r="BH482" s="53">
        <f t="shared" si="444"/>
        <v>0</v>
      </c>
      <c r="BI482" s="53">
        <f t="shared" si="444"/>
        <v>0</v>
      </c>
      <c r="BJ482" s="53">
        <f t="shared" si="444"/>
        <v>0</v>
      </c>
      <c r="BK482" s="53">
        <f t="shared" si="444"/>
        <v>0</v>
      </c>
      <c r="BL482" s="53">
        <f t="shared" si="444"/>
        <v>0</v>
      </c>
      <c r="BM482" s="53">
        <f t="shared" si="444"/>
        <v>0</v>
      </c>
      <c r="BN482" s="53">
        <f t="shared" si="444"/>
        <v>0</v>
      </c>
      <c r="BO482" s="53">
        <f t="shared" ref="BO482:CX482" si="445">IFERROR(IF(BO$262=0,0,(BO223-BO224)/BO224),0)</f>
        <v>0</v>
      </c>
      <c r="BP482" s="53">
        <f t="shared" si="445"/>
        <v>0</v>
      </c>
      <c r="BQ482" s="53">
        <f t="shared" si="445"/>
        <v>0</v>
      </c>
      <c r="BR482" s="53">
        <f t="shared" si="445"/>
        <v>0</v>
      </c>
      <c r="BS482" s="53">
        <f t="shared" si="445"/>
        <v>0</v>
      </c>
      <c r="BT482" s="53">
        <f t="shared" si="445"/>
        <v>0</v>
      </c>
      <c r="BU482" s="53">
        <f t="shared" si="445"/>
        <v>0</v>
      </c>
      <c r="BV482" s="53">
        <f t="shared" si="445"/>
        <v>0</v>
      </c>
      <c r="BW482" s="53">
        <f t="shared" si="445"/>
        <v>0</v>
      </c>
      <c r="BX482" s="53">
        <f t="shared" si="445"/>
        <v>0</v>
      </c>
      <c r="BY482" s="53">
        <f t="shared" si="445"/>
        <v>0</v>
      </c>
      <c r="BZ482" s="53">
        <f t="shared" si="445"/>
        <v>0</v>
      </c>
      <c r="CA482" s="53">
        <f t="shared" si="445"/>
        <v>0</v>
      </c>
      <c r="CB482" s="53">
        <f t="shared" si="445"/>
        <v>0</v>
      </c>
      <c r="CC482" s="53">
        <f t="shared" si="445"/>
        <v>0</v>
      </c>
      <c r="CD482" s="53">
        <f t="shared" si="445"/>
        <v>0</v>
      </c>
      <c r="CE482" s="53">
        <f t="shared" si="445"/>
        <v>0</v>
      </c>
      <c r="CF482" s="53">
        <f t="shared" si="445"/>
        <v>0</v>
      </c>
      <c r="CG482" s="53">
        <f t="shared" si="445"/>
        <v>0</v>
      </c>
      <c r="CH482" s="53">
        <f t="shared" si="445"/>
        <v>0</v>
      </c>
      <c r="CI482" s="53">
        <f t="shared" si="445"/>
        <v>0</v>
      </c>
      <c r="CJ482" s="53">
        <f t="shared" si="445"/>
        <v>0</v>
      </c>
      <c r="CK482" s="53">
        <f t="shared" si="445"/>
        <v>0</v>
      </c>
      <c r="CL482" s="53">
        <f t="shared" si="445"/>
        <v>0</v>
      </c>
      <c r="CM482" s="53">
        <f t="shared" si="445"/>
        <v>0</v>
      </c>
      <c r="CN482" s="53">
        <f t="shared" si="445"/>
        <v>0</v>
      </c>
      <c r="CO482" s="53">
        <f t="shared" si="445"/>
        <v>0</v>
      </c>
      <c r="CP482" s="53">
        <f t="shared" si="445"/>
        <v>0</v>
      </c>
      <c r="CQ482" s="53">
        <f t="shared" si="445"/>
        <v>0</v>
      </c>
      <c r="CR482" s="53">
        <f t="shared" si="445"/>
        <v>0</v>
      </c>
      <c r="CS482" s="53">
        <f t="shared" si="445"/>
        <v>0</v>
      </c>
      <c r="CT482" s="53">
        <f t="shared" si="445"/>
        <v>0</v>
      </c>
      <c r="CU482" s="53">
        <f t="shared" si="445"/>
        <v>0</v>
      </c>
      <c r="CV482" s="53">
        <f t="shared" si="445"/>
        <v>0</v>
      </c>
      <c r="CW482" s="53">
        <f t="shared" si="445"/>
        <v>0</v>
      </c>
      <c r="CX482" s="53">
        <f t="shared" si="445"/>
        <v>0</v>
      </c>
      <c r="DB482" s="2" vm="731">
        <f ca="1">IF(Returns!A486&lt;&gt;0,Returns!A486,"")</f>
        <v>43570</v>
      </c>
      <c r="DC482" s="11">
        <f ca="1">IF(Returns!B497&gt;0,Returns!B497/Returns!B496-1,"")</f>
        <v>2.6024091295554053E-2</v>
      </c>
      <c r="DD482" s="11">
        <f ca="1">IF(Returns!D489&gt;0,Returns!D489/Returns!D488-1,"")</f>
        <v>-2.122547176740619E-2</v>
      </c>
    </row>
    <row r="483" spans="2:108" x14ac:dyDescent="0.3">
      <c r="B483" s="57">
        <f t="shared" ca="1" si="393"/>
        <v>1.1385660754966217E-3</v>
      </c>
      <c r="C483" s="53">
        <f t="shared" ref="C483:BN483" si="446">IFERROR(IF(C$262=0,0,(C224-C225)/C225),0)</f>
        <v>0</v>
      </c>
      <c r="D483" s="53">
        <f t="shared" si="446"/>
        <v>0</v>
      </c>
      <c r="E483" s="53">
        <f t="shared" si="446"/>
        <v>0</v>
      </c>
      <c r="F483" s="53">
        <f t="shared" si="446"/>
        <v>0</v>
      </c>
      <c r="G483" s="53">
        <f t="shared" si="446"/>
        <v>0</v>
      </c>
      <c r="H483" s="53">
        <f t="shared" si="446"/>
        <v>0</v>
      </c>
      <c r="I483" s="53">
        <f t="shared" si="446"/>
        <v>0</v>
      </c>
      <c r="J483" s="53">
        <f t="shared" si="446"/>
        <v>0</v>
      </c>
      <c r="K483" s="53">
        <f t="shared" si="446"/>
        <v>0</v>
      </c>
      <c r="L483" s="53">
        <f t="shared" si="446"/>
        <v>0</v>
      </c>
      <c r="M483" s="53">
        <f t="shared" si="446"/>
        <v>0</v>
      </c>
      <c r="N483" s="53">
        <f t="shared" si="446"/>
        <v>0</v>
      </c>
      <c r="O483" s="53">
        <f t="shared" si="446"/>
        <v>0</v>
      </c>
      <c r="P483" s="53">
        <f t="shared" si="446"/>
        <v>0</v>
      </c>
      <c r="Q483" s="53">
        <f t="shared" si="446"/>
        <v>0</v>
      </c>
      <c r="R483" s="53">
        <f t="shared" si="446"/>
        <v>0</v>
      </c>
      <c r="S483" s="53">
        <f t="shared" si="446"/>
        <v>0</v>
      </c>
      <c r="T483" s="53">
        <f t="shared" si="446"/>
        <v>0</v>
      </c>
      <c r="U483" s="53">
        <f t="shared" si="446"/>
        <v>0</v>
      </c>
      <c r="V483" s="53">
        <f t="shared" si="446"/>
        <v>0</v>
      </c>
      <c r="W483" s="53">
        <f t="shared" si="446"/>
        <v>0</v>
      </c>
      <c r="X483" s="53">
        <f t="shared" si="446"/>
        <v>0</v>
      </c>
      <c r="Y483" s="53">
        <f t="shared" si="446"/>
        <v>0</v>
      </c>
      <c r="Z483" s="53">
        <f t="shared" si="446"/>
        <v>0</v>
      </c>
      <c r="AA483" s="53">
        <f t="shared" si="446"/>
        <v>0</v>
      </c>
      <c r="AB483" s="53">
        <f t="shared" si="446"/>
        <v>0</v>
      </c>
      <c r="AC483" s="53">
        <f t="shared" si="446"/>
        <v>0</v>
      </c>
      <c r="AD483" s="53">
        <f t="shared" si="446"/>
        <v>0</v>
      </c>
      <c r="AE483" s="53">
        <f t="shared" si="446"/>
        <v>0</v>
      </c>
      <c r="AF483" s="53">
        <f t="shared" si="446"/>
        <v>0</v>
      </c>
      <c r="AG483" s="53">
        <f t="shared" si="446"/>
        <v>0</v>
      </c>
      <c r="AH483" s="53">
        <f t="shared" si="446"/>
        <v>0</v>
      </c>
      <c r="AI483" s="53">
        <f t="shared" si="446"/>
        <v>0</v>
      </c>
      <c r="AJ483" s="53">
        <f t="shared" si="446"/>
        <v>0</v>
      </c>
      <c r="AK483" s="53">
        <f t="shared" si="446"/>
        <v>0</v>
      </c>
      <c r="AL483" s="53">
        <f t="shared" si="446"/>
        <v>0</v>
      </c>
      <c r="AM483" s="53">
        <f t="shared" si="446"/>
        <v>0</v>
      </c>
      <c r="AN483" s="53">
        <f t="shared" si="446"/>
        <v>0</v>
      </c>
      <c r="AO483" s="53">
        <f t="shared" si="446"/>
        <v>0</v>
      </c>
      <c r="AP483" s="53">
        <f t="shared" si="446"/>
        <v>0</v>
      </c>
      <c r="AQ483" s="53">
        <f t="shared" si="446"/>
        <v>0</v>
      </c>
      <c r="AR483" s="53">
        <f t="shared" si="446"/>
        <v>0</v>
      </c>
      <c r="AS483" s="53">
        <f t="shared" si="446"/>
        <v>0</v>
      </c>
      <c r="AT483" s="53">
        <f t="shared" si="446"/>
        <v>0</v>
      </c>
      <c r="AU483" s="53">
        <f t="shared" si="446"/>
        <v>0</v>
      </c>
      <c r="AV483" s="53">
        <f t="shared" si="446"/>
        <v>0</v>
      </c>
      <c r="AW483" s="53">
        <f t="shared" si="446"/>
        <v>0</v>
      </c>
      <c r="AX483" s="53">
        <f t="shared" si="446"/>
        <v>0</v>
      </c>
      <c r="AY483" s="53">
        <f t="shared" si="446"/>
        <v>0</v>
      </c>
      <c r="AZ483" s="53">
        <f t="shared" si="446"/>
        <v>0</v>
      </c>
      <c r="BA483" s="53">
        <f t="shared" si="446"/>
        <v>0</v>
      </c>
      <c r="BB483" s="53">
        <f t="shared" si="446"/>
        <v>0</v>
      </c>
      <c r="BC483" s="53">
        <f t="shared" si="446"/>
        <v>0</v>
      </c>
      <c r="BD483" s="53">
        <f t="shared" si="446"/>
        <v>0</v>
      </c>
      <c r="BE483" s="53">
        <f t="shared" si="446"/>
        <v>0</v>
      </c>
      <c r="BF483" s="53">
        <f t="shared" si="446"/>
        <v>0</v>
      </c>
      <c r="BG483" s="53">
        <f t="shared" si="446"/>
        <v>0</v>
      </c>
      <c r="BH483" s="53">
        <f t="shared" si="446"/>
        <v>0</v>
      </c>
      <c r="BI483" s="53">
        <f t="shared" si="446"/>
        <v>0</v>
      </c>
      <c r="BJ483" s="53">
        <f t="shared" si="446"/>
        <v>0</v>
      </c>
      <c r="BK483" s="53">
        <f t="shared" si="446"/>
        <v>0</v>
      </c>
      <c r="BL483" s="53">
        <f t="shared" si="446"/>
        <v>0</v>
      </c>
      <c r="BM483" s="53">
        <f t="shared" si="446"/>
        <v>0</v>
      </c>
      <c r="BN483" s="53">
        <f t="shared" si="446"/>
        <v>0</v>
      </c>
      <c r="BO483" s="53">
        <f t="shared" ref="BO483:CX483" si="447">IFERROR(IF(BO$262=0,0,(BO224-BO225)/BO225),0)</f>
        <v>0</v>
      </c>
      <c r="BP483" s="53">
        <f t="shared" si="447"/>
        <v>0</v>
      </c>
      <c r="BQ483" s="53">
        <f t="shared" si="447"/>
        <v>0</v>
      </c>
      <c r="BR483" s="53">
        <f t="shared" si="447"/>
        <v>0</v>
      </c>
      <c r="BS483" s="53">
        <f t="shared" si="447"/>
        <v>0</v>
      </c>
      <c r="BT483" s="53">
        <f t="shared" si="447"/>
        <v>0</v>
      </c>
      <c r="BU483" s="53">
        <f t="shared" si="447"/>
        <v>0</v>
      </c>
      <c r="BV483" s="53">
        <f t="shared" si="447"/>
        <v>0</v>
      </c>
      <c r="BW483" s="53">
        <f t="shared" si="447"/>
        <v>0</v>
      </c>
      <c r="BX483" s="53">
        <f t="shared" si="447"/>
        <v>0</v>
      </c>
      <c r="BY483" s="53">
        <f t="shared" si="447"/>
        <v>0</v>
      </c>
      <c r="BZ483" s="53">
        <f t="shared" si="447"/>
        <v>0</v>
      </c>
      <c r="CA483" s="53">
        <f t="shared" si="447"/>
        <v>0</v>
      </c>
      <c r="CB483" s="53">
        <f t="shared" si="447"/>
        <v>0</v>
      </c>
      <c r="CC483" s="53">
        <f t="shared" si="447"/>
        <v>0</v>
      </c>
      <c r="CD483" s="53">
        <f t="shared" si="447"/>
        <v>0</v>
      </c>
      <c r="CE483" s="53">
        <f t="shared" si="447"/>
        <v>0</v>
      </c>
      <c r="CF483" s="53">
        <f t="shared" si="447"/>
        <v>0</v>
      </c>
      <c r="CG483" s="53">
        <f t="shared" si="447"/>
        <v>0</v>
      </c>
      <c r="CH483" s="53">
        <f t="shared" si="447"/>
        <v>0</v>
      </c>
      <c r="CI483" s="53">
        <f t="shared" si="447"/>
        <v>0</v>
      </c>
      <c r="CJ483" s="53">
        <f t="shared" si="447"/>
        <v>0</v>
      </c>
      <c r="CK483" s="53">
        <f t="shared" si="447"/>
        <v>0</v>
      </c>
      <c r="CL483" s="53">
        <f t="shared" si="447"/>
        <v>0</v>
      </c>
      <c r="CM483" s="53">
        <f t="shared" si="447"/>
        <v>0</v>
      </c>
      <c r="CN483" s="53">
        <f t="shared" si="447"/>
        <v>0</v>
      </c>
      <c r="CO483" s="53">
        <f t="shared" si="447"/>
        <v>0</v>
      </c>
      <c r="CP483" s="53">
        <f t="shared" si="447"/>
        <v>0</v>
      </c>
      <c r="CQ483" s="53">
        <f t="shared" si="447"/>
        <v>0</v>
      </c>
      <c r="CR483" s="53">
        <f t="shared" si="447"/>
        <v>0</v>
      </c>
      <c r="CS483" s="53">
        <f t="shared" si="447"/>
        <v>0</v>
      </c>
      <c r="CT483" s="53">
        <f t="shared" si="447"/>
        <v>0</v>
      </c>
      <c r="CU483" s="53">
        <f t="shared" si="447"/>
        <v>0</v>
      </c>
      <c r="CV483" s="53">
        <f t="shared" si="447"/>
        <v>0</v>
      </c>
      <c r="CW483" s="53">
        <f t="shared" si="447"/>
        <v>0</v>
      </c>
      <c r="CX483" s="53">
        <f t="shared" si="447"/>
        <v>0</v>
      </c>
      <c r="DB483" s="2" vm="732">
        <f ca="1">IF(Returns!A487&lt;&gt;0,Returns!A487,"")</f>
        <v>43577</v>
      </c>
      <c r="DC483" s="11">
        <f ca="1">IF(Returns!B498&gt;0,Returns!B498/Returns!B497-1,"")</f>
        <v>3.5045370089196171E-2</v>
      </c>
      <c r="DD483" s="11">
        <f ca="1">IF(Returns!D490&gt;0,Returns!D490/Returns!D489-1,"")</f>
        <v>-6.8756563876816168E-3</v>
      </c>
    </row>
    <row r="484" spans="2:108" x14ac:dyDescent="0.3">
      <c r="B484" s="57">
        <f t="shared" ca="1" si="393"/>
        <v>1.8727913596426279E-2</v>
      </c>
      <c r="C484" s="53">
        <f t="shared" ref="C484:BN484" si="448">IFERROR(IF(C$262=0,0,(C225-C226)/C226),0)</f>
        <v>0</v>
      </c>
      <c r="D484" s="53">
        <f t="shared" si="448"/>
        <v>0</v>
      </c>
      <c r="E484" s="53">
        <f t="shared" si="448"/>
        <v>0</v>
      </c>
      <c r="F484" s="53">
        <f t="shared" si="448"/>
        <v>0</v>
      </c>
      <c r="G484" s="53">
        <f t="shared" si="448"/>
        <v>0</v>
      </c>
      <c r="H484" s="53">
        <f t="shared" si="448"/>
        <v>0</v>
      </c>
      <c r="I484" s="53">
        <f t="shared" si="448"/>
        <v>0</v>
      </c>
      <c r="J484" s="53">
        <f t="shared" si="448"/>
        <v>0</v>
      </c>
      <c r="K484" s="53">
        <f t="shared" si="448"/>
        <v>0</v>
      </c>
      <c r="L484" s="53">
        <f t="shared" si="448"/>
        <v>0</v>
      </c>
      <c r="M484" s="53">
        <f t="shared" si="448"/>
        <v>0</v>
      </c>
      <c r="N484" s="53">
        <f t="shared" si="448"/>
        <v>0</v>
      </c>
      <c r="O484" s="53">
        <f t="shared" si="448"/>
        <v>0</v>
      </c>
      <c r="P484" s="53">
        <f t="shared" si="448"/>
        <v>0</v>
      </c>
      <c r="Q484" s="53">
        <f t="shared" si="448"/>
        <v>0</v>
      </c>
      <c r="R484" s="53">
        <f t="shared" si="448"/>
        <v>0</v>
      </c>
      <c r="S484" s="53">
        <f t="shared" si="448"/>
        <v>0</v>
      </c>
      <c r="T484" s="53">
        <f t="shared" si="448"/>
        <v>0</v>
      </c>
      <c r="U484" s="53">
        <f t="shared" si="448"/>
        <v>0</v>
      </c>
      <c r="V484" s="53">
        <f t="shared" si="448"/>
        <v>0</v>
      </c>
      <c r="W484" s="53">
        <f t="shared" si="448"/>
        <v>0</v>
      </c>
      <c r="X484" s="53">
        <f t="shared" si="448"/>
        <v>0</v>
      </c>
      <c r="Y484" s="53">
        <f t="shared" si="448"/>
        <v>0</v>
      </c>
      <c r="Z484" s="53">
        <f t="shared" si="448"/>
        <v>0</v>
      </c>
      <c r="AA484" s="53">
        <f t="shared" si="448"/>
        <v>0</v>
      </c>
      <c r="AB484" s="53">
        <f t="shared" si="448"/>
        <v>0</v>
      </c>
      <c r="AC484" s="53">
        <f t="shared" si="448"/>
        <v>0</v>
      </c>
      <c r="AD484" s="53">
        <f t="shared" si="448"/>
        <v>0</v>
      </c>
      <c r="AE484" s="53">
        <f t="shared" si="448"/>
        <v>0</v>
      </c>
      <c r="AF484" s="53">
        <f t="shared" si="448"/>
        <v>0</v>
      </c>
      <c r="AG484" s="53">
        <f t="shared" si="448"/>
        <v>0</v>
      </c>
      <c r="AH484" s="53">
        <f t="shared" si="448"/>
        <v>0</v>
      </c>
      <c r="AI484" s="53">
        <f t="shared" si="448"/>
        <v>0</v>
      </c>
      <c r="AJ484" s="53">
        <f t="shared" si="448"/>
        <v>0</v>
      </c>
      <c r="AK484" s="53">
        <f t="shared" si="448"/>
        <v>0</v>
      </c>
      <c r="AL484" s="53">
        <f t="shared" si="448"/>
        <v>0</v>
      </c>
      <c r="AM484" s="53">
        <f t="shared" si="448"/>
        <v>0</v>
      </c>
      <c r="AN484" s="53">
        <f t="shared" si="448"/>
        <v>0</v>
      </c>
      <c r="AO484" s="53">
        <f t="shared" si="448"/>
        <v>0</v>
      </c>
      <c r="AP484" s="53">
        <f t="shared" si="448"/>
        <v>0</v>
      </c>
      <c r="AQ484" s="53">
        <f t="shared" si="448"/>
        <v>0</v>
      </c>
      <c r="AR484" s="53">
        <f t="shared" si="448"/>
        <v>0</v>
      </c>
      <c r="AS484" s="53">
        <f t="shared" si="448"/>
        <v>0</v>
      </c>
      <c r="AT484" s="53">
        <f t="shared" si="448"/>
        <v>0</v>
      </c>
      <c r="AU484" s="53">
        <f t="shared" si="448"/>
        <v>0</v>
      </c>
      <c r="AV484" s="53">
        <f t="shared" si="448"/>
        <v>0</v>
      </c>
      <c r="AW484" s="53">
        <f t="shared" si="448"/>
        <v>0</v>
      </c>
      <c r="AX484" s="53">
        <f t="shared" si="448"/>
        <v>0</v>
      </c>
      <c r="AY484" s="53">
        <f t="shared" si="448"/>
        <v>0</v>
      </c>
      <c r="AZ484" s="53">
        <f t="shared" si="448"/>
        <v>0</v>
      </c>
      <c r="BA484" s="53">
        <f t="shared" si="448"/>
        <v>0</v>
      </c>
      <c r="BB484" s="53">
        <f t="shared" si="448"/>
        <v>0</v>
      </c>
      <c r="BC484" s="53">
        <f t="shared" si="448"/>
        <v>0</v>
      </c>
      <c r="BD484" s="53">
        <f t="shared" si="448"/>
        <v>0</v>
      </c>
      <c r="BE484" s="53">
        <f t="shared" si="448"/>
        <v>0</v>
      </c>
      <c r="BF484" s="53">
        <f t="shared" si="448"/>
        <v>0</v>
      </c>
      <c r="BG484" s="53">
        <f t="shared" si="448"/>
        <v>0</v>
      </c>
      <c r="BH484" s="53">
        <f t="shared" si="448"/>
        <v>0</v>
      </c>
      <c r="BI484" s="53">
        <f t="shared" si="448"/>
        <v>0</v>
      </c>
      <c r="BJ484" s="53">
        <f t="shared" si="448"/>
        <v>0</v>
      </c>
      <c r="BK484" s="53">
        <f t="shared" si="448"/>
        <v>0</v>
      </c>
      <c r="BL484" s="53">
        <f t="shared" si="448"/>
        <v>0</v>
      </c>
      <c r="BM484" s="53">
        <f t="shared" si="448"/>
        <v>0</v>
      </c>
      <c r="BN484" s="53">
        <f t="shared" si="448"/>
        <v>0</v>
      </c>
      <c r="BO484" s="53">
        <f t="shared" ref="BO484:CX484" si="449">IFERROR(IF(BO$262=0,0,(BO225-BO226)/BO226),0)</f>
        <v>0</v>
      </c>
      <c r="BP484" s="53">
        <f t="shared" si="449"/>
        <v>0</v>
      </c>
      <c r="BQ484" s="53">
        <f t="shared" si="449"/>
        <v>0</v>
      </c>
      <c r="BR484" s="53">
        <f t="shared" si="449"/>
        <v>0</v>
      </c>
      <c r="BS484" s="53">
        <f t="shared" si="449"/>
        <v>0</v>
      </c>
      <c r="BT484" s="53">
        <f t="shared" si="449"/>
        <v>0</v>
      </c>
      <c r="BU484" s="53">
        <f t="shared" si="449"/>
        <v>0</v>
      </c>
      <c r="BV484" s="53">
        <f t="shared" si="449"/>
        <v>0</v>
      </c>
      <c r="BW484" s="53">
        <f t="shared" si="449"/>
        <v>0</v>
      </c>
      <c r="BX484" s="53">
        <f t="shared" si="449"/>
        <v>0</v>
      </c>
      <c r="BY484" s="53">
        <f t="shared" si="449"/>
        <v>0</v>
      </c>
      <c r="BZ484" s="53">
        <f t="shared" si="449"/>
        <v>0</v>
      </c>
      <c r="CA484" s="53">
        <f t="shared" si="449"/>
        <v>0</v>
      </c>
      <c r="CB484" s="53">
        <f t="shared" si="449"/>
        <v>0</v>
      </c>
      <c r="CC484" s="53">
        <f t="shared" si="449"/>
        <v>0</v>
      </c>
      <c r="CD484" s="53">
        <f t="shared" si="449"/>
        <v>0</v>
      </c>
      <c r="CE484" s="53">
        <f t="shared" si="449"/>
        <v>0</v>
      </c>
      <c r="CF484" s="53">
        <f t="shared" si="449"/>
        <v>0</v>
      </c>
      <c r="CG484" s="53">
        <f t="shared" si="449"/>
        <v>0</v>
      </c>
      <c r="CH484" s="53">
        <f t="shared" si="449"/>
        <v>0</v>
      </c>
      <c r="CI484" s="53">
        <f t="shared" si="449"/>
        <v>0</v>
      </c>
      <c r="CJ484" s="53">
        <f t="shared" si="449"/>
        <v>0</v>
      </c>
      <c r="CK484" s="53">
        <f t="shared" si="449"/>
        <v>0</v>
      </c>
      <c r="CL484" s="53">
        <f t="shared" si="449"/>
        <v>0</v>
      </c>
      <c r="CM484" s="53">
        <f t="shared" si="449"/>
        <v>0</v>
      </c>
      <c r="CN484" s="53">
        <f t="shared" si="449"/>
        <v>0</v>
      </c>
      <c r="CO484" s="53">
        <f t="shared" si="449"/>
        <v>0</v>
      </c>
      <c r="CP484" s="53">
        <f t="shared" si="449"/>
        <v>0</v>
      </c>
      <c r="CQ484" s="53">
        <f t="shared" si="449"/>
        <v>0</v>
      </c>
      <c r="CR484" s="53">
        <f t="shared" si="449"/>
        <v>0</v>
      </c>
      <c r="CS484" s="53">
        <f t="shared" si="449"/>
        <v>0</v>
      </c>
      <c r="CT484" s="53">
        <f t="shared" si="449"/>
        <v>0</v>
      </c>
      <c r="CU484" s="53">
        <f t="shared" si="449"/>
        <v>0</v>
      </c>
      <c r="CV484" s="53">
        <f t="shared" si="449"/>
        <v>0</v>
      </c>
      <c r="CW484" s="53">
        <f t="shared" si="449"/>
        <v>0</v>
      </c>
      <c r="CX484" s="53">
        <f t="shared" si="449"/>
        <v>0</v>
      </c>
      <c r="DB484" s="2" vm="733">
        <f ca="1">IF(Returns!A488&lt;&gt;0,Returns!A488,"")</f>
        <v>43584</v>
      </c>
      <c r="DC484" s="11">
        <f ca="1">IF(Returns!B499&gt;0,Returns!B499/Returns!B498-1,"")</f>
        <v>-2.3112879164594702E-2</v>
      </c>
      <c r="DD484" s="11">
        <f ca="1">IF(Returns!D491&gt;0,Returns!D491/Returns!D490-1,"")</f>
        <v>-6.9206228723214247E-3</v>
      </c>
    </row>
    <row r="485" spans="2:108" x14ac:dyDescent="0.3">
      <c r="B485" s="57">
        <f t="shared" ca="1" si="393"/>
        <v>2.5001511750561926E-3</v>
      </c>
      <c r="C485" s="53">
        <f t="shared" ref="C485:BN485" si="450">IFERROR(IF(C$262=0,0,(C226-C227)/C227),0)</f>
        <v>0</v>
      </c>
      <c r="D485" s="53">
        <f t="shared" si="450"/>
        <v>0</v>
      </c>
      <c r="E485" s="53">
        <f t="shared" si="450"/>
        <v>0</v>
      </c>
      <c r="F485" s="53">
        <f t="shared" si="450"/>
        <v>0</v>
      </c>
      <c r="G485" s="53">
        <f t="shared" si="450"/>
        <v>0</v>
      </c>
      <c r="H485" s="53">
        <f t="shared" si="450"/>
        <v>0</v>
      </c>
      <c r="I485" s="53">
        <f t="shared" si="450"/>
        <v>0</v>
      </c>
      <c r="J485" s="53">
        <f t="shared" si="450"/>
        <v>0</v>
      </c>
      <c r="K485" s="53">
        <f t="shared" si="450"/>
        <v>0</v>
      </c>
      <c r="L485" s="53">
        <f t="shared" si="450"/>
        <v>0</v>
      </c>
      <c r="M485" s="53">
        <f t="shared" si="450"/>
        <v>0</v>
      </c>
      <c r="N485" s="53">
        <f t="shared" si="450"/>
        <v>0</v>
      </c>
      <c r="O485" s="53">
        <f t="shared" si="450"/>
        <v>0</v>
      </c>
      <c r="P485" s="53">
        <f t="shared" si="450"/>
        <v>0</v>
      </c>
      <c r="Q485" s="53">
        <f t="shared" si="450"/>
        <v>0</v>
      </c>
      <c r="R485" s="53">
        <f t="shared" si="450"/>
        <v>0</v>
      </c>
      <c r="S485" s="53">
        <f t="shared" si="450"/>
        <v>0</v>
      </c>
      <c r="T485" s="53">
        <f t="shared" si="450"/>
        <v>0</v>
      </c>
      <c r="U485" s="53">
        <f t="shared" si="450"/>
        <v>0</v>
      </c>
      <c r="V485" s="53">
        <f t="shared" si="450"/>
        <v>0</v>
      </c>
      <c r="W485" s="53">
        <f t="shared" si="450"/>
        <v>0</v>
      </c>
      <c r="X485" s="53">
        <f t="shared" si="450"/>
        <v>0</v>
      </c>
      <c r="Y485" s="53">
        <f t="shared" si="450"/>
        <v>0</v>
      </c>
      <c r="Z485" s="53">
        <f t="shared" si="450"/>
        <v>0</v>
      </c>
      <c r="AA485" s="53">
        <f t="shared" si="450"/>
        <v>0</v>
      </c>
      <c r="AB485" s="53">
        <f t="shared" si="450"/>
        <v>0</v>
      </c>
      <c r="AC485" s="53">
        <f t="shared" si="450"/>
        <v>0</v>
      </c>
      <c r="AD485" s="53">
        <f t="shared" si="450"/>
        <v>0</v>
      </c>
      <c r="AE485" s="53">
        <f t="shared" si="450"/>
        <v>0</v>
      </c>
      <c r="AF485" s="53">
        <f t="shared" si="450"/>
        <v>0</v>
      </c>
      <c r="AG485" s="53">
        <f t="shared" si="450"/>
        <v>0</v>
      </c>
      <c r="AH485" s="53">
        <f t="shared" si="450"/>
        <v>0</v>
      </c>
      <c r="AI485" s="53">
        <f t="shared" si="450"/>
        <v>0</v>
      </c>
      <c r="AJ485" s="53">
        <f t="shared" si="450"/>
        <v>0</v>
      </c>
      <c r="AK485" s="53">
        <f t="shared" si="450"/>
        <v>0</v>
      </c>
      <c r="AL485" s="53">
        <f t="shared" si="450"/>
        <v>0</v>
      </c>
      <c r="AM485" s="53">
        <f t="shared" si="450"/>
        <v>0</v>
      </c>
      <c r="AN485" s="53">
        <f t="shared" si="450"/>
        <v>0</v>
      </c>
      <c r="AO485" s="53">
        <f t="shared" si="450"/>
        <v>0</v>
      </c>
      <c r="AP485" s="53">
        <f t="shared" si="450"/>
        <v>0</v>
      </c>
      <c r="AQ485" s="53">
        <f t="shared" si="450"/>
        <v>0</v>
      </c>
      <c r="AR485" s="53">
        <f t="shared" si="450"/>
        <v>0</v>
      </c>
      <c r="AS485" s="53">
        <f t="shared" si="450"/>
        <v>0</v>
      </c>
      <c r="AT485" s="53">
        <f t="shared" si="450"/>
        <v>0</v>
      </c>
      <c r="AU485" s="53">
        <f t="shared" si="450"/>
        <v>0</v>
      </c>
      <c r="AV485" s="53">
        <f t="shared" si="450"/>
        <v>0</v>
      </c>
      <c r="AW485" s="53">
        <f t="shared" si="450"/>
        <v>0</v>
      </c>
      <c r="AX485" s="53">
        <f t="shared" si="450"/>
        <v>0</v>
      </c>
      <c r="AY485" s="53">
        <f t="shared" si="450"/>
        <v>0</v>
      </c>
      <c r="AZ485" s="53">
        <f t="shared" si="450"/>
        <v>0</v>
      </c>
      <c r="BA485" s="53">
        <f t="shared" si="450"/>
        <v>0</v>
      </c>
      <c r="BB485" s="53">
        <f t="shared" si="450"/>
        <v>0</v>
      </c>
      <c r="BC485" s="53">
        <f t="shared" si="450"/>
        <v>0</v>
      </c>
      <c r="BD485" s="53">
        <f t="shared" si="450"/>
        <v>0</v>
      </c>
      <c r="BE485" s="53">
        <f t="shared" si="450"/>
        <v>0</v>
      </c>
      <c r="BF485" s="53">
        <f t="shared" si="450"/>
        <v>0</v>
      </c>
      <c r="BG485" s="53">
        <f t="shared" si="450"/>
        <v>0</v>
      </c>
      <c r="BH485" s="53">
        <f t="shared" si="450"/>
        <v>0</v>
      </c>
      <c r="BI485" s="53">
        <f t="shared" si="450"/>
        <v>0</v>
      </c>
      <c r="BJ485" s="53">
        <f t="shared" si="450"/>
        <v>0</v>
      </c>
      <c r="BK485" s="53">
        <f t="shared" si="450"/>
        <v>0</v>
      </c>
      <c r="BL485" s="53">
        <f t="shared" si="450"/>
        <v>0</v>
      </c>
      <c r="BM485" s="53">
        <f t="shared" si="450"/>
        <v>0</v>
      </c>
      <c r="BN485" s="53">
        <f t="shared" si="450"/>
        <v>0</v>
      </c>
      <c r="BO485" s="53">
        <f t="shared" ref="BO485:CX485" si="451">IFERROR(IF(BO$262=0,0,(BO226-BO227)/BO227),0)</f>
        <v>0</v>
      </c>
      <c r="BP485" s="53">
        <f t="shared" si="451"/>
        <v>0</v>
      </c>
      <c r="BQ485" s="53">
        <f t="shared" si="451"/>
        <v>0</v>
      </c>
      <c r="BR485" s="53">
        <f t="shared" si="451"/>
        <v>0</v>
      </c>
      <c r="BS485" s="53">
        <f t="shared" si="451"/>
        <v>0</v>
      </c>
      <c r="BT485" s="53">
        <f t="shared" si="451"/>
        <v>0</v>
      </c>
      <c r="BU485" s="53">
        <f t="shared" si="451"/>
        <v>0</v>
      </c>
      <c r="BV485" s="53">
        <f t="shared" si="451"/>
        <v>0</v>
      </c>
      <c r="BW485" s="53">
        <f t="shared" si="451"/>
        <v>0</v>
      </c>
      <c r="BX485" s="53">
        <f t="shared" si="451"/>
        <v>0</v>
      </c>
      <c r="BY485" s="53">
        <f t="shared" si="451"/>
        <v>0</v>
      </c>
      <c r="BZ485" s="53">
        <f t="shared" si="451"/>
        <v>0</v>
      </c>
      <c r="CA485" s="53">
        <f t="shared" si="451"/>
        <v>0</v>
      </c>
      <c r="CB485" s="53">
        <f t="shared" si="451"/>
        <v>0</v>
      </c>
      <c r="CC485" s="53">
        <f t="shared" si="451"/>
        <v>0</v>
      </c>
      <c r="CD485" s="53">
        <f t="shared" si="451"/>
        <v>0</v>
      </c>
      <c r="CE485" s="53">
        <f t="shared" si="451"/>
        <v>0</v>
      </c>
      <c r="CF485" s="53">
        <f t="shared" si="451"/>
        <v>0</v>
      </c>
      <c r="CG485" s="53">
        <f t="shared" si="451"/>
        <v>0</v>
      </c>
      <c r="CH485" s="53">
        <f t="shared" si="451"/>
        <v>0</v>
      </c>
      <c r="CI485" s="53">
        <f t="shared" si="451"/>
        <v>0</v>
      </c>
      <c r="CJ485" s="53">
        <f t="shared" si="451"/>
        <v>0</v>
      </c>
      <c r="CK485" s="53">
        <f t="shared" si="451"/>
        <v>0</v>
      </c>
      <c r="CL485" s="53">
        <f t="shared" si="451"/>
        <v>0</v>
      </c>
      <c r="CM485" s="53">
        <f t="shared" si="451"/>
        <v>0</v>
      </c>
      <c r="CN485" s="53">
        <f t="shared" si="451"/>
        <v>0</v>
      </c>
      <c r="CO485" s="53">
        <f t="shared" si="451"/>
        <v>0</v>
      </c>
      <c r="CP485" s="53">
        <f t="shared" si="451"/>
        <v>0</v>
      </c>
      <c r="CQ485" s="53">
        <f t="shared" si="451"/>
        <v>0</v>
      </c>
      <c r="CR485" s="53">
        <f t="shared" si="451"/>
        <v>0</v>
      </c>
      <c r="CS485" s="53">
        <f t="shared" si="451"/>
        <v>0</v>
      </c>
      <c r="CT485" s="53">
        <f t="shared" si="451"/>
        <v>0</v>
      </c>
      <c r="CU485" s="53">
        <f t="shared" si="451"/>
        <v>0</v>
      </c>
      <c r="CV485" s="53">
        <f t="shared" si="451"/>
        <v>0</v>
      </c>
      <c r="CW485" s="53">
        <f t="shared" si="451"/>
        <v>0</v>
      </c>
      <c r="CX485" s="53">
        <f t="shared" si="451"/>
        <v>0</v>
      </c>
      <c r="DB485" s="2" vm="734">
        <f ca="1">IF(Returns!A489&lt;&gt;0,Returns!A489,"")</f>
        <v>43591</v>
      </c>
      <c r="DC485" s="11">
        <f ca="1">IF(Returns!B500&gt;0,Returns!B500/Returns!B499-1,"")</f>
        <v>-1.0928878301060818E-2</v>
      </c>
      <c r="DD485" s="11">
        <f ca="1">IF(Returns!D492&gt;0,Returns!D492/Returns!D491-1,"")</f>
        <v>-3.0120610647049406E-2</v>
      </c>
    </row>
    <row r="486" spans="2:108" x14ac:dyDescent="0.3">
      <c r="B486" s="57">
        <f t="shared" ca="1" si="393"/>
        <v>1.6623393061487972E-3</v>
      </c>
      <c r="C486" s="53">
        <f t="shared" ref="C486:BN486" si="452">IFERROR(IF(C$262=0,0,(C227-C228)/C228),0)</f>
        <v>0</v>
      </c>
      <c r="D486" s="53">
        <f t="shared" si="452"/>
        <v>0</v>
      </c>
      <c r="E486" s="53">
        <f t="shared" si="452"/>
        <v>0</v>
      </c>
      <c r="F486" s="53">
        <f t="shared" si="452"/>
        <v>0</v>
      </c>
      <c r="G486" s="53">
        <f t="shared" si="452"/>
        <v>0</v>
      </c>
      <c r="H486" s="53">
        <f t="shared" si="452"/>
        <v>0</v>
      </c>
      <c r="I486" s="53">
        <f t="shared" si="452"/>
        <v>0</v>
      </c>
      <c r="J486" s="53">
        <f t="shared" si="452"/>
        <v>0</v>
      </c>
      <c r="K486" s="53">
        <f t="shared" si="452"/>
        <v>0</v>
      </c>
      <c r="L486" s="53">
        <f t="shared" si="452"/>
        <v>0</v>
      </c>
      <c r="M486" s="53">
        <f t="shared" si="452"/>
        <v>0</v>
      </c>
      <c r="N486" s="53">
        <f t="shared" si="452"/>
        <v>0</v>
      </c>
      <c r="O486" s="53">
        <f t="shared" si="452"/>
        <v>0</v>
      </c>
      <c r="P486" s="53">
        <f t="shared" si="452"/>
        <v>0</v>
      </c>
      <c r="Q486" s="53">
        <f t="shared" si="452"/>
        <v>0</v>
      </c>
      <c r="R486" s="53">
        <f t="shared" si="452"/>
        <v>0</v>
      </c>
      <c r="S486" s="53">
        <f t="shared" si="452"/>
        <v>0</v>
      </c>
      <c r="T486" s="53">
        <f t="shared" si="452"/>
        <v>0</v>
      </c>
      <c r="U486" s="53">
        <f t="shared" si="452"/>
        <v>0</v>
      </c>
      <c r="V486" s="53">
        <f t="shared" si="452"/>
        <v>0</v>
      </c>
      <c r="W486" s="53">
        <f t="shared" si="452"/>
        <v>0</v>
      </c>
      <c r="X486" s="53">
        <f t="shared" si="452"/>
        <v>0</v>
      </c>
      <c r="Y486" s="53">
        <f t="shared" si="452"/>
        <v>0</v>
      </c>
      <c r="Z486" s="53">
        <f t="shared" si="452"/>
        <v>0</v>
      </c>
      <c r="AA486" s="53">
        <f t="shared" si="452"/>
        <v>0</v>
      </c>
      <c r="AB486" s="53">
        <f t="shared" si="452"/>
        <v>0</v>
      </c>
      <c r="AC486" s="53">
        <f t="shared" si="452"/>
        <v>0</v>
      </c>
      <c r="AD486" s="53">
        <f t="shared" si="452"/>
        <v>0</v>
      </c>
      <c r="AE486" s="53">
        <f t="shared" si="452"/>
        <v>0</v>
      </c>
      <c r="AF486" s="53">
        <f t="shared" si="452"/>
        <v>0</v>
      </c>
      <c r="AG486" s="53">
        <f t="shared" si="452"/>
        <v>0</v>
      </c>
      <c r="AH486" s="53">
        <f t="shared" si="452"/>
        <v>0</v>
      </c>
      <c r="AI486" s="53">
        <f t="shared" si="452"/>
        <v>0</v>
      </c>
      <c r="AJ486" s="53">
        <f t="shared" si="452"/>
        <v>0</v>
      </c>
      <c r="AK486" s="53">
        <f t="shared" si="452"/>
        <v>0</v>
      </c>
      <c r="AL486" s="53">
        <f t="shared" si="452"/>
        <v>0</v>
      </c>
      <c r="AM486" s="53">
        <f t="shared" si="452"/>
        <v>0</v>
      </c>
      <c r="AN486" s="53">
        <f t="shared" si="452"/>
        <v>0</v>
      </c>
      <c r="AO486" s="53">
        <f t="shared" si="452"/>
        <v>0</v>
      </c>
      <c r="AP486" s="53">
        <f t="shared" si="452"/>
        <v>0</v>
      </c>
      <c r="AQ486" s="53">
        <f t="shared" si="452"/>
        <v>0</v>
      </c>
      <c r="AR486" s="53">
        <f t="shared" si="452"/>
        <v>0</v>
      </c>
      <c r="AS486" s="53">
        <f t="shared" si="452"/>
        <v>0</v>
      </c>
      <c r="AT486" s="53">
        <f t="shared" si="452"/>
        <v>0</v>
      </c>
      <c r="AU486" s="53">
        <f t="shared" si="452"/>
        <v>0</v>
      </c>
      <c r="AV486" s="53">
        <f t="shared" si="452"/>
        <v>0</v>
      </c>
      <c r="AW486" s="53">
        <f t="shared" si="452"/>
        <v>0</v>
      </c>
      <c r="AX486" s="53">
        <f t="shared" si="452"/>
        <v>0</v>
      </c>
      <c r="AY486" s="53">
        <f t="shared" si="452"/>
        <v>0</v>
      </c>
      <c r="AZ486" s="53">
        <f t="shared" si="452"/>
        <v>0</v>
      </c>
      <c r="BA486" s="53">
        <f t="shared" si="452"/>
        <v>0</v>
      </c>
      <c r="BB486" s="53">
        <f t="shared" si="452"/>
        <v>0</v>
      </c>
      <c r="BC486" s="53">
        <f t="shared" si="452"/>
        <v>0</v>
      </c>
      <c r="BD486" s="53">
        <f t="shared" si="452"/>
        <v>0</v>
      </c>
      <c r="BE486" s="53">
        <f t="shared" si="452"/>
        <v>0</v>
      </c>
      <c r="BF486" s="53">
        <f t="shared" si="452"/>
        <v>0</v>
      </c>
      <c r="BG486" s="53">
        <f t="shared" si="452"/>
        <v>0</v>
      </c>
      <c r="BH486" s="53">
        <f t="shared" si="452"/>
        <v>0</v>
      </c>
      <c r="BI486" s="53">
        <f t="shared" si="452"/>
        <v>0</v>
      </c>
      <c r="BJ486" s="53">
        <f t="shared" si="452"/>
        <v>0</v>
      </c>
      <c r="BK486" s="53">
        <f t="shared" si="452"/>
        <v>0</v>
      </c>
      <c r="BL486" s="53">
        <f t="shared" si="452"/>
        <v>0</v>
      </c>
      <c r="BM486" s="53">
        <f t="shared" si="452"/>
        <v>0</v>
      </c>
      <c r="BN486" s="53">
        <f t="shared" si="452"/>
        <v>0</v>
      </c>
      <c r="BO486" s="53">
        <f t="shared" ref="BO486:CX486" si="453">IFERROR(IF(BO$262=0,0,(BO227-BO228)/BO228),0)</f>
        <v>0</v>
      </c>
      <c r="BP486" s="53">
        <f t="shared" si="453"/>
        <v>0</v>
      </c>
      <c r="BQ486" s="53">
        <f t="shared" si="453"/>
        <v>0</v>
      </c>
      <c r="BR486" s="53">
        <f t="shared" si="453"/>
        <v>0</v>
      </c>
      <c r="BS486" s="53">
        <f t="shared" si="453"/>
        <v>0</v>
      </c>
      <c r="BT486" s="53">
        <f t="shared" si="453"/>
        <v>0</v>
      </c>
      <c r="BU486" s="53">
        <f t="shared" si="453"/>
        <v>0</v>
      </c>
      <c r="BV486" s="53">
        <f t="shared" si="453"/>
        <v>0</v>
      </c>
      <c r="BW486" s="53">
        <f t="shared" si="453"/>
        <v>0</v>
      </c>
      <c r="BX486" s="53">
        <f t="shared" si="453"/>
        <v>0</v>
      </c>
      <c r="BY486" s="53">
        <f t="shared" si="453"/>
        <v>0</v>
      </c>
      <c r="BZ486" s="53">
        <f t="shared" si="453"/>
        <v>0</v>
      </c>
      <c r="CA486" s="53">
        <f t="shared" si="453"/>
        <v>0</v>
      </c>
      <c r="CB486" s="53">
        <f t="shared" si="453"/>
        <v>0</v>
      </c>
      <c r="CC486" s="53">
        <f t="shared" si="453"/>
        <v>0</v>
      </c>
      <c r="CD486" s="53">
        <f t="shared" si="453"/>
        <v>0</v>
      </c>
      <c r="CE486" s="53">
        <f t="shared" si="453"/>
        <v>0</v>
      </c>
      <c r="CF486" s="53">
        <f t="shared" si="453"/>
        <v>0</v>
      </c>
      <c r="CG486" s="53">
        <f t="shared" si="453"/>
        <v>0</v>
      </c>
      <c r="CH486" s="53">
        <f t="shared" si="453"/>
        <v>0</v>
      </c>
      <c r="CI486" s="53">
        <f t="shared" si="453"/>
        <v>0</v>
      </c>
      <c r="CJ486" s="53">
        <f t="shared" si="453"/>
        <v>0</v>
      </c>
      <c r="CK486" s="53">
        <f t="shared" si="453"/>
        <v>0</v>
      </c>
      <c r="CL486" s="53">
        <f t="shared" si="453"/>
        <v>0</v>
      </c>
      <c r="CM486" s="53">
        <f t="shared" si="453"/>
        <v>0</v>
      </c>
      <c r="CN486" s="53">
        <f t="shared" si="453"/>
        <v>0</v>
      </c>
      <c r="CO486" s="53">
        <f t="shared" si="453"/>
        <v>0</v>
      </c>
      <c r="CP486" s="53">
        <f t="shared" si="453"/>
        <v>0</v>
      </c>
      <c r="CQ486" s="53">
        <f t="shared" si="453"/>
        <v>0</v>
      </c>
      <c r="CR486" s="53">
        <f t="shared" si="453"/>
        <v>0</v>
      </c>
      <c r="CS486" s="53">
        <f t="shared" si="453"/>
        <v>0</v>
      </c>
      <c r="CT486" s="53">
        <f t="shared" si="453"/>
        <v>0</v>
      </c>
      <c r="CU486" s="53">
        <f t="shared" si="453"/>
        <v>0</v>
      </c>
      <c r="CV486" s="53">
        <f t="shared" si="453"/>
        <v>0</v>
      </c>
      <c r="CW486" s="53">
        <f t="shared" si="453"/>
        <v>0</v>
      </c>
      <c r="CX486" s="53">
        <f t="shared" si="453"/>
        <v>0</v>
      </c>
      <c r="DB486" s="2" vm="735">
        <f ca="1">IF(Returns!A490&lt;&gt;0,Returns!A490,"")</f>
        <v>43598</v>
      </c>
      <c r="DC486" s="11">
        <f ca="1">IF(Returns!B501&gt;0,Returns!B501/Returns!B500-1,"")</f>
        <v>-6.1660791024420347E-2</v>
      </c>
      <c r="DD486" s="11">
        <f ca="1">IF(Returns!D493&gt;0,Returns!D493/Returns!D492-1,"")</f>
        <v>4.710470624173646E-2</v>
      </c>
    </row>
    <row r="487" spans="2:108" x14ac:dyDescent="0.3">
      <c r="B487" s="57">
        <f t="shared" ca="1" si="393"/>
        <v>6.7896473603492279E-4</v>
      </c>
      <c r="C487" s="53">
        <f t="shared" ref="C487:BN487" si="454">IFERROR(IF(C$262=0,0,(C228-C229)/C229),0)</f>
        <v>0</v>
      </c>
      <c r="D487" s="53">
        <f t="shared" si="454"/>
        <v>0</v>
      </c>
      <c r="E487" s="53">
        <f t="shared" si="454"/>
        <v>0</v>
      </c>
      <c r="F487" s="53">
        <f t="shared" si="454"/>
        <v>0</v>
      </c>
      <c r="G487" s="53">
        <f t="shared" si="454"/>
        <v>0</v>
      </c>
      <c r="H487" s="53">
        <f t="shared" si="454"/>
        <v>0</v>
      </c>
      <c r="I487" s="53">
        <f t="shared" si="454"/>
        <v>0</v>
      </c>
      <c r="J487" s="53">
        <f t="shared" si="454"/>
        <v>0</v>
      </c>
      <c r="K487" s="53">
        <f t="shared" si="454"/>
        <v>0</v>
      </c>
      <c r="L487" s="53">
        <f t="shared" si="454"/>
        <v>0</v>
      </c>
      <c r="M487" s="53">
        <f t="shared" si="454"/>
        <v>0</v>
      </c>
      <c r="N487" s="53">
        <f t="shared" si="454"/>
        <v>0</v>
      </c>
      <c r="O487" s="53">
        <f t="shared" si="454"/>
        <v>0</v>
      </c>
      <c r="P487" s="53">
        <f t="shared" si="454"/>
        <v>0</v>
      </c>
      <c r="Q487" s="53">
        <f t="shared" si="454"/>
        <v>0</v>
      </c>
      <c r="R487" s="53">
        <f t="shared" si="454"/>
        <v>0</v>
      </c>
      <c r="S487" s="53">
        <f t="shared" si="454"/>
        <v>0</v>
      </c>
      <c r="T487" s="53">
        <f t="shared" si="454"/>
        <v>0</v>
      </c>
      <c r="U487" s="53">
        <f t="shared" si="454"/>
        <v>0</v>
      </c>
      <c r="V487" s="53">
        <f t="shared" si="454"/>
        <v>0</v>
      </c>
      <c r="W487" s="53">
        <f t="shared" si="454"/>
        <v>0</v>
      </c>
      <c r="X487" s="53">
        <f t="shared" si="454"/>
        <v>0</v>
      </c>
      <c r="Y487" s="53">
        <f t="shared" si="454"/>
        <v>0</v>
      </c>
      <c r="Z487" s="53">
        <f t="shared" si="454"/>
        <v>0</v>
      </c>
      <c r="AA487" s="53">
        <f t="shared" si="454"/>
        <v>0</v>
      </c>
      <c r="AB487" s="53">
        <f t="shared" si="454"/>
        <v>0</v>
      </c>
      <c r="AC487" s="53">
        <f t="shared" si="454"/>
        <v>0</v>
      </c>
      <c r="AD487" s="53">
        <f t="shared" si="454"/>
        <v>0</v>
      </c>
      <c r="AE487" s="53">
        <f t="shared" si="454"/>
        <v>0</v>
      </c>
      <c r="AF487" s="53">
        <f t="shared" si="454"/>
        <v>0</v>
      </c>
      <c r="AG487" s="53">
        <f t="shared" si="454"/>
        <v>0</v>
      </c>
      <c r="AH487" s="53">
        <f t="shared" si="454"/>
        <v>0</v>
      </c>
      <c r="AI487" s="53">
        <f t="shared" si="454"/>
        <v>0</v>
      </c>
      <c r="AJ487" s="53">
        <f t="shared" si="454"/>
        <v>0</v>
      </c>
      <c r="AK487" s="53">
        <f t="shared" si="454"/>
        <v>0</v>
      </c>
      <c r="AL487" s="53">
        <f t="shared" si="454"/>
        <v>0</v>
      </c>
      <c r="AM487" s="53">
        <f t="shared" si="454"/>
        <v>0</v>
      </c>
      <c r="AN487" s="53">
        <f t="shared" si="454"/>
        <v>0</v>
      </c>
      <c r="AO487" s="53">
        <f t="shared" si="454"/>
        <v>0</v>
      </c>
      <c r="AP487" s="53">
        <f t="shared" si="454"/>
        <v>0</v>
      </c>
      <c r="AQ487" s="53">
        <f t="shared" si="454"/>
        <v>0</v>
      </c>
      <c r="AR487" s="53">
        <f t="shared" si="454"/>
        <v>0</v>
      </c>
      <c r="AS487" s="53">
        <f t="shared" si="454"/>
        <v>0</v>
      </c>
      <c r="AT487" s="53">
        <f t="shared" si="454"/>
        <v>0</v>
      </c>
      <c r="AU487" s="53">
        <f t="shared" si="454"/>
        <v>0</v>
      </c>
      <c r="AV487" s="53">
        <f t="shared" si="454"/>
        <v>0</v>
      </c>
      <c r="AW487" s="53">
        <f t="shared" si="454"/>
        <v>0</v>
      </c>
      <c r="AX487" s="53">
        <f t="shared" si="454"/>
        <v>0</v>
      </c>
      <c r="AY487" s="53">
        <f t="shared" si="454"/>
        <v>0</v>
      </c>
      <c r="AZ487" s="53">
        <f t="shared" si="454"/>
        <v>0</v>
      </c>
      <c r="BA487" s="53">
        <f t="shared" si="454"/>
        <v>0</v>
      </c>
      <c r="BB487" s="53">
        <f t="shared" si="454"/>
        <v>0</v>
      </c>
      <c r="BC487" s="53">
        <f t="shared" si="454"/>
        <v>0</v>
      </c>
      <c r="BD487" s="53">
        <f t="shared" si="454"/>
        <v>0</v>
      </c>
      <c r="BE487" s="53">
        <f t="shared" si="454"/>
        <v>0</v>
      </c>
      <c r="BF487" s="53">
        <f t="shared" si="454"/>
        <v>0</v>
      </c>
      <c r="BG487" s="53">
        <f t="shared" si="454"/>
        <v>0</v>
      </c>
      <c r="BH487" s="53">
        <f t="shared" si="454"/>
        <v>0</v>
      </c>
      <c r="BI487" s="53">
        <f t="shared" si="454"/>
        <v>0</v>
      </c>
      <c r="BJ487" s="53">
        <f t="shared" si="454"/>
        <v>0</v>
      </c>
      <c r="BK487" s="53">
        <f t="shared" si="454"/>
        <v>0</v>
      </c>
      <c r="BL487" s="53">
        <f t="shared" si="454"/>
        <v>0</v>
      </c>
      <c r="BM487" s="53">
        <f t="shared" si="454"/>
        <v>0</v>
      </c>
      <c r="BN487" s="53">
        <f t="shared" si="454"/>
        <v>0</v>
      </c>
      <c r="BO487" s="53">
        <f t="shared" ref="BO487:CX487" si="455">IFERROR(IF(BO$262=0,0,(BO228-BO229)/BO229),0)</f>
        <v>0</v>
      </c>
      <c r="BP487" s="53">
        <f t="shared" si="455"/>
        <v>0</v>
      </c>
      <c r="BQ487" s="53">
        <f t="shared" si="455"/>
        <v>0</v>
      </c>
      <c r="BR487" s="53">
        <f t="shared" si="455"/>
        <v>0</v>
      </c>
      <c r="BS487" s="53">
        <f t="shared" si="455"/>
        <v>0</v>
      </c>
      <c r="BT487" s="53">
        <f t="shared" si="455"/>
        <v>0</v>
      </c>
      <c r="BU487" s="53">
        <f t="shared" si="455"/>
        <v>0</v>
      </c>
      <c r="BV487" s="53">
        <f t="shared" si="455"/>
        <v>0</v>
      </c>
      <c r="BW487" s="53">
        <f t="shared" si="455"/>
        <v>0</v>
      </c>
      <c r="BX487" s="53">
        <f t="shared" si="455"/>
        <v>0</v>
      </c>
      <c r="BY487" s="53">
        <f t="shared" si="455"/>
        <v>0</v>
      </c>
      <c r="BZ487" s="53">
        <f t="shared" si="455"/>
        <v>0</v>
      </c>
      <c r="CA487" s="53">
        <f t="shared" si="455"/>
        <v>0</v>
      </c>
      <c r="CB487" s="53">
        <f t="shared" si="455"/>
        <v>0</v>
      </c>
      <c r="CC487" s="53">
        <f t="shared" si="455"/>
        <v>0</v>
      </c>
      <c r="CD487" s="53">
        <f t="shared" si="455"/>
        <v>0</v>
      </c>
      <c r="CE487" s="53">
        <f t="shared" si="455"/>
        <v>0</v>
      </c>
      <c r="CF487" s="53">
        <f t="shared" si="455"/>
        <v>0</v>
      </c>
      <c r="CG487" s="53">
        <f t="shared" si="455"/>
        <v>0</v>
      </c>
      <c r="CH487" s="53">
        <f t="shared" si="455"/>
        <v>0</v>
      </c>
      <c r="CI487" s="53">
        <f t="shared" si="455"/>
        <v>0</v>
      </c>
      <c r="CJ487" s="53">
        <f t="shared" si="455"/>
        <v>0</v>
      </c>
      <c r="CK487" s="53">
        <f t="shared" si="455"/>
        <v>0</v>
      </c>
      <c r="CL487" s="53">
        <f t="shared" si="455"/>
        <v>0</v>
      </c>
      <c r="CM487" s="53">
        <f t="shared" si="455"/>
        <v>0</v>
      </c>
      <c r="CN487" s="53">
        <f t="shared" si="455"/>
        <v>0</v>
      </c>
      <c r="CO487" s="53">
        <f t="shared" si="455"/>
        <v>0</v>
      </c>
      <c r="CP487" s="53">
        <f t="shared" si="455"/>
        <v>0</v>
      </c>
      <c r="CQ487" s="53">
        <f t="shared" si="455"/>
        <v>0</v>
      </c>
      <c r="CR487" s="53">
        <f t="shared" si="455"/>
        <v>0</v>
      </c>
      <c r="CS487" s="53">
        <f t="shared" si="455"/>
        <v>0</v>
      </c>
      <c r="CT487" s="53">
        <f t="shared" si="455"/>
        <v>0</v>
      </c>
      <c r="CU487" s="53">
        <f t="shared" si="455"/>
        <v>0</v>
      </c>
      <c r="CV487" s="53">
        <f t="shared" si="455"/>
        <v>0</v>
      </c>
      <c r="CW487" s="53">
        <f t="shared" si="455"/>
        <v>0</v>
      </c>
      <c r="CX487" s="53">
        <f t="shared" si="455"/>
        <v>0</v>
      </c>
      <c r="DB487" s="2" vm="736">
        <f ca="1">IF(Returns!A491&lt;&gt;0,Returns!A491,"")</f>
        <v>43605</v>
      </c>
      <c r="DC487" s="11">
        <f ca="1">IF(Returns!B502&gt;0,Returns!B502/Returns!B501-1,"")</f>
        <v>-8.5891051095851045E-3</v>
      </c>
      <c r="DD487" s="11">
        <f ca="1">IF(Returns!D494&gt;0,Returns!D494/Returns!D493-1,"")</f>
        <v>4.0665886046065136E-3</v>
      </c>
    </row>
    <row r="488" spans="2:108" x14ac:dyDescent="0.3">
      <c r="B488" s="57">
        <f t="shared" ca="1" si="393"/>
        <v>8.8700253722112932E-3</v>
      </c>
      <c r="C488" s="53">
        <f t="shared" ref="C488:BN488" si="456">IFERROR(IF(C$262=0,0,(C229-C230)/C230),0)</f>
        <v>0</v>
      </c>
      <c r="D488" s="53">
        <f t="shared" si="456"/>
        <v>0</v>
      </c>
      <c r="E488" s="53">
        <f t="shared" si="456"/>
        <v>0</v>
      </c>
      <c r="F488" s="53">
        <f t="shared" si="456"/>
        <v>0</v>
      </c>
      <c r="G488" s="53">
        <f t="shared" si="456"/>
        <v>0</v>
      </c>
      <c r="H488" s="53">
        <f t="shared" si="456"/>
        <v>0</v>
      </c>
      <c r="I488" s="53">
        <f t="shared" si="456"/>
        <v>0</v>
      </c>
      <c r="J488" s="53">
        <f t="shared" si="456"/>
        <v>0</v>
      </c>
      <c r="K488" s="53">
        <f t="shared" si="456"/>
        <v>0</v>
      </c>
      <c r="L488" s="53">
        <f t="shared" si="456"/>
        <v>0</v>
      </c>
      <c r="M488" s="53">
        <f t="shared" si="456"/>
        <v>0</v>
      </c>
      <c r="N488" s="53">
        <f t="shared" si="456"/>
        <v>0</v>
      </c>
      <c r="O488" s="53">
        <f t="shared" si="456"/>
        <v>0</v>
      </c>
      <c r="P488" s="53">
        <f t="shared" si="456"/>
        <v>0</v>
      </c>
      <c r="Q488" s="53">
        <f t="shared" si="456"/>
        <v>0</v>
      </c>
      <c r="R488" s="53">
        <f t="shared" si="456"/>
        <v>0</v>
      </c>
      <c r="S488" s="53">
        <f t="shared" si="456"/>
        <v>0</v>
      </c>
      <c r="T488" s="53">
        <f t="shared" si="456"/>
        <v>0</v>
      </c>
      <c r="U488" s="53">
        <f t="shared" si="456"/>
        <v>0</v>
      </c>
      <c r="V488" s="53">
        <f t="shared" si="456"/>
        <v>0</v>
      </c>
      <c r="W488" s="53">
        <f t="shared" si="456"/>
        <v>0</v>
      </c>
      <c r="X488" s="53">
        <f t="shared" si="456"/>
        <v>0</v>
      </c>
      <c r="Y488" s="53">
        <f t="shared" si="456"/>
        <v>0</v>
      </c>
      <c r="Z488" s="53">
        <f t="shared" si="456"/>
        <v>0</v>
      </c>
      <c r="AA488" s="53">
        <f t="shared" si="456"/>
        <v>0</v>
      </c>
      <c r="AB488" s="53">
        <f t="shared" si="456"/>
        <v>0</v>
      </c>
      <c r="AC488" s="53">
        <f t="shared" si="456"/>
        <v>0</v>
      </c>
      <c r="AD488" s="53">
        <f t="shared" si="456"/>
        <v>0</v>
      </c>
      <c r="AE488" s="53">
        <f t="shared" si="456"/>
        <v>0</v>
      </c>
      <c r="AF488" s="53">
        <f t="shared" si="456"/>
        <v>0</v>
      </c>
      <c r="AG488" s="53">
        <f t="shared" si="456"/>
        <v>0</v>
      </c>
      <c r="AH488" s="53">
        <f t="shared" si="456"/>
        <v>0</v>
      </c>
      <c r="AI488" s="53">
        <f t="shared" si="456"/>
        <v>0</v>
      </c>
      <c r="AJ488" s="53">
        <f t="shared" si="456"/>
        <v>0</v>
      </c>
      <c r="AK488" s="53">
        <f t="shared" si="456"/>
        <v>0</v>
      </c>
      <c r="AL488" s="53">
        <f t="shared" si="456"/>
        <v>0</v>
      </c>
      <c r="AM488" s="53">
        <f t="shared" si="456"/>
        <v>0</v>
      </c>
      <c r="AN488" s="53">
        <f t="shared" si="456"/>
        <v>0</v>
      </c>
      <c r="AO488" s="53">
        <f t="shared" si="456"/>
        <v>0</v>
      </c>
      <c r="AP488" s="53">
        <f t="shared" si="456"/>
        <v>0</v>
      </c>
      <c r="AQ488" s="53">
        <f t="shared" si="456"/>
        <v>0</v>
      </c>
      <c r="AR488" s="53">
        <f t="shared" si="456"/>
        <v>0</v>
      </c>
      <c r="AS488" s="53">
        <f t="shared" si="456"/>
        <v>0</v>
      </c>
      <c r="AT488" s="53">
        <f t="shared" si="456"/>
        <v>0</v>
      </c>
      <c r="AU488" s="53">
        <f t="shared" si="456"/>
        <v>0</v>
      </c>
      <c r="AV488" s="53">
        <f t="shared" si="456"/>
        <v>0</v>
      </c>
      <c r="AW488" s="53">
        <f t="shared" si="456"/>
        <v>0</v>
      </c>
      <c r="AX488" s="53">
        <f t="shared" si="456"/>
        <v>0</v>
      </c>
      <c r="AY488" s="53">
        <f t="shared" si="456"/>
        <v>0</v>
      </c>
      <c r="AZ488" s="53">
        <f t="shared" si="456"/>
        <v>0</v>
      </c>
      <c r="BA488" s="53">
        <f t="shared" si="456"/>
        <v>0</v>
      </c>
      <c r="BB488" s="53">
        <f t="shared" si="456"/>
        <v>0</v>
      </c>
      <c r="BC488" s="53">
        <f t="shared" si="456"/>
        <v>0</v>
      </c>
      <c r="BD488" s="53">
        <f t="shared" si="456"/>
        <v>0</v>
      </c>
      <c r="BE488" s="53">
        <f t="shared" si="456"/>
        <v>0</v>
      </c>
      <c r="BF488" s="53">
        <f t="shared" si="456"/>
        <v>0</v>
      </c>
      <c r="BG488" s="53">
        <f t="shared" si="456"/>
        <v>0</v>
      </c>
      <c r="BH488" s="53">
        <f t="shared" si="456"/>
        <v>0</v>
      </c>
      <c r="BI488" s="53">
        <f t="shared" si="456"/>
        <v>0</v>
      </c>
      <c r="BJ488" s="53">
        <f t="shared" si="456"/>
        <v>0</v>
      </c>
      <c r="BK488" s="53">
        <f t="shared" si="456"/>
        <v>0</v>
      </c>
      <c r="BL488" s="53">
        <f t="shared" si="456"/>
        <v>0</v>
      </c>
      <c r="BM488" s="53">
        <f t="shared" si="456"/>
        <v>0</v>
      </c>
      <c r="BN488" s="53">
        <f t="shared" si="456"/>
        <v>0</v>
      </c>
      <c r="BO488" s="53">
        <f t="shared" ref="BO488:CX488" si="457">IFERROR(IF(BO$262=0,0,(BO229-BO230)/BO230),0)</f>
        <v>0</v>
      </c>
      <c r="BP488" s="53">
        <f t="shared" si="457"/>
        <v>0</v>
      </c>
      <c r="BQ488" s="53">
        <f t="shared" si="457"/>
        <v>0</v>
      </c>
      <c r="BR488" s="53">
        <f t="shared" si="457"/>
        <v>0</v>
      </c>
      <c r="BS488" s="53">
        <f t="shared" si="457"/>
        <v>0</v>
      </c>
      <c r="BT488" s="53">
        <f t="shared" si="457"/>
        <v>0</v>
      </c>
      <c r="BU488" s="53">
        <f t="shared" si="457"/>
        <v>0</v>
      </c>
      <c r="BV488" s="53">
        <f t="shared" si="457"/>
        <v>0</v>
      </c>
      <c r="BW488" s="53">
        <f t="shared" si="457"/>
        <v>0</v>
      </c>
      <c r="BX488" s="53">
        <f t="shared" si="457"/>
        <v>0</v>
      </c>
      <c r="BY488" s="53">
        <f t="shared" si="457"/>
        <v>0</v>
      </c>
      <c r="BZ488" s="53">
        <f t="shared" si="457"/>
        <v>0</v>
      </c>
      <c r="CA488" s="53">
        <f t="shared" si="457"/>
        <v>0</v>
      </c>
      <c r="CB488" s="53">
        <f t="shared" si="457"/>
        <v>0</v>
      </c>
      <c r="CC488" s="53">
        <f t="shared" si="457"/>
        <v>0</v>
      </c>
      <c r="CD488" s="53">
        <f t="shared" si="457"/>
        <v>0</v>
      </c>
      <c r="CE488" s="53">
        <f t="shared" si="457"/>
        <v>0</v>
      </c>
      <c r="CF488" s="53">
        <f t="shared" si="457"/>
        <v>0</v>
      </c>
      <c r="CG488" s="53">
        <f t="shared" si="457"/>
        <v>0</v>
      </c>
      <c r="CH488" s="53">
        <f t="shared" si="457"/>
        <v>0</v>
      </c>
      <c r="CI488" s="53">
        <f t="shared" si="457"/>
        <v>0</v>
      </c>
      <c r="CJ488" s="53">
        <f t="shared" si="457"/>
        <v>0</v>
      </c>
      <c r="CK488" s="53">
        <f t="shared" si="457"/>
        <v>0</v>
      </c>
      <c r="CL488" s="53">
        <f t="shared" si="457"/>
        <v>0</v>
      </c>
      <c r="CM488" s="53">
        <f t="shared" si="457"/>
        <v>0</v>
      </c>
      <c r="CN488" s="53">
        <f t="shared" si="457"/>
        <v>0</v>
      </c>
      <c r="CO488" s="53">
        <f t="shared" si="457"/>
        <v>0</v>
      </c>
      <c r="CP488" s="53">
        <f t="shared" si="457"/>
        <v>0</v>
      </c>
      <c r="CQ488" s="53">
        <f t="shared" si="457"/>
        <v>0</v>
      </c>
      <c r="CR488" s="53">
        <f t="shared" si="457"/>
        <v>0</v>
      </c>
      <c r="CS488" s="53">
        <f t="shared" si="457"/>
        <v>0</v>
      </c>
      <c r="CT488" s="53">
        <f t="shared" si="457"/>
        <v>0</v>
      </c>
      <c r="CU488" s="53">
        <f t="shared" si="457"/>
        <v>0</v>
      </c>
      <c r="CV488" s="53">
        <f t="shared" si="457"/>
        <v>0</v>
      </c>
      <c r="CW488" s="53">
        <f t="shared" si="457"/>
        <v>0</v>
      </c>
      <c r="CX488" s="53">
        <f t="shared" si="457"/>
        <v>0</v>
      </c>
      <c r="DB488" s="2" vm="737">
        <f ca="1">IF(Returns!A492&lt;&gt;0,Returns!A492,"")</f>
        <v>43613</v>
      </c>
      <c r="DC488" s="11">
        <f ca="1">IF(Returns!B503&gt;0,Returns!B503/Returns!B502-1,"")</f>
        <v>-8.3039201584439448E-3</v>
      </c>
      <c r="DD488" s="11">
        <f ca="1">IF(Returns!D495&gt;0,Returns!D495/Returns!D494-1,"")</f>
        <v>2.4129148068360751E-2</v>
      </c>
    </row>
    <row r="489" spans="2:108" x14ac:dyDescent="0.3">
      <c r="B489" s="57">
        <f t="shared" ca="1" si="393"/>
        <v>4.2975427052527939E-4</v>
      </c>
      <c r="C489" s="53">
        <f t="shared" ref="C489:BN489" si="458">IFERROR(IF(C$262=0,0,(C230-C231)/C231),0)</f>
        <v>0</v>
      </c>
      <c r="D489" s="53">
        <f t="shared" si="458"/>
        <v>0</v>
      </c>
      <c r="E489" s="53">
        <f t="shared" si="458"/>
        <v>0</v>
      </c>
      <c r="F489" s="53">
        <f t="shared" si="458"/>
        <v>0</v>
      </c>
      <c r="G489" s="53">
        <f t="shared" si="458"/>
        <v>0</v>
      </c>
      <c r="H489" s="53">
        <f t="shared" si="458"/>
        <v>0</v>
      </c>
      <c r="I489" s="53">
        <f t="shared" si="458"/>
        <v>0</v>
      </c>
      <c r="J489" s="53">
        <f t="shared" si="458"/>
        <v>0</v>
      </c>
      <c r="K489" s="53">
        <f t="shared" si="458"/>
        <v>0</v>
      </c>
      <c r="L489" s="53">
        <f t="shared" si="458"/>
        <v>0</v>
      </c>
      <c r="M489" s="53">
        <f t="shared" si="458"/>
        <v>0</v>
      </c>
      <c r="N489" s="53">
        <f t="shared" si="458"/>
        <v>0</v>
      </c>
      <c r="O489" s="53">
        <f t="shared" si="458"/>
        <v>0</v>
      </c>
      <c r="P489" s="53">
        <f t="shared" si="458"/>
        <v>0</v>
      </c>
      <c r="Q489" s="53">
        <f t="shared" si="458"/>
        <v>0</v>
      </c>
      <c r="R489" s="53">
        <f t="shared" si="458"/>
        <v>0</v>
      </c>
      <c r="S489" s="53">
        <f t="shared" si="458"/>
        <v>0</v>
      </c>
      <c r="T489" s="53">
        <f t="shared" si="458"/>
        <v>0</v>
      </c>
      <c r="U489" s="53">
        <f t="shared" si="458"/>
        <v>0</v>
      </c>
      <c r="V489" s="53">
        <f t="shared" si="458"/>
        <v>0</v>
      </c>
      <c r="W489" s="53">
        <f t="shared" si="458"/>
        <v>0</v>
      </c>
      <c r="X489" s="53">
        <f t="shared" si="458"/>
        <v>0</v>
      </c>
      <c r="Y489" s="53">
        <f t="shared" si="458"/>
        <v>0</v>
      </c>
      <c r="Z489" s="53">
        <f t="shared" si="458"/>
        <v>0</v>
      </c>
      <c r="AA489" s="53">
        <f t="shared" si="458"/>
        <v>0</v>
      </c>
      <c r="AB489" s="53">
        <f t="shared" si="458"/>
        <v>0</v>
      </c>
      <c r="AC489" s="53">
        <f t="shared" si="458"/>
        <v>0</v>
      </c>
      <c r="AD489" s="53">
        <f t="shared" si="458"/>
        <v>0</v>
      </c>
      <c r="AE489" s="53">
        <f t="shared" si="458"/>
        <v>0</v>
      </c>
      <c r="AF489" s="53">
        <f t="shared" si="458"/>
        <v>0</v>
      </c>
      <c r="AG489" s="53">
        <f t="shared" si="458"/>
        <v>0</v>
      </c>
      <c r="AH489" s="53">
        <f t="shared" si="458"/>
        <v>0</v>
      </c>
      <c r="AI489" s="53">
        <f t="shared" si="458"/>
        <v>0</v>
      </c>
      <c r="AJ489" s="53">
        <f t="shared" si="458"/>
        <v>0</v>
      </c>
      <c r="AK489" s="53">
        <f t="shared" si="458"/>
        <v>0</v>
      </c>
      <c r="AL489" s="53">
        <f t="shared" si="458"/>
        <v>0</v>
      </c>
      <c r="AM489" s="53">
        <f t="shared" si="458"/>
        <v>0</v>
      </c>
      <c r="AN489" s="53">
        <f t="shared" si="458"/>
        <v>0</v>
      </c>
      <c r="AO489" s="53">
        <f t="shared" si="458"/>
        <v>0</v>
      </c>
      <c r="AP489" s="53">
        <f t="shared" si="458"/>
        <v>0</v>
      </c>
      <c r="AQ489" s="53">
        <f t="shared" si="458"/>
        <v>0</v>
      </c>
      <c r="AR489" s="53">
        <f t="shared" si="458"/>
        <v>0</v>
      </c>
      <c r="AS489" s="53">
        <f t="shared" si="458"/>
        <v>0</v>
      </c>
      <c r="AT489" s="53">
        <f t="shared" si="458"/>
        <v>0</v>
      </c>
      <c r="AU489" s="53">
        <f t="shared" si="458"/>
        <v>0</v>
      </c>
      <c r="AV489" s="53">
        <f t="shared" si="458"/>
        <v>0</v>
      </c>
      <c r="AW489" s="53">
        <f t="shared" si="458"/>
        <v>0</v>
      </c>
      <c r="AX489" s="53">
        <f t="shared" si="458"/>
        <v>0</v>
      </c>
      <c r="AY489" s="53">
        <f t="shared" si="458"/>
        <v>0</v>
      </c>
      <c r="AZ489" s="53">
        <f t="shared" si="458"/>
        <v>0</v>
      </c>
      <c r="BA489" s="53">
        <f t="shared" si="458"/>
        <v>0</v>
      </c>
      <c r="BB489" s="53">
        <f t="shared" si="458"/>
        <v>0</v>
      </c>
      <c r="BC489" s="53">
        <f t="shared" si="458"/>
        <v>0</v>
      </c>
      <c r="BD489" s="53">
        <f t="shared" si="458"/>
        <v>0</v>
      </c>
      <c r="BE489" s="53">
        <f t="shared" si="458"/>
        <v>0</v>
      </c>
      <c r="BF489" s="53">
        <f t="shared" si="458"/>
        <v>0</v>
      </c>
      <c r="BG489" s="53">
        <f t="shared" si="458"/>
        <v>0</v>
      </c>
      <c r="BH489" s="53">
        <f t="shared" si="458"/>
        <v>0</v>
      </c>
      <c r="BI489" s="53">
        <f t="shared" si="458"/>
        <v>0</v>
      </c>
      <c r="BJ489" s="53">
        <f t="shared" si="458"/>
        <v>0</v>
      </c>
      <c r="BK489" s="53">
        <f t="shared" si="458"/>
        <v>0</v>
      </c>
      <c r="BL489" s="53">
        <f t="shared" si="458"/>
        <v>0</v>
      </c>
      <c r="BM489" s="53">
        <f t="shared" si="458"/>
        <v>0</v>
      </c>
      <c r="BN489" s="53">
        <f t="shared" si="458"/>
        <v>0</v>
      </c>
      <c r="BO489" s="53">
        <f t="shared" ref="BO489:CX489" si="459">IFERROR(IF(BO$262=0,0,(BO230-BO231)/BO231),0)</f>
        <v>0</v>
      </c>
      <c r="BP489" s="53">
        <f t="shared" si="459"/>
        <v>0</v>
      </c>
      <c r="BQ489" s="53">
        <f t="shared" si="459"/>
        <v>0</v>
      </c>
      <c r="BR489" s="53">
        <f t="shared" si="459"/>
        <v>0</v>
      </c>
      <c r="BS489" s="53">
        <f t="shared" si="459"/>
        <v>0</v>
      </c>
      <c r="BT489" s="53">
        <f t="shared" si="459"/>
        <v>0</v>
      </c>
      <c r="BU489" s="53">
        <f t="shared" si="459"/>
        <v>0</v>
      </c>
      <c r="BV489" s="53">
        <f t="shared" si="459"/>
        <v>0</v>
      </c>
      <c r="BW489" s="53">
        <f t="shared" si="459"/>
        <v>0</v>
      </c>
      <c r="BX489" s="53">
        <f t="shared" si="459"/>
        <v>0</v>
      </c>
      <c r="BY489" s="53">
        <f t="shared" si="459"/>
        <v>0</v>
      </c>
      <c r="BZ489" s="53">
        <f t="shared" si="459"/>
        <v>0</v>
      </c>
      <c r="CA489" s="53">
        <f t="shared" si="459"/>
        <v>0</v>
      </c>
      <c r="CB489" s="53">
        <f t="shared" si="459"/>
        <v>0</v>
      </c>
      <c r="CC489" s="53">
        <f t="shared" si="459"/>
        <v>0</v>
      </c>
      <c r="CD489" s="53">
        <f t="shared" si="459"/>
        <v>0</v>
      </c>
      <c r="CE489" s="53">
        <f t="shared" si="459"/>
        <v>0</v>
      </c>
      <c r="CF489" s="53">
        <f t="shared" si="459"/>
        <v>0</v>
      </c>
      <c r="CG489" s="53">
        <f t="shared" si="459"/>
        <v>0</v>
      </c>
      <c r="CH489" s="53">
        <f t="shared" si="459"/>
        <v>0</v>
      </c>
      <c r="CI489" s="53">
        <f t="shared" si="459"/>
        <v>0</v>
      </c>
      <c r="CJ489" s="53">
        <f t="shared" si="459"/>
        <v>0</v>
      </c>
      <c r="CK489" s="53">
        <f t="shared" si="459"/>
        <v>0</v>
      </c>
      <c r="CL489" s="53">
        <f t="shared" si="459"/>
        <v>0</v>
      </c>
      <c r="CM489" s="53">
        <f t="shared" si="459"/>
        <v>0</v>
      </c>
      <c r="CN489" s="53">
        <f t="shared" si="459"/>
        <v>0</v>
      </c>
      <c r="CO489" s="53">
        <f t="shared" si="459"/>
        <v>0</v>
      </c>
      <c r="CP489" s="53">
        <f t="shared" si="459"/>
        <v>0</v>
      </c>
      <c r="CQ489" s="53">
        <f t="shared" si="459"/>
        <v>0</v>
      </c>
      <c r="CR489" s="53">
        <f t="shared" si="459"/>
        <v>0</v>
      </c>
      <c r="CS489" s="53">
        <f t="shared" si="459"/>
        <v>0</v>
      </c>
      <c r="CT489" s="53">
        <f t="shared" si="459"/>
        <v>0</v>
      </c>
      <c r="CU489" s="53">
        <f t="shared" si="459"/>
        <v>0</v>
      </c>
      <c r="CV489" s="53">
        <f t="shared" si="459"/>
        <v>0</v>
      </c>
      <c r="CW489" s="53">
        <f t="shared" si="459"/>
        <v>0</v>
      </c>
      <c r="CX489" s="53">
        <f t="shared" si="459"/>
        <v>0</v>
      </c>
      <c r="DB489" s="2" vm="738">
        <f ca="1">IF(Returns!A493&lt;&gt;0,Returns!A493,"")</f>
        <v>43619</v>
      </c>
      <c r="DC489" s="11">
        <f ca="1">IF(Returns!B504&gt;0,Returns!B504/Returns!B503-1,"")</f>
        <v>-2.39600127191687E-2</v>
      </c>
      <c r="DD489" s="11">
        <f ca="1">IF(Returns!D496&gt;0,Returns!D496/Returns!D495-1,"")</f>
        <v>-4.4598200463688009E-3</v>
      </c>
    </row>
    <row r="490" spans="2:108" x14ac:dyDescent="0.3">
      <c r="B490" s="57">
        <f t="shared" ca="1" si="393"/>
        <v>6.7564704750097135E-3</v>
      </c>
      <c r="C490" s="53">
        <f t="shared" ref="C490:BN490" si="460">IFERROR(IF(C$262=0,0,(C231-C232)/C232),0)</f>
        <v>0</v>
      </c>
      <c r="D490" s="53">
        <f t="shared" si="460"/>
        <v>0</v>
      </c>
      <c r="E490" s="53">
        <f t="shared" si="460"/>
        <v>0</v>
      </c>
      <c r="F490" s="53">
        <f t="shared" si="460"/>
        <v>0</v>
      </c>
      <c r="G490" s="53">
        <f t="shared" si="460"/>
        <v>0</v>
      </c>
      <c r="H490" s="53">
        <f t="shared" si="460"/>
        <v>0</v>
      </c>
      <c r="I490" s="53">
        <f t="shared" si="460"/>
        <v>0</v>
      </c>
      <c r="J490" s="53">
        <f t="shared" si="460"/>
        <v>0</v>
      </c>
      <c r="K490" s="53">
        <f t="shared" si="460"/>
        <v>0</v>
      </c>
      <c r="L490" s="53">
        <f t="shared" si="460"/>
        <v>0</v>
      </c>
      <c r="M490" s="53">
        <f t="shared" si="460"/>
        <v>0</v>
      </c>
      <c r="N490" s="53">
        <f t="shared" si="460"/>
        <v>0</v>
      </c>
      <c r="O490" s="53">
        <f t="shared" si="460"/>
        <v>0</v>
      </c>
      <c r="P490" s="53">
        <f t="shared" si="460"/>
        <v>0</v>
      </c>
      <c r="Q490" s="53">
        <f t="shared" si="460"/>
        <v>0</v>
      </c>
      <c r="R490" s="53">
        <f t="shared" si="460"/>
        <v>0</v>
      </c>
      <c r="S490" s="53">
        <f t="shared" si="460"/>
        <v>0</v>
      </c>
      <c r="T490" s="53">
        <f t="shared" si="460"/>
        <v>0</v>
      </c>
      <c r="U490" s="53">
        <f t="shared" si="460"/>
        <v>0</v>
      </c>
      <c r="V490" s="53">
        <f t="shared" si="460"/>
        <v>0</v>
      </c>
      <c r="W490" s="53">
        <f t="shared" si="460"/>
        <v>0</v>
      </c>
      <c r="X490" s="53">
        <f t="shared" si="460"/>
        <v>0</v>
      </c>
      <c r="Y490" s="53">
        <f t="shared" si="460"/>
        <v>0</v>
      </c>
      <c r="Z490" s="53">
        <f t="shared" si="460"/>
        <v>0</v>
      </c>
      <c r="AA490" s="53">
        <f t="shared" si="460"/>
        <v>0</v>
      </c>
      <c r="AB490" s="53">
        <f t="shared" si="460"/>
        <v>0</v>
      </c>
      <c r="AC490" s="53">
        <f t="shared" si="460"/>
        <v>0</v>
      </c>
      <c r="AD490" s="53">
        <f t="shared" si="460"/>
        <v>0</v>
      </c>
      <c r="AE490" s="53">
        <f t="shared" si="460"/>
        <v>0</v>
      </c>
      <c r="AF490" s="53">
        <f t="shared" si="460"/>
        <v>0</v>
      </c>
      <c r="AG490" s="53">
        <f t="shared" si="460"/>
        <v>0</v>
      </c>
      <c r="AH490" s="53">
        <f t="shared" si="460"/>
        <v>0</v>
      </c>
      <c r="AI490" s="53">
        <f t="shared" si="460"/>
        <v>0</v>
      </c>
      <c r="AJ490" s="53">
        <f t="shared" si="460"/>
        <v>0</v>
      </c>
      <c r="AK490" s="53">
        <f t="shared" si="460"/>
        <v>0</v>
      </c>
      <c r="AL490" s="53">
        <f t="shared" si="460"/>
        <v>0</v>
      </c>
      <c r="AM490" s="53">
        <f t="shared" si="460"/>
        <v>0</v>
      </c>
      <c r="AN490" s="53">
        <f t="shared" si="460"/>
        <v>0</v>
      </c>
      <c r="AO490" s="53">
        <f t="shared" si="460"/>
        <v>0</v>
      </c>
      <c r="AP490" s="53">
        <f t="shared" si="460"/>
        <v>0</v>
      </c>
      <c r="AQ490" s="53">
        <f t="shared" si="460"/>
        <v>0</v>
      </c>
      <c r="AR490" s="53">
        <f t="shared" si="460"/>
        <v>0</v>
      </c>
      <c r="AS490" s="53">
        <f t="shared" si="460"/>
        <v>0</v>
      </c>
      <c r="AT490" s="53">
        <f t="shared" si="460"/>
        <v>0</v>
      </c>
      <c r="AU490" s="53">
        <f t="shared" si="460"/>
        <v>0</v>
      </c>
      <c r="AV490" s="53">
        <f t="shared" si="460"/>
        <v>0</v>
      </c>
      <c r="AW490" s="53">
        <f t="shared" si="460"/>
        <v>0</v>
      </c>
      <c r="AX490" s="53">
        <f t="shared" si="460"/>
        <v>0</v>
      </c>
      <c r="AY490" s="53">
        <f t="shared" si="460"/>
        <v>0</v>
      </c>
      <c r="AZ490" s="53">
        <f t="shared" si="460"/>
        <v>0</v>
      </c>
      <c r="BA490" s="53">
        <f t="shared" si="460"/>
        <v>0</v>
      </c>
      <c r="BB490" s="53">
        <f t="shared" si="460"/>
        <v>0</v>
      </c>
      <c r="BC490" s="53">
        <f t="shared" si="460"/>
        <v>0</v>
      </c>
      <c r="BD490" s="53">
        <f t="shared" si="460"/>
        <v>0</v>
      </c>
      <c r="BE490" s="53">
        <f t="shared" si="460"/>
        <v>0</v>
      </c>
      <c r="BF490" s="53">
        <f t="shared" si="460"/>
        <v>0</v>
      </c>
      <c r="BG490" s="53">
        <f t="shared" si="460"/>
        <v>0</v>
      </c>
      <c r="BH490" s="53">
        <f t="shared" si="460"/>
        <v>0</v>
      </c>
      <c r="BI490" s="53">
        <f t="shared" si="460"/>
        <v>0</v>
      </c>
      <c r="BJ490" s="53">
        <f t="shared" si="460"/>
        <v>0</v>
      </c>
      <c r="BK490" s="53">
        <f t="shared" si="460"/>
        <v>0</v>
      </c>
      <c r="BL490" s="53">
        <f t="shared" si="460"/>
        <v>0</v>
      </c>
      <c r="BM490" s="53">
        <f t="shared" si="460"/>
        <v>0</v>
      </c>
      <c r="BN490" s="53">
        <f t="shared" si="460"/>
        <v>0</v>
      </c>
      <c r="BO490" s="53">
        <f t="shared" ref="BO490:CX490" si="461">IFERROR(IF(BO$262=0,0,(BO231-BO232)/BO232),0)</f>
        <v>0</v>
      </c>
      <c r="BP490" s="53">
        <f t="shared" si="461"/>
        <v>0</v>
      </c>
      <c r="BQ490" s="53">
        <f t="shared" si="461"/>
        <v>0</v>
      </c>
      <c r="BR490" s="53">
        <f t="shared" si="461"/>
        <v>0</v>
      </c>
      <c r="BS490" s="53">
        <f t="shared" si="461"/>
        <v>0</v>
      </c>
      <c r="BT490" s="53">
        <f t="shared" si="461"/>
        <v>0</v>
      </c>
      <c r="BU490" s="53">
        <f t="shared" si="461"/>
        <v>0</v>
      </c>
      <c r="BV490" s="53">
        <f t="shared" si="461"/>
        <v>0</v>
      </c>
      <c r="BW490" s="53">
        <f t="shared" si="461"/>
        <v>0</v>
      </c>
      <c r="BX490" s="53">
        <f t="shared" si="461"/>
        <v>0</v>
      </c>
      <c r="BY490" s="53">
        <f t="shared" si="461"/>
        <v>0</v>
      </c>
      <c r="BZ490" s="53">
        <f t="shared" si="461"/>
        <v>0</v>
      </c>
      <c r="CA490" s="53">
        <f t="shared" si="461"/>
        <v>0</v>
      </c>
      <c r="CB490" s="53">
        <f t="shared" si="461"/>
        <v>0</v>
      </c>
      <c r="CC490" s="53">
        <f t="shared" si="461"/>
        <v>0</v>
      </c>
      <c r="CD490" s="53">
        <f t="shared" si="461"/>
        <v>0</v>
      </c>
      <c r="CE490" s="53">
        <f t="shared" si="461"/>
        <v>0</v>
      </c>
      <c r="CF490" s="53">
        <f t="shared" si="461"/>
        <v>0</v>
      </c>
      <c r="CG490" s="53">
        <f t="shared" si="461"/>
        <v>0</v>
      </c>
      <c r="CH490" s="53">
        <f t="shared" si="461"/>
        <v>0</v>
      </c>
      <c r="CI490" s="53">
        <f t="shared" si="461"/>
        <v>0</v>
      </c>
      <c r="CJ490" s="53">
        <f t="shared" si="461"/>
        <v>0</v>
      </c>
      <c r="CK490" s="53">
        <f t="shared" si="461"/>
        <v>0</v>
      </c>
      <c r="CL490" s="53">
        <f t="shared" si="461"/>
        <v>0</v>
      </c>
      <c r="CM490" s="53">
        <f t="shared" si="461"/>
        <v>0</v>
      </c>
      <c r="CN490" s="53">
        <f t="shared" si="461"/>
        <v>0</v>
      </c>
      <c r="CO490" s="53">
        <f t="shared" si="461"/>
        <v>0</v>
      </c>
      <c r="CP490" s="53">
        <f t="shared" si="461"/>
        <v>0</v>
      </c>
      <c r="CQ490" s="53">
        <f t="shared" si="461"/>
        <v>0</v>
      </c>
      <c r="CR490" s="53">
        <f t="shared" si="461"/>
        <v>0</v>
      </c>
      <c r="CS490" s="53">
        <f t="shared" si="461"/>
        <v>0</v>
      </c>
      <c r="CT490" s="53">
        <f t="shared" si="461"/>
        <v>0</v>
      </c>
      <c r="CU490" s="53">
        <f t="shared" si="461"/>
        <v>0</v>
      </c>
      <c r="CV490" s="53">
        <f t="shared" si="461"/>
        <v>0</v>
      </c>
      <c r="CW490" s="53">
        <f t="shared" si="461"/>
        <v>0</v>
      </c>
      <c r="CX490" s="53">
        <f t="shared" si="461"/>
        <v>0</v>
      </c>
      <c r="DB490" s="2" vm="739">
        <f ca="1">IF(Returns!A494&lt;&gt;0,Returns!A494,"")</f>
        <v>43626</v>
      </c>
      <c r="DC490" s="11">
        <f ca="1">IF(Returns!B505&gt;0,Returns!B505/Returns!B504-1,"")</f>
        <v>1.5243309975880415E-2</v>
      </c>
      <c r="DD490" s="11">
        <f ca="1">IF(Returns!D497&gt;0,Returns!D497/Returns!D496-1,"")</f>
        <v>1.21110122216741E-2</v>
      </c>
    </row>
    <row r="491" spans="2:108" x14ac:dyDescent="0.3">
      <c r="B491" s="57">
        <f t="shared" ca="1" si="393"/>
        <v>7.242653897494007E-3</v>
      </c>
      <c r="C491" s="53">
        <f t="shared" ref="C491:BN491" si="462">IFERROR(IF(C$262=0,0,(C232-C233)/C233),0)</f>
        <v>0</v>
      </c>
      <c r="D491" s="53">
        <f t="shared" si="462"/>
        <v>0</v>
      </c>
      <c r="E491" s="53">
        <f t="shared" si="462"/>
        <v>0</v>
      </c>
      <c r="F491" s="53">
        <f t="shared" si="462"/>
        <v>0</v>
      </c>
      <c r="G491" s="53">
        <f t="shared" si="462"/>
        <v>0</v>
      </c>
      <c r="H491" s="53">
        <f t="shared" si="462"/>
        <v>0</v>
      </c>
      <c r="I491" s="53">
        <f t="shared" si="462"/>
        <v>0</v>
      </c>
      <c r="J491" s="53">
        <f t="shared" si="462"/>
        <v>0</v>
      </c>
      <c r="K491" s="53">
        <f t="shared" si="462"/>
        <v>0</v>
      </c>
      <c r="L491" s="53">
        <f t="shared" si="462"/>
        <v>0</v>
      </c>
      <c r="M491" s="53">
        <f t="shared" si="462"/>
        <v>0</v>
      </c>
      <c r="N491" s="53">
        <f t="shared" si="462"/>
        <v>0</v>
      </c>
      <c r="O491" s="53">
        <f t="shared" si="462"/>
        <v>0</v>
      </c>
      <c r="P491" s="53">
        <f t="shared" si="462"/>
        <v>0</v>
      </c>
      <c r="Q491" s="53">
        <f t="shared" si="462"/>
        <v>0</v>
      </c>
      <c r="R491" s="53">
        <f t="shared" si="462"/>
        <v>0</v>
      </c>
      <c r="S491" s="53">
        <f t="shared" si="462"/>
        <v>0</v>
      </c>
      <c r="T491" s="53">
        <f t="shared" si="462"/>
        <v>0</v>
      </c>
      <c r="U491" s="53">
        <f t="shared" si="462"/>
        <v>0</v>
      </c>
      <c r="V491" s="53">
        <f t="shared" si="462"/>
        <v>0</v>
      </c>
      <c r="W491" s="53">
        <f t="shared" si="462"/>
        <v>0</v>
      </c>
      <c r="X491" s="53">
        <f t="shared" si="462"/>
        <v>0</v>
      </c>
      <c r="Y491" s="53">
        <f t="shared" si="462"/>
        <v>0</v>
      </c>
      <c r="Z491" s="53">
        <f t="shared" si="462"/>
        <v>0</v>
      </c>
      <c r="AA491" s="53">
        <f t="shared" si="462"/>
        <v>0</v>
      </c>
      <c r="AB491" s="53">
        <f t="shared" si="462"/>
        <v>0</v>
      </c>
      <c r="AC491" s="53">
        <f t="shared" si="462"/>
        <v>0</v>
      </c>
      <c r="AD491" s="53">
        <f t="shared" si="462"/>
        <v>0</v>
      </c>
      <c r="AE491" s="53">
        <f t="shared" si="462"/>
        <v>0</v>
      </c>
      <c r="AF491" s="53">
        <f t="shared" si="462"/>
        <v>0</v>
      </c>
      <c r="AG491" s="53">
        <f t="shared" si="462"/>
        <v>0</v>
      </c>
      <c r="AH491" s="53">
        <f t="shared" si="462"/>
        <v>0</v>
      </c>
      <c r="AI491" s="53">
        <f t="shared" si="462"/>
        <v>0</v>
      </c>
      <c r="AJ491" s="53">
        <f t="shared" si="462"/>
        <v>0</v>
      </c>
      <c r="AK491" s="53">
        <f t="shared" si="462"/>
        <v>0</v>
      </c>
      <c r="AL491" s="53">
        <f t="shared" si="462"/>
        <v>0</v>
      </c>
      <c r="AM491" s="53">
        <f t="shared" si="462"/>
        <v>0</v>
      </c>
      <c r="AN491" s="53">
        <f t="shared" si="462"/>
        <v>0</v>
      </c>
      <c r="AO491" s="53">
        <f t="shared" si="462"/>
        <v>0</v>
      </c>
      <c r="AP491" s="53">
        <f t="shared" si="462"/>
        <v>0</v>
      </c>
      <c r="AQ491" s="53">
        <f t="shared" si="462"/>
        <v>0</v>
      </c>
      <c r="AR491" s="53">
        <f t="shared" si="462"/>
        <v>0</v>
      </c>
      <c r="AS491" s="53">
        <f t="shared" si="462"/>
        <v>0</v>
      </c>
      <c r="AT491" s="53">
        <f t="shared" si="462"/>
        <v>0</v>
      </c>
      <c r="AU491" s="53">
        <f t="shared" si="462"/>
        <v>0</v>
      </c>
      <c r="AV491" s="53">
        <f t="shared" si="462"/>
        <v>0</v>
      </c>
      <c r="AW491" s="53">
        <f t="shared" si="462"/>
        <v>0</v>
      </c>
      <c r="AX491" s="53">
        <f t="shared" si="462"/>
        <v>0</v>
      </c>
      <c r="AY491" s="53">
        <f t="shared" si="462"/>
        <v>0</v>
      </c>
      <c r="AZ491" s="53">
        <f t="shared" si="462"/>
        <v>0</v>
      </c>
      <c r="BA491" s="53">
        <f t="shared" si="462"/>
        <v>0</v>
      </c>
      <c r="BB491" s="53">
        <f t="shared" si="462"/>
        <v>0</v>
      </c>
      <c r="BC491" s="53">
        <f t="shared" si="462"/>
        <v>0</v>
      </c>
      <c r="BD491" s="53">
        <f t="shared" si="462"/>
        <v>0</v>
      </c>
      <c r="BE491" s="53">
        <f t="shared" si="462"/>
        <v>0</v>
      </c>
      <c r="BF491" s="53">
        <f t="shared" si="462"/>
        <v>0</v>
      </c>
      <c r="BG491" s="53">
        <f t="shared" si="462"/>
        <v>0</v>
      </c>
      <c r="BH491" s="53">
        <f t="shared" si="462"/>
        <v>0</v>
      </c>
      <c r="BI491" s="53">
        <f t="shared" si="462"/>
        <v>0</v>
      </c>
      <c r="BJ491" s="53">
        <f t="shared" si="462"/>
        <v>0</v>
      </c>
      <c r="BK491" s="53">
        <f t="shared" si="462"/>
        <v>0</v>
      </c>
      <c r="BL491" s="53">
        <f t="shared" si="462"/>
        <v>0</v>
      </c>
      <c r="BM491" s="53">
        <f t="shared" si="462"/>
        <v>0</v>
      </c>
      <c r="BN491" s="53">
        <f t="shared" si="462"/>
        <v>0</v>
      </c>
      <c r="BO491" s="53">
        <f t="shared" ref="BO491:CX491" si="463">IFERROR(IF(BO$262=0,0,(BO232-BO233)/BO233),0)</f>
        <v>0</v>
      </c>
      <c r="BP491" s="53">
        <f t="shared" si="463"/>
        <v>0</v>
      </c>
      <c r="BQ491" s="53">
        <f t="shared" si="463"/>
        <v>0</v>
      </c>
      <c r="BR491" s="53">
        <f t="shared" si="463"/>
        <v>0</v>
      </c>
      <c r="BS491" s="53">
        <f t="shared" si="463"/>
        <v>0</v>
      </c>
      <c r="BT491" s="53">
        <f t="shared" si="463"/>
        <v>0</v>
      </c>
      <c r="BU491" s="53">
        <f t="shared" si="463"/>
        <v>0</v>
      </c>
      <c r="BV491" s="53">
        <f t="shared" si="463"/>
        <v>0</v>
      </c>
      <c r="BW491" s="53">
        <f t="shared" si="463"/>
        <v>0</v>
      </c>
      <c r="BX491" s="53">
        <f t="shared" si="463"/>
        <v>0</v>
      </c>
      <c r="BY491" s="53">
        <f t="shared" si="463"/>
        <v>0</v>
      </c>
      <c r="BZ491" s="53">
        <f t="shared" si="463"/>
        <v>0</v>
      </c>
      <c r="CA491" s="53">
        <f t="shared" si="463"/>
        <v>0</v>
      </c>
      <c r="CB491" s="53">
        <f t="shared" si="463"/>
        <v>0</v>
      </c>
      <c r="CC491" s="53">
        <f t="shared" si="463"/>
        <v>0</v>
      </c>
      <c r="CD491" s="53">
        <f t="shared" si="463"/>
        <v>0</v>
      </c>
      <c r="CE491" s="53">
        <f t="shared" si="463"/>
        <v>0</v>
      </c>
      <c r="CF491" s="53">
        <f t="shared" si="463"/>
        <v>0</v>
      </c>
      <c r="CG491" s="53">
        <f t="shared" si="463"/>
        <v>0</v>
      </c>
      <c r="CH491" s="53">
        <f t="shared" si="463"/>
        <v>0</v>
      </c>
      <c r="CI491" s="53">
        <f t="shared" si="463"/>
        <v>0</v>
      </c>
      <c r="CJ491" s="53">
        <f t="shared" si="463"/>
        <v>0</v>
      </c>
      <c r="CK491" s="53">
        <f t="shared" si="463"/>
        <v>0</v>
      </c>
      <c r="CL491" s="53">
        <f t="shared" si="463"/>
        <v>0</v>
      </c>
      <c r="CM491" s="53">
        <f t="shared" si="463"/>
        <v>0</v>
      </c>
      <c r="CN491" s="53">
        <f t="shared" si="463"/>
        <v>0</v>
      </c>
      <c r="CO491" s="53">
        <f t="shared" si="463"/>
        <v>0</v>
      </c>
      <c r="CP491" s="53">
        <f t="shared" si="463"/>
        <v>0</v>
      </c>
      <c r="CQ491" s="53">
        <f t="shared" si="463"/>
        <v>0</v>
      </c>
      <c r="CR491" s="53">
        <f t="shared" si="463"/>
        <v>0</v>
      </c>
      <c r="CS491" s="53">
        <f t="shared" si="463"/>
        <v>0</v>
      </c>
      <c r="CT491" s="53">
        <f t="shared" si="463"/>
        <v>0</v>
      </c>
      <c r="CU491" s="53">
        <f t="shared" si="463"/>
        <v>0</v>
      </c>
      <c r="CV491" s="53">
        <f t="shared" si="463"/>
        <v>0</v>
      </c>
      <c r="CW491" s="53">
        <f t="shared" si="463"/>
        <v>0</v>
      </c>
      <c r="CX491" s="53">
        <f t="shared" si="463"/>
        <v>0</v>
      </c>
      <c r="DB491" s="2" vm="740">
        <f ca="1">IF(Returns!A495&lt;&gt;0,Returns!A495,"")</f>
        <v>43633</v>
      </c>
      <c r="DC491" s="11">
        <f ca="1">IF(Returns!B506&gt;0,Returns!B506/Returns!B505-1,"")</f>
        <v>3.2213208428803819E-2</v>
      </c>
      <c r="DD491" s="11">
        <f ca="1">IF(Returns!D498&gt;0,Returns!D498/Returns!D497-1,"")</f>
        <v>1.5225908642683583E-2</v>
      </c>
    </row>
    <row r="492" spans="2:108" x14ac:dyDescent="0.3">
      <c r="B492" s="57">
        <f t="shared" ca="1" si="393"/>
        <v>2.4557530689654716E-5</v>
      </c>
      <c r="C492" s="53">
        <f t="shared" ref="C492:BN492" si="464">IFERROR(IF(C$262=0,0,(C233-C234)/C234),0)</f>
        <v>0</v>
      </c>
      <c r="D492" s="53">
        <f t="shared" si="464"/>
        <v>0</v>
      </c>
      <c r="E492" s="53">
        <f t="shared" si="464"/>
        <v>0</v>
      </c>
      <c r="F492" s="53">
        <f t="shared" si="464"/>
        <v>0</v>
      </c>
      <c r="G492" s="53">
        <f t="shared" si="464"/>
        <v>0</v>
      </c>
      <c r="H492" s="53">
        <f t="shared" si="464"/>
        <v>0</v>
      </c>
      <c r="I492" s="53">
        <f t="shared" si="464"/>
        <v>0</v>
      </c>
      <c r="J492" s="53">
        <f t="shared" si="464"/>
        <v>0</v>
      </c>
      <c r="K492" s="53">
        <f t="shared" si="464"/>
        <v>0</v>
      </c>
      <c r="L492" s="53">
        <f t="shared" si="464"/>
        <v>0</v>
      </c>
      <c r="M492" s="53">
        <f t="shared" si="464"/>
        <v>0</v>
      </c>
      <c r="N492" s="53">
        <f t="shared" si="464"/>
        <v>0</v>
      </c>
      <c r="O492" s="53">
        <f t="shared" si="464"/>
        <v>0</v>
      </c>
      <c r="P492" s="53">
        <f t="shared" si="464"/>
        <v>0</v>
      </c>
      <c r="Q492" s="53">
        <f t="shared" si="464"/>
        <v>0</v>
      </c>
      <c r="R492" s="53">
        <f t="shared" si="464"/>
        <v>0</v>
      </c>
      <c r="S492" s="53">
        <f t="shared" si="464"/>
        <v>0</v>
      </c>
      <c r="T492" s="53">
        <f t="shared" si="464"/>
        <v>0</v>
      </c>
      <c r="U492" s="53">
        <f t="shared" si="464"/>
        <v>0</v>
      </c>
      <c r="V492" s="53">
        <f t="shared" si="464"/>
        <v>0</v>
      </c>
      <c r="W492" s="53">
        <f t="shared" si="464"/>
        <v>0</v>
      </c>
      <c r="X492" s="53">
        <f t="shared" si="464"/>
        <v>0</v>
      </c>
      <c r="Y492" s="53">
        <f t="shared" si="464"/>
        <v>0</v>
      </c>
      <c r="Z492" s="53">
        <f t="shared" si="464"/>
        <v>0</v>
      </c>
      <c r="AA492" s="53">
        <f t="shared" si="464"/>
        <v>0</v>
      </c>
      <c r="AB492" s="53">
        <f t="shared" si="464"/>
        <v>0</v>
      </c>
      <c r="AC492" s="53">
        <f t="shared" si="464"/>
        <v>0</v>
      </c>
      <c r="AD492" s="53">
        <f t="shared" si="464"/>
        <v>0</v>
      </c>
      <c r="AE492" s="53">
        <f t="shared" si="464"/>
        <v>0</v>
      </c>
      <c r="AF492" s="53">
        <f t="shared" si="464"/>
        <v>0</v>
      </c>
      <c r="AG492" s="53">
        <f t="shared" si="464"/>
        <v>0</v>
      </c>
      <c r="AH492" s="53">
        <f t="shared" si="464"/>
        <v>0</v>
      </c>
      <c r="AI492" s="53">
        <f t="shared" si="464"/>
        <v>0</v>
      </c>
      <c r="AJ492" s="53">
        <f t="shared" si="464"/>
        <v>0</v>
      </c>
      <c r="AK492" s="53">
        <f t="shared" si="464"/>
        <v>0</v>
      </c>
      <c r="AL492" s="53">
        <f t="shared" si="464"/>
        <v>0</v>
      </c>
      <c r="AM492" s="53">
        <f t="shared" si="464"/>
        <v>0</v>
      </c>
      <c r="AN492" s="53">
        <f t="shared" si="464"/>
        <v>0</v>
      </c>
      <c r="AO492" s="53">
        <f t="shared" si="464"/>
        <v>0</v>
      </c>
      <c r="AP492" s="53">
        <f t="shared" si="464"/>
        <v>0</v>
      </c>
      <c r="AQ492" s="53">
        <f t="shared" si="464"/>
        <v>0</v>
      </c>
      <c r="AR492" s="53">
        <f t="shared" si="464"/>
        <v>0</v>
      </c>
      <c r="AS492" s="53">
        <f t="shared" si="464"/>
        <v>0</v>
      </c>
      <c r="AT492" s="53">
        <f t="shared" si="464"/>
        <v>0</v>
      </c>
      <c r="AU492" s="53">
        <f t="shared" si="464"/>
        <v>0</v>
      </c>
      <c r="AV492" s="53">
        <f t="shared" si="464"/>
        <v>0</v>
      </c>
      <c r="AW492" s="53">
        <f t="shared" si="464"/>
        <v>0</v>
      </c>
      <c r="AX492" s="53">
        <f t="shared" si="464"/>
        <v>0</v>
      </c>
      <c r="AY492" s="53">
        <f t="shared" si="464"/>
        <v>0</v>
      </c>
      <c r="AZ492" s="53">
        <f t="shared" si="464"/>
        <v>0</v>
      </c>
      <c r="BA492" s="53">
        <f t="shared" si="464"/>
        <v>0</v>
      </c>
      <c r="BB492" s="53">
        <f t="shared" si="464"/>
        <v>0</v>
      </c>
      <c r="BC492" s="53">
        <f t="shared" si="464"/>
        <v>0</v>
      </c>
      <c r="BD492" s="53">
        <f t="shared" si="464"/>
        <v>0</v>
      </c>
      <c r="BE492" s="53">
        <f t="shared" si="464"/>
        <v>0</v>
      </c>
      <c r="BF492" s="53">
        <f t="shared" si="464"/>
        <v>0</v>
      </c>
      <c r="BG492" s="53">
        <f t="shared" si="464"/>
        <v>0</v>
      </c>
      <c r="BH492" s="53">
        <f t="shared" si="464"/>
        <v>0</v>
      </c>
      <c r="BI492" s="53">
        <f t="shared" si="464"/>
        <v>0</v>
      </c>
      <c r="BJ492" s="53">
        <f t="shared" si="464"/>
        <v>0</v>
      </c>
      <c r="BK492" s="53">
        <f t="shared" si="464"/>
        <v>0</v>
      </c>
      <c r="BL492" s="53">
        <f t="shared" si="464"/>
        <v>0</v>
      </c>
      <c r="BM492" s="53">
        <f t="shared" si="464"/>
        <v>0</v>
      </c>
      <c r="BN492" s="53">
        <f t="shared" si="464"/>
        <v>0</v>
      </c>
      <c r="BO492" s="53">
        <f t="shared" ref="BO492:CX492" si="465">IFERROR(IF(BO$262=0,0,(BO233-BO234)/BO234),0)</f>
        <v>0</v>
      </c>
      <c r="BP492" s="53">
        <f t="shared" si="465"/>
        <v>0</v>
      </c>
      <c r="BQ492" s="53">
        <f t="shared" si="465"/>
        <v>0</v>
      </c>
      <c r="BR492" s="53">
        <f t="shared" si="465"/>
        <v>0</v>
      </c>
      <c r="BS492" s="53">
        <f t="shared" si="465"/>
        <v>0</v>
      </c>
      <c r="BT492" s="53">
        <f t="shared" si="465"/>
        <v>0</v>
      </c>
      <c r="BU492" s="53">
        <f t="shared" si="465"/>
        <v>0</v>
      </c>
      <c r="BV492" s="53">
        <f t="shared" si="465"/>
        <v>0</v>
      </c>
      <c r="BW492" s="53">
        <f t="shared" si="465"/>
        <v>0</v>
      </c>
      <c r="BX492" s="53">
        <f t="shared" si="465"/>
        <v>0</v>
      </c>
      <c r="BY492" s="53">
        <f t="shared" si="465"/>
        <v>0</v>
      </c>
      <c r="BZ492" s="53">
        <f t="shared" si="465"/>
        <v>0</v>
      </c>
      <c r="CA492" s="53">
        <f t="shared" si="465"/>
        <v>0</v>
      </c>
      <c r="CB492" s="53">
        <f t="shared" si="465"/>
        <v>0</v>
      </c>
      <c r="CC492" s="53">
        <f t="shared" si="465"/>
        <v>0</v>
      </c>
      <c r="CD492" s="53">
        <f t="shared" si="465"/>
        <v>0</v>
      </c>
      <c r="CE492" s="53">
        <f t="shared" si="465"/>
        <v>0</v>
      </c>
      <c r="CF492" s="53">
        <f t="shared" si="465"/>
        <v>0</v>
      </c>
      <c r="CG492" s="53">
        <f t="shared" si="465"/>
        <v>0</v>
      </c>
      <c r="CH492" s="53">
        <f t="shared" si="465"/>
        <v>0</v>
      </c>
      <c r="CI492" s="53">
        <f t="shared" si="465"/>
        <v>0</v>
      </c>
      <c r="CJ492" s="53">
        <f t="shared" si="465"/>
        <v>0</v>
      </c>
      <c r="CK492" s="53">
        <f t="shared" si="465"/>
        <v>0</v>
      </c>
      <c r="CL492" s="53">
        <f t="shared" si="465"/>
        <v>0</v>
      </c>
      <c r="CM492" s="53">
        <f t="shared" si="465"/>
        <v>0</v>
      </c>
      <c r="CN492" s="53">
        <f t="shared" si="465"/>
        <v>0</v>
      </c>
      <c r="CO492" s="53">
        <f t="shared" si="465"/>
        <v>0</v>
      </c>
      <c r="CP492" s="53">
        <f t="shared" si="465"/>
        <v>0</v>
      </c>
      <c r="CQ492" s="53">
        <f t="shared" si="465"/>
        <v>0</v>
      </c>
      <c r="CR492" s="53">
        <f t="shared" si="465"/>
        <v>0</v>
      </c>
      <c r="CS492" s="53">
        <f t="shared" si="465"/>
        <v>0</v>
      </c>
      <c r="CT492" s="53">
        <f t="shared" si="465"/>
        <v>0</v>
      </c>
      <c r="CU492" s="53">
        <f t="shared" si="465"/>
        <v>0</v>
      </c>
      <c r="CV492" s="53">
        <f t="shared" si="465"/>
        <v>0</v>
      </c>
      <c r="CW492" s="53">
        <f t="shared" si="465"/>
        <v>0</v>
      </c>
      <c r="CX492" s="53">
        <f t="shared" si="465"/>
        <v>0</v>
      </c>
      <c r="DB492" s="2" vm="741">
        <f ca="1">IF(Returns!A496&lt;&gt;0,Returns!A496,"")</f>
        <v>43640</v>
      </c>
      <c r="DC492" s="11">
        <f ca="1">IF(Returns!B507&gt;0,Returns!B507/Returns!B506-1,"")</f>
        <v>3.1796935931627246E-3</v>
      </c>
      <c r="DD492" s="11">
        <f ca="1">IF(Returns!D499&gt;0,Returns!D499/Returns!D498-1,"")</f>
        <v>-6.5062197298612068E-3</v>
      </c>
    </row>
    <row r="493" spans="2:108" x14ac:dyDescent="0.3">
      <c r="B493" s="57">
        <f t="shared" ca="1" si="393"/>
        <v>8.9412223924747423E-3</v>
      </c>
      <c r="C493" s="53">
        <f t="shared" ref="C493:BN493" si="466">IFERROR(IF(C$262=0,0,(C234-C235)/C235),0)</f>
        <v>0</v>
      </c>
      <c r="D493" s="53">
        <f t="shared" si="466"/>
        <v>0</v>
      </c>
      <c r="E493" s="53">
        <f t="shared" si="466"/>
        <v>0</v>
      </c>
      <c r="F493" s="53">
        <f t="shared" si="466"/>
        <v>0</v>
      </c>
      <c r="G493" s="53">
        <f t="shared" si="466"/>
        <v>0</v>
      </c>
      <c r="H493" s="53">
        <f t="shared" si="466"/>
        <v>0</v>
      </c>
      <c r="I493" s="53">
        <f t="shared" si="466"/>
        <v>0</v>
      </c>
      <c r="J493" s="53">
        <f t="shared" si="466"/>
        <v>0</v>
      </c>
      <c r="K493" s="53">
        <f t="shared" si="466"/>
        <v>0</v>
      </c>
      <c r="L493" s="53">
        <f t="shared" si="466"/>
        <v>0</v>
      </c>
      <c r="M493" s="53">
        <f t="shared" si="466"/>
        <v>0</v>
      </c>
      <c r="N493" s="53">
        <f t="shared" si="466"/>
        <v>0</v>
      </c>
      <c r="O493" s="53">
        <f t="shared" si="466"/>
        <v>0</v>
      </c>
      <c r="P493" s="53">
        <f t="shared" si="466"/>
        <v>0</v>
      </c>
      <c r="Q493" s="53">
        <f t="shared" si="466"/>
        <v>0</v>
      </c>
      <c r="R493" s="53">
        <f t="shared" si="466"/>
        <v>0</v>
      </c>
      <c r="S493" s="53">
        <f t="shared" si="466"/>
        <v>0</v>
      </c>
      <c r="T493" s="53">
        <f t="shared" si="466"/>
        <v>0</v>
      </c>
      <c r="U493" s="53">
        <f t="shared" si="466"/>
        <v>0</v>
      </c>
      <c r="V493" s="53">
        <f t="shared" si="466"/>
        <v>0</v>
      </c>
      <c r="W493" s="53">
        <f t="shared" si="466"/>
        <v>0</v>
      </c>
      <c r="X493" s="53">
        <f t="shared" si="466"/>
        <v>0</v>
      </c>
      <c r="Y493" s="53">
        <f t="shared" si="466"/>
        <v>0</v>
      </c>
      <c r="Z493" s="53">
        <f t="shared" si="466"/>
        <v>0</v>
      </c>
      <c r="AA493" s="53">
        <f t="shared" si="466"/>
        <v>0</v>
      </c>
      <c r="AB493" s="53">
        <f t="shared" si="466"/>
        <v>0</v>
      </c>
      <c r="AC493" s="53">
        <f t="shared" si="466"/>
        <v>0</v>
      </c>
      <c r="AD493" s="53">
        <f t="shared" si="466"/>
        <v>0</v>
      </c>
      <c r="AE493" s="53">
        <f t="shared" si="466"/>
        <v>0</v>
      </c>
      <c r="AF493" s="53">
        <f t="shared" si="466"/>
        <v>0</v>
      </c>
      <c r="AG493" s="53">
        <f t="shared" si="466"/>
        <v>0</v>
      </c>
      <c r="AH493" s="53">
        <f t="shared" si="466"/>
        <v>0</v>
      </c>
      <c r="AI493" s="53">
        <f t="shared" si="466"/>
        <v>0</v>
      </c>
      <c r="AJ493" s="53">
        <f t="shared" si="466"/>
        <v>0</v>
      </c>
      <c r="AK493" s="53">
        <f t="shared" si="466"/>
        <v>0</v>
      </c>
      <c r="AL493" s="53">
        <f t="shared" si="466"/>
        <v>0</v>
      </c>
      <c r="AM493" s="53">
        <f t="shared" si="466"/>
        <v>0</v>
      </c>
      <c r="AN493" s="53">
        <f t="shared" si="466"/>
        <v>0</v>
      </c>
      <c r="AO493" s="53">
        <f t="shared" si="466"/>
        <v>0</v>
      </c>
      <c r="AP493" s="53">
        <f t="shared" si="466"/>
        <v>0</v>
      </c>
      <c r="AQ493" s="53">
        <f t="shared" si="466"/>
        <v>0</v>
      </c>
      <c r="AR493" s="53">
        <f t="shared" si="466"/>
        <v>0</v>
      </c>
      <c r="AS493" s="53">
        <f t="shared" si="466"/>
        <v>0</v>
      </c>
      <c r="AT493" s="53">
        <f t="shared" si="466"/>
        <v>0</v>
      </c>
      <c r="AU493" s="53">
        <f t="shared" si="466"/>
        <v>0</v>
      </c>
      <c r="AV493" s="53">
        <f t="shared" si="466"/>
        <v>0</v>
      </c>
      <c r="AW493" s="53">
        <f t="shared" si="466"/>
        <v>0</v>
      </c>
      <c r="AX493" s="53">
        <f t="shared" si="466"/>
        <v>0</v>
      </c>
      <c r="AY493" s="53">
        <f t="shared" si="466"/>
        <v>0</v>
      </c>
      <c r="AZ493" s="53">
        <f t="shared" si="466"/>
        <v>0</v>
      </c>
      <c r="BA493" s="53">
        <f t="shared" si="466"/>
        <v>0</v>
      </c>
      <c r="BB493" s="53">
        <f t="shared" si="466"/>
        <v>0</v>
      </c>
      <c r="BC493" s="53">
        <f t="shared" si="466"/>
        <v>0</v>
      </c>
      <c r="BD493" s="53">
        <f t="shared" si="466"/>
        <v>0</v>
      </c>
      <c r="BE493" s="53">
        <f t="shared" si="466"/>
        <v>0</v>
      </c>
      <c r="BF493" s="53">
        <f t="shared" si="466"/>
        <v>0</v>
      </c>
      <c r="BG493" s="53">
        <f t="shared" si="466"/>
        <v>0</v>
      </c>
      <c r="BH493" s="53">
        <f t="shared" si="466"/>
        <v>0</v>
      </c>
      <c r="BI493" s="53">
        <f t="shared" si="466"/>
        <v>0</v>
      </c>
      <c r="BJ493" s="53">
        <f t="shared" si="466"/>
        <v>0</v>
      </c>
      <c r="BK493" s="53">
        <f t="shared" si="466"/>
        <v>0</v>
      </c>
      <c r="BL493" s="53">
        <f t="shared" si="466"/>
        <v>0</v>
      </c>
      <c r="BM493" s="53">
        <f t="shared" si="466"/>
        <v>0</v>
      </c>
      <c r="BN493" s="53">
        <f t="shared" si="466"/>
        <v>0</v>
      </c>
      <c r="BO493" s="53">
        <f t="shared" ref="BO493:CX493" si="467">IFERROR(IF(BO$262=0,0,(BO234-BO235)/BO235),0)</f>
        <v>0</v>
      </c>
      <c r="BP493" s="53">
        <f t="shared" si="467"/>
        <v>0</v>
      </c>
      <c r="BQ493" s="53">
        <f t="shared" si="467"/>
        <v>0</v>
      </c>
      <c r="BR493" s="53">
        <f t="shared" si="467"/>
        <v>0</v>
      </c>
      <c r="BS493" s="53">
        <f t="shared" si="467"/>
        <v>0</v>
      </c>
      <c r="BT493" s="53">
        <f t="shared" si="467"/>
        <v>0</v>
      </c>
      <c r="BU493" s="53">
        <f t="shared" si="467"/>
        <v>0</v>
      </c>
      <c r="BV493" s="53">
        <f t="shared" si="467"/>
        <v>0</v>
      </c>
      <c r="BW493" s="53">
        <f t="shared" si="467"/>
        <v>0</v>
      </c>
      <c r="BX493" s="53">
        <f t="shared" si="467"/>
        <v>0</v>
      </c>
      <c r="BY493" s="53">
        <f t="shared" si="467"/>
        <v>0</v>
      </c>
      <c r="BZ493" s="53">
        <f t="shared" si="467"/>
        <v>0</v>
      </c>
      <c r="CA493" s="53">
        <f t="shared" si="467"/>
        <v>0</v>
      </c>
      <c r="CB493" s="53">
        <f t="shared" si="467"/>
        <v>0</v>
      </c>
      <c r="CC493" s="53">
        <f t="shared" si="467"/>
        <v>0</v>
      </c>
      <c r="CD493" s="53">
        <f t="shared" si="467"/>
        <v>0</v>
      </c>
      <c r="CE493" s="53">
        <f t="shared" si="467"/>
        <v>0</v>
      </c>
      <c r="CF493" s="53">
        <f t="shared" si="467"/>
        <v>0</v>
      </c>
      <c r="CG493" s="53">
        <f t="shared" si="467"/>
        <v>0</v>
      </c>
      <c r="CH493" s="53">
        <f t="shared" si="467"/>
        <v>0</v>
      </c>
      <c r="CI493" s="53">
        <f t="shared" si="467"/>
        <v>0</v>
      </c>
      <c r="CJ493" s="53">
        <f t="shared" si="467"/>
        <v>0</v>
      </c>
      <c r="CK493" s="53">
        <f t="shared" si="467"/>
        <v>0</v>
      </c>
      <c r="CL493" s="53">
        <f t="shared" si="467"/>
        <v>0</v>
      </c>
      <c r="CM493" s="53">
        <f t="shared" si="467"/>
        <v>0</v>
      </c>
      <c r="CN493" s="53">
        <f t="shared" si="467"/>
        <v>0</v>
      </c>
      <c r="CO493" s="53">
        <f t="shared" si="467"/>
        <v>0</v>
      </c>
      <c r="CP493" s="53">
        <f t="shared" si="467"/>
        <v>0</v>
      </c>
      <c r="CQ493" s="53">
        <f t="shared" si="467"/>
        <v>0</v>
      </c>
      <c r="CR493" s="53">
        <f t="shared" si="467"/>
        <v>0</v>
      </c>
      <c r="CS493" s="53">
        <f t="shared" si="467"/>
        <v>0</v>
      </c>
      <c r="CT493" s="53">
        <f t="shared" si="467"/>
        <v>0</v>
      </c>
      <c r="CU493" s="53">
        <f t="shared" si="467"/>
        <v>0</v>
      </c>
      <c r="CV493" s="53">
        <f t="shared" si="467"/>
        <v>0</v>
      </c>
      <c r="CW493" s="53">
        <f t="shared" si="467"/>
        <v>0</v>
      </c>
      <c r="CX493" s="53">
        <f t="shared" si="467"/>
        <v>0</v>
      </c>
      <c r="DB493" s="2" vm="742">
        <f ca="1">IF(Returns!A497&lt;&gt;0,Returns!A497,"")</f>
        <v>43647</v>
      </c>
      <c r="DC493" s="11">
        <f ca="1">IF(Returns!B508&gt;0,Returns!B508/Returns!B507-1,"")</f>
        <v>-2.4563158524253281E-2</v>
      </c>
      <c r="DD493" s="11">
        <f ca="1">IF(Returns!D500&gt;0,Returns!D500/Returns!D499-1,"")</f>
        <v>1.4086695949377948E-3</v>
      </c>
    </row>
    <row r="494" spans="2:108" x14ac:dyDescent="0.3">
      <c r="B494" s="57">
        <f t="shared" ca="1" si="393"/>
        <v>6.2071937908189266E-4</v>
      </c>
      <c r="C494" s="53">
        <f t="shared" ref="C494:BN494" si="468">IFERROR(IF(C$262=0,0,(C235-C236)/C236),0)</f>
        <v>0</v>
      </c>
      <c r="D494" s="53">
        <f t="shared" si="468"/>
        <v>0</v>
      </c>
      <c r="E494" s="53">
        <f t="shared" si="468"/>
        <v>0</v>
      </c>
      <c r="F494" s="53">
        <f t="shared" si="468"/>
        <v>0</v>
      </c>
      <c r="G494" s="53">
        <f t="shared" si="468"/>
        <v>0</v>
      </c>
      <c r="H494" s="53">
        <f t="shared" si="468"/>
        <v>0</v>
      </c>
      <c r="I494" s="53">
        <f t="shared" si="468"/>
        <v>0</v>
      </c>
      <c r="J494" s="53">
        <f t="shared" si="468"/>
        <v>0</v>
      </c>
      <c r="K494" s="53">
        <f t="shared" si="468"/>
        <v>0</v>
      </c>
      <c r="L494" s="53">
        <f t="shared" si="468"/>
        <v>0</v>
      </c>
      <c r="M494" s="53">
        <f t="shared" si="468"/>
        <v>0</v>
      </c>
      <c r="N494" s="53">
        <f t="shared" si="468"/>
        <v>0</v>
      </c>
      <c r="O494" s="53">
        <f t="shared" si="468"/>
        <v>0</v>
      </c>
      <c r="P494" s="53">
        <f t="shared" si="468"/>
        <v>0</v>
      </c>
      <c r="Q494" s="53">
        <f t="shared" si="468"/>
        <v>0</v>
      </c>
      <c r="R494" s="53">
        <f t="shared" si="468"/>
        <v>0</v>
      </c>
      <c r="S494" s="53">
        <f t="shared" si="468"/>
        <v>0</v>
      </c>
      <c r="T494" s="53">
        <f t="shared" si="468"/>
        <v>0</v>
      </c>
      <c r="U494" s="53">
        <f t="shared" si="468"/>
        <v>0</v>
      </c>
      <c r="V494" s="53">
        <f t="shared" si="468"/>
        <v>0</v>
      </c>
      <c r="W494" s="53">
        <f t="shared" si="468"/>
        <v>0</v>
      </c>
      <c r="X494" s="53">
        <f t="shared" si="468"/>
        <v>0</v>
      </c>
      <c r="Y494" s="53">
        <f t="shared" si="468"/>
        <v>0</v>
      </c>
      <c r="Z494" s="53">
        <f t="shared" si="468"/>
        <v>0</v>
      </c>
      <c r="AA494" s="53">
        <f t="shared" si="468"/>
        <v>0</v>
      </c>
      <c r="AB494" s="53">
        <f t="shared" si="468"/>
        <v>0</v>
      </c>
      <c r="AC494" s="53">
        <f t="shared" si="468"/>
        <v>0</v>
      </c>
      <c r="AD494" s="53">
        <f t="shared" si="468"/>
        <v>0</v>
      </c>
      <c r="AE494" s="53">
        <f t="shared" si="468"/>
        <v>0</v>
      </c>
      <c r="AF494" s="53">
        <f t="shared" si="468"/>
        <v>0</v>
      </c>
      <c r="AG494" s="53">
        <f t="shared" si="468"/>
        <v>0</v>
      </c>
      <c r="AH494" s="53">
        <f t="shared" si="468"/>
        <v>0</v>
      </c>
      <c r="AI494" s="53">
        <f t="shared" si="468"/>
        <v>0</v>
      </c>
      <c r="AJ494" s="53">
        <f t="shared" si="468"/>
        <v>0</v>
      </c>
      <c r="AK494" s="53">
        <f t="shared" si="468"/>
        <v>0</v>
      </c>
      <c r="AL494" s="53">
        <f t="shared" si="468"/>
        <v>0</v>
      </c>
      <c r="AM494" s="53">
        <f t="shared" si="468"/>
        <v>0</v>
      </c>
      <c r="AN494" s="53">
        <f t="shared" si="468"/>
        <v>0</v>
      </c>
      <c r="AO494" s="53">
        <f t="shared" si="468"/>
        <v>0</v>
      </c>
      <c r="AP494" s="53">
        <f t="shared" si="468"/>
        <v>0</v>
      </c>
      <c r="AQ494" s="53">
        <f t="shared" si="468"/>
        <v>0</v>
      </c>
      <c r="AR494" s="53">
        <f t="shared" si="468"/>
        <v>0</v>
      </c>
      <c r="AS494" s="53">
        <f t="shared" si="468"/>
        <v>0</v>
      </c>
      <c r="AT494" s="53">
        <f t="shared" si="468"/>
        <v>0</v>
      </c>
      <c r="AU494" s="53">
        <f t="shared" si="468"/>
        <v>0</v>
      </c>
      <c r="AV494" s="53">
        <f t="shared" si="468"/>
        <v>0</v>
      </c>
      <c r="AW494" s="53">
        <f t="shared" si="468"/>
        <v>0</v>
      </c>
      <c r="AX494" s="53">
        <f t="shared" si="468"/>
        <v>0</v>
      </c>
      <c r="AY494" s="53">
        <f t="shared" si="468"/>
        <v>0</v>
      </c>
      <c r="AZ494" s="53">
        <f t="shared" si="468"/>
        <v>0</v>
      </c>
      <c r="BA494" s="53">
        <f t="shared" si="468"/>
        <v>0</v>
      </c>
      <c r="BB494" s="53">
        <f t="shared" si="468"/>
        <v>0</v>
      </c>
      <c r="BC494" s="53">
        <f t="shared" si="468"/>
        <v>0</v>
      </c>
      <c r="BD494" s="53">
        <f t="shared" si="468"/>
        <v>0</v>
      </c>
      <c r="BE494" s="53">
        <f t="shared" si="468"/>
        <v>0</v>
      </c>
      <c r="BF494" s="53">
        <f t="shared" si="468"/>
        <v>0</v>
      </c>
      <c r="BG494" s="53">
        <f t="shared" si="468"/>
        <v>0</v>
      </c>
      <c r="BH494" s="53">
        <f t="shared" si="468"/>
        <v>0</v>
      </c>
      <c r="BI494" s="53">
        <f t="shared" si="468"/>
        <v>0</v>
      </c>
      <c r="BJ494" s="53">
        <f t="shared" si="468"/>
        <v>0</v>
      </c>
      <c r="BK494" s="53">
        <f t="shared" si="468"/>
        <v>0</v>
      </c>
      <c r="BL494" s="53">
        <f t="shared" si="468"/>
        <v>0</v>
      </c>
      <c r="BM494" s="53">
        <f t="shared" si="468"/>
        <v>0</v>
      </c>
      <c r="BN494" s="53">
        <f t="shared" si="468"/>
        <v>0</v>
      </c>
      <c r="BO494" s="53">
        <f t="shared" ref="BO494:CX494" si="469">IFERROR(IF(BO$262=0,0,(BO235-BO236)/BO236),0)</f>
        <v>0</v>
      </c>
      <c r="BP494" s="53">
        <f t="shared" si="469"/>
        <v>0</v>
      </c>
      <c r="BQ494" s="53">
        <f t="shared" si="469"/>
        <v>0</v>
      </c>
      <c r="BR494" s="53">
        <f t="shared" si="469"/>
        <v>0</v>
      </c>
      <c r="BS494" s="53">
        <f t="shared" si="469"/>
        <v>0</v>
      </c>
      <c r="BT494" s="53">
        <f t="shared" si="469"/>
        <v>0</v>
      </c>
      <c r="BU494" s="53">
        <f t="shared" si="469"/>
        <v>0</v>
      </c>
      <c r="BV494" s="53">
        <f t="shared" si="469"/>
        <v>0</v>
      </c>
      <c r="BW494" s="53">
        <f t="shared" si="469"/>
        <v>0</v>
      </c>
      <c r="BX494" s="53">
        <f t="shared" si="469"/>
        <v>0</v>
      </c>
      <c r="BY494" s="53">
        <f t="shared" si="469"/>
        <v>0</v>
      </c>
      <c r="BZ494" s="53">
        <f t="shared" si="469"/>
        <v>0</v>
      </c>
      <c r="CA494" s="53">
        <f t="shared" si="469"/>
        <v>0</v>
      </c>
      <c r="CB494" s="53">
        <f t="shared" si="469"/>
        <v>0</v>
      </c>
      <c r="CC494" s="53">
        <f t="shared" si="469"/>
        <v>0</v>
      </c>
      <c r="CD494" s="53">
        <f t="shared" si="469"/>
        <v>0</v>
      </c>
      <c r="CE494" s="53">
        <f t="shared" si="469"/>
        <v>0</v>
      </c>
      <c r="CF494" s="53">
        <f t="shared" si="469"/>
        <v>0</v>
      </c>
      <c r="CG494" s="53">
        <f t="shared" si="469"/>
        <v>0</v>
      </c>
      <c r="CH494" s="53">
        <f t="shared" si="469"/>
        <v>0</v>
      </c>
      <c r="CI494" s="53">
        <f t="shared" si="469"/>
        <v>0</v>
      </c>
      <c r="CJ494" s="53">
        <f t="shared" si="469"/>
        <v>0</v>
      </c>
      <c r="CK494" s="53">
        <f t="shared" si="469"/>
        <v>0</v>
      </c>
      <c r="CL494" s="53">
        <f t="shared" si="469"/>
        <v>0</v>
      </c>
      <c r="CM494" s="53">
        <f t="shared" si="469"/>
        <v>0</v>
      </c>
      <c r="CN494" s="53">
        <f t="shared" si="469"/>
        <v>0</v>
      </c>
      <c r="CO494" s="53">
        <f t="shared" si="469"/>
        <v>0</v>
      </c>
      <c r="CP494" s="53">
        <f t="shared" si="469"/>
        <v>0</v>
      </c>
      <c r="CQ494" s="53">
        <f t="shared" si="469"/>
        <v>0</v>
      </c>
      <c r="CR494" s="53">
        <f t="shared" si="469"/>
        <v>0</v>
      </c>
      <c r="CS494" s="53">
        <f t="shared" si="469"/>
        <v>0</v>
      </c>
      <c r="CT494" s="53">
        <f t="shared" si="469"/>
        <v>0</v>
      </c>
      <c r="CU494" s="53">
        <f t="shared" si="469"/>
        <v>0</v>
      </c>
      <c r="CV494" s="53">
        <f t="shared" si="469"/>
        <v>0</v>
      </c>
      <c r="CW494" s="53">
        <f t="shared" si="469"/>
        <v>0</v>
      </c>
      <c r="CX494" s="53">
        <f t="shared" si="469"/>
        <v>0</v>
      </c>
      <c r="DB494" s="2" vm="743">
        <f ca="1">IF(Returns!A498&lt;&gt;0,Returns!A498,"")</f>
        <v>43654</v>
      </c>
      <c r="DC494" s="11">
        <f ca="1">IF(Returns!B509&gt;0,Returns!B509/Returns!B508-1,"")</f>
        <v>-3.829647300129313E-2</v>
      </c>
      <c r="DD494" s="11">
        <f ca="1">IF(Returns!D501&gt;0,Returns!D501/Returns!D500-1,"")</f>
        <v>-2.6016294623381175E-2</v>
      </c>
    </row>
    <row r="495" spans="2:108" x14ac:dyDescent="0.3">
      <c r="B495" s="57">
        <f t="shared" ca="1" si="393"/>
        <v>2.9736326611122228E-4</v>
      </c>
      <c r="C495" s="53">
        <f t="shared" ref="C495:BN495" si="470">IFERROR(IF(C$262=0,0,(C236-C237)/C237),0)</f>
        <v>0</v>
      </c>
      <c r="D495" s="53">
        <f t="shared" si="470"/>
        <v>0</v>
      </c>
      <c r="E495" s="53">
        <f t="shared" si="470"/>
        <v>0</v>
      </c>
      <c r="F495" s="53">
        <f t="shared" si="470"/>
        <v>0</v>
      </c>
      <c r="G495" s="53">
        <f t="shared" si="470"/>
        <v>0</v>
      </c>
      <c r="H495" s="53">
        <f t="shared" si="470"/>
        <v>0</v>
      </c>
      <c r="I495" s="53">
        <f t="shared" si="470"/>
        <v>0</v>
      </c>
      <c r="J495" s="53">
        <f t="shared" si="470"/>
        <v>0</v>
      </c>
      <c r="K495" s="53">
        <f t="shared" si="470"/>
        <v>0</v>
      </c>
      <c r="L495" s="53">
        <f t="shared" si="470"/>
        <v>0</v>
      </c>
      <c r="M495" s="53">
        <f t="shared" si="470"/>
        <v>0</v>
      </c>
      <c r="N495" s="53">
        <f t="shared" si="470"/>
        <v>0</v>
      </c>
      <c r="O495" s="53">
        <f t="shared" si="470"/>
        <v>0</v>
      </c>
      <c r="P495" s="53">
        <f t="shared" si="470"/>
        <v>0</v>
      </c>
      <c r="Q495" s="53">
        <f t="shared" si="470"/>
        <v>0</v>
      </c>
      <c r="R495" s="53">
        <f t="shared" si="470"/>
        <v>0</v>
      </c>
      <c r="S495" s="53">
        <f t="shared" si="470"/>
        <v>0</v>
      </c>
      <c r="T495" s="53">
        <f t="shared" si="470"/>
        <v>0</v>
      </c>
      <c r="U495" s="53">
        <f t="shared" si="470"/>
        <v>0</v>
      </c>
      <c r="V495" s="53">
        <f t="shared" si="470"/>
        <v>0</v>
      </c>
      <c r="W495" s="53">
        <f t="shared" si="470"/>
        <v>0</v>
      </c>
      <c r="X495" s="53">
        <f t="shared" si="470"/>
        <v>0</v>
      </c>
      <c r="Y495" s="53">
        <f t="shared" si="470"/>
        <v>0</v>
      </c>
      <c r="Z495" s="53">
        <f t="shared" si="470"/>
        <v>0</v>
      </c>
      <c r="AA495" s="53">
        <f t="shared" si="470"/>
        <v>0</v>
      </c>
      <c r="AB495" s="53">
        <f t="shared" si="470"/>
        <v>0</v>
      </c>
      <c r="AC495" s="53">
        <f t="shared" si="470"/>
        <v>0</v>
      </c>
      <c r="AD495" s="53">
        <f t="shared" si="470"/>
        <v>0</v>
      </c>
      <c r="AE495" s="53">
        <f t="shared" si="470"/>
        <v>0</v>
      </c>
      <c r="AF495" s="53">
        <f t="shared" si="470"/>
        <v>0</v>
      </c>
      <c r="AG495" s="53">
        <f t="shared" si="470"/>
        <v>0</v>
      </c>
      <c r="AH495" s="53">
        <f t="shared" si="470"/>
        <v>0</v>
      </c>
      <c r="AI495" s="53">
        <f t="shared" si="470"/>
        <v>0</v>
      </c>
      <c r="AJ495" s="53">
        <f t="shared" si="470"/>
        <v>0</v>
      </c>
      <c r="AK495" s="53">
        <f t="shared" si="470"/>
        <v>0</v>
      </c>
      <c r="AL495" s="53">
        <f t="shared" si="470"/>
        <v>0</v>
      </c>
      <c r="AM495" s="53">
        <f t="shared" si="470"/>
        <v>0</v>
      </c>
      <c r="AN495" s="53">
        <f t="shared" si="470"/>
        <v>0</v>
      </c>
      <c r="AO495" s="53">
        <f t="shared" si="470"/>
        <v>0</v>
      </c>
      <c r="AP495" s="53">
        <f t="shared" si="470"/>
        <v>0</v>
      </c>
      <c r="AQ495" s="53">
        <f t="shared" si="470"/>
        <v>0</v>
      </c>
      <c r="AR495" s="53">
        <f t="shared" si="470"/>
        <v>0</v>
      </c>
      <c r="AS495" s="53">
        <f t="shared" si="470"/>
        <v>0</v>
      </c>
      <c r="AT495" s="53">
        <f t="shared" si="470"/>
        <v>0</v>
      </c>
      <c r="AU495" s="53">
        <f t="shared" si="470"/>
        <v>0</v>
      </c>
      <c r="AV495" s="53">
        <f t="shared" si="470"/>
        <v>0</v>
      </c>
      <c r="AW495" s="53">
        <f t="shared" si="470"/>
        <v>0</v>
      </c>
      <c r="AX495" s="53">
        <f t="shared" si="470"/>
        <v>0</v>
      </c>
      <c r="AY495" s="53">
        <f t="shared" si="470"/>
        <v>0</v>
      </c>
      <c r="AZ495" s="53">
        <f t="shared" si="470"/>
        <v>0</v>
      </c>
      <c r="BA495" s="53">
        <f t="shared" si="470"/>
        <v>0</v>
      </c>
      <c r="BB495" s="53">
        <f t="shared" si="470"/>
        <v>0</v>
      </c>
      <c r="BC495" s="53">
        <f t="shared" si="470"/>
        <v>0</v>
      </c>
      <c r="BD495" s="53">
        <f t="shared" si="470"/>
        <v>0</v>
      </c>
      <c r="BE495" s="53">
        <f t="shared" si="470"/>
        <v>0</v>
      </c>
      <c r="BF495" s="53">
        <f t="shared" si="470"/>
        <v>0</v>
      </c>
      <c r="BG495" s="53">
        <f t="shared" si="470"/>
        <v>0</v>
      </c>
      <c r="BH495" s="53">
        <f t="shared" si="470"/>
        <v>0</v>
      </c>
      <c r="BI495" s="53">
        <f t="shared" si="470"/>
        <v>0</v>
      </c>
      <c r="BJ495" s="53">
        <f t="shared" si="470"/>
        <v>0</v>
      </c>
      <c r="BK495" s="53">
        <f t="shared" si="470"/>
        <v>0</v>
      </c>
      <c r="BL495" s="53">
        <f t="shared" si="470"/>
        <v>0</v>
      </c>
      <c r="BM495" s="53">
        <f t="shared" si="470"/>
        <v>0</v>
      </c>
      <c r="BN495" s="53">
        <f t="shared" si="470"/>
        <v>0</v>
      </c>
      <c r="BO495" s="53">
        <f t="shared" ref="BO495:CX495" si="471">IFERROR(IF(BO$262=0,0,(BO236-BO237)/BO237),0)</f>
        <v>0</v>
      </c>
      <c r="BP495" s="53">
        <f t="shared" si="471"/>
        <v>0</v>
      </c>
      <c r="BQ495" s="53">
        <f t="shared" si="471"/>
        <v>0</v>
      </c>
      <c r="BR495" s="53">
        <f t="shared" si="471"/>
        <v>0</v>
      </c>
      <c r="BS495" s="53">
        <f t="shared" si="471"/>
        <v>0</v>
      </c>
      <c r="BT495" s="53">
        <f t="shared" si="471"/>
        <v>0</v>
      </c>
      <c r="BU495" s="53">
        <f t="shared" si="471"/>
        <v>0</v>
      </c>
      <c r="BV495" s="53">
        <f t="shared" si="471"/>
        <v>0</v>
      </c>
      <c r="BW495" s="53">
        <f t="shared" si="471"/>
        <v>0</v>
      </c>
      <c r="BX495" s="53">
        <f t="shared" si="471"/>
        <v>0</v>
      </c>
      <c r="BY495" s="53">
        <f t="shared" si="471"/>
        <v>0</v>
      </c>
      <c r="BZ495" s="53">
        <f t="shared" si="471"/>
        <v>0</v>
      </c>
      <c r="CA495" s="53">
        <f t="shared" si="471"/>
        <v>0</v>
      </c>
      <c r="CB495" s="53">
        <f t="shared" si="471"/>
        <v>0</v>
      </c>
      <c r="CC495" s="53">
        <f t="shared" si="471"/>
        <v>0</v>
      </c>
      <c r="CD495" s="53">
        <f t="shared" si="471"/>
        <v>0</v>
      </c>
      <c r="CE495" s="53">
        <f t="shared" si="471"/>
        <v>0</v>
      </c>
      <c r="CF495" s="53">
        <f t="shared" si="471"/>
        <v>0</v>
      </c>
      <c r="CG495" s="53">
        <f t="shared" si="471"/>
        <v>0</v>
      </c>
      <c r="CH495" s="53">
        <f t="shared" si="471"/>
        <v>0</v>
      </c>
      <c r="CI495" s="53">
        <f t="shared" si="471"/>
        <v>0</v>
      </c>
      <c r="CJ495" s="53">
        <f t="shared" si="471"/>
        <v>0</v>
      </c>
      <c r="CK495" s="53">
        <f t="shared" si="471"/>
        <v>0</v>
      </c>
      <c r="CL495" s="53">
        <f t="shared" si="471"/>
        <v>0</v>
      </c>
      <c r="CM495" s="53">
        <f t="shared" si="471"/>
        <v>0</v>
      </c>
      <c r="CN495" s="53">
        <f t="shared" si="471"/>
        <v>0</v>
      </c>
      <c r="CO495" s="53">
        <f t="shared" si="471"/>
        <v>0</v>
      </c>
      <c r="CP495" s="53">
        <f t="shared" si="471"/>
        <v>0</v>
      </c>
      <c r="CQ495" s="53">
        <f t="shared" si="471"/>
        <v>0</v>
      </c>
      <c r="CR495" s="53">
        <f t="shared" si="471"/>
        <v>0</v>
      </c>
      <c r="CS495" s="53">
        <f t="shared" si="471"/>
        <v>0</v>
      </c>
      <c r="CT495" s="53">
        <f t="shared" si="471"/>
        <v>0</v>
      </c>
      <c r="CU495" s="53">
        <f t="shared" si="471"/>
        <v>0</v>
      </c>
      <c r="CV495" s="53">
        <f t="shared" si="471"/>
        <v>0</v>
      </c>
      <c r="CW495" s="53">
        <f t="shared" si="471"/>
        <v>0</v>
      </c>
      <c r="CX495" s="53">
        <f t="shared" si="471"/>
        <v>0</v>
      </c>
      <c r="DB495" s="2" vm="744">
        <f ca="1">IF(Returns!A499&lt;&gt;0,Returns!A499,"")</f>
        <v>43661</v>
      </c>
      <c r="DC495" s="11">
        <f ca="1">IF(Returns!B510&gt;0,Returns!B510/Returns!B509-1,"")</f>
        <v>8.2297371700137401E-3</v>
      </c>
      <c r="DD495" s="11">
        <f ca="1">IF(Returns!D502&gt;0,Returns!D502/Returns!D501-1,"")</f>
        <v>-7.4594768943108125E-3</v>
      </c>
    </row>
    <row r="496" spans="2:108" x14ac:dyDescent="0.3">
      <c r="B496" s="57">
        <f t="shared" ca="1" si="393"/>
        <v>8.1628830977528745E-3</v>
      </c>
      <c r="C496" s="53">
        <f t="shared" ref="C496:BN496" si="472">IFERROR(IF(C$262=0,0,(C237-C238)/C238),0)</f>
        <v>0</v>
      </c>
      <c r="D496" s="53">
        <f t="shared" si="472"/>
        <v>0</v>
      </c>
      <c r="E496" s="53">
        <f t="shared" si="472"/>
        <v>0</v>
      </c>
      <c r="F496" s="53">
        <f t="shared" si="472"/>
        <v>0</v>
      </c>
      <c r="G496" s="53">
        <f t="shared" si="472"/>
        <v>0</v>
      </c>
      <c r="H496" s="53">
        <f t="shared" si="472"/>
        <v>0</v>
      </c>
      <c r="I496" s="53">
        <f t="shared" si="472"/>
        <v>0</v>
      </c>
      <c r="J496" s="53">
        <f t="shared" si="472"/>
        <v>0</v>
      </c>
      <c r="K496" s="53">
        <f t="shared" si="472"/>
        <v>0</v>
      </c>
      <c r="L496" s="53">
        <f t="shared" si="472"/>
        <v>0</v>
      </c>
      <c r="M496" s="53">
        <f t="shared" si="472"/>
        <v>0</v>
      </c>
      <c r="N496" s="53">
        <f t="shared" si="472"/>
        <v>0</v>
      </c>
      <c r="O496" s="53">
        <f t="shared" si="472"/>
        <v>0</v>
      </c>
      <c r="P496" s="53">
        <f t="shared" si="472"/>
        <v>0</v>
      </c>
      <c r="Q496" s="53">
        <f t="shared" si="472"/>
        <v>0</v>
      </c>
      <c r="R496" s="53">
        <f t="shared" si="472"/>
        <v>0</v>
      </c>
      <c r="S496" s="53">
        <f t="shared" si="472"/>
        <v>0</v>
      </c>
      <c r="T496" s="53">
        <f t="shared" si="472"/>
        <v>0</v>
      </c>
      <c r="U496" s="53">
        <f t="shared" si="472"/>
        <v>0</v>
      </c>
      <c r="V496" s="53">
        <f t="shared" si="472"/>
        <v>0</v>
      </c>
      <c r="W496" s="53">
        <f t="shared" si="472"/>
        <v>0</v>
      </c>
      <c r="X496" s="53">
        <f t="shared" si="472"/>
        <v>0</v>
      </c>
      <c r="Y496" s="53">
        <f t="shared" si="472"/>
        <v>0</v>
      </c>
      <c r="Z496" s="53">
        <f t="shared" si="472"/>
        <v>0</v>
      </c>
      <c r="AA496" s="53">
        <f t="shared" si="472"/>
        <v>0</v>
      </c>
      <c r="AB496" s="53">
        <f t="shared" si="472"/>
        <v>0</v>
      </c>
      <c r="AC496" s="53">
        <f t="shared" si="472"/>
        <v>0</v>
      </c>
      <c r="AD496" s="53">
        <f t="shared" si="472"/>
        <v>0</v>
      </c>
      <c r="AE496" s="53">
        <f t="shared" si="472"/>
        <v>0</v>
      </c>
      <c r="AF496" s="53">
        <f t="shared" si="472"/>
        <v>0</v>
      </c>
      <c r="AG496" s="53">
        <f t="shared" si="472"/>
        <v>0</v>
      </c>
      <c r="AH496" s="53">
        <f t="shared" si="472"/>
        <v>0</v>
      </c>
      <c r="AI496" s="53">
        <f t="shared" si="472"/>
        <v>0</v>
      </c>
      <c r="AJ496" s="53">
        <f t="shared" si="472"/>
        <v>0</v>
      </c>
      <c r="AK496" s="53">
        <f t="shared" si="472"/>
        <v>0</v>
      </c>
      <c r="AL496" s="53">
        <f t="shared" si="472"/>
        <v>0</v>
      </c>
      <c r="AM496" s="53">
        <f t="shared" si="472"/>
        <v>0</v>
      </c>
      <c r="AN496" s="53">
        <f t="shared" si="472"/>
        <v>0</v>
      </c>
      <c r="AO496" s="53">
        <f t="shared" si="472"/>
        <v>0</v>
      </c>
      <c r="AP496" s="53">
        <f t="shared" si="472"/>
        <v>0</v>
      </c>
      <c r="AQ496" s="53">
        <f t="shared" si="472"/>
        <v>0</v>
      </c>
      <c r="AR496" s="53">
        <f t="shared" si="472"/>
        <v>0</v>
      </c>
      <c r="AS496" s="53">
        <f t="shared" si="472"/>
        <v>0</v>
      </c>
      <c r="AT496" s="53">
        <f t="shared" si="472"/>
        <v>0</v>
      </c>
      <c r="AU496" s="53">
        <f t="shared" si="472"/>
        <v>0</v>
      </c>
      <c r="AV496" s="53">
        <f t="shared" si="472"/>
        <v>0</v>
      </c>
      <c r="AW496" s="53">
        <f t="shared" si="472"/>
        <v>0</v>
      </c>
      <c r="AX496" s="53">
        <f t="shared" si="472"/>
        <v>0</v>
      </c>
      <c r="AY496" s="53">
        <f t="shared" si="472"/>
        <v>0</v>
      </c>
      <c r="AZ496" s="53">
        <f t="shared" si="472"/>
        <v>0</v>
      </c>
      <c r="BA496" s="53">
        <f t="shared" si="472"/>
        <v>0</v>
      </c>
      <c r="BB496" s="53">
        <f t="shared" si="472"/>
        <v>0</v>
      </c>
      <c r="BC496" s="53">
        <f t="shared" si="472"/>
        <v>0</v>
      </c>
      <c r="BD496" s="53">
        <f t="shared" si="472"/>
        <v>0</v>
      </c>
      <c r="BE496" s="53">
        <f t="shared" si="472"/>
        <v>0</v>
      </c>
      <c r="BF496" s="53">
        <f t="shared" si="472"/>
        <v>0</v>
      </c>
      <c r="BG496" s="53">
        <f t="shared" si="472"/>
        <v>0</v>
      </c>
      <c r="BH496" s="53">
        <f t="shared" si="472"/>
        <v>0</v>
      </c>
      <c r="BI496" s="53">
        <f t="shared" si="472"/>
        <v>0</v>
      </c>
      <c r="BJ496" s="53">
        <f t="shared" si="472"/>
        <v>0</v>
      </c>
      <c r="BK496" s="53">
        <f t="shared" si="472"/>
        <v>0</v>
      </c>
      <c r="BL496" s="53">
        <f t="shared" si="472"/>
        <v>0</v>
      </c>
      <c r="BM496" s="53">
        <f t="shared" si="472"/>
        <v>0</v>
      </c>
      <c r="BN496" s="53">
        <f t="shared" si="472"/>
        <v>0</v>
      </c>
      <c r="BO496" s="53">
        <f t="shared" ref="BO496:CX496" si="473">IFERROR(IF(BO$262=0,0,(BO237-BO238)/BO238),0)</f>
        <v>0</v>
      </c>
      <c r="BP496" s="53">
        <f t="shared" si="473"/>
        <v>0</v>
      </c>
      <c r="BQ496" s="53">
        <f t="shared" si="473"/>
        <v>0</v>
      </c>
      <c r="BR496" s="53">
        <f t="shared" si="473"/>
        <v>0</v>
      </c>
      <c r="BS496" s="53">
        <f t="shared" si="473"/>
        <v>0</v>
      </c>
      <c r="BT496" s="53">
        <f t="shared" si="473"/>
        <v>0</v>
      </c>
      <c r="BU496" s="53">
        <f t="shared" si="473"/>
        <v>0</v>
      </c>
      <c r="BV496" s="53">
        <f t="shared" si="473"/>
        <v>0</v>
      </c>
      <c r="BW496" s="53">
        <f t="shared" si="473"/>
        <v>0</v>
      </c>
      <c r="BX496" s="53">
        <f t="shared" si="473"/>
        <v>0</v>
      </c>
      <c r="BY496" s="53">
        <f t="shared" si="473"/>
        <v>0</v>
      </c>
      <c r="BZ496" s="53">
        <f t="shared" si="473"/>
        <v>0</v>
      </c>
      <c r="CA496" s="53">
        <f t="shared" si="473"/>
        <v>0</v>
      </c>
      <c r="CB496" s="53">
        <f t="shared" si="473"/>
        <v>0</v>
      </c>
      <c r="CC496" s="53">
        <f t="shared" si="473"/>
        <v>0</v>
      </c>
      <c r="CD496" s="53">
        <f t="shared" si="473"/>
        <v>0</v>
      </c>
      <c r="CE496" s="53">
        <f t="shared" si="473"/>
        <v>0</v>
      </c>
      <c r="CF496" s="53">
        <f t="shared" si="473"/>
        <v>0</v>
      </c>
      <c r="CG496" s="53">
        <f t="shared" si="473"/>
        <v>0</v>
      </c>
      <c r="CH496" s="53">
        <f t="shared" si="473"/>
        <v>0</v>
      </c>
      <c r="CI496" s="53">
        <f t="shared" si="473"/>
        <v>0</v>
      </c>
      <c r="CJ496" s="53">
        <f t="shared" si="473"/>
        <v>0</v>
      </c>
      <c r="CK496" s="53">
        <f t="shared" si="473"/>
        <v>0</v>
      </c>
      <c r="CL496" s="53">
        <f t="shared" si="473"/>
        <v>0</v>
      </c>
      <c r="CM496" s="53">
        <f t="shared" si="473"/>
        <v>0</v>
      </c>
      <c r="CN496" s="53">
        <f t="shared" si="473"/>
        <v>0</v>
      </c>
      <c r="CO496" s="53">
        <f t="shared" si="473"/>
        <v>0</v>
      </c>
      <c r="CP496" s="53">
        <f t="shared" si="473"/>
        <v>0</v>
      </c>
      <c r="CQ496" s="53">
        <f t="shared" si="473"/>
        <v>0</v>
      </c>
      <c r="CR496" s="53">
        <f t="shared" si="473"/>
        <v>0</v>
      </c>
      <c r="CS496" s="53">
        <f t="shared" si="473"/>
        <v>0</v>
      </c>
      <c r="CT496" s="53">
        <f t="shared" si="473"/>
        <v>0</v>
      </c>
      <c r="CU496" s="53">
        <f t="shared" si="473"/>
        <v>0</v>
      </c>
      <c r="CV496" s="53">
        <f t="shared" si="473"/>
        <v>0</v>
      </c>
      <c r="CW496" s="53">
        <f t="shared" si="473"/>
        <v>0</v>
      </c>
      <c r="CX496" s="53">
        <f t="shared" si="473"/>
        <v>0</v>
      </c>
      <c r="DB496" s="2" vm="745">
        <f ca="1">IF(Returns!A500&lt;&gt;0,Returns!A500,"")</f>
        <v>43668</v>
      </c>
      <c r="DC496" s="11">
        <f ca="1">IF(Returns!B511&gt;0,Returns!B511/Returns!B510-1,"")</f>
        <v>-4.4434225275198358E-3</v>
      </c>
      <c r="DD496" s="11">
        <f ca="1">IF(Returns!D503&gt;0,Returns!D503/Returns!D502-1,"")</f>
        <v>-1.5271017420750987E-2</v>
      </c>
    </row>
    <row r="497" spans="2:108" x14ac:dyDescent="0.3">
      <c r="B497" s="57">
        <f t="shared" ca="1" si="393"/>
        <v>9.5505382685308563E-3</v>
      </c>
      <c r="C497" s="53">
        <f t="shared" ref="C497:BN497" si="474">IFERROR(IF(C$262=0,0,(C238-C239)/C239),0)</f>
        <v>0</v>
      </c>
      <c r="D497" s="53">
        <f t="shared" si="474"/>
        <v>0</v>
      </c>
      <c r="E497" s="53">
        <f t="shared" si="474"/>
        <v>0</v>
      </c>
      <c r="F497" s="53">
        <f t="shared" si="474"/>
        <v>0</v>
      </c>
      <c r="G497" s="53">
        <f t="shared" si="474"/>
        <v>0</v>
      </c>
      <c r="H497" s="53">
        <f t="shared" si="474"/>
        <v>0</v>
      </c>
      <c r="I497" s="53">
        <f t="shared" si="474"/>
        <v>0</v>
      </c>
      <c r="J497" s="53">
        <f t="shared" si="474"/>
        <v>0</v>
      </c>
      <c r="K497" s="53">
        <f t="shared" si="474"/>
        <v>0</v>
      </c>
      <c r="L497" s="53">
        <f t="shared" si="474"/>
        <v>0</v>
      </c>
      <c r="M497" s="53">
        <f t="shared" si="474"/>
        <v>0</v>
      </c>
      <c r="N497" s="53">
        <f t="shared" si="474"/>
        <v>0</v>
      </c>
      <c r="O497" s="53">
        <f t="shared" si="474"/>
        <v>0</v>
      </c>
      <c r="P497" s="53">
        <f t="shared" si="474"/>
        <v>0</v>
      </c>
      <c r="Q497" s="53">
        <f t="shared" si="474"/>
        <v>0</v>
      </c>
      <c r="R497" s="53">
        <f t="shared" si="474"/>
        <v>0</v>
      </c>
      <c r="S497" s="53">
        <f t="shared" si="474"/>
        <v>0</v>
      </c>
      <c r="T497" s="53">
        <f t="shared" si="474"/>
        <v>0</v>
      </c>
      <c r="U497" s="53">
        <f t="shared" si="474"/>
        <v>0</v>
      </c>
      <c r="V497" s="53">
        <f t="shared" si="474"/>
        <v>0</v>
      </c>
      <c r="W497" s="53">
        <f t="shared" si="474"/>
        <v>0</v>
      </c>
      <c r="X497" s="53">
        <f t="shared" si="474"/>
        <v>0</v>
      </c>
      <c r="Y497" s="53">
        <f t="shared" si="474"/>
        <v>0</v>
      </c>
      <c r="Z497" s="53">
        <f t="shared" si="474"/>
        <v>0</v>
      </c>
      <c r="AA497" s="53">
        <f t="shared" si="474"/>
        <v>0</v>
      </c>
      <c r="AB497" s="53">
        <f t="shared" si="474"/>
        <v>0</v>
      </c>
      <c r="AC497" s="53">
        <f t="shared" si="474"/>
        <v>0</v>
      </c>
      <c r="AD497" s="53">
        <f t="shared" si="474"/>
        <v>0</v>
      </c>
      <c r="AE497" s="53">
        <f t="shared" si="474"/>
        <v>0</v>
      </c>
      <c r="AF497" s="53">
        <f t="shared" si="474"/>
        <v>0</v>
      </c>
      <c r="AG497" s="53">
        <f t="shared" si="474"/>
        <v>0</v>
      </c>
      <c r="AH497" s="53">
        <f t="shared" si="474"/>
        <v>0</v>
      </c>
      <c r="AI497" s="53">
        <f t="shared" si="474"/>
        <v>0</v>
      </c>
      <c r="AJ497" s="53">
        <f t="shared" si="474"/>
        <v>0</v>
      </c>
      <c r="AK497" s="53">
        <f t="shared" si="474"/>
        <v>0</v>
      </c>
      <c r="AL497" s="53">
        <f t="shared" si="474"/>
        <v>0</v>
      </c>
      <c r="AM497" s="53">
        <f t="shared" si="474"/>
        <v>0</v>
      </c>
      <c r="AN497" s="53">
        <f t="shared" si="474"/>
        <v>0</v>
      </c>
      <c r="AO497" s="53">
        <f t="shared" si="474"/>
        <v>0</v>
      </c>
      <c r="AP497" s="53">
        <f t="shared" si="474"/>
        <v>0</v>
      </c>
      <c r="AQ497" s="53">
        <f t="shared" si="474"/>
        <v>0</v>
      </c>
      <c r="AR497" s="53">
        <f t="shared" si="474"/>
        <v>0</v>
      </c>
      <c r="AS497" s="53">
        <f t="shared" si="474"/>
        <v>0</v>
      </c>
      <c r="AT497" s="53">
        <f t="shared" si="474"/>
        <v>0</v>
      </c>
      <c r="AU497" s="53">
        <f t="shared" si="474"/>
        <v>0</v>
      </c>
      <c r="AV497" s="53">
        <f t="shared" si="474"/>
        <v>0</v>
      </c>
      <c r="AW497" s="53">
        <f t="shared" si="474"/>
        <v>0</v>
      </c>
      <c r="AX497" s="53">
        <f t="shared" si="474"/>
        <v>0</v>
      </c>
      <c r="AY497" s="53">
        <f t="shared" si="474"/>
        <v>0</v>
      </c>
      <c r="AZ497" s="53">
        <f t="shared" si="474"/>
        <v>0</v>
      </c>
      <c r="BA497" s="53">
        <f t="shared" si="474"/>
        <v>0</v>
      </c>
      <c r="BB497" s="53">
        <f t="shared" si="474"/>
        <v>0</v>
      </c>
      <c r="BC497" s="53">
        <f t="shared" si="474"/>
        <v>0</v>
      </c>
      <c r="BD497" s="53">
        <f t="shared" si="474"/>
        <v>0</v>
      </c>
      <c r="BE497" s="53">
        <f t="shared" si="474"/>
        <v>0</v>
      </c>
      <c r="BF497" s="53">
        <f t="shared" si="474"/>
        <v>0</v>
      </c>
      <c r="BG497" s="53">
        <f t="shared" si="474"/>
        <v>0</v>
      </c>
      <c r="BH497" s="53">
        <f t="shared" si="474"/>
        <v>0</v>
      </c>
      <c r="BI497" s="53">
        <f t="shared" si="474"/>
        <v>0</v>
      </c>
      <c r="BJ497" s="53">
        <f t="shared" si="474"/>
        <v>0</v>
      </c>
      <c r="BK497" s="53">
        <f t="shared" si="474"/>
        <v>0</v>
      </c>
      <c r="BL497" s="53">
        <f t="shared" si="474"/>
        <v>0</v>
      </c>
      <c r="BM497" s="53">
        <f t="shared" si="474"/>
        <v>0</v>
      </c>
      <c r="BN497" s="53">
        <f t="shared" si="474"/>
        <v>0</v>
      </c>
      <c r="BO497" s="53">
        <f t="shared" ref="BO497:CX497" si="475">IFERROR(IF(BO$262=0,0,(BO238-BO239)/BO239),0)</f>
        <v>0</v>
      </c>
      <c r="BP497" s="53">
        <f t="shared" si="475"/>
        <v>0</v>
      </c>
      <c r="BQ497" s="53">
        <f t="shared" si="475"/>
        <v>0</v>
      </c>
      <c r="BR497" s="53">
        <f t="shared" si="475"/>
        <v>0</v>
      </c>
      <c r="BS497" s="53">
        <f t="shared" si="475"/>
        <v>0</v>
      </c>
      <c r="BT497" s="53">
        <f t="shared" si="475"/>
        <v>0</v>
      </c>
      <c r="BU497" s="53">
        <f t="shared" si="475"/>
        <v>0</v>
      </c>
      <c r="BV497" s="53">
        <f t="shared" si="475"/>
        <v>0</v>
      </c>
      <c r="BW497" s="53">
        <f t="shared" si="475"/>
        <v>0</v>
      </c>
      <c r="BX497" s="53">
        <f t="shared" si="475"/>
        <v>0</v>
      </c>
      <c r="BY497" s="53">
        <f t="shared" si="475"/>
        <v>0</v>
      </c>
      <c r="BZ497" s="53">
        <f t="shared" si="475"/>
        <v>0</v>
      </c>
      <c r="CA497" s="53">
        <f t="shared" si="475"/>
        <v>0</v>
      </c>
      <c r="CB497" s="53">
        <f t="shared" si="475"/>
        <v>0</v>
      </c>
      <c r="CC497" s="53">
        <f t="shared" si="475"/>
        <v>0</v>
      </c>
      <c r="CD497" s="53">
        <f t="shared" si="475"/>
        <v>0</v>
      </c>
      <c r="CE497" s="53">
        <f t="shared" si="475"/>
        <v>0</v>
      </c>
      <c r="CF497" s="53">
        <f t="shared" si="475"/>
        <v>0</v>
      </c>
      <c r="CG497" s="53">
        <f t="shared" si="475"/>
        <v>0</v>
      </c>
      <c r="CH497" s="53">
        <f t="shared" si="475"/>
        <v>0</v>
      </c>
      <c r="CI497" s="53">
        <f t="shared" si="475"/>
        <v>0</v>
      </c>
      <c r="CJ497" s="53">
        <f t="shared" si="475"/>
        <v>0</v>
      </c>
      <c r="CK497" s="53">
        <f t="shared" si="475"/>
        <v>0</v>
      </c>
      <c r="CL497" s="53">
        <f t="shared" si="475"/>
        <v>0</v>
      </c>
      <c r="CM497" s="53">
        <f t="shared" si="475"/>
        <v>0</v>
      </c>
      <c r="CN497" s="53">
        <f t="shared" si="475"/>
        <v>0</v>
      </c>
      <c r="CO497" s="53">
        <f t="shared" si="475"/>
        <v>0</v>
      </c>
      <c r="CP497" s="53">
        <f t="shared" si="475"/>
        <v>0</v>
      </c>
      <c r="CQ497" s="53">
        <f t="shared" si="475"/>
        <v>0</v>
      </c>
      <c r="CR497" s="53">
        <f t="shared" si="475"/>
        <v>0</v>
      </c>
      <c r="CS497" s="53">
        <f t="shared" si="475"/>
        <v>0</v>
      </c>
      <c r="CT497" s="53">
        <f t="shared" si="475"/>
        <v>0</v>
      </c>
      <c r="CU497" s="53">
        <f t="shared" si="475"/>
        <v>0</v>
      </c>
      <c r="CV497" s="53">
        <f t="shared" si="475"/>
        <v>0</v>
      </c>
      <c r="CW497" s="53">
        <f t="shared" si="475"/>
        <v>0</v>
      </c>
      <c r="CX497" s="53">
        <f t="shared" si="475"/>
        <v>0</v>
      </c>
      <c r="DB497" s="2" vm="746">
        <f ca="1">IF(Returns!A501&lt;&gt;0,Returns!A501,"")</f>
        <v>43675</v>
      </c>
      <c r="DC497" s="11">
        <f ca="1">IF(Returns!B512&gt;0,Returns!B512/Returns!B511-1,"")</f>
        <v>1.4775509261397701E-2</v>
      </c>
      <c r="DD497" s="11">
        <f ca="1">IF(Returns!D504&gt;0,Returns!D504/Returns!D503-1,"")</f>
        <v>-9.9324550132432465E-3</v>
      </c>
    </row>
    <row r="498" spans="2:108" x14ac:dyDescent="0.3">
      <c r="B498" s="57">
        <f t="shared" ca="1" si="393"/>
        <v>2.3228521742325015E-3</v>
      </c>
      <c r="C498" s="53">
        <f t="shared" ref="C498:BN498" si="476">IFERROR(IF(C$262=0,0,(C239-C240)/C240),0)</f>
        <v>0</v>
      </c>
      <c r="D498" s="53">
        <f t="shared" si="476"/>
        <v>0</v>
      </c>
      <c r="E498" s="53">
        <f t="shared" si="476"/>
        <v>0</v>
      </c>
      <c r="F498" s="53">
        <f t="shared" si="476"/>
        <v>0</v>
      </c>
      <c r="G498" s="53">
        <f t="shared" si="476"/>
        <v>0</v>
      </c>
      <c r="H498" s="53">
        <f t="shared" si="476"/>
        <v>0</v>
      </c>
      <c r="I498" s="53">
        <f t="shared" si="476"/>
        <v>0</v>
      </c>
      <c r="J498" s="53">
        <f t="shared" si="476"/>
        <v>0</v>
      </c>
      <c r="K498" s="53">
        <f t="shared" si="476"/>
        <v>0</v>
      </c>
      <c r="L498" s="53">
        <f t="shared" si="476"/>
        <v>0</v>
      </c>
      <c r="M498" s="53">
        <f t="shared" si="476"/>
        <v>0</v>
      </c>
      <c r="N498" s="53">
        <f t="shared" si="476"/>
        <v>0</v>
      </c>
      <c r="O498" s="53">
        <f t="shared" si="476"/>
        <v>0</v>
      </c>
      <c r="P498" s="53">
        <f t="shared" si="476"/>
        <v>0</v>
      </c>
      <c r="Q498" s="53">
        <f t="shared" si="476"/>
        <v>0</v>
      </c>
      <c r="R498" s="53">
        <f t="shared" si="476"/>
        <v>0</v>
      </c>
      <c r="S498" s="53">
        <f t="shared" si="476"/>
        <v>0</v>
      </c>
      <c r="T498" s="53">
        <f t="shared" si="476"/>
        <v>0</v>
      </c>
      <c r="U498" s="53">
        <f t="shared" si="476"/>
        <v>0</v>
      </c>
      <c r="V498" s="53">
        <f t="shared" si="476"/>
        <v>0</v>
      </c>
      <c r="W498" s="53">
        <f t="shared" si="476"/>
        <v>0</v>
      </c>
      <c r="X498" s="53">
        <f t="shared" si="476"/>
        <v>0</v>
      </c>
      <c r="Y498" s="53">
        <f t="shared" si="476"/>
        <v>0</v>
      </c>
      <c r="Z498" s="53">
        <f t="shared" si="476"/>
        <v>0</v>
      </c>
      <c r="AA498" s="53">
        <f t="shared" si="476"/>
        <v>0</v>
      </c>
      <c r="AB498" s="53">
        <f t="shared" si="476"/>
        <v>0</v>
      </c>
      <c r="AC498" s="53">
        <f t="shared" si="476"/>
        <v>0</v>
      </c>
      <c r="AD498" s="53">
        <f t="shared" si="476"/>
        <v>0</v>
      </c>
      <c r="AE498" s="53">
        <f t="shared" si="476"/>
        <v>0</v>
      </c>
      <c r="AF498" s="53">
        <f t="shared" si="476"/>
        <v>0</v>
      </c>
      <c r="AG498" s="53">
        <f t="shared" si="476"/>
        <v>0</v>
      </c>
      <c r="AH498" s="53">
        <f t="shared" si="476"/>
        <v>0</v>
      </c>
      <c r="AI498" s="53">
        <f t="shared" si="476"/>
        <v>0</v>
      </c>
      <c r="AJ498" s="53">
        <f t="shared" si="476"/>
        <v>0</v>
      </c>
      <c r="AK498" s="53">
        <f t="shared" si="476"/>
        <v>0</v>
      </c>
      <c r="AL498" s="53">
        <f t="shared" si="476"/>
        <v>0</v>
      </c>
      <c r="AM498" s="53">
        <f t="shared" si="476"/>
        <v>0</v>
      </c>
      <c r="AN498" s="53">
        <f t="shared" si="476"/>
        <v>0</v>
      </c>
      <c r="AO498" s="53">
        <f t="shared" si="476"/>
        <v>0</v>
      </c>
      <c r="AP498" s="53">
        <f t="shared" si="476"/>
        <v>0</v>
      </c>
      <c r="AQ498" s="53">
        <f t="shared" si="476"/>
        <v>0</v>
      </c>
      <c r="AR498" s="53">
        <f t="shared" si="476"/>
        <v>0</v>
      </c>
      <c r="AS498" s="53">
        <f t="shared" si="476"/>
        <v>0</v>
      </c>
      <c r="AT498" s="53">
        <f t="shared" si="476"/>
        <v>0</v>
      </c>
      <c r="AU498" s="53">
        <f t="shared" si="476"/>
        <v>0</v>
      </c>
      <c r="AV498" s="53">
        <f t="shared" si="476"/>
        <v>0</v>
      </c>
      <c r="AW498" s="53">
        <f t="shared" si="476"/>
        <v>0</v>
      </c>
      <c r="AX498" s="53">
        <f t="shared" si="476"/>
        <v>0</v>
      </c>
      <c r="AY498" s="53">
        <f t="shared" si="476"/>
        <v>0</v>
      </c>
      <c r="AZ498" s="53">
        <f t="shared" si="476"/>
        <v>0</v>
      </c>
      <c r="BA498" s="53">
        <f t="shared" si="476"/>
        <v>0</v>
      </c>
      <c r="BB498" s="53">
        <f t="shared" si="476"/>
        <v>0</v>
      </c>
      <c r="BC498" s="53">
        <f t="shared" si="476"/>
        <v>0</v>
      </c>
      <c r="BD498" s="53">
        <f t="shared" si="476"/>
        <v>0</v>
      </c>
      <c r="BE498" s="53">
        <f t="shared" si="476"/>
        <v>0</v>
      </c>
      <c r="BF498" s="53">
        <f t="shared" si="476"/>
        <v>0</v>
      </c>
      <c r="BG498" s="53">
        <f t="shared" si="476"/>
        <v>0</v>
      </c>
      <c r="BH498" s="53">
        <f t="shared" si="476"/>
        <v>0</v>
      </c>
      <c r="BI498" s="53">
        <f t="shared" si="476"/>
        <v>0</v>
      </c>
      <c r="BJ498" s="53">
        <f t="shared" si="476"/>
        <v>0</v>
      </c>
      <c r="BK498" s="53">
        <f t="shared" si="476"/>
        <v>0</v>
      </c>
      <c r="BL498" s="53">
        <f t="shared" si="476"/>
        <v>0</v>
      </c>
      <c r="BM498" s="53">
        <f t="shared" si="476"/>
        <v>0</v>
      </c>
      <c r="BN498" s="53">
        <f t="shared" si="476"/>
        <v>0</v>
      </c>
      <c r="BO498" s="53">
        <f t="shared" ref="BO498:CX498" si="477">IFERROR(IF(BO$262=0,0,(BO239-BO240)/BO240),0)</f>
        <v>0</v>
      </c>
      <c r="BP498" s="53">
        <f t="shared" si="477"/>
        <v>0</v>
      </c>
      <c r="BQ498" s="53">
        <f t="shared" si="477"/>
        <v>0</v>
      </c>
      <c r="BR498" s="53">
        <f t="shared" si="477"/>
        <v>0</v>
      </c>
      <c r="BS498" s="53">
        <f t="shared" si="477"/>
        <v>0</v>
      </c>
      <c r="BT498" s="53">
        <f t="shared" si="477"/>
        <v>0</v>
      </c>
      <c r="BU498" s="53">
        <f t="shared" si="477"/>
        <v>0</v>
      </c>
      <c r="BV498" s="53">
        <f t="shared" si="477"/>
        <v>0</v>
      </c>
      <c r="BW498" s="53">
        <f t="shared" si="477"/>
        <v>0</v>
      </c>
      <c r="BX498" s="53">
        <f t="shared" si="477"/>
        <v>0</v>
      </c>
      <c r="BY498" s="53">
        <f t="shared" si="477"/>
        <v>0</v>
      </c>
      <c r="BZ498" s="53">
        <f t="shared" si="477"/>
        <v>0</v>
      </c>
      <c r="CA498" s="53">
        <f t="shared" si="477"/>
        <v>0</v>
      </c>
      <c r="CB498" s="53">
        <f t="shared" si="477"/>
        <v>0</v>
      </c>
      <c r="CC498" s="53">
        <f t="shared" si="477"/>
        <v>0</v>
      </c>
      <c r="CD498" s="53">
        <f t="shared" si="477"/>
        <v>0</v>
      </c>
      <c r="CE498" s="53">
        <f t="shared" si="477"/>
        <v>0</v>
      </c>
      <c r="CF498" s="53">
        <f t="shared" si="477"/>
        <v>0</v>
      </c>
      <c r="CG498" s="53">
        <f t="shared" si="477"/>
        <v>0</v>
      </c>
      <c r="CH498" s="53">
        <f t="shared" si="477"/>
        <v>0</v>
      </c>
      <c r="CI498" s="53">
        <f t="shared" si="477"/>
        <v>0</v>
      </c>
      <c r="CJ498" s="53">
        <f t="shared" si="477"/>
        <v>0</v>
      </c>
      <c r="CK498" s="53">
        <f t="shared" si="477"/>
        <v>0</v>
      </c>
      <c r="CL498" s="53">
        <f t="shared" si="477"/>
        <v>0</v>
      </c>
      <c r="CM498" s="53">
        <f t="shared" si="477"/>
        <v>0</v>
      </c>
      <c r="CN498" s="53">
        <f t="shared" si="477"/>
        <v>0</v>
      </c>
      <c r="CO498" s="53">
        <f t="shared" si="477"/>
        <v>0</v>
      </c>
      <c r="CP498" s="53">
        <f t="shared" si="477"/>
        <v>0</v>
      </c>
      <c r="CQ498" s="53">
        <f t="shared" si="477"/>
        <v>0</v>
      </c>
      <c r="CR498" s="53">
        <f t="shared" si="477"/>
        <v>0</v>
      </c>
      <c r="CS498" s="53">
        <f t="shared" si="477"/>
        <v>0</v>
      </c>
      <c r="CT498" s="53">
        <f t="shared" si="477"/>
        <v>0</v>
      </c>
      <c r="CU498" s="53">
        <f t="shared" si="477"/>
        <v>0</v>
      </c>
      <c r="CV498" s="53">
        <f t="shared" si="477"/>
        <v>0</v>
      </c>
      <c r="CW498" s="53">
        <f t="shared" si="477"/>
        <v>0</v>
      </c>
      <c r="CX498" s="53">
        <f t="shared" si="477"/>
        <v>0</v>
      </c>
      <c r="DB498" s="2" vm="747">
        <f ca="1">IF(Returns!A502&lt;&gt;0,Returns!A502,"")</f>
        <v>43682</v>
      </c>
      <c r="DC498" s="11">
        <f ca="1">IF(Returns!B513&gt;0,Returns!B513/Returns!B512-1,"")</f>
        <v>2.1735295958487111E-3</v>
      </c>
      <c r="DD498" s="11">
        <f ca="1">IF(Returns!D505&gt;0,Returns!D505/Returns!D504-1,"")</f>
        <v>3.0215383375437943E-2</v>
      </c>
    </row>
    <row r="499" spans="2:108" x14ac:dyDescent="0.3">
      <c r="B499" s="57">
        <f t="shared" ca="1" si="393"/>
        <v>1.6460428268368722E-2</v>
      </c>
      <c r="C499" s="53">
        <f t="shared" ref="C499:BN499" si="478">IFERROR(IF(C$262=0,0,(C240-C241)/C241),0)</f>
        <v>0</v>
      </c>
      <c r="D499" s="53">
        <f t="shared" si="478"/>
        <v>0</v>
      </c>
      <c r="E499" s="53">
        <f t="shared" si="478"/>
        <v>0</v>
      </c>
      <c r="F499" s="53">
        <f t="shared" si="478"/>
        <v>0</v>
      </c>
      <c r="G499" s="53">
        <f t="shared" si="478"/>
        <v>0</v>
      </c>
      <c r="H499" s="53">
        <f t="shared" si="478"/>
        <v>0</v>
      </c>
      <c r="I499" s="53">
        <f t="shared" si="478"/>
        <v>0</v>
      </c>
      <c r="J499" s="53">
        <f t="shared" si="478"/>
        <v>0</v>
      </c>
      <c r="K499" s="53">
        <f t="shared" si="478"/>
        <v>0</v>
      </c>
      <c r="L499" s="53">
        <f t="shared" si="478"/>
        <v>0</v>
      </c>
      <c r="M499" s="53">
        <f t="shared" si="478"/>
        <v>0</v>
      </c>
      <c r="N499" s="53">
        <f t="shared" si="478"/>
        <v>0</v>
      </c>
      <c r="O499" s="53">
        <f t="shared" si="478"/>
        <v>0</v>
      </c>
      <c r="P499" s="53">
        <f t="shared" si="478"/>
        <v>0</v>
      </c>
      <c r="Q499" s="53">
        <f t="shared" si="478"/>
        <v>0</v>
      </c>
      <c r="R499" s="53">
        <f t="shared" si="478"/>
        <v>0</v>
      </c>
      <c r="S499" s="53">
        <f t="shared" si="478"/>
        <v>0</v>
      </c>
      <c r="T499" s="53">
        <f t="shared" si="478"/>
        <v>0</v>
      </c>
      <c r="U499" s="53">
        <f t="shared" si="478"/>
        <v>0</v>
      </c>
      <c r="V499" s="53">
        <f t="shared" si="478"/>
        <v>0</v>
      </c>
      <c r="W499" s="53">
        <f t="shared" si="478"/>
        <v>0</v>
      </c>
      <c r="X499" s="53">
        <f t="shared" si="478"/>
        <v>0</v>
      </c>
      <c r="Y499" s="53">
        <f t="shared" si="478"/>
        <v>0</v>
      </c>
      <c r="Z499" s="53">
        <f t="shared" si="478"/>
        <v>0</v>
      </c>
      <c r="AA499" s="53">
        <f t="shared" si="478"/>
        <v>0</v>
      </c>
      <c r="AB499" s="53">
        <f t="shared" si="478"/>
        <v>0</v>
      </c>
      <c r="AC499" s="53">
        <f t="shared" si="478"/>
        <v>0</v>
      </c>
      <c r="AD499" s="53">
        <f t="shared" si="478"/>
        <v>0</v>
      </c>
      <c r="AE499" s="53">
        <f t="shared" si="478"/>
        <v>0</v>
      </c>
      <c r="AF499" s="53">
        <f t="shared" si="478"/>
        <v>0</v>
      </c>
      <c r="AG499" s="53">
        <f t="shared" si="478"/>
        <v>0</v>
      </c>
      <c r="AH499" s="53">
        <f t="shared" si="478"/>
        <v>0</v>
      </c>
      <c r="AI499" s="53">
        <f t="shared" si="478"/>
        <v>0</v>
      </c>
      <c r="AJ499" s="53">
        <f t="shared" si="478"/>
        <v>0</v>
      </c>
      <c r="AK499" s="53">
        <f t="shared" si="478"/>
        <v>0</v>
      </c>
      <c r="AL499" s="53">
        <f t="shared" si="478"/>
        <v>0</v>
      </c>
      <c r="AM499" s="53">
        <f t="shared" si="478"/>
        <v>0</v>
      </c>
      <c r="AN499" s="53">
        <f t="shared" si="478"/>
        <v>0</v>
      </c>
      <c r="AO499" s="53">
        <f t="shared" si="478"/>
        <v>0</v>
      </c>
      <c r="AP499" s="53">
        <f t="shared" si="478"/>
        <v>0</v>
      </c>
      <c r="AQ499" s="53">
        <f t="shared" si="478"/>
        <v>0</v>
      </c>
      <c r="AR499" s="53">
        <f t="shared" si="478"/>
        <v>0</v>
      </c>
      <c r="AS499" s="53">
        <f t="shared" si="478"/>
        <v>0</v>
      </c>
      <c r="AT499" s="53">
        <f t="shared" si="478"/>
        <v>0</v>
      </c>
      <c r="AU499" s="53">
        <f t="shared" si="478"/>
        <v>0</v>
      </c>
      <c r="AV499" s="53">
        <f t="shared" si="478"/>
        <v>0</v>
      </c>
      <c r="AW499" s="53">
        <f t="shared" si="478"/>
        <v>0</v>
      </c>
      <c r="AX499" s="53">
        <f t="shared" si="478"/>
        <v>0</v>
      </c>
      <c r="AY499" s="53">
        <f t="shared" si="478"/>
        <v>0</v>
      </c>
      <c r="AZ499" s="53">
        <f t="shared" si="478"/>
        <v>0</v>
      </c>
      <c r="BA499" s="53">
        <f t="shared" si="478"/>
        <v>0</v>
      </c>
      <c r="BB499" s="53">
        <f t="shared" si="478"/>
        <v>0</v>
      </c>
      <c r="BC499" s="53">
        <f t="shared" si="478"/>
        <v>0</v>
      </c>
      <c r="BD499" s="53">
        <f t="shared" si="478"/>
        <v>0</v>
      </c>
      <c r="BE499" s="53">
        <f t="shared" si="478"/>
        <v>0</v>
      </c>
      <c r="BF499" s="53">
        <f t="shared" si="478"/>
        <v>0</v>
      </c>
      <c r="BG499" s="53">
        <f t="shared" si="478"/>
        <v>0</v>
      </c>
      <c r="BH499" s="53">
        <f t="shared" si="478"/>
        <v>0</v>
      </c>
      <c r="BI499" s="53">
        <f t="shared" si="478"/>
        <v>0</v>
      </c>
      <c r="BJ499" s="53">
        <f t="shared" si="478"/>
        <v>0</v>
      </c>
      <c r="BK499" s="53">
        <f t="shared" si="478"/>
        <v>0</v>
      </c>
      <c r="BL499" s="53">
        <f t="shared" si="478"/>
        <v>0</v>
      </c>
      <c r="BM499" s="53">
        <f t="shared" si="478"/>
        <v>0</v>
      </c>
      <c r="BN499" s="53">
        <f t="shared" si="478"/>
        <v>0</v>
      </c>
      <c r="BO499" s="53">
        <f t="shared" ref="BO499:CX499" si="479">IFERROR(IF(BO$262=0,0,(BO240-BO241)/BO241),0)</f>
        <v>0</v>
      </c>
      <c r="BP499" s="53">
        <f t="shared" si="479"/>
        <v>0</v>
      </c>
      <c r="BQ499" s="53">
        <f t="shared" si="479"/>
        <v>0</v>
      </c>
      <c r="BR499" s="53">
        <f t="shared" si="479"/>
        <v>0</v>
      </c>
      <c r="BS499" s="53">
        <f t="shared" si="479"/>
        <v>0</v>
      </c>
      <c r="BT499" s="53">
        <f t="shared" si="479"/>
        <v>0</v>
      </c>
      <c r="BU499" s="53">
        <f t="shared" si="479"/>
        <v>0</v>
      </c>
      <c r="BV499" s="53">
        <f t="shared" si="479"/>
        <v>0</v>
      </c>
      <c r="BW499" s="53">
        <f t="shared" si="479"/>
        <v>0</v>
      </c>
      <c r="BX499" s="53">
        <f t="shared" si="479"/>
        <v>0</v>
      </c>
      <c r="BY499" s="53">
        <f t="shared" si="479"/>
        <v>0</v>
      </c>
      <c r="BZ499" s="53">
        <f t="shared" si="479"/>
        <v>0</v>
      </c>
      <c r="CA499" s="53">
        <f t="shared" si="479"/>
        <v>0</v>
      </c>
      <c r="CB499" s="53">
        <f t="shared" si="479"/>
        <v>0</v>
      </c>
      <c r="CC499" s="53">
        <f t="shared" si="479"/>
        <v>0</v>
      </c>
      <c r="CD499" s="53">
        <f t="shared" si="479"/>
        <v>0</v>
      </c>
      <c r="CE499" s="53">
        <f t="shared" si="479"/>
        <v>0</v>
      </c>
      <c r="CF499" s="53">
        <f t="shared" si="479"/>
        <v>0</v>
      </c>
      <c r="CG499" s="53">
        <f t="shared" si="479"/>
        <v>0</v>
      </c>
      <c r="CH499" s="53">
        <f t="shared" si="479"/>
        <v>0</v>
      </c>
      <c r="CI499" s="53">
        <f t="shared" si="479"/>
        <v>0</v>
      </c>
      <c r="CJ499" s="53">
        <f t="shared" si="479"/>
        <v>0</v>
      </c>
      <c r="CK499" s="53">
        <f t="shared" si="479"/>
        <v>0</v>
      </c>
      <c r="CL499" s="53">
        <f t="shared" si="479"/>
        <v>0</v>
      </c>
      <c r="CM499" s="53">
        <f t="shared" si="479"/>
        <v>0</v>
      </c>
      <c r="CN499" s="53">
        <f t="shared" si="479"/>
        <v>0</v>
      </c>
      <c r="CO499" s="53">
        <f t="shared" si="479"/>
        <v>0</v>
      </c>
      <c r="CP499" s="53">
        <f t="shared" si="479"/>
        <v>0</v>
      </c>
      <c r="CQ499" s="53">
        <f t="shared" si="479"/>
        <v>0</v>
      </c>
      <c r="CR499" s="53">
        <f t="shared" si="479"/>
        <v>0</v>
      </c>
      <c r="CS499" s="53">
        <f t="shared" si="479"/>
        <v>0</v>
      </c>
      <c r="CT499" s="53">
        <f t="shared" si="479"/>
        <v>0</v>
      </c>
      <c r="CU499" s="53">
        <f t="shared" si="479"/>
        <v>0</v>
      </c>
      <c r="CV499" s="53">
        <f t="shared" si="479"/>
        <v>0</v>
      </c>
      <c r="CW499" s="53">
        <f t="shared" si="479"/>
        <v>0</v>
      </c>
      <c r="CX499" s="53">
        <f t="shared" si="479"/>
        <v>0</v>
      </c>
      <c r="DB499" s="2" vm="748">
        <f ca="1">IF(Returns!A503&lt;&gt;0,Returns!A503,"")</f>
        <v>43689</v>
      </c>
      <c r="DC499" s="11">
        <f ca="1">IF(Returns!B514&gt;0,Returns!B514/Returns!B513-1,"")</f>
        <v>1.7095036137464215E-2</v>
      </c>
      <c r="DD499" s="11">
        <f ca="1">IF(Returns!D506&gt;0,Returns!D506/Returns!D505-1,"")</f>
        <v>1.4929166590776477E-2</v>
      </c>
    </row>
    <row r="500" spans="2:108" x14ac:dyDescent="0.3">
      <c r="B500" s="57">
        <f t="shared" ca="1" si="393"/>
        <v>6.4280393986089956E-3</v>
      </c>
      <c r="C500" s="53">
        <f t="shared" ref="C500:BN500" si="480">IFERROR(IF(C$262=0,0,(C241-C242)/C242),0)</f>
        <v>0</v>
      </c>
      <c r="D500" s="53">
        <f t="shared" si="480"/>
        <v>0</v>
      </c>
      <c r="E500" s="53">
        <f t="shared" si="480"/>
        <v>0</v>
      </c>
      <c r="F500" s="53">
        <f t="shared" si="480"/>
        <v>0</v>
      </c>
      <c r="G500" s="53">
        <f t="shared" si="480"/>
        <v>0</v>
      </c>
      <c r="H500" s="53">
        <f t="shared" si="480"/>
        <v>0</v>
      </c>
      <c r="I500" s="53">
        <f t="shared" si="480"/>
        <v>0</v>
      </c>
      <c r="J500" s="53">
        <f t="shared" si="480"/>
        <v>0</v>
      </c>
      <c r="K500" s="53">
        <f t="shared" si="480"/>
        <v>0</v>
      </c>
      <c r="L500" s="53">
        <f t="shared" si="480"/>
        <v>0</v>
      </c>
      <c r="M500" s="53">
        <f t="shared" si="480"/>
        <v>0</v>
      </c>
      <c r="N500" s="53">
        <f t="shared" si="480"/>
        <v>0</v>
      </c>
      <c r="O500" s="53">
        <f t="shared" si="480"/>
        <v>0</v>
      </c>
      <c r="P500" s="53">
        <f t="shared" si="480"/>
        <v>0</v>
      </c>
      <c r="Q500" s="53">
        <f t="shared" si="480"/>
        <v>0</v>
      </c>
      <c r="R500" s="53">
        <f t="shared" si="480"/>
        <v>0</v>
      </c>
      <c r="S500" s="53">
        <f t="shared" si="480"/>
        <v>0</v>
      </c>
      <c r="T500" s="53">
        <f t="shared" si="480"/>
        <v>0</v>
      </c>
      <c r="U500" s="53">
        <f t="shared" si="480"/>
        <v>0</v>
      </c>
      <c r="V500" s="53">
        <f t="shared" si="480"/>
        <v>0</v>
      </c>
      <c r="W500" s="53">
        <f t="shared" si="480"/>
        <v>0</v>
      </c>
      <c r="X500" s="53">
        <f t="shared" si="480"/>
        <v>0</v>
      </c>
      <c r="Y500" s="53">
        <f t="shared" si="480"/>
        <v>0</v>
      </c>
      <c r="Z500" s="53">
        <f t="shared" si="480"/>
        <v>0</v>
      </c>
      <c r="AA500" s="53">
        <f t="shared" si="480"/>
        <v>0</v>
      </c>
      <c r="AB500" s="53">
        <f t="shared" si="480"/>
        <v>0</v>
      </c>
      <c r="AC500" s="53">
        <f t="shared" si="480"/>
        <v>0</v>
      </c>
      <c r="AD500" s="53">
        <f t="shared" si="480"/>
        <v>0</v>
      </c>
      <c r="AE500" s="53">
        <f t="shared" si="480"/>
        <v>0</v>
      </c>
      <c r="AF500" s="53">
        <f t="shared" si="480"/>
        <v>0</v>
      </c>
      <c r="AG500" s="53">
        <f t="shared" si="480"/>
        <v>0</v>
      </c>
      <c r="AH500" s="53">
        <f t="shared" si="480"/>
        <v>0</v>
      </c>
      <c r="AI500" s="53">
        <f t="shared" si="480"/>
        <v>0</v>
      </c>
      <c r="AJ500" s="53">
        <f t="shared" si="480"/>
        <v>0</v>
      </c>
      <c r="AK500" s="53">
        <f t="shared" si="480"/>
        <v>0</v>
      </c>
      <c r="AL500" s="53">
        <f t="shared" si="480"/>
        <v>0</v>
      </c>
      <c r="AM500" s="53">
        <f t="shared" si="480"/>
        <v>0</v>
      </c>
      <c r="AN500" s="53">
        <f t="shared" si="480"/>
        <v>0</v>
      </c>
      <c r="AO500" s="53">
        <f t="shared" si="480"/>
        <v>0</v>
      </c>
      <c r="AP500" s="53">
        <f t="shared" si="480"/>
        <v>0</v>
      </c>
      <c r="AQ500" s="53">
        <f t="shared" si="480"/>
        <v>0</v>
      </c>
      <c r="AR500" s="53">
        <f t="shared" si="480"/>
        <v>0</v>
      </c>
      <c r="AS500" s="53">
        <f t="shared" si="480"/>
        <v>0</v>
      </c>
      <c r="AT500" s="53">
        <f t="shared" si="480"/>
        <v>0</v>
      </c>
      <c r="AU500" s="53">
        <f t="shared" si="480"/>
        <v>0</v>
      </c>
      <c r="AV500" s="53">
        <f t="shared" si="480"/>
        <v>0</v>
      </c>
      <c r="AW500" s="53">
        <f t="shared" si="480"/>
        <v>0</v>
      </c>
      <c r="AX500" s="53">
        <f t="shared" si="480"/>
        <v>0</v>
      </c>
      <c r="AY500" s="53">
        <f t="shared" si="480"/>
        <v>0</v>
      </c>
      <c r="AZ500" s="53">
        <f t="shared" si="480"/>
        <v>0</v>
      </c>
      <c r="BA500" s="53">
        <f t="shared" si="480"/>
        <v>0</v>
      </c>
      <c r="BB500" s="53">
        <f t="shared" si="480"/>
        <v>0</v>
      </c>
      <c r="BC500" s="53">
        <f t="shared" si="480"/>
        <v>0</v>
      </c>
      <c r="BD500" s="53">
        <f t="shared" si="480"/>
        <v>0</v>
      </c>
      <c r="BE500" s="53">
        <f t="shared" si="480"/>
        <v>0</v>
      </c>
      <c r="BF500" s="53">
        <f t="shared" si="480"/>
        <v>0</v>
      </c>
      <c r="BG500" s="53">
        <f t="shared" si="480"/>
        <v>0</v>
      </c>
      <c r="BH500" s="53">
        <f t="shared" si="480"/>
        <v>0</v>
      </c>
      <c r="BI500" s="53">
        <f t="shared" si="480"/>
        <v>0</v>
      </c>
      <c r="BJ500" s="53">
        <f t="shared" si="480"/>
        <v>0</v>
      </c>
      <c r="BK500" s="53">
        <f t="shared" si="480"/>
        <v>0</v>
      </c>
      <c r="BL500" s="53">
        <f t="shared" si="480"/>
        <v>0</v>
      </c>
      <c r="BM500" s="53">
        <f t="shared" si="480"/>
        <v>0</v>
      </c>
      <c r="BN500" s="53">
        <f t="shared" si="480"/>
        <v>0</v>
      </c>
      <c r="BO500" s="53">
        <f t="shared" ref="BO500:CX500" si="481">IFERROR(IF(BO$262=0,0,(BO241-BO242)/BO242),0)</f>
        <v>0</v>
      </c>
      <c r="BP500" s="53">
        <f t="shared" si="481"/>
        <v>0</v>
      </c>
      <c r="BQ500" s="53">
        <f t="shared" si="481"/>
        <v>0</v>
      </c>
      <c r="BR500" s="53">
        <f t="shared" si="481"/>
        <v>0</v>
      </c>
      <c r="BS500" s="53">
        <f t="shared" si="481"/>
        <v>0</v>
      </c>
      <c r="BT500" s="53">
        <f t="shared" si="481"/>
        <v>0</v>
      </c>
      <c r="BU500" s="53">
        <f t="shared" si="481"/>
        <v>0</v>
      </c>
      <c r="BV500" s="53">
        <f t="shared" si="481"/>
        <v>0</v>
      </c>
      <c r="BW500" s="53">
        <f t="shared" si="481"/>
        <v>0</v>
      </c>
      <c r="BX500" s="53">
        <f t="shared" si="481"/>
        <v>0</v>
      </c>
      <c r="BY500" s="53">
        <f t="shared" si="481"/>
        <v>0</v>
      </c>
      <c r="BZ500" s="53">
        <f t="shared" si="481"/>
        <v>0</v>
      </c>
      <c r="CA500" s="53">
        <f t="shared" si="481"/>
        <v>0</v>
      </c>
      <c r="CB500" s="53">
        <f t="shared" si="481"/>
        <v>0</v>
      </c>
      <c r="CC500" s="53">
        <f t="shared" si="481"/>
        <v>0</v>
      </c>
      <c r="CD500" s="53">
        <f t="shared" si="481"/>
        <v>0</v>
      </c>
      <c r="CE500" s="53">
        <f t="shared" si="481"/>
        <v>0</v>
      </c>
      <c r="CF500" s="53">
        <f t="shared" si="481"/>
        <v>0</v>
      </c>
      <c r="CG500" s="53">
        <f t="shared" si="481"/>
        <v>0</v>
      </c>
      <c r="CH500" s="53">
        <f t="shared" si="481"/>
        <v>0</v>
      </c>
      <c r="CI500" s="53">
        <f t="shared" si="481"/>
        <v>0</v>
      </c>
      <c r="CJ500" s="53">
        <f t="shared" si="481"/>
        <v>0</v>
      </c>
      <c r="CK500" s="53">
        <f t="shared" si="481"/>
        <v>0</v>
      </c>
      <c r="CL500" s="53">
        <f t="shared" si="481"/>
        <v>0</v>
      </c>
      <c r="CM500" s="53">
        <f t="shared" si="481"/>
        <v>0</v>
      </c>
      <c r="CN500" s="53">
        <f t="shared" si="481"/>
        <v>0</v>
      </c>
      <c r="CO500" s="53">
        <f t="shared" si="481"/>
        <v>0</v>
      </c>
      <c r="CP500" s="53">
        <f t="shared" si="481"/>
        <v>0</v>
      </c>
      <c r="CQ500" s="53">
        <f t="shared" si="481"/>
        <v>0</v>
      </c>
      <c r="CR500" s="53">
        <f t="shared" si="481"/>
        <v>0</v>
      </c>
      <c r="CS500" s="53">
        <f t="shared" si="481"/>
        <v>0</v>
      </c>
      <c r="CT500" s="53">
        <f t="shared" si="481"/>
        <v>0</v>
      </c>
      <c r="CU500" s="53">
        <f t="shared" si="481"/>
        <v>0</v>
      </c>
      <c r="CV500" s="53">
        <f t="shared" si="481"/>
        <v>0</v>
      </c>
      <c r="CW500" s="53">
        <f t="shared" si="481"/>
        <v>0</v>
      </c>
      <c r="CX500" s="53">
        <f t="shared" si="481"/>
        <v>0</v>
      </c>
      <c r="DB500" s="2" vm="749">
        <f ca="1">IF(Returns!A504&lt;&gt;0,Returns!A504,"")</f>
        <v>43696</v>
      </c>
      <c r="DC500" s="11">
        <f ca="1">IF(Returns!B515&gt;0,Returns!B515/Returns!B514-1,"")</f>
        <v>-3.1036484615728499E-3</v>
      </c>
      <c r="DD500" s="11">
        <f ca="1">IF(Returns!D507&gt;0,Returns!D507/Returns!D506-1,"")</f>
        <v>1.5749764325622806E-2</v>
      </c>
    </row>
    <row r="501" spans="2:108" x14ac:dyDescent="0.3">
      <c r="B501" s="57">
        <f t="shared" ca="1" si="393"/>
        <v>1.1978478821403518E-3</v>
      </c>
      <c r="C501" s="53">
        <f t="shared" ref="C501:BN501" si="482">IFERROR(IF(C$262=0,0,(C242-C243)/C243),0)</f>
        <v>0</v>
      </c>
      <c r="D501" s="53">
        <f t="shared" si="482"/>
        <v>0</v>
      </c>
      <c r="E501" s="53">
        <f t="shared" si="482"/>
        <v>0</v>
      </c>
      <c r="F501" s="53">
        <f t="shared" si="482"/>
        <v>0</v>
      </c>
      <c r="G501" s="53">
        <f t="shared" si="482"/>
        <v>0</v>
      </c>
      <c r="H501" s="53">
        <f t="shared" si="482"/>
        <v>0</v>
      </c>
      <c r="I501" s="53">
        <f t="shared" si="482"/>
        <v>0</v>
      </c>
      <c r="J501" s="53">
        <f t="shared" si="482"/>
        <v>0</v>
      </c>
      <c r="K501" s="53">
        <f t="shared" si="482"/>
        <v>0</v>
      </c>
      <c r="L501" s="53">
        <f t="shared" si="482"/>
        <v>0</v>
      </c>
      <c r="M501" s="53">
        <f t="shared" si="482"/>
        <v>0</v>
      </c>
      <c r="N501" s="53">
        <f t="shared" si="482"/>
        <v>0</v>
      </c>
      <c r="O501" s="53">
        <f t="shared" si="482"/>
        <v>0</v>
      </c>
      <c r="P501" s="53">
        <f t="shared" si="482"/>
        <v>0</v>
      </c>
      <c r="Q501" s="53">
        <f t="shared" si="482"/>
        <v>0</v>
      </c>
      <c r="R501" s="53">
        <f t="shared" si="482"/>
        <v>0</v>
      </c>
      <c r="S501" s="53">
        <f t="shared" si="482"/>
        <v>0</v>
      </c>
      <c r="T501" s="53">
        <f t="shared" si="482"/>
        <v>0</v>
      </c>
      <c r="U501" s="53">
        <f t="shared" si="482"/>
        <v>0</v>
      </c>
      <c r="V501" s="53">
        <f t="shared" si="482"/>
        <v>0</v>
      </c>
      <c r="W501" s="53">
        <f t="shared" si="482"/>
        <v>0</v>
      </c>
      <c r="X501" s="53">
        <f t="shared" si="482"/>
        <v>0</v>
      </c>
      <c r="Y501" s="53">
        <f t="shared" si="482"/>
        <v>0</v>
      </c>
      <c r="Z501" s="53">
        <f t="shared" si="482"/>
        <v>0</v>
      </c>
      <c r="AA501" s="53">
        <f t="shared" si="482"/>
        <v>0</v>
      </c>
      <c r="AB501" s="53">
        <f t="shared" si="482"/>
        <v>0</v>
      </c>
      <c r="AC501" s="53">
        <f t="shared" si="482"/>
        <v>0</v>
      </c>
      <c r="AD501" s="53">
        <f t="shared" si="482"/>
        <v>0</v>
      </c>
      <c r="AE501" s="53">
        <f t="shared" si="482"/>
        <v>0</v>
      </c>
      <c r="AF501" s="53">
        <f t="shared" si="482"/>
        <v>0</v>
      </c>
      <c r="AG501" s="53">
        <f t="shared" si="482"/>
        <v>0</v>
      </c>
      <c r="AH501" s="53">
        <f t="shared" si="482"/>
        <v>0</v>
      </c>
      <c r="AI501" s="53">
        <f t="shared" si="482"/>
        <v>0</v>
      </c>
      <c r="AJ501" s="53">
        <f t="shared" si="482"/>
        <v>0</v>
      </c>
      <c r="AK501" s="53">
        <f t="shared" si="482"/>
        <v>0</v>
      </c>
      <c r="AL501" s="53">
        <f t="shared" si="482"/>
        <v>0</v>
      </c>
      <c r="AM501" s="53">
        <f t="shared" si="482"/>
        <v>0</v>
      </c>
      <c r="AN501" s="53">
        <f t="shared" si="482"/>
        <v>0</v>
      </c>
      <c r="AO501" s="53">
        <f t="shared" si="482"/>
        <v>0</v>
      </c>
      <c r="AP501" s="53">
        <f t="shared" si="482"/>
        <v>0</v>
      </c>
      <c r="AQ501" s="53">
        <f t="shared" si="482"/>
        <v>0</v>
      </c>
      <c r="AR501" s="53">
        <f t="shared" si="482"/>
        <v>0</v>
      </c>
      <c r="AS501" s="53">
        <f t="shared" si="482"/>
        <v>0</v>
      </c>
      <c r="AT501" s="53">
        <f t="shared" si="482"/>
        <v>0</v>
      </c>
      <c r="AU501" s="53">
        <f t="shared" si="482"/>
        <v>0</v>
      </c>
      <c r="AV501" s="53">
        <f t="shared" si="482"/>
        <v>0</v>
      </c>
      <c r="AW501" s="53">
        <f t="shared" si="482"/>
        <v>0</v>
      </c>
      <c r="AX501" s="53">
        <f t="shared" si="482"/>
        <v>0</v>
      </c>
      <c r="AY501" s="53">
        <f t="shared" si="482"/>
        <v>0</v>
      </c>
      <c r="AZ501" s="53">
        <f t="shared" si="482"/>
        <v>0</v>
      </c>
      <c r="BA501" s="53">
        <f t="shared" si="482"/>
        <v>0</v>
      </c>
      <c r="BB501" s="53">
        <f t="shared" si="482"/>
        <v>0</v>
      </c>
      <c r="BC501" s="53">
        <f t="shared" si="482"/>
        <v>0</v>
      </c>
      <c r="BD501" s="53">
        <f t="shared" si="482"/>
        <v>0</v>
      </c>
      <c r="BE501" s="53">
        <f t="shared" si="482"/>
        <v>0</v>
      </c>
      <c r="BF501" s="53">
        <f t="shared" si="482"/>
        <v>0</v>
      </c>
      <c r="BG501" s="53">
        <f t="shared" si="482"/>
        <v>0</v>
      </c>
      <c r="BH501" s="53">
        <f t="shared" si="482"/>
        <v>0</v>
      </c>
      <c r="BI501" s="53">
        <f t="shared" si="482"/>
        <v>0</v>
      </c>
      <c r="BJ501" s="53">
        <f t="shared" si="482"/>
        <v>0</v>
      </c>
      <c r="BK501" s="53">
        <f t="shared" si="482"/>
        <v>0</v>
      </c>
      <c r="BL501" s="53">
        <f t="shared" si="482"/>
        <v>0</v>
      </c>
      <c r="BM501" s="53">
        <f t="shared" si="482"/>
        <v>0</v>
      </c>
      <c r="BN501" s="53">
        <f t="shared" si="482"/>
        <v>0</v>
      </c>
      <c r="BO501" s="53">
        <f t="shared" ref="BO501:CX501" si="483">IFERROR(IF(BO$262=0,0,(BO242-BO243)/BO243),0)</f>
        <v>0</v>
      </c>
      <c r="BP501" s="53">
        <f t="shared" si="483"/>
        <v>0</v>
      </c>
      <c r="BQ501" s="53">
        <f t="shared" si="483"/>
        <v>0</v>
      </c>
      <c r="BR501" s="53">
        <f t="shared" si="483"/>
        <v>0</v>
      </c>
      <c r="BS501" s="53">
        <f t="shared" si="483"/>
        <v>0</v>
      </c>
      <c r="BT501" s="53">
        <f t="shared" si="483"/>
        <v>0</v>
      </c>
      <c r="BU501" s="53">
        <f t="shared" si="483"/>
        <v>0</v>
      </c>
      <c r="BV501" s="53">
        <f t="shared" si="483"/>
        <v>0</v>
      </c>
      <c r="BW501" s="53">
        <f t="shared" si="483"/>
        <v>0</v>
      </c>
      <c r="BX501" s="53">
        <f t="shared" si="483"/>
        <v>0</v>
      </c>
      <c r="BY501" s="53">
        <f t="shared" si="483"/>
        <v>0</v>
      </c>
      <c r="BZ501" s="53">
        <f t="shared" si="483"/>
        <v>0</v>
      </c>
      <c r="CA501" s="53">
        <f t="shared" si="483"/>
        <v>0</v>
      </c>
      <c r="CB501" s="53">
        <f t="shared" si="483"/>
        <v>0</v>
      </c>
      <c r="CC501" s="53">
        <f t="shared" si="483"/>
        <v>0</v>
      </c>
      <c r="CD501" s="53">
        <f t="shared" si="483"/>
        <v>0</v>
      </c>
      <c r="CE501" s="53">
        <f t="shared" si="483"/>
        <v>0</v>
      </c>
      <c r="CF501" s="53">
        <f t="shared" si="483"/>
        <v>0</v>
      </c>
      <c r="CG501" s="53">
        <f t="shared" si="483"/>
        <v>0</v>
      </c>
      <c r="CH501" s="53">
        <f t="shared" si="483"/>
        <v>0</v>
      </c>
      <c r="CI501" s="53">
        <f t="shared" si="483"/>
        <v>0</v>
      </c>
      <c r="CJ501" s="53">
        <f t="shared" si="483"/>
        <v>0</v>
      </c>
      <c r="CK501" s="53">
        <f t="shared" si="483"/>
        <v>0</v>
      </c>
      <c r="CL501" s="53">
        <f t="shared" si="483"/>
        <v>0</v>
      </c>
      <c r="CM501" s="53">
        <f t="shared" si="483"/>
        <v>0</v>
      </c>
      <c r="CN501" s="53">
        <f t="shared" si="483"/>
        <v>0</v>
      </c>
      <c r="CO501" s="53">
        <f t="shared" si="483"/>
        <v>0</v>
      </c>
      <c r="CP501" s="53">
        <f t="shared" si="483"/>
        <v>0</v>
      </c>
      <c r="CQ501" s="53">
        <f t="shared" si="483"/>
        <v>0</v>
      </c>
      <c r="CR501" s="53">
        <f t="shared" si="483"/>
        <v>0</v>
      </c>
      <c r="CS501" s="53">
        <f t="shared" si="483"/>
        <v>0</v>
      </c>
      <c r="CT501" s="53">
        <f t="shared" si="483"/>
        <v>0</v>
      </c>
      <c r="CU501" s="53">
        <f t="shared" si="483"/>
        <v>0</v>
      </c>
      <c r="CV501" s="53">
        <f t="shared" si="483"/>
        <v>0</v>
      </c>
      <c r="CW501" s="53">
        <f t="shared" si="483"/>
        <v>0</v>
      </c>
      <c r="CX501" s="53">
        <f t="shared" si="483"/>
        <v>0</v>
      </c>
      <c r="DB501" s="2" vm="750">
        <f ca="1">IF(Returns!A505&lt;&gt;0,Returns!A505,"")</f>
        <v>43703</v>
      </c>
      <c r="DC501" s="11">
        <f ca="1">IF(Returns!B516&gt;0,Returns!B516/Returns!B515-1,"")</f>
        <v>-2.5975989428180912E-2</v>
      </c>
      <c r="DD501" s="11">
        <f ca="1">IF(Returns!D508&gt;0,Returns!D508/Returns!D507-1,"")</f>
        <v>-1.0449991485887988E-2</v>
      </c>
    </row>
    <row r="502" spans="2:108" x14ac:dyDescent="0.3">
      <c r="B502" s="57">
        <f t="shared" ca="1" si="393"/>
        <v>1.5727217392012807E-3</v>
      </c>
      <c r="C502" s="53">
        <f t="shared" ref="C502:BN502" si="484">IFERROR(IF(C$262=0,0,(C243-C244)/C244),0)</f>
        <v>0</v>
      </c>
      <c r="D502" s="53">
        <f t="shared" si="484"/>
        <v>0</v>
      </c>
      <c r="E502" s="53">
        <f t="shared" si="484"/>
        <v>0</v>
      </c>
      <c r="F502" s="53">
        <f t="shared" si="484"/>
        <v>0</v>
      </c>
      <c r="G502" s="53">
        <f t="shared" si="484"/>
        <v>0</v>
      </c>
      <c r="H502" s="53">
        <f t="shared" si="484"/>
        <v>0</v>
      </c>
      <c r="I502" s="53">
        <f t="shared" si="484"/>
        <v>0</v>
      </c>
      <c r="J502" s="53">
        <f t="shared" si="484"/>
        <v>0</v>
      </c>
      <c r="K502" s="53">
        <f t="shared" si="484"/>
        <v>0</v>
      </c>
      <c r="L502" s="53">
        <f t="shared" si="484"/>
        <v>0</v>
      </c>
      <c r="M502" s="53">
        <f t="shared" si="484"/>
        <v>0</v>
      </c>
      <c r="N502" s="53">
        <f t="shared" si="484"/>
        <v>0</v>
      </c>
      <c r="O502" s="53">
        <f t="shared" si="484"/>
        <v>0</v>
      </c>
      <c r="P502" s="53">
        <f t="shared" si="484"/>
        <v>0</v>
      </c>
      <c r="Q502" s="53">
        <f t="shared" si="484"/>
        <v>0</v>
      </c>
      <c r="R502" s="53">
        <f t="shared" si="484"/>
        <v>0</v>
      </c>
      <c r="S502" s="53">
        <f t="shared" si="484"/>
        <v>0</v>
      </c>
      <c r="T502" s="53">
        <f t="shared" si="484"/>
        <v>0</v>
      </c>
      <c r="U502" s="53">
        <f t="shared" si="484"/>
        <v>0</v>
      </c>
      <c r="V502" s="53">
        <f t="shared" si="484"/>
        <v>0</v>
      </c>
      <c r="W502" s="53">
        <f t="shared" si="484"/>
        <v>0</v>
      </c>
      <c r="X502" s="53">
        <f t="shared" si="484"/>
        <v>0</v>
      </c>
      <c r="Y502" s="53">
        <f t="shared" si="484"/>
        <v>0</v>
      </c>
      <c r="Z502" s="53">
        <f t="shared" si="484"/>
        <v>0</v>
      </c>
      <c r="AA502" s="53">
        <f t="shared" si="484"/>
        <v>0</v>
      </c>
      <c r="AB502" s="53">
        <f t="shared" si="484"/>
        <v>0</v>
      </c>
      <c r="AC502" s="53">
        <f t="shared" si="484"/>
        <v>0</v>
      </c>
      <c r="AD502" s="53">
        <f t="shared" si="484"/>
        <v>0</v>
      </c>
      <c r="AE502" s="53">
        <f t="shared" si="484"/>
        <v>0</v>
      </c>
      <c r="AF502" s="53">
        <f t="shared" si="484"/>
        <v>0</v>
      </c>
      <c r="AG502" s="53">
        <f t="shared" si="484"/>
        <v>0</v>
      </c>
      <c r="AH502" s="53">
        <f t="shared" si="484"/>
        <v>0</v>
      </c>
      <c r="AI502" s="53">
        <f t="shared" si="484"/>
        <v>0</v>
      </c>
      <c r="AJ502" s="53">
        <f t="shared" si="484"/>
        <v>0</v>
      </c>
      <c r="AK502" s="53">
        <f t="shared" si="484"/>
        <v>0</v>
      </c>
      <c r="AL502" s="53">
        <f t="shared" si="484"/>
        <v>0</v>
      </c>
      <c r="AM502" s="53">
        <f t="shared" si="484"/>
        <v>0</v>
      </c>
      <c r="AN502" s="53">
        <f t="shared" si="484"/>
        <v>0</v>
      </c>
      <c r="AO502" s="53">
        <f t="shared" si="484"/>
        <v>0</v>
      </c>
      <c r="AP502" s="53">
        <f t="shared" si="484"/>
        <v>0</v>
      </c>
      <c r="AQ502" s="53">
        <f t="shared" si="484"/>
        <v>0</v>
      </c>
      <c r="AR502" s="53">
        <f t="shared" si="484"/>
        <v>0</v>
      </c>
      <c r="AS502" s="53">
        <f t="shared" si="484"/>
        <v>0</v>
      </c>
      <c r="AT502" s="53">
        <f t="shared" si="484"/>
        <v>0</v>
      </c>
      <c r="AU502" s="53">
        <f t="shared" si="484"/>
        <v>0</v>
      </c>
      <c r="AV502" s="53">
        <f t="shared" si="484"/>
        <v>0</v>
      </c>
      <c r="AW502" s="53">
        <f t="shared" si="484"/>
        <v>0</v>
      </c>
      <c r="AX502" s="53">
        <f t="shared" si="484"/>
        <v>0</v>
      </c>
      <c r="AY502" s="53">
        <f t="shared" si="484"/>
        <v>0</v>
      </c>
      <c r="AZ502" s="53">
        <f t="shared" si="484"/>
        <v>0</v>
      </c>
      <c r="BA502" s="53">
        <f t="shared" si="484"/>
        <v>0</v>
      </c>
      <c r="BB502" s="53">
        <f t="shared" si="484"/>
        <v>0</v>
      </c>
      <c r="BC502" s="53">
        <f t="shared" si="484"/>
        <v>0</v>
      </c>
      <c r="BD502" s="53">
        <f t="shared" si="484"/>
        <v>0</v>
      </c>
      <c r="BE502" s="53">
        <f t="shared" si="484"/>
        <v>0</v>
      </c>
      <c r="BF502" s="53">
        <f t="shared" si="484"/>
        <v>0</v>
      </c>
      <c r="BG502" s="53">
        <f t="shared" si="484"/>
        <v>0</v>
      </c>
      <c r="BH502" s="53">
        <f t="shared" si="484"/>
        <v>0</v>
      </c>
      <c r="BI502" s="53">
        <f t="shared" si="484"/>
        <v>0</v>
      </c>
      <c r="BJ502" s="53">
        <f t="shared" si="484"/>
        <v>0</v>
      </c>
      <c r="BK502" s="53">
        <f t="shared" si="484"/>
        <v>0</v>
      </c>
      <c r="BL502" s="53">
        <f t="shared" si="484"/>
        <v>0</v>
      </c>
      <c r="BM502" s="53">
        <f t="shared" si="484"/>
        <v>0</v>
      </c>
      <c r="BN502" s="53">
        <f t="shared" si="484"/>
        <v>0</v>
      </c>
      <c r="BO502" s="53">
        <f t="shared" ref="BO502:CX502" si="485">IFERROR(IF(BO$262=0,0,(BO243-BO244)/BO244),0)</f>
        <v>0</v>
      </c>
      <c r="BP502" s="53">
        <f t="shared" si="485"/>
        <v>0</v>
      </c>
      <c r="BQ502" s="53">
        <f t="shared" si="485"/>
        <v>0</v>
      </c>
      <c r="BR502" s="53">
        <f t="shared" si="485"/>
        <v>0</v>
      </c>
      <c r="BS502" s="53">
        <f t="shared" si="485"/>
        <v>0</v>
      </c>
      <c r="BT502" s="53">
        <f t="shared" si="485"/>
        <v>0</v>
      </c>
      <c r="BU502" s="53">
        <f t="shared" si="485"/>
        <v>0</v>
      </c>
      <c r="BV502" s="53">
        <f t="shared" si="485"/>
        <v>0</v>
      </c>
      <c r="BW502" s="53">
        <f t="shared" si="485"/>
        <v>0</v>
      </c>
      <c r="BX502" s="53">
        <f t="shared" si="485"/>
        <v>0</v>
      </c>
      <c r="BY502" s="53">
        <f t="shared" si="485"/>
        <v>0</v>
      </c>
      <c r="BZ502" s="53">
        <f t="shared" si="485"/>
        <v>0</v>
      </c>
      <c r="CA502" s="53">
        <f t="shared" si="485"/>
        <v>0</v>
      </c>
      <c r="CB502" s="53">
        <f t="shared" si="485"/>
        <v>0</v>
      </c>
      <c r="CC502" s="53">
        <f t="shared" si="485"/>
        <v>0</v>
      </c>
      <c r="CD502" s="53">
        <f t="shared" si="485"/>
        <v>0</v>
      </c>
      <c r="CE502" s="53">
        <f t="shared" si="485"/>
        <v>0</v>
      </c>
      <c r="CF502" s="53">
        <f t="shared" si="485"/>
        <v>0</v>
      </c>
      <c r="CG502" s="53">
        <f t="shared" si="485"/>
        <v>0</v>
      </c>
      <c r="CH502" s="53">
        <f t="shared" si="485"/>
        <v>0</v>
      </c>
      <c r="CI502" s="53">
        <f t="shared" si="485"/>
        <v>0</v>
      </c>
      <c r="CJ502" s="53">
        <f t="shared" si="485"/>
        <v>0</v>
      </c>
      <c r="CK502" s="53">
        <f t="shared" si="485"/>
        <v>0</v>
      </c>
      <c r="CL502" s="53">
        <f t="shared" si="485"/>
        <v>0</v>
      </c>
      <c r="CM502" s="53">
        <f t="shared" si="485"/>
        <v>0</v>
      </c>
      <c r="CN502" s="53">
        <f t="shared" si="485"/>
        <v>0</v>
      </c>
      <c r="CO502" s="53">
        <f t="shared" si="485"/>
        <v>0</v>
      </c>
      <c r="CP502" s="53">
        <f t="shared" si="485"/>
        <v>0</v>
      </c>
      <c r="CQ502" s="53">
        <f t="shared" si="485"/>
        <v>0</v>
      </c>
      <c r="CR502" s="53">
        <f t="shared" si="485"/>
        <v>0</v>
      </c>
      <c r="CS502" s="53">
        <f t="shared" si="485"/>
        <v>0</v>
      </c>
      <c r="CT502" s="53">
        <f t="shared" si="485"/>
        <v>0</v>
      </c>
      <c r="CU502" s="53">
        <f t="shared" si="485"/>
        <v>0</v>
      </c>
      <c r="CV502" s="53">
        <f t="shared" si="485"/>
        <v>0</v>
      </c>
      <c r="CW502" s="53">
        <f t="shared" si="485"/>
        <v>0</v>
      </c>
      <c r="CX502" s="53">
        <f t="shared" si="485"/>
        <v>0</v>
      </c>
      <c r="DB502" s="2" vm="751">
        <f ca="1">IF(Returns!A506&lt;&gt;0,Returns!A506,"")</f>
        <v>43711</v>
      </c>
      <c r="DC502" s="11">
        <f ca="1">IF(Returns!B517&gt;0,Returns!B517/Returns!B516-1,"")</f>
        <v>3.5815095229061455E-3</v>
      </c>
      <c r="DD502" s="11">
        <f ca="1">IF(Returns!D509&gt;0,Returns!D509/Returns!D508-1,"")</f>
        <v>-4.262914277119445E-3</v>
      </c>
    </row>
    <row r="503" spans="2:108" x14ac:dyDescent="0.3">
      <c r="B503" s="57">
        <f t="shared" ca="1" si="393"/>
        <v>1.3538573885269392E-2</v>
      </c>
      <c r="C503" s="53">
        <f t="shared" ref="C503:BN503" si="486">IFERROR(IF(C$262=0,0,(C244-C245)/C245),0)</f>
        <v>0</v>
      </c>
      <c r="D503" s="53">
        <f t="shared" si="486"/>
        <v>0</v>
      </c>
      <c r="E503" s="53">
        <f t="shared" si="486"/>
        <v>0</v>
      </c>
      <c r="F503" s="53">
        <f t="shared" si="486"/>
        <v>0</v>
      </c>
      <c r="G503" s="53">
        <f t="shared" si="486"/>
        <v>0</v>
      </c>
      <c r="H503" s="53">
        <f t="shared" si="486"/>
        <v>0</v>
      </c>
      <c r="I503" s="53">
        <f t="shared" si="486"/>
        <v>0</v>
      </c>
      <c r="J503" s="53">
        <f t="shared" si="486"/>
        <v>0</v>
      </c>
      <c r="K503" s="53">
        <f t="shared" si="486"/>
        <v>0</v>
      </c>
      <c r="L503" s="53">
        <f t="shared" si="486"/>
        <v>0</v>
      </c>
      <c r="M503" s="53">
        <f t="shared" si="486"/>
        <v>0</v>
      </c>
      <c r="N503" s="53">
        <f t="shared" si="486"/>
        <v>0</v>
      </c>
      <c r="O503" s="53">
        <f t="shared" si="486"/>
        <v>0</v>
      </c>
      <c r="P503" s="53">
        <f t="shared" si="486"/>
        <v>0</v>
      </c>
      <c r="Q503" s="53">
        <f t="shared" si="486"/>
        <v>0</v>
      </c>
      <c r="R503" s="53">
        <f t="shared" si="486"/>
        <v>0</v>
      </c>
      <c r="S503" s="53">
        <f t="shared" si="486"/>
        <v>0</v>
      </c>
      <c r="T503" s="53">
        <f t="shared" si="486"/>
        <v>0</v>
      </c>
      <c r="U503" s="53">
        <f t="shared" si="486"/>
        <v>0</v>
      </c>
      <c r="V503" s="53">
        <f t="shared" si="486"/>
        <v>0</v>
      </c>
      <c r="W503" s="53">
        <f t="shared" si="486"/>
        <v>0</v>
      </c>
      <c r="X503" s="53">
        <f t="shared" si="486"/>
        <v>0</v>
      </c>
      <c r="Y503" s="53">
        <f t="shared" si="486"/>
        <v>0</v>
      </c>
      <c r="Z503" s="53">
        <f t="shared" si="486"/>
        <v>0</v>
      </c>
      <c r="AA503" s="53">
        <f t="shared" si="486"/>
        <v>0</v>
      </c>
      <c r="AB503" s="53">
        <f t="shared" si="486"/>
        <v>0</v>
      </c>
      <c r="AC503" s="53">
        <f t="shared" si="486"/>
        <v>0</v>
      </c>
      <c r="AD503" s="53">
        <f t="shared" si="486"/>
        <v>0</v>
      </c>
      <c r="AE503" s="53">
        <f t="shared" si="486"/>
        <v>0</v>
      </c>
      <c r="AF503" s="53">
        <f t="shared" si="486"/>
        <v>0</v>
      </c>
      <c r="AG503" s="53">
        <f t="shared" si="486"/>
        <v>0</v>
      </c>
      <c r="AH503" s="53">
        <f t="shared" si="486"/>
        <v>0</v>
      </c>
      <c r="AI503" s="53">
        <f t="shared" si="486"/>
        <v>0</v>
      </c>
      <c r="AJ503" s="53">
        <f t="shared" si="486"/>
        <v>0</v>
      </c>
      <c r="AK503" s="53">
        <f t="shared" si="486"/>
        <v>0</v>
      </c>
      <c r="AL503" s="53">
        <f t="shared" si="486"/>
        <v>0</v>
      </c>
      <c r="AM503" s="53">
        <f t="shared" si="486"/>
        <v>0</v>
      </c>
      <c r="AN503" s="53">
        <f t="shared" si="486"/>
        <v>0</v>
      </c>
      <c r="AO503" s="53">
        <f t="shared" si="486"/>
        <v>0</v>
      </c>
      <c r="AP503" s="53">
        <f t="shared" si="486"/>
        <v>0</v>
      </c>
      <c r="AQ503" s="53">
        <f t="shared" si="486"/>
        <v>0</v>
      </c>
      <c r="AR503" s="53">
        <f t="shared" si="486"/>
        <v>0</v>
      </c>
      <c r="AS503" s="53">
        <f t="shared" si="486"/>
        <v>0</v>
      </c>
      <c r="AT503" s="53">
        <f t="shared" si="486"/>
        <v>0</v>
      </c>
      <c r="AU503" s="53">
        <f t="shared" si="486"/>
        <v>0</v>
      </c>
      <c r="AV503" s="53">
        <f t="shared" si="486"/>
        <v>0</v>
      </c>
      <c r="AW503" s="53">
        <f t="shared" si="486"/>
        <v>0</v>
      </c>
      <c r="AX503" s="53">
        <f t="shared" si="486"/>
        <v>0</v>
      </c>
      <c r="AY503" s="53">
        <f t="shared" si="486"/>
        <v>0</v>
      </c>
      <c r="AZ503" s="53">
        <f t="shared" si="486"/>
        <v>0</v>
      </c>
      <c r="BA503" s="53">
        <f t="shared" si="486"/>
        <v>0</v>
      </c>
      <c r="BB503" s="53">
        <f t="shared" si="486"/>
        <v>0</v>
      </c>
      <c r="BC503" s="53">
        <f t="shared" si="486"/>
        <v>0</v>
      </c>
      <c r="BD503" s="53">
        <f t="shared" si="486"/>
        <v>0</v>
      </c>
      <c r="BE503" s="53">
        <f t="shared" si="486"/>
        <v>0</v>
      </c>
      <c r="BF503" s="53">
        <f t="shared" si="486"/>
        <v>0</v>
      </c>
      <c r="BG503" s="53">
        <f t="shared" si="486"/>
        <v>0</v>
      </c>
      <c r="BH503" s="53">
        <f t="shared" si="486"/>
        <v>0</v>
      </c>
      <c r="BI503" s="53">
        <f t="shared" si="486"/>
        <v>0</v>
      </c>
      <c r="BJ503" s="53">
        <f t="shared" si="486"/>
        <v>0</v>
      </c>
      <c r="BK503" s="53">
        <f t="shared" si="486"/>
        <v>0</v>
      </c>
      <c r="BL503" s="53">
        <f t="shared" si="486"/>
        <v>0</v>
      </c>
      <c r="BM503" s="53">
        <f t="shared" si="486"/>
        <v>0</v>
      </c>
      <c r="BN503" s="53">
        <f t="shared" si="486"/>
        <v>0</v>
      </c>
      <c r="BO503" s="53">
        <f t="shared" ref="BO503:CX503" si="487">IFERROR(IF(BO$262=0,0,(BO244-BO245)/BO245),0)</f>
        <v>0</v>
      </c>
      <c r="BP503" s="53">
        <f t="shared" si="487"/>
        <v>0</v>
      </c>
      <c r="BQ503" s="53">
        <f t="shared" si="487"/>
        <v>0</v>
      </c>
      <c r="BR503" s="53">
        <f t="shared" si="487"/>
        <v>0</v>
      </c>
      <c r="BS503" s="53">
        <f t="shared" si="487"/>
        <v>0</v>
      </c>
      <c r="BT503" s="53">
        <f t="shared" si="487"/>
        <v>0</v>
      </c>
      <c r="BU503" s="53">
        <f t="shared" si="487"/>
        <v>0</v>
      </c>
      <c r="BV503" s="53">
        <f t="shared" si="487"/>
        <v>0</v>
      </c>
      <c r="BW503" s="53">
        <f t="shared" si="487"/>
        <v>0</v>
      </c>
      <c r="BX503" s="53">
        <f t="shared" si="487"/>
        <v>0</v>
      </c>
      <c r="BY503" s="53">
        <f t="shared" si="487"/>
        <v>0</v>
      </c>
      <c r="BZ503" s="53">
        <f t="shared" si="487"/>
        <v>0</v>
      </c>
      <c r="CA503" s="53">
        <f t="shared" si="487"/>
        <v>0</v>
      </c>
      <c r="CB503" s="53">
        <f t="shared" si="487"/>
        <v>0</v>
      </c>
      <c r="CC503" s="53">
        <f t="shared" si="487"/>
        <v>0</v>
      </c>
      <c r="CD503" s="53">
        <f t="shared" si="487"/>
        <v>0</v>
      </c>
      <c r="CE503" s="53">
        <f t="shared" si="487"/>
        <v>0</v>
      </c>
      <c r="CF503" s="53">
        <f t="shared" si="487"/>
        <v>0</v>
      </c>
      <c r="CG503" s="53">
        <f t="shared" si="487"/>
        <v>0</v>
      </c>
      <c r="CH503" s="53">
        <f t="shared" si="487"/>
        <v>0</v>
      </c>
      <c r="CI503" s="53">
        <f t="shared" si="487"/>
        <v>0</v>
      </c>
      <c r="CJ503" s="53">
        <f t="shared" si="487"/>
        <v>0</v>
      </c>
      <c r="CK503" s="53">
        <f t="shared" si="487"/>
        <v>0</v>
      </c>
      <c r="CL503" s="53">
        <f t="shared" si="487"/>
        <v>0</v>
      </c>
      <c r="CM503" s="53">
        <f t="shared" si="487"/>
        <v>0</v>
      </c>
      <c r="CN503" s="53">
        <f t="shared" si="487"/>
        <v>0</v>
      </c>
      <c r="CO503" s="53">
        <f t="shared" si="487"/>
        <v>0</v>
      </c>
      <c r="CP503" s="53">
        <f t="shared" si="487"/>
        <v>0</v>
      </c>
      <c r="CQ503" s="53">
        <f t="shared" si="487"/>
        <v>0</v>
      </c>
      <c r="CR503" s="53">
        <f t="shared" si="487"/>
        <v>0</v>
      </c>
      <c r="CS503" s="53">
        <f t="shared" si="487"/>
        <v>0</v>
      </c>
      <c r="CT503" s="53">
        <f t="shared" si="487"/>
        <v>0</v>
      </c>
      <c r="CU503" s="53">
        <f t="shared" si="487"/>
        <v>0</v>
      </c>
      <c r="CV503" s="53">
        <f t="shared" si="487"/>
        <v>0</v>
      </c>
      <c r="CW503" s="53">
        <f t="shared" si="487"/>
        <v>0</v>
      </c>
      <c r="CX503" s="53">
        <f t="shared" si="487"/>
        <v>0</v>
      </c>
      <c r="DB503" s="2" vm="752">
        <f ca="1">IF(Returns!A507&lt;&gt;0,Returns!A507,"")</f>
        <v>43717</v>
      </c>
      <c r="DC503" s="11">
        <f ca="1">IF(Returns!B518&gt;0,Returns!B518/Returns!B517-1,"")</f>
        <v>3.155145155007677E-2</v>
      </c>
      <c r="DD503" s="11">
        <f ca="1">IF(Returns!D510&gt;0,Returns!D510/Returns!D509-1,"")</f>
        <v>-9.191991331743532E-3</v>
      </c>
    </row>
    <row r="504" spans="2:108" x14ac:dyDescent="0.3">
      <c r="B504" s="57">
        <f t="shared" ca="1" si="393"/>
        <v>7.8790881301036945E-3</v>
      </c>
      <c r="C504" s="53">
        <f t="shared" ref="C504:BN504" si="488">IFERROR(IF(C$262=0,0,(C245-C246)/C246),0)</f>
        <v>0</v>
      </c>
      <c r="D504" s="53">
        <f t="shared" si="488"/>
        <v>0</v>
      </c>
      <c r="E504" s="53">
        <f t="shared" si="488"/>
        <v>0</v>
      </c>
      <c r="F504" s="53">
        <f t="shared" si="488"/>
        <v>0</v>
      </c>
      <c r="G504" s="53">
        <f t="shared" si="488"/>
        <v>0</v>
      </c>
      <c r="H504" s="53">
        <f t="shared" si="488"/>
        <v>0</v>
      </c>
      <c r="I504" s="53">
        <f t="shared" si="488"/>
        <v>0</v>
      </c>
      <c r="J504" s="53">
        <f t="shared" si="488"/>
        <v>0</v>
      </c>
      <c r="K504" s="53">
        <f t="shared" si="488"/>
        <v>0</v>
      </c>
      <c r="L504" s="53">
        <f t="shared" si="488"/>
        <v>0</v>
      </c>
      <c r="M504" s="53">
        <f t="shared" si="488"/>
        <v>0</v>
      </c>
      <c r="N504" s="53">
        <f t="shared" si="488"/>
        <v>0</v>
      </c>
      <c r="O504" s="53">
        <f t="shared" si="488"/>
        <v>0</v>
      </c>
      <c r="P504" s="53">
        <f t="shared" si="488"/>
        <v>0</v>
      </c>
      <c r="Q504" s="53">
        <f t="shared" si="488"/>
        <v>0</v>
      </c>
      <c r="R504" s="53">
        <f t="shared" si="488"/>
        <v>0</v>
      </c>
      <c r="S504" s="53">
        <f t="shared" si="488"/>
        <v>0</v>
      </c>
      <c r="T504" s="53">
        <f t="shared" si="488"/>
        <v>0</v>
      </c>
      <c r="U504" s="53">
        <f t="shared" si="488"/>
        <v>0</v>
      </c>
      <c r="V504" s="53">
        <f t="shared" si="488"/>
        <v>0</v>
      </c>
      <c r="W504" s="53">
        <f t="shared" si="488"/>
        <v>0</v>
      </c>
      <c r="X504" s="53">
        <f t="shared" si="488"/>
        <v>0</v>
      </c>
      <c r="Y504" s="53">
        <f t="shared" si="488"/>
        <v>0</v>
      </c>
      <c r="Z504" s="53">
        <f t="shared" si="488"/>
        <v>0</v>
      </c>
      <c r="AA504" s="53">
        <f t="shared" si="488"/>
        <v>0</v>
      </c>
      <c r="AB504" s="53">
        <f t="shared" si="488"/>
        <v>0</v>
      </c>
      <c r="AC504" s="53">
        <f t="shared" si="488"/>
        <v>0</v>
      </c>
      <c r="AD504" s="53">
        <f t="shared" si="488"/>
        <v>0</v>
      </c>
      <c r="AE504" s="53">
        <f t="shared" si="488"/>
        <v>0</v>
      </c>
      <c r="AF504" s="53">
        <f t="shared" si="488"/>
        <v>0</v>
      </c>
      <c r="AG504" s="53">
        <f t="shared" si="488"/>
        <v>0</v>
      </c>
      <c r="AH504" s="53">
        <f t="shared" si="488"/>
        <v>0</v>
      </c>
      <c r="AI504" s="53">
        <f t="shared" si="488"/>
        <v>0</v>
      </c>
      <c r="AJ504" s="53">
        <f t="shared" si="488"/>
        <v>0</v>
      </c>
      <c r="AK504" s="53">
        <f t="shared" si="488"/>
        <v>0</v>
      </c>
      <c r="AL504" s="53">
        <f t="shared" si="488"/>
        <v>0</v>
      </c>
      <c r="AM504" s="53">
        <f t="shared" si="488"/>
        <v>0</v>
      </c>
      <c r="AN504" s="53">
        <f t="shared" si="488"/>
        <v>0</v>
      </c>
      <c r="AO504" s="53">
        <f t="shared" si="488"/>
        <v>0</v>
      </c>
      <c r="AP504" s="53">
        <f t="shared" si="488"/>
        <v>0</v>
      </c>
      <c r="AQ504" s="53">
        <f t="shared" si="488"/>
        <v>0</v>
      </c>
      <c r="AR504" s="53">
        <f t="shared" si="488"/>
        <v>0</v>
      </c>
      <c r="AS504" s="53">
        <f t="shared" si="488"/>
        <v>0</v>
      </c>
      <c r="AT504" s="53">
        <f t="shared" si="488"/>
        <v>0</v>
      </c>
      <c r="AU504" s="53">
        <f t="shared" si="488"/>
        <v>0</v>
      </c>
      <c r="AV504" s="53">
        <f t="shared" si="488"/>
        <v>0</v>
      </c>
      <c r="AW504" s="53">
        <f t="shared" si="488"/>
        <v>0</v>
      </c>
      <c r="AX504" s="53">
        <f t="shared" si="488"/>
        <v>0</v>
      </c>
      <c r="AY504" s="53">
        <f t="shared" si="488"/>
        <v>0</v>
      </c>
      <c r="AZ504" s="53">
        <f t="shared" si="488"/>
        <v>0</v>
      </c>
      <c r="BA504" s="53">
        <f t="shared" si="488"/>
        <v>0</v>
      </c>
      <c r="BB504" s="53">
        <f t="shared" si="488"/>
        <v>0</v>
      </c>
      <c r="BC504" s="53">
        <f t="shared" si="488"/>
        <v>0</v>
      </c>
      <c r="BD504" s="53">
        <f t="shared" si="488"/>
        <v>0</v>
      </c>
      <c r="BE504" s="53">
        <f t="shared" si="488"/>
        <v>0</v>
      </c>
      <c r="BF504" s="53">
        <f t="shared" si="488"/>
        <v>0</v>
      </c>
      <c r="BG504" s="53">
        <f t="shared" si="488"/>
        <v>0</v>
      </c>
      <c r="BH504" s="53">
        <f t="shared" si="488"/>
        <v>0</v>
      </c>
      <c r="BI504" s="53">
        <f t="shared" si="488"/>
        <v>0</v>
      </c>
      <c r="BJ504" s="53">
        <f t="shared" si="488"/>
        <v>0</v>
      </c>
      <c r="BK504" s="53">
        <f t="shared" si="488"/>
        <v>0</v>
      </c>
      <c r="BL504" s="53">
        <f t="shared" si="488"/>
        <v>0</v>
      </c>
      <c r="BM504" s="53">
        <f t="shared" si="488"/>
        <v>0</v>
      </c>
      <c r="BN504" s="53">
        <f t="shared" si="488"/>
        <v>0</v>
      </c>
      <c r="BO504" s="53">
        <f t="shared" ref="BO504:CX504" si="489">IFERROR(IF(BO$262=0,0,(BO245-BO246)/BO246),0)</f>
        <v>0</v>
      </c>
      <c r="BP504" s="53">
        <f t="shared" si="489"/>
        <v>0</v>
      </c>
      <c r="BQ504" s="53">
        <f t="shared" si="489"/>
        <v>0</v>
      </c>
      <c r="BR504" s="53">
        <f t="shared" si="489"/>
        <v>0</v>
      </c>
      <c r="BS504" s="53">
        <f t="shared" si="489"/>
        <v>0</v>
      </c>
      <c r="BT504" s="53">
        <f t="shared" si="489"/>
        <v>0</v>
      </c>
      <c r="BU504" s="53">
        <f t="shared" si="489"/>
        <v>0</v>
      </c>
      <c r="BV504" s="53">
        <f t="shared" si="489"/>
        <v>0</v>
      </c>
      <c r="BW504" s="53">
        <f t="shared" si="489"/>
        <v>0</v>
      </c>
      <c r="BX504" s="53">
        <f t="shared" si="489"/>
        <v>0</v>
      </c>
      <c r="BY504" s="53">
        <f t="shared" si="489"/>
        <v>0</v>
      </c>
      <c r="BZ504" s="53">
        <f t="shared" si="489"/>
        <v>0</v>
      </c>
      <c r="CA504" s="53">
        <f t="shared" si="489"/>
        <v>0</v>
      </c>
      <c r="CB504" s="53">
        <f t="shared" si="489"/>
        <v>0</v>
      </c>
      <c r="CC504" s="53">
        <f t="shared" si="489"/>
        <v>0</v>
      </c>
      <c r="CD504" s="53">
        <f t="shared" si="489"/>
        <v>0</v>
      </c>
      <c r="CE504" s="53">
        <f t="shared" si="489"/>
        <v>0</v>
      </c>
      <c r="CF504" s="53">
        <f t="shared" si="489"/>
        <v>0</v>
      </c>
      <c r="CG504" s="53">
        <f t="shared" si="489"/>
        <v>0</v>
      </c>
      <c r="CH504" s="53">
        <f t="shared" si="489"/>
        <v>0</v>
      </c>
      <c r="CI504" s="53">
        <f t="shared" si="489"/>
        <v>0</v>
      </c>
      <c r="CJ504" s="53">
        <f t="shared" si="489"/>
        <v>0</v>
      </c>
      <c r="CK504" s="53">
        <f t="shared" si="489"/>
        <v>0</v>
      </c>
      <c r="CL504" s="53">
        <f t="shared" si="489"/>
        <v>0</v>
      </c>
      <c r="CM504" s="53">
        <f t="shared" si="489"/>
        <v>0</v>
      </c>
      <c r="CN504" s="53">
        <f t="shared" si="489"/>
        <v>0</v>
      </c>
      <c r="CO504" s="53">
        <f t="shared" si="489"/>
        <v>0</v>
      </c>
      <c r="CP504" s="53">
        <f t="shared" si="489"/>
        <v>0</v>
      </c>
      <c r="CQ504" s="53">
        <f t="shared" si="489"/>
        <v>0</v>
      </c>
      <c r="CR504" s="53">
        <f t="shared" si="489"/>
        <v>0</v>
      </c>
      <c r="CS504" s="53">
        <f t="shared" si="489"/>
        <v>0</v>
      </c>
      <c r="CT504" s="53">
        <f t="shared" si="489"/>
        <v>0</v>
      </c>
      <c r="CU504" s="53">
        <f t="shared" si="489"/>
        <v>0</v>
      </c>
      <c r="CV504" s="53">
        <f t="shared" si="489"/>
        <v>0</v>
      </c>
      <c r="CW504" s="53">
        <f t="shared" si="489"/>
        <v>0</v>
      </c>
      <c r="CX504" s="53">
        <f t="shared" si="489"/>
        <v>0</v>
      </c>
      <c r="DB504" s="2" vm="753">
        <f ca="1">IF(Returns!A508&lt;&gt;0,Returns!A508,"")</f>
        <v>43724</v>
      </c>
      <c r="DC504" s="11">
        <f ca="1">IF(Returns!B519&gt;0,Returns!B519/Returns!B518-1,"")</f>
        <v>-2.7321190581963695E-2</v>
      </c>
      <c r="DD504" s="11">
        <f ca="1">IF(Returns!D511&gt;0,Returns!D511/Returns!D510-1,"")</f>
        <v>9.1394475140416098E-3</v>
      </c>
    </row>
    <row r="505" spans="2:108" x14ac:dyDescent="0.3">
      <c r="B505" s="57">
        <f t="shared" ca="1" si="393"/>
        <v>2.5824307355657534E-4</v>
      </c>
      <c r="C505" s="53">
        <f t="shared" ref="C505:BN505" si="490">IFERROR(IF(C$262=0,0,(C246-C247)/C247),0)</f>
        <v>0</v>
      </c>
      <c r="D505" s="53">
        <f t="shared" si="490"/>
        <v>0</v>
      </c>
      <c r="E505" s="53">
        <f t="shared" si="490"/>
        <v>0</v>
      </c>
      <c r="F505" s="53">
        <f t="shared" si="490"/>
        <v>0</v>
      </c>
      <c r="G505" s="53">
        <f t="shared" si="490"/>
        <v>0</v>
      </c>
      <c r="H505" s="53">
        <f t="shared" si="490"/>
        <v>0</v>
      </c>
      <c r="I505" s="53">
        <f t="shared" si="490"/>
        <v>0</v>
      </c>
      <c r="J505" s="53">
        <f t="shared" si="490"/>
        <v>0</v>
      </c>
      <c r="K505" s="53">
        <f t="shared" si="490"/>
        <v>0</v>
      </c>
      <c r="L505" s="53">
        <f t="shared" si="490"/>
        <v>0</v>
      </c>
      <c r="M505" s="53">
        <f t="shared" si="490"/>
        <v>0</v>
      </c>
      <c r="N505" s="53">
        <f t="shared" si="490"/>
        <v>0</v>
      </c>
      <c r="O505" s="53">
        <f t="shared" si="490"/>
        <v>0</v>
      </c>
      <c r="P505" s="53">
        <f t="shared" si="490"/>
        <v>0</v>
      </c>
      <c r="Q505" s="53">
        <f t="shared" si="490"/>
        <v>0</v>
      </c>
      <c r="R505" s="53">
        <f t="shared" si="490"/>
        <v>0</v>
      </c>
      <c r="S505" s="53">
        <f t="shared" si="490"/>
        <v>0</v>
      </c>
      <c r="T505" s="53">
        <f t="shared" si="490"/>
        <v>0</v>
      </c>
      <c r="U505" s="53">
        <f t="shared" si="490"/>
        <v>0</v>
      </c>
      <c r="V505" s="53">
        <f t="shared" si="490"/>
        <v>0</v>
      </c>
      <c r="W505" s="53">
        <f t="shared" si="490"/>
        <v>0</v>
      </c>
      <c r="X505" s="53">
        <f t="shared" si="490"/>
        <v>0</v>
      </c>
      <c r="Y505" s="53">
        <f t="shared" si="490"/>
        <v>0</v>
      </c>
      <c r="Z505" s="53">
        <f t="shared" si="490"/>
        <v>0</v>
      </c>
      <c r="AA505" s="53">
        <f t="shared" si="490"/>
        <v>0</v>
      </c>
      <c r="AB505" s="53">
        <f t="shared" si="490"/>
        <v>0</v>
      </c>
      <c r="AC505" s="53">
        <f t="shared" si="490"/>
        <v>0</v>
      </c>
      <c r="AD505" s="53">
        <f t="shared" si="490"/>
        <v>0</v>
      </c>
      <c r="AE505" s="53">
        <f t="shared" si="490"/>
        <v>0</v>
      </c>
      <c r="AF505" s="53">
        <f t="shared" si="490"/>
        <v>0</v>
      </c>
      <c r="AG505" s="53">
        <f t="shared" si="490"/>
        <v>0</v>
      </c>
      <c r="AH505" s="53">
        <f t="shared" si="490"/>
        <v>0</v>
      </c>
      <c r="AI505" s="53">
        <f t="shared" si="490"/>
        <v>0</v>
      </c>
      <c r="AJ505" s="53">
        <f t="shared" si="490"/>
        <v>0</v>
      </c>
      <c r="AK505" s="53">
        <f t="shared" si="490"/>
        <v>0</v>
      </c>
      <c r="AL505" s="53">
        <f t="shared" si="490"/>
        <v>0</v>
      </c>
      <c r="AM505" s="53">
        <f t="shared" si="490"/>
        <v>0</v>
      </c>
      <c r="AN505" s="53">
        <f t="shared" si="490"/>
        <v>0</v>
      </c>
      <c r="AO505" s="53">
        <f t="shared" si="490"/>
        <v>0</v>
      </c>
      <c r="AP505" s="53">
        <f t="shared" si="490"/>
        <v>0</v>
      </c>
      <c r="AQ505" s="53">
        <f t="shared" si="490"/>
        <v>0</v>
      </c>
      <c r="AR505" s="53">
        <f t="shared" si="490"/>
        <v>0</v>
      </c>
      <c r="AS505" s="53">
        <f t="shared" si="490"/>
        <v>0</v>
      </c>
      <c r="AT505" s="53">
        <f t="shared" si="490"/>
        <v>0</v>
      </c>
      <c r="AU505" s="53">
        <f t="shared" si="490"/>
        <v>0</v>
      </c>
      <c r="AV505" s="53">
        <f t="shared" si="490"/>
        <v>0</v>
      </c>
      <c r="AW505" s="53">
        <f t="shared" si="490"/>
        <v>0</v>
      </c>
      <c r="AX505" s="53">
        <f t="shared" si="490"/>
        <v>0</v>
      </c>
      <c r="AY505" s="53">
        <f t="shared" si="490"/>
        <v>0</v>
      </c>
      <c r="AZ505" s="53">
        <f t="shared" si="490"/>
        <v>0</v>
      </c>
      <c r="BA505" s="53">
        <f t="shared" si="490"/>
        <v>0</v>
      </c>
      <c r="BB505" s="53">
        <f t="shared" si="490"/>
        <v>0</v>
      </c>
      <c r="BC505" s="53">
        <f t="shared" si="490"/>
        <v>0</v>
      </c>
      <c r="BD505" s="53">
        <f t="shared" si="490"/>
        <v>0</v>
      </c>
      <c r="BE505" s="53">
        <f t="shared" si="490"/>
        <v>0</v>
      </c>
      <c r="BF505" s="53">
        <f t="shared" si="490"/>
        <v>0</v>
      </c>
      <c r="BG505" s="53">
        <f t="shared" si="490"/>
        <v>0</v>
      </c>
      <c r="BH505" s="53">
        <f t="shared" si="490"/>
        <v>0</v>
      </c>
      <c r="BI505" s="53">
        <f t="shared" si="490"/>
        <v>0</v>
      </c>
      <c r="BJ505" s="53">
        <f t="shared" si="490"/>
        <v>0</v>
      </c>
      <c r="BK505" s="53">
        <f t="shared" si="490"/>
        <v>0</v>
      </c>
      <c r="BL505" s="53">
        <f t="shared" si="490"/>
        <v>0</v>
      </c>
      <c r="BM505" s="53">
        <f t="shared" si="490"/>
        <v>0</v>
      </c>
      <c r="BN505" s="53">
        <f t="shared" si="490"/>
        <v>0</v>
      </c>
      <c r="BO505" s="53">
        <f t="shared" ref="BO505:CX505" si="491">IFERROR(IF(BO$262=0,0,(BO246-BO247)/BO247),0)</f>
        <v>0</v>
      </c>
      <c r="BP505" s="53">
        <f t="shared" si="491"/>
        <v>0</v>
      </c>
      <c r="BQ505" s="53">
        <f t="shared" si="491"/>
        <v>0</v>
      </c>
      <c r="BR505" s="53">
        <f t="shared" si="491"/>
        <v>0</v>
      </c>
      <c r="BS505" s="53">
        <f t="shared" si="491"/>
        <v>0</v>
      </c>
      <c r="BT505" s="53">
        <f t="shared" si="491"/>
        <v>0</v>
      </c>
      <c r="BU505" s="53">
        <f t="shared" si="491"/>
        <v>0</v>
      </c>
      <c r="BV505" s="53">
        <f t="shared" si="491"/>
        <v>0</v>
      </c>
      <c r="BW505" s="53">
        <f t="shared" si="491"/>
        <v>0</v>
      </c>
      <c r="BX505" s="53">
        <f t="shared" si="491"/>
        <v>0</v>
      </c>
      <c r="BY505" s="53">
        <f t="shared" si="491"/>
        <v>0</v>
      </c>
      <c r="BZ505" s="53">
        <f t="shared" si="491"/>
        <v>0</v>
      </c>
      <c r="CA505" s="53">
        <f t="shared" si="491"/>
        <v>0</v>
      </c>
      <c r="CB505" s="53">
        <f t="shared" si="491"/>
        <v>0</v>
      </c>
      <c r="CC505" s="53">
        <f t="shared" si="491"/>
        <v>0</v>
      </c>
      <c r="CD505" s="53">
        <f t="shared" si="491"/>
        <v>0</v>
      </c>
      <c r="CE505" s="53">
        <f t="shared" si="491"/>
        <v>0</v>
      </c>
      <c r="CF505" s="53">
        <f t="shared" si="491"/>
        <v>0</v>
      </c>
      <c r="CG505" s="53">
        <f t="shared" si="491"/>
        <v>0</v>
      </c>
      <c r="CH505" s="53">
        <f t="shared" si="491"/>
        <v>0</v>
      </c>
      <c r="CI505" s="53">
        <f t="shared" si="491"/>
        <v>0</v>
      </c>
      <c r="CJ505" s="53">
        <f t="shared" si="491"/>
        <v>0</v>
      </c>
      <c r="CK505" s="53">
        <f t="shared" si="491"/>
        <v>0</v>
      </c>
      <c r="CL505" s="53">
        <f t="shared" si="491"/>
        <v>0</v>
      </c>
      <c r="CM505" s="53">
        <f t="shared" si="491"/>
        <v>0</v>
      </c>
      <c r="CN505" s="53">
        <f t="shared" si="491"/>
        <v>0</v>
      </c>
      <c r="CO505" s="53">
        <f t="shared" si="491"/>
        <v>0</v>
      </c>
      <c r="CP505" s="53">
        <f t="shared" si="491"/>
        <v>0</v>
      </c>
      <c r="CQ505" s="53">
        <f t="shared" si="491"/>
        <v>0</v>
      </c>
      <c r="CR505" s="53">
        <f t="shared" si="491"/>
        <v>0</v>
      </c>
      <c r="CS505" s="53">
        <f t="shared" si="491"/>
        <v>0</v>
      </c>
      <c r="CT505" s="53">
        <f t="shared" si="491"/>
        <v>0</v>
      </c>
      <c r="CU505" s="53">
        <f t="shared" si="491"/>
        <v>0</v>
      </c>
      <c r="CV505" s="53">
        <f t="shared" si="491"/>
        <v>0</v>
      </c>
      <c r="CW505" s="53">
        <f t="shared" si="491"/>
        <v>0</v>
      </c>
      <c r="CX505" s="53">
        <f t="shared" si="491"/>
        <v>0</v>
      </c>
      <c r="DB505" s="2" vm="754">
        <f ca="1">IF(Returns!A509&lt;&gt;0,Returns!A509,"")</f>
        <v>43731</v>
      </c>
      <c r="DC505" s="11">
        <f ca="1">IF(Returns!B520&gt;0,Returns!B520/Returns!B519-1,"")</f>
        <v>5.3322676410139103E-3</v>
      </c>
      <c r="DD505" s="11">
        <f ca="1">IF(Returns!D512&gt;0,Returns!D512/Returns!D511-1,"")</f>
        <v>-1.729899483480124E-3</v>
      </c>
    </row>
    <row r="506" spans="2:108" x14ac:dyDescent="0.3">
      <c r="B506" s="57">
        <f t="shared" ca="1" si="393"/>
        <v>1.4489520168195339E-3</v>
      </c>
      <c r="C506" s="53">
        <f t="shared" ref="C506:BN506" si="492">IFERROR(IF(C$262=0,0,(C247-C248)/C248),0)</f>
        <v>0</v>
      </c>
      <c r="D506" s="53">
        <f t="shared" si="492"/>
        <v>0</v>
      </c>
      <c r="E506" s="53">
        <f t="shared" si="492"/>
        <v>0</v>
      </c>
      <c r="F506" s="53">
        <f t="shared" si="492"/>
        <v>0</v>
      </c>
      <c r="G506" s="53">
        <f t="shared" si="492"/>
        <v>0</v>
      </c>
      <c r="H506" s="53">
        <f t="shared" si="492"/>
        <v>0</v>
      </c>
      <c r="I506" s="53">
        <f t="shared" si="492"/>
        <v>0</v>
      </c>
      <c r="J506" s="53">
        <f t="shared" si="492"/>
        <v>0</v>
      </c>
      <c r="K506" s="53">
        <f t="shared" si="492"/>
        <v>0</v>
      </c>
      <c r="L506" s="53">
        <f t="shared" si="492"/>
        <v>0</v>
      </c>
      <c r="M506" s="53">
        <f t="shared" si="492"/>
        <v>0</v>
      </c>
      <c r="N506" s="53">
        <f t="shared" si="492"/>
        <v>0</v>
      </c>
      <c r="O506" s="53">
        <f t="shared" si="492"/>
        <v>0</v>
      </c>
      <c r="P506" s="53">
        <f t="shared" si="492"/>
        <v>0</v>
      </c>
      <c r="Q506" s="53">
        <f t="shared" si="492"/>
        <v>0</v>
      </c>
      <c r="R506" s="53">
        <f t="shared" si="492"/>
        <v>0</v>
      </c>
      <c r="S506" s="53">
        <f t="shared" si="492"/>
        <v>0</v>
      </c>
      <c r="T506" s="53">
        <f t="shared" si="492"/>
        <v>0</v>
      </c>
      <c r="U506" s="53">
        <f t="shared" si="492"/>
        <v>0</v>
      </c>
      <c r="V506" s="53">
        <f t="shared" si="492"/>
        <v>0</v>
      </c>
      <c r="W506" s="53">
        <f t="shared" si="492"/>
        <v>0</v>
      </c>
      <c r="X506" s="53">
        <f t="shared" si="492"/>
        <v>0</v>
      </c>
      <c r="Y506" s="53">
        <f t="shared" si="492"/>
        <v>0</v>
      </c>
      <c r="Z506" s="53">
        <f t="shared" si="492"/>
        <v>0</v>
      </c>
      <c r="AA506" s="53">
        <f t="shared" si="492"/>
        <v>0</v>
      </c>
      <c r="AB506" s="53">
        <f t="shared" si="492"/>
        <v>0</v>
      </c>
      <c r="AC506" s="53">
        <f t="shared" si="492"/>
        <v>0</v>
      </c>
      <c r="AD506" s="53">
        <f t="shared" si="492"/>
        <v>0</v>
      </c>
      <c r="AE506" s="53">
        <f t="shared" si="492"/>
        <v>0</v>
      </c>
      <c r="AF506" s="53">
        <f t="shared" si="492"/>
        <v>0</v>
      </c>
      <c r="AG506" s="53">
        <f t="shared" si="492"/>
        <v>0</v>
      </c>
      <c r="AH506" s="53">
        <f t="shared" si="492"/>
        <v>0</v>
      </c>
      <c r="AI506" s="53">
        <f t="shared" si="492"/>
        <v>0</v>
      </c>
      <c r="AJ506" s="53">
        <f t="shared" si="492"/>
        <v>0</v>
      </c>
      <c r="AK506" s="53">
        <f t="shared" si="492"/>
        <v>0</v>
      </c>
      <c r="AL506" s="53">
        <f t="shared" si="492"/>
        <v>0</v>
      </c>
      <c r="AM506" s="53">
        <f t="shared" si="492"/>
        <v>0</v>
      </c>
      <c r="AN506" s="53">
        <f t="shared" si="492"/>
        <v>0</v>
      </c>
      <c r="AO506" s="53">
        <f t="shared" si="492"/>
        <v>0</v>
      </c>
      <c r="AP506" s="53">
        <f t="shared" si="492"/>
        <v>0</v>
      </c>
      <c r="AQ506" s="53">
        <f t="shared" si="492"/>
        <v>0</v>
      </c>
      <c r="AR506" s="53">
        <f t="shared" si="492"/>
        <v>0</v>
      </c>
      <c r="AS506" s="53">
        <f t="shared" si="492"/>
        <v>0</v>
      </c>
      <c r="AT506" s="53">
        <f t="shared" si="492"/>
        <v>0</v>
      </c>
      <c r="AU506" s="53">
        <f t="shared" si="492"/>
        <v>0</v>
      </c>
      <c r="AV506" s="53">
        <f t="shared" si="492"/>
        <v>0</v>
      </c>
      <c r="AW506" s="53">
        <f t="shared" si="492"/>
        <v>0</v>
      </c>
      <c r="AX506" s="53">
        <f t="shared" si="492"/>
        <v>0</v>
      </c>
      <c r="AY506" s="53">
        <f t="shared" si="492"/>
        <v>0</v>
      </c>
      <c r="AZ506" s="53">
        <f t="shared" si="492"/>
        <v>0</v>
      </c>
      <c r="BA506" s="53">
        <f t="shared" si="492"/>
        <v>0</v>
      </c>
      <c r="BB506" s="53">
        <f t="shared" si="492"/>
        <v>0</v>
      </c>
      <c r="BC506" s="53">
        <f t="shared" si="492"/>
        <v>0</v>
      </c>
      <c r="BD506" s="53">
        <f t="shared" si="492"/>
        <v>0</v>
      </c>
      <c r="BE506" s="53">
        <f t="shared" si="492"/>
        <v>0</v>
      </c>
      <c r="BF506" s="53">
        <f t="shared" si="492"/>
        <v>0</v>
      </c>
      <c r="BG506" s="53">
        <f t="shared" si="492"/>
        <v>0</v>
      </c>
      <c r="BH506" s="53">
        <f t="shared" si="492"/>
        <v>0</v>
      </c>
      <c r="BI506" s="53">
        <f t="shared" si="492"/>
        <v>0</v>
      </c>
      <c r="BJ506" s="53">
        <f t="shared" si="492"/>
        <v>0</v>
      </c>
      <c r="BK506" s="53">
        <f t="shared" si="492"/>
        <v>0</v>
      </c>
      <c r="BL506" s="53">
        <f t="shared" si="492"/>
        <v>0</v>
      </c>
      <c r="BM506" s="53">
        <f t="shared" si="492"/>
        <v>0</v>
      </c>
      <c r="BN506" s="53">
        <f t="shared" si="492"/>
        <v>0</v>
      </c>
      <c r="BO506" s="53">
        <f t="shared" ref="BO506:CX506" si="493">IFERROR(IF(BO$262=0,0,(BO247-BO248)/BO248),0)</f>
        <v>0</v>
      </c>
      <c r="BP506" s="53">
        <f t="shared" si="493"/>
        <v>0</v>
      </c>
      <c r="BQ506" s="53">
        <f t="shared" si="493"/>
        <v>0</v>
      </c>
      <c r="BR506" s="53">
        <f t="shared" si="493"/>
        <v>0</v>
      </c>
      <c r="BS506" s="53">
        <f t="shared" si="493"/>
        <v>0</v>
      </c>
      <c r="BT506" s="53">
        <f t="shared" si="493"/>
        <v>0</v>
      </c>
      <c r="BU506" s="53">
        <f t="shared" si="493"/>
        <v>0</v>
      </c>
      <c r="BV506" s="53">
        <f t="shared" si="493"/>
        <v>0</v>
      </c>
      <c r="BW506" s="53">
        <f t="shared" si="493"/>
        <v>0</v>
      </c>
      <c r="BX506" s="53">
        <f t="shared" si="493"/>
        <v>0</v>
      </c>
      <c r="BY506" s="53">
        <f t="shared" si="493"/>
        <v>0</v>
      </c>
      <c r="BZ506" s="53">
        <f t="shared" si="493"/>
        <v>0</v>
      </c>
      <c r="CA506" s="53">
        <f t="shared" si="493"/>
        <v>0</v>
      </c>
      <c r="CB506" s="53">
        <f t="shared" si="493"/>
        <v>0</v>
      </c>
      <c r="CC506" s="53">
        <f t="shared" si="493"/>
        <v>0</v>
      </c>
      <c r="CD506" s="53">
        <f t="shared" si="493"/>
        <v>0</v>
      </c>
      <c r="CE506" s="53">
        <f t="shared" si="493"/>
        <v>0</v>
      </c>
      <c r="CF506" s="53">
        <f t="shared" si="493"/>
        <v>0</v>
      </c>
      <c r="CG506" s="53">
        <f t="shared" si="493"/>
        <v>0</v>
      </c>
      <c r="CH506" s="53">
        <f t="shared" si="493"/>
        <v>0</v>
      </c>
      <c r="CI506" s="53">
        <f t="shared" si="493"/>
        <v>0</v>
      </c>
      <c r="CJ506" s="53">
        <f t="shared" si="493"/>
        <v>0</v>
      </c>
      <c r="CK506" s="53">
        <f t="shared" si="493"/>
        <v>0</v>
      </c>
      <c r="CL506" s="53">
        <f t="shared" si="493"/>
        <v>0</v>
      </c>
      <c r="CM506" s="53">
        <f t="shared" si="493"/>
        <v>0</v>
      </c>
      <c r="CN506" s="53">
        <f t="shared" si="493"/>
        <v>0</v>
      </c>
      <c r="CO506" s="53">
        <f t="shared" si="493"/>
        <v>0</v>
      </c>
      <c r="CP506" s="53">
        <f t="shared" si="493"/>
        <v>0</v>
      </c>
      <c r="CQ506" s="53">
        <f t="shared" si="493"/>
        <v>0</v>
      </c>
      <c r="CR506" s="53">
        <f t="shared" si="493"/>
        <v>0</v>
      </c>
      <c r="CS506" s="53">
        <f t="shared" si="493"/>
        <v>0</v>
      </c>
      <c r="CT506" s="53">
        <f t="shared" si="493"/>
        <v>0</v>
      </c>
      <c r="CU506" s="53">
        <f t="shared" si="493"/>
        <v>0</v>
      </c>
      <c r="CV506" s="53">
        <f t="shared" si="493"/>
        <v>0</v>
      </c>
      <c r="CW506" s="53">
        <f t="shared" si="493"/>
        <v>0</v>
      </c>
      <c r="CX506" s="53">
        <f t="shared" si="493"/>
        <v>0</v>
      </c>
      <c r="DB506" s="2" vm="755">
        <f ca="1">IF(Returns!A510&lt;&gt;0,Returns!A510,"")</f>
        <v>43738</v>
      </c>
      <c r="DC506" s="11">
        <f ca="1">IF(Returns!B521&gt;0,Returns!B521/Returns!B520-1,"")</f>
        <v>1.4514974956557403E-2</v>
      </c>
      <c r="DD506" s="11">
        <f ca="1">IF(Returns!D513&gt;0,Returns!D513/Returns!D512-1,"")</f>
        <v>7.0177219838911675E-3</v>
      </c>
    </row>
    <row r="507" spans="2:108" x14ac:dyDescent="0.3">
      <c r="B507" s="57">
        <f t="shared" ca="1" si="393"/>
        <v>8.6627181699998751E-3</v>
      </c>
      <c r="C507" s="53">
        <f t="shared" ref="C507:BN507" si="494">IFERROR(IF(C$262=0,0,(C248-C249)/C249),0)</f>
        <v>0</v>
      </c>
      <c r="D507" s="53">
        <f t="shared" si="494"/>
        <v>0</v>
      </c>
      <c r="E507" s="53">
        <f t="shared" si="494"/>
        <v>0</v>
      </c>
      <c r="F507" s="53">
        <f t="shared" si="494"/>
        <v>0</v>
      </c>
      <c r="G507" s="53">
        <f t="shared" si="494"/>
        <v>0</v>
      </c>
      <c r="H507" s="53">
        <f t="shared" si="494"/>
        <v>0</v>
      </c>
      <c r="I507" s="53">
        <f t="shared" si="494"/>
        <v>0</v>
      </c>
      <c r="J507" s="53">
        <f t="shared" si="494"/>
        <v>0</v>
      </c>
      <c r="K507" s="53">
        <f t="shared" si="494"/>
        <v>0</v>
      </c>
      <c r="L507" s="53">
        <f t="shared" si="494"/>
        <v>0</v>
      </c>
      <c r="M507" s="53">
        <f t="shared" si="494"/>
        <v>0</v>
      </c>
      <c r="N507" s="53">
        <f t="shared" si="494"/>
        <v>0</v>
      </c>
      <c r="O507" s="53">
        <f t="shared" si="494"/>
        <v>0</v>
      </c>
      <c r="P507" s="53">
        <f t="shared" si="494"/>
        <v>0</v>
      </c>
      <c r="Q507" s="53">
        <f t="shared" si="494"/>
        <v>0</v>
      </c>
      <c r="R507" s="53">
        <f t="shared" si="494"/>
        <v>0</v>
      </c>
      <c r="S507" s="53">
        <f t="shared" si="494"/>
        <v>0</v>
      </c>
      <c r="T507" s="53">
        <f t="shared" si="494"/>
        <v>0</v>
      </c>
      <c r="U507" s="53">
        <f t="shared" si="494"/>
        <v>0</v>
      </c>
      <c r="V507" s="53">
        <f t="shared" si="494"/>
        <v>0</v>
      </c>
      <c r="W507" s="53">
        <f t="shared" si="494"/>
        <v>0</v>
      </c>
      <c r="X507" s="53">
        <f t="shared" si="494"/>
        <v>0</v>
      </c>
      <c r="Y507" s="53">
        <f t="shared" si="494"/>
        <v>0</v>
      </c>
      <c r="Z507" s="53">
        <f t="shared" si="494"/>
        <v>0</v>
      </c>
      <c r="AA507" s="53">
        <f t="shared" si="494"/>
        <v>0</v>
      </c>
      <c r="AB507" s="53">
        <f t="shared" si="494"/>
        <v>0</v>
      </c>
      <c r="AC507" s="53">
        <f t="shared" si="494"/>
        <v>0</v>
      </c>
      <c r="AD507" s="53">
        <f t="shared" si="494"/>
        <v>0</v>
      </c>
      <c r="AE507" s="53">
        <f t="shared" si="494"/>
        <v>0</v>
      </c>
      <c r="AF507" s="53">
        <f t="shared" si="494"/>
        <v>0</v>
      </c>
      <c r="AG507" s="53">
        <f t="shared" si="494"/>
        <v>0</v>
      </c>
      <c r="AH507" s="53">
        <f t="shared" si="494"/>
        <v>0</v>
      </c>
      <c r="AI507" s="53">
        <f t="shared" si="494"/>
        <v>0</v>
      </c>
      <c r="AJ507" s="53">
        <f t="shared" si="494"/>
        <v>0</v>
      </c>
      <c r="AK507" s="53">
        <f t="shared" si="494"/>
        <v>0</v>
      </c>
      <c r="AL507" s="53">
        <f t="shared" si="494"/>
        <v>0</v>
      </c>
      <c r="AM507" s="53">
        <f t="shared" si="494"/>
        <v>0</v>
      </c>
      <c r="AN507" s="53">
        <f t="shared" si="494"/>
        <v>0</v>
      </c>
      <c r="AO507" s="53">
        <f t="shared" si="494"/>
        <v>0</v>
      </c>
      <c r="AP507" s="53">
        <f t="shared" si="494"/>
        <v>0</v>
      </c>
      <c r="AQ507" s="53">
        <f t="shared" si="494"/>
        <v>0</v>
      </c>
      <c r="AR507" s="53">
        <f t="shared" si="494"/>
        <v>0</v>
      </c>
      <c r="AS507" s="53">
        <f t="shared" si="494"/>
        <v>0</v>
      </c>
      <c r="AT507" s="53">
        <f t="shared" si="494"/>
        <v>0</v>
      </c>
      <c r="AU507" s="53">
        <f t="shared" si="494"/>
        <v>0</v>
      </c>
      <c r="AV507" s="53">
        <f t="shared" si="494"/>
        <v>0</v>
      </c>
      <c r="AW507" s="53">
        <f t="shared" si="494"/>
        <v>0</v>
      </c>
      <c r="AX507" s="53">
        <f t="shared" si="494"/>
        <v>0</v>
      </c>
      <c r="AY507" s="53">
        <f t="shared" si="494"/>
        <v>0</v>
      </c>
      <c r="AZ507" s="53">
        <f t="shared" si="494"/>
        <v>0</v>
      </c>
      <c r="BA507" s="53">
        <f t="shared" si="494"/>
        <v>0</v>
      </c>
      <c r="BB507" s="53">
        <f t="shared" si="494"/>
        <v>0</v>
      </c>
      <c r="BC507" s="53">
        <f t="shared" si="494"/>
        <v>0</v>
      </c>
      <c r="BD507" s="53">
        <f t="shared" si="494"/>
        <v>0</v>
      </c>
      <c r="BE507" s="53">
        <f t="shared" si="494"/>
        <v>0</v>
      </c>
      <c r="BF507" s="53">
        <f t="shared" si="494"/>
        <v>0</v>
      </c>
      <c r="BG507" s="53">
        <f t="shared" si="494"/>
        <v>0</v>
      </c>
      <c r="BH507" s="53">
        <f t="shared" si="494"/>
        <v>0</v>
      </c>
      <c r="BI507" s="53">
        <f t="shared" si="494"/>
        <v>0</v>
      </c>
      <c r="BJ507" s="53">
        <f t="shared" si="494"/>
        <v>0</v>
      </c>
      <c r="BK507" s="53">
        <f t="shared" si="494"/>
        <v>0</v>
      </c>
      <c r="BL507" s="53">
        <f t="shared" si="494"/>
        <v>0</v>
      </c>
      <c r="BM507" s="53">
        <f t="shared" si="494"/>
        <v>0</v>
      </c>
      <c r="BN507" s="53">
        <f t="shared" si="494"/>
        <v>0</v>
      </c>
      <c r="BO507" s="53">
        <f t="shared" ref="BO507:CX507" si="495">IFERROR(IF(BO$262=0,0,(BO248-BO249)/BO249),0)</f>
        <v>0</v>
      </c>
      <c r="BP507" s="53">
        <f t="shared" si="495"/>
        <v>0</v>
      </c>
      <c r="BQ507" s="53">
        <f t="shared" si="495"/>
        <v>0</v>
      </c>
      <c r="BR507" s="53">
        <f t="shared" si="495"/>
        <v>0</v>
      </c>
      <c r="BS507" s="53">
        <f t="shared" si="495"/>
        <v>0</v>
      </c>
      <c r="BT507" s="53">
        <f t="shared" si="495"/>
        <v>0</v>
      </c>
      <c r="BU507" s="53">
        <f t="shared" si="495"/>
        <v>0</v>
      </c>
      <c r="BV507" s="53">
        <f t="shared" si="495"/>
        <v>0</v>
      </c>
      <c r="BW507" s="53">
        <f t="shared" si="495"/>
        <v>0</v>
      </c>
      <c r="BX507" s="53">
        <f t="shared" si="495"/>
        <v>0</v>
      </c>
      <c r="BY507" s="53">
        <f t="shared" si="495"/>
        <v>0</v>
      </c>
      <c r="BZ507" s="53">
        <f t="shared" si="495"/>
        <v>0</v>
      </c>
      <c r="CA507" s="53">
        <f t="shared" si="495"/>
        <v>0</v>
      </c>
      <c r="CB507" s="53">
        <f t="shared" si="495"/>
        <v>0</v>
      </c>
      <c r="CC507" s="53">
        <f t="shared" si="495"/>
        <v>0</v>
      </c>
      <c r="CD507" s="53">
        <f t="shared" si="495"/>
        <v>0</v>
      </c>
      <c r="CE507" s="53">
        <f t="shared" si="495"/>
        <v>0</v>
      </c>
      <c r="CF507" s="53">
        <f t="shared" si="495"/>
        <v>0</v>
      </c>
      <c r="CG507" s="53">
        <f t="shared" si="495"/>
        <v>0</v>
      </c>
      <c r="CH507" s="53">
        <f t="shared" si="495"/>
        <v>0</v>
      </c>
      <c r="CI507" s="53">
        <f t="shared" si="495"/>
        <v>0</v>
      </c>
      <c r="CJ507" s="53">
        <f t="shared" si="495"/>
        <v>0</v>
      </c>
      <c r="CK507" s="53">
        <f t="shared" si="495"/>
        <v>0</v>
      </c>
      <c r="CL507" s="53">
        <f t="shared" si="495"/>
        <v>0</v>
      </c>
      <c r="CM507" s="53">
        <f t="shared" si="495"/>
        <v>0</v>
      </c>
      <c r="CN507" s="53">
        <f t="shared" si="495"/>
        <v>0</v>
      </c>
      <c r="CO507" s="53">
        <f t="shared" si="495"/>
        <v>0</v>
      </c>
      <c r="CP507" s="53">
        <f t="shared" si="495"/>
        <v>0</v>
      </c>
      <c r="CQ507" s="53">
        <f t="shared" si="495"/>
        <v>0</v>
      </c>
      <c r="CR507" s="53">
        <f t="shared" si="495"/>
        <v>0</v>
      </c>
      <c r="CS507" s="53">
        <f t="shared" si="495"/>
        <v>0</v>
      </c>
      <c r="CT507" s="53">
        <f t="shared" si="495"/>
        <v>0</v>
      </c>
      <c r="CU507" s="53">
        <f t="shared" si="495"/>
        <v>0</v>
      </c>
      <c r="CV507" s="53">
        <f t="shared" si="495"/>
        <v>0</v>
      </c>
      <c r="CW507" s="53">
        <f t="shared" si="495"/>
        <v>0</v>
      </c>
      <c r="CX507" s="53">
        <f t="shared" si="495"/>
        <v>0</v>
      </c>
      <c r="DB507" s="2" vm="756">
        <f ca="1">IF(Returns!A511&lt;&gt;0,Returns!A511,"")</f>
        <v>43745</v>
      </c>
      <c r="DC507" s="11">
        <f ca="1">IF(Returns!B522&gt;0,Returns!B522/Returns!B521-1,"")</f>
        <v>4.6627483907080824E-2</v>
      </c>
      <c r="DD507" s="11">
        <f ca="1">IF(Returns!D514&gt;0,Returns!D514/Returns!D513-1,"")</f>
        <v>1.444079653972774E-2</v>
      </c>
    </row>
    <row r="508" spans="2:108" x14ac:dyDescent="0.3">
      <c r="B508" s="57">
        <f t="shared" ca="1" si="393"/>
        <v>8.7629444678137321E-3</v>
      </c>
      <c r="C508" s="53">
        <f t="shared" ref="C508:BN508" si="496">IFERROR(IF(C$262=0,0,(C249-C250)/C250),0)</f>
        <v>0</v>
      </c>
      <c r="D508" s="53">
        <f t="shared" si="496"/>
        <v>0</v>
      </c>
      <c r="E508" s="53">
        <f t="shared" si="496"/>
        <v>0</v>
      </c>
      <c r="F508" s="53">
        <f t="shared" si="496"/>
        <v>0</v>
      </c>
      <c r="G508" s="53">
        <f t="shared" si="496"/>
        <v>0</v>
      </c>
      <c r="H508" s="53">
        <f t="shared" si="496"/>
        <v>0</v>
      </c>
      <c r="I508" s="53">
        <f t="shared" si="496"/>
        <v>0</v>
      </c>
      <c r="J508" s="53">
        <f t="shared" si="496"/>
        <v>0</v>
      </c>
      <c r="K508" s="53">
        <f t="shared" si="496"/>
        <v>0</v>
      </c>
      <c r="L508" s="53">
        <f t="shared" si="496"/>
        <v>0</v>
      </c>
      <c r="M508" s="53">
        <f t="shared" si="496"/>
        <v>0</v>
      </c>
      <c r="N508" s="53">
        <f t="shared" si="496"/>
        <v>0</v>
      </c>
      <c r="O508" s="53">
        <f t="shared" si="496"/>
        <v>0</v>
      </c>
      <c r="P508" s="53">
        <f t="shared" si="496"/>
        <v>0</v>
      </c>
      <c r="Q508" s="53">
        <f t="shared" si="496"/>
        <v>0</v>
      </c>
      <c r="R508" s="53">
        <f t="shared" si="496"/>
        <v>0</v>
      </c>
      <c r="S508" s="53">
        <f t="shared" si="496"/>
        <v>0</v>
      </c>
      <c r="T508" s="53">
        <f t="shared" si="496"/>
        <v>0</v>
      </c>
      <c r="U508" s="53">
        <f t="shared" si="496"/>
        <v>0</v>
      </c>
      <c r="V508" s="53">
        <f t="shared" si="496"/>
        <v>0</v>
      </c>
      <c r="W508" s="53">
        <f t="shared" si="496"/>
        <v>0</v>
      </c>
      <c r="X508" s="53">
        <f t="shared" si="496"/>
        <v>0</v>
      </c>
      <c r="Y508" s="53">
        <f t="shared" si="496"/>
        <v>0</v>
      </c>
      <c r="Z508" s="53">
        <f t="shared" si="496"/>
        <v>0</v>
      </c>
      <c r="AA508" s="53">
        <f t="shared" si="496"/>
        <v>0</v>
      </c>
      <c r="AB508" s="53">
        <f t="shared" si="496"/>
        <v>0</v>
      </c>
      <c r="AC508" s="53">
        <f t="shared" si="496"/>
        <v>0</v>
      </c>
      <c r="AD508" s="53">
        <f t="shared" si="496"/>
        <v>0</v>
      </c>
      <c r="AE508" s="53">
        <f t="shared" si="496"/>
        <v>0</v>
      </c>
      <c r="AF508" s="53">
        <f t="shared" si="496"/>
        <v>0</v>
      </c>
      <c r="AG508" s="53">
        <f t="shared" si="496"/>
        <v>0</v>
      </c>
      <c r="AH508" s="53">
        <f t="shared" si="496"/>
        <v>0</v>
      </c>
      <c r="AI508" s="53">
        <f t="shared" si="496"/>
        <v>0</v>
      </c>
      <c r="AJ508" s="53">
        <f t="shared" si="496"/>
        <v>0</v>
      </c>
      <c r="AK508" s="53">
        <f t="shared" si="496"/>
        <v>0</v>
      </c>
      <c r="AL508" s="53">
        <f t="shared" si="496"/>
        <v>0</v>
      </c>
      <c r="AM508" s="53">
        <f t="shared" si="496"/>
        <v>0</v>
      </c>
      <c r="AN508" s="53">
        <f t="shared" si="496"/>
        <v>0</v>
      </c>
      <c r="AO508" s="53">
        <f t="shared" si="496"/>
        <v>0</v>
      </c>
      <c r="AP508" s="53">
        <f t="shared" si="496"/>
        <v>0</v>
      </c>
      <c r="AQ508" s="53">
        <f t="shared" si="496"/>
        <v>0</v>
      </c>
      <c r="AR508" s="53">
        <f t="shared" si="496"/>
        <v>0</v>
      </c>
      <c r="AS508" s="53">
        <f t="shared" si="496"/>
        <v>0</v>
      </c>
      <c r="AT508" s="53">
        <f t="shared" si="496"/>
        <v>0</v>
      </c>
      <c r="AU508" s="53">
        <f t="shared" si="496"/>
        <v>0</v>
      </c>
      <c r="AV508" s="53">
        <f t="shared" si="496"/>
        <v>0</v>
      </c>
      <c r="AW508" s="53">
        <f t="shared" si="496"/>
        <v>0</v>
      </c>
      <c r="AX508" s="53">
        <f t="shared" si="496"/>
        <v>0</v>
      </c>
      <c r="AY508" s="53">
        <f t="shared" si="496"/>
        <v>0</v>
      </c>
      <c r="AZ508" s="53">
        <f t="shared" si="496"/>
        <v>0</v>
      </c>
      <c r="BA508" s="53">
        <f t="shared" si="496"/>
        <v>0</v>
      </c>
      <c r="BB508" s="53">
        <f t="shared" si="496"/>
        <v>0</v>
      </c>
      <c r="BC508" s="53">
        <f t="shared" si="496"/>
        <v>0</v>
      </c>
      <c r="BD508" s="53">
        <f t="shared" si="496"/>
        <v>0</v>
      </c>
      <c r="BE508" s="53">
        <f t="shared" si="496"/>
        <v>0</v>
      </c>
      <c r="BF508" s="53">
        <f t="shared" si="496"/>
        <v>0</v>
      </c>
      <c r="BG508" s="53">
        <f t="shared" si="496"/>
        <v>0</v>
      </c>
      <c r="BH508" s="53">
        <f t="shared" si="496"/>
        <v>0</v>
      </c>
      <c r="BI508" s="53">
        <f t="shared" si="496"/>
        <v>0</v>
      </c>
      <c r="BJ508" s="53">
        <f t="shared" si="496"/>
        <v>0</v>
      </c>
      <c r="BK508" s="53">
        <f t="shared" si="496"/>
        <v>0</v>
      </c>
      <c r="BL508" s="53">
        <f t="shared" si="496"/>
        <v>0</v>
      </c>
      <c r="BM508" s="53">
        <f t="shared" si="496"/>
        <v>0</v>
      </c>
      <c r="BN508" s="53">
        <f t="shared" si="496"/>
        <v>0</v>
      </c>
      <c r="BO508" s="53">
        <f t="shared" ref="BO508:CX508" si="497">IFERROR(IF(BO$262=0,0,(BO249-BO250)/BO250),0)</f>
        <v>0</v>
      </c>
      <c r="BP508" s="53">
        <f t="shared" si="497"/>
        <v>0</v>
      </c>
      <c r="BQ508" s="53">
        <f t="shared" si="497"/>
        <v>0</v>
      </c>
      <c r="BR508" s="53">
        <f t="shared" si="497"/>
        <v>0</v>
      </c>
      <c r="BS508" s="53">
        <f t="shared" si="497"/>
        <v>0</v>
      </c>
      <c r="BT508" s="53">
        <f t="shared" si="497"/>
        <v>0</v>
      </c>
      <c r="BU508" s="53">
        <f t="shared" si="497"/>
        <v>0</v>
      </c>
      <c r="BV508" s="53">
        <f t="shared" si="497"/>
        <v>0</v>
      </c>
      <c r="BW508" s="53">
        <f t="shared" si="497"/>
        <v>0</v>
      </c>
      <c r="BX508" s="53">
        <f t="shared" si="497"/>
        <v>0</v>
      </c>
      <c r="BY508" s="53">
        <f t="shared" si="497"/>
        <v>0</v>
      </c>
      <c r="BZ508" s="53">
        <f t="shared" si="497"/>
        <v>0</v>
      </c>
      <c r="CA508" s="53">
        <f t="shared" si="497"/>
        <v>0</v>
      </c>
      <c r="CB508" s="53">
        <f t="shared" si="497"/>
        <v>0</v>
      </c>
      <c r="CC508" s="53">
        <f t="shared" si="497"/>
        <v>0</v>
      </c>
      <c r="CD508" s="53">
        <f t="shared" si="497"/>
        <v>0</v>
      </c>
      <c r="CE508" s="53">
        <f t="shared" si="497"/>
        <v>0</v>
      </c>
      <c r="CF508" s="53">
        <f t="shared" si="497"/>
        <v>0</v>
      </c>
      <c r="CG508" s="53">
        <f t="shared" si="497"/>
        <v>0</v>
      </c>
      <c r="CH508" s="53">
        <f t="shared" si="497"/>
        <v>0</v>
      </c>
      <c r="CI508" s="53">
        <f t="shared" si="497"/>
        <v>0</v>
      </c>
      <c r="CJ508" s="53">
        <f t="shared" si="497"/>
        <v>0</v>
      </c>
      <c r="CK508" s="53">
        <f t="shared" si="497"/>
        <v>0</v>
      </c>
      <c r="CL508" s="53">
        <f t="shared" si="497"/>
        <v>0</v>
      </c>
      <c r="CM508" s="53">
        <f t="shared" si="497"/>
        <v>0</v>
      </c>
      <c r="CN508" s="53">
        <f t="shared" si="497"/>
        <v>0</v>
      </c>
      <c r="CO508" s="53">
        <f t="shared" si="497"/>
        <v>0</v>
      </c>
      <c r="CP508" s="53">
        <f t="shared" si="497"/>
        <v>0</v>
      </c>
      <c r="CQ508" s="53">
        <f t="shared" si="497"/>
        <v>0</v>
      </c>
      <c r="CR508" s="53">
        <f t="shared" si="497"/>
        <v>0</v>
      </c>
      <c r="CS508" s="53">
        <f t="shared" si="497"/>
        <v>0</v>
      </c>
      <c r="CT508" s="53">
        <f t="shared" si="497"/>
        <v>0</v>
      </c>
      <c r="CU508" s="53">
        <f t="shared" si="497"/>
        <v>0</v>
      </c>
      <c r="CV508" s="53">
        <f t="shared" si="497"/>
        <v>0</v>
      </c>
      <c r="CW508" s="53">
        <f t="shared" si="497"/>
        <v>0</v>
      </c>
      <c r="CX508" s="53">
        <f t="shared" si="497"/>
        <v>0</v>
      </c>
      <c r="DB508" s="2" vm="757">
        <f ca="1">IF(Returns!A512&lt;&gt;0,Returns!A512,"")</f>
        <v>43752</v>
      </c>
      <c r="DC508" s="11">
        <f ca="1">IF(Returns!B523&gt;0,Returns!B523/Returns!B522-1,"")</f>
        <v>2.7650016044498127E-3</v>
      </c>
      <c r="DD508" s="11">
        <f ca="1">IF(Returns!D515&gt;0,Returns!D515/Returns!D514-1,"")</f>
        <v>1.2209065733284064E-2</v>
      </c>
    </row>
    <row r="509" spans="2:108" x14ac:dyDescent="0.3">
      <c r="B509" s="57">
        <f t="shared" ca="1" si="393"/>
        <v>1.4693385419551515E-2</v>
      </c>
      <c r="C509" s="53">
        <f t="shared" ref="C509:BN509" si="498">IFERROR(IF(C$262=0,0,(C250-C251)/C251),0)</f>
        <v>0</v>
      </c>
      <c r="D509" s="53">
        <f t="shared" si="498"/>
        <v>0</v>
      </c>
      <c r="E509" s="53">
        <f t="shared" si="498"/>
        <v>0</v>
      </c>
      <c r="F509" s="53">
        <f t="shared" si="498"/>
        <v>0</v>
      </c>
      <c r="G509" s="53">
        <f t="shared" si="498"/>
        <v>0</v>
      </c>
      <c r="H509" s="53">
        <f t="shared" si="498"/>
        <v>0</v>
      </c>
      <c r="I509" s="53">
        <f t="shared" si="498"/>
        <v>0</v>
      </c>
      <c r="J509" s="53">
        <f t="shared" si="498"/>
        <v>0</v>
      </c>
      <c r="K509" s="53">
        <f t="shared" si="498"/>
        <v>0</v>
      </c>
      <c r="L509" s="53">
        <f t="shared" si="498"/>
        <v>0</v>
      </c>
      <c r="M509" s="53">
        <f t="shared" si="498"/>
        <v>0</v>
      </c>
      <c r="N509" s="53">
        <f t="shared" si="498"/>
        <v>0</v>
      </c>
      <c r="O509" s="53">
        <f t="shared" si="498"/>
        <v>0</v>
      </c>
      <c r="P509" s="53">
        <f t="shared" si="498"/>
        <v>0</v>
      </c>
      <c r="Q509" s="53">
        <f t="shared" si="498"/>
        <v>0</v>
      </c>
      <c r="R509" s="53">
        <f t="shared" si="498"/>
        <v>0</v>
      </c>
      <c r="S509" s="53">
        <f t="shared" si="498"/>
        <v>0</v>
      </c>
      <c r="T509" s="53">
        <f t="shared" si="498"/>
        <v>0</v>
      </c>
      <c r="U509" s="53">
        <f t="shared" si="498"/>
        <v>0</v>
      </c>
      <c r="V509" s="53">
        <f t="shared" si="498"/>
        <v>0</v>
      </c>
      <c r="W509" s="53">
        <f t="shared" si="498"/>
        <v>0</v>
      </c>
      <c r="X509" s="53">
        <f t="shared" si="498"/>
        <v>0</v>
      </c>
      <c r="Y509" s="53">
        <f t="shared" si="498"/>
        <v>0</v>
      </c>
      <c r="Z509" s="53">
        <f t="shared" si="498"/>
        <v>0</v>
      </c>
      <c r="AA509" s="53">
        <f t="shared" si="498"/>
        <v>0</v>
      </c>
      <c r="AB509" s="53">
        <f t="shared" si="498"/>
        <v>0</v>
      </c>
      <c r="AC509" s="53">
        <f t="shared" si="498"/>
        <v>0</v>
      </c>
      <c r="AD509" s="53">
        <f t="shared" si="498"/>
        <v>0</v>
      </c>
      <c r="AE509" s="53">
        <f t="shared" si="498"/>
        <v>0</v>
      </c>
      <c r="AF509" s="53">
        <f t="shared" si="498"/>
        <v>0</v>
      </c>
      <c r="AG509" s="53">
        <f t="shared" si="498"/>
        <v>0</v>
      </c>
      <c r="AH509" s="53">
        <f t="shared" si="498"/>
        <v>0</v>
      </c>
      <c r="AI509" s="53">
        <f t="shared" si="498"/>
        <v>0</v>
      </c>
      <c r="AJ509" s="53">
        <f t="shared" si="498"/>
        <v>0</v>
      </c>
      <c r="AK509" s="53">
        <f t="shared" si="498"/>
        <v>0</v>
      </c>
      <c r="AL509" s="53">
        <f t="shared" si="498"/>
        <v>0</v>
      </c>
      <c r="AM509" s="53">
        <f t="shared" si="498"/>
        <v>0</v>
      </c>
      <c r="AN509" s="53">
        <f t="shared" si="498"/>
        <v>0</v>
      </c>
      <c r="AO509" s="53">
        <f t="shared" si="498"/>
        <v>0</v>
      </c>
      <c r="AP509" s="53">
        <f t="shared" si="498"/>
        <v>0</v>
      </c>
      <c r="AQ509" s="53">
        <f t="shared" si="498"/>
        <v>0</v>
      </c>
      <c r="AR509" s="53">
        <f t="shared" si="498"/>
        <v>0</v>
      </c>
      <c r="AS509" s="53">
        <f t="shared" si="498"/>
        <v>0</v>
      </c>
      <c r="AT509" s="53">
        <f t="shared" si="498"/>
        <v>0</v>
      </c>
      <c r="AU509" s="53">
        <f t="shared" si="498"/>
        <v>0</v>
      </c>
      <c r="AV509" s="53">
        <f t="shared" si="498"/>
        <v>0</v>
      </c>
      <c r="AW509" s="53">
        <f t="shared" si="498"/>
        <v>0</v>
      </c>
      <c r="AX509" s="53">
        <f t="shared" si="498"/>
        <v>0</v>
      </c>
      <c r="AY509" s="53">
        <f t="shared" si="498"/>
        <v>0</v>
      </c>
      <c r="AZ509" s="53">
        <f t="shared" si="498"/>
        <v>0</v>
      </c>
      <c r="BA509" s="53">
        <f t="shared" si="498"/>
        <v>0</v>
      </c>
      <c r="BB509" s="53">
        <f t="shared" si="498"/>
        <v>0</v>
      </c>
      <c r="BC509" s="53">
        <f t="shared" si="498"/>
        <v>0</v>
      </c>
      <c r="BD509" s="53">
        <f t="shared" si="498"/>
        <v>0</v>
      </c>
      <c r="BE509" s="53">
        <f t="shared" si="498"/>
        <v>0</v>
      </c>
      <c r="BF509" s="53">
        <f t="shared" si="498"/>
        <v>0</v>
      </c>
      <c r="BG509" s="53">
        <f t="shared" si="498"/>
        <v>0</v>
      </c>
      <c r="BH509" s="53">
        <f t="shared" si="498"/>
        <v>0</v>
      </c>
      <c r="BI509" s="53">
        <f t="shared" si="498"/>
        <v>0</v>
      </c>
      <c r="BJ509" s="53">
        <f t="shared" si="498"/>
        <v>0</v>
      </c>
      <c r="BK509" s="53">
        <f t="shared" si="498"/>
        <v>0</v>
      </c>
      <c r="BL509" s="53">
        <f t="shared" si="498"/>
        <v>0</v>
      </c>
      <c r="BM509" s="53">
        <f t="shared" si="498"/>
        <v>0</v>
      </c>
      <c r="BN509" s="53">
        <f t="shared" si="498"/>
        <v>0</v>
      </c>
      <c r="BO509" s="53">
        <f t="shared" ref="BO509:CX509" si="499">IFERROR(IF(BO$262=0,0,(BO250-BO251)/BO251),0)</f>
        <v>0</v>
      </c>
      <c r="BP509" s="53">
        <f t="shared" si="499"/>
        <v>0</v>
      </c>
      <c r="BQ509" s="53">
        <f t="shared" si="499"/>
        <v>0</v>
      </c>
      <c r="BR509" s="53">
        <f t="shared" si="499"/>
        <v>0</v>
      </c>
      <c r="BS509" s="53">
        <f t="shared" si="499"/>
        <v>0</v>
      </c>
      <c r="BT509" s="53">
        <f t="shared" si="499"/>
        <v>0</v>
      </c>
      <c r="BU509" s="53">
        <f t="shared" si="499"/>
        <v>0</v>
      </c>
      <c r="BV509" s="53">
        <f t="shared" si="499"/>
        <v>0</v>
      </c>
      <c r="BW509" s="53">
        <f t="shared" si="499"/>
        <v>0</v>
      </c>
      <c r="BX509" s="53">
        <f t="shared" si="499"/>
        <v>0</v>
      </c>
      <c r="BY509" s="53">
        <f t="shared" si="499"/>
        <v>0</v>
      </c>
      <c r="BZ509" s="53">
        <f t="shared" si="499"/>
        <v>0</v>
      </c>
      <c r="CA509" s="53">
        <f t="shared" si="499"/>
        <v>0</v>
      </c>
      <c r="CB509" s="53">
        <f t="shared" si="499"/>
        <v>0</v>
      </c>
      <c r="CC509" s="53">
        <f t="shared" si="499"/>
        <v>0</v>
      </c>
      <c r="CD509" s="53">
        <f t="shared" si="499"/>
        <v>0</v>
      </c>
      <c r="CE509" s="53">
        <f t="shared" si="499"/>
        <v>0</v>
      </c>
      <c r="CF509" s="53">
        <f t="shared" si="499"/>
        <v>0</v>
      </c>
      <c r="CG509" s="53">
        <f t="shared" si="499"/>
        <v>0</v>
      </c>
      <c r="CH509" s="53">
        <f t="shared" si="499"/>
        <v>0</v>
      </c>
      <c r="CI509" s="53">
        <f t="shared" si="499"/>
        <v>0</v>
      </c>
      <c r="CJ509" s="53">
        <f t="shared" si="499"/>
        <v>0</v>
      </c>
      <c r="CK509" s="53">
        <f t="shared" si="499"/>
        <v>0</v>
      </c>
      <c r="CL509" s="53">
        <f t="shared" si="499"/>
        <v>0</v>
      </c>
      <c r="CM509" s="53">
        <f t="shared" si="499"/>
        <v>0</v>
      </c>
      <c r="CN509" s="53">
        <f t="shared" si="499"/>
        <v>0</v>
      </c>
      <c r="CO509" s="53">
        <f t="shared" si="499"/>
        <v>0</v>
      </c>
      <c r="CP509" s="53">
        <f t="shared" si="499"/>
        <v>0</v>
      </c>
      <c r="CQ509" s="53">
        <f t="shared" si="499"/>
        <v>0</v>
      </c>
      <c r="CR509" s="53">
        <f t="shared" si="499"/>
        <v>0</v>
      </c>
      <c r="CS509" s="53">
        <f t="shared" si="499"/>
        <v>0</v>
      </c>
      <c r="CT509" s="53">
        <f t="shared" si="499"/>
        <v>0</v>
      </c>
      <c r="CU509" s="53">
        <f t="shared" si="499"/>
        <v>0</v>
      </c>
      <c r="CV509" s="53">
        <f t="shared" si="499"/>
        <v>0</v>
      </c>
      <c r="CW509" s="53">
        <f t="shared" si="499"/>
        <v>0</v>
      </c>
      <c r="CX509" s="53">
        <f t="shared" si="499"/>
        <v>0</v>
      </c>
      <c r="DB509" s="2" vm="758">
        <f ca="1">IF(Returns!A513&lt;&gt;0,Returns!A513,"")</f>
        <v>43759</v>
      </c>
      <c r="DC509" s="11">
        <f ca="1">IF(Returns!B524&gt;0,Returns!B524/Returns!B523-1,"")</f>
        <v>4.3680698891181979E-3</v>
      </c>
      <c r="DD509" s="11">
        <f ca="1">IF(Returns!D516&gt;0,Returns!D516/Returns!D515-1,"")</f>
        <v>1.1691837090965551E-2</v>
      </c>
    </row>
    <row r="510" spans="2:108" x14ac:dyDescent="0.3">
      <c r="B510" s="57">
        <f t="shared" ca="1" si="393"/>
        <v>2.2496652331931044E-2</v>
      </c>
      <c r="C510" s="53">
        <f t="shared" ref="C510:BN510" si="500">IFERROR(IF(C$262=0,0,(C251-C252)/C252),0)</f>
        <v>0</v>
      </c>
      <c r="D510" s="53">
        <f t="shared" si="500"/>
        <v>0</v>
      </c>
      <c r="E510" s="53">
        <f t="shared" si="500"/>
        <v>0</v>
      </c>
      <c r="F510" s="53">
        <f t="shared" si="500"/>
        <v>0</v>
      </c>
      <c r="G510" s="53">
        <f t="shared" si="500"/>
        <v>0</v>
      </c>
      <c r="H510" s="53">
        <f t="shared" si="500"/>
        <v>0</v>
      </c>
      <c r="I510" s="53">
        <f t="shared" si="500"/>
        <v>0</v>
      </c>
      <c r="J510" s="53">
        <f t="shared" si="500"/>
        <v>0</v>
      </c>
      <c r="K510" s="53">
        <f t="shared" si="500"/>
        <v>0</v>
      </c>
      <c r="L510" s="53">
        <f t="shared" si="500"/>
        <v>0</v>
      </c>
      <c r="M510" s="53">
        <f t="shared" si="500"/>
        <v>0</v>
      </c>
      <c r="N510" s="53">
        <f t="shared" si="500"/>
        <v>0</v>
      </c>
      <c r="O510" s="53">
        <f t="shared" si="500"/>
        <v>0</v>
      </c>
      <c r="P510" s="53">
        <f t="shared" si="500"/>
        <v>0</v>
      </c>
      <c r="Q510" s="53">
        <f t="shared" si="500"/>
        <v>0</v>
      </c>
      <c r="R510" s="53">
        <f t="shared" si="500"/>
        <v>0</v>
      </c>
      <c r="S510" s="53">
        <f t="shared" si="500"/>
        <v>0</v>
      </c>
      <c r="T510" s="53">
        <f t="shared" si="500"/>
        <v>0</v>
      </c>
      <c r="U510" s="53">
        <f t="shared" si="500"/>
        <v>0</v>
      </c>
      <c r="V510" s="53">
        <f t="shared" si="500"/>
        <v>0</v>
      </c>
      <c r="W510" s="53">
        <f t="shared" si="500"/>
        <v>0</v>
      </c>
      <c r="X510" s="53">
        <f t="shared" si="500"/>
        <v>0</v>
      </c>
      <c r="Y510" s="53">
        <f t="shared" si="500"/>
        <v>0</v>
      </c>
      <c r="Z510" s="53">
        <f t="shared" si="500"/>
        <v>0</v>
      </c>
      <c r="AA510" s="53">
        <f t="shared" si="500"/>
        <v>0</v>
      </c>
      <c r="AB510" s="53">
        <f t="shared" si="500"/>
        <v>0</v>
      </c>
      <c r="AC510" s="53">
        <f t="shared" si="500"/>
        <v>0</v>
      </c>
      <c r="AD510" s="53">
        <f t="shared" si="500"/>
        <v>0</v>
      </c>
      <c r="AE510" s="53">
        <f t="shared" si="500"/>
        <v>0</v>
      </c>
      <c r="AF510" s="53">
        <f t="shared" si="500"/>
        <v>0</v>
      </c>
      <c r="AG510" s="53">
        <f t="shared" si="500"/>
        <v>0</v>
      </c>
      <c r="AH510" s="53">
        <f t="shared" si="500"/>
        <v>0</v>
      </c>
      <c r="AI510" s="53">
        <f t="shared" si="500"/>
        <v>0</v>
      </c>
      <c r="AJ510" s="53">
        <f t="shared" si="500"/>
        <v>0</v>
      </c>
      <c r="AK510" s="53">
        <f t="shared" si="500"/>
        <v>0</v>
      </c>
      <c r="AL510" s="53">
        <f t="shared" si="500"/>
        <v>0</v>
      </c>
      <c r="AM510" s="53">
        <f t="shared" si="500"/>
        <v>0</v>
      </c>
      <c r="AN510" s="53">
        <f t="shared" si="500"/>
        <v>0</v>
      </c>
      <c r="AO510" s="53">
        <f t="shared" si="500"/>
        <v>0</v>
      </c>
      <c r="AP510" s="53">
        <f t="shared" si="500"/>
        <v>0</v>
      </c>
      <c r="AQ510" s="53">
        <f t="shared" si="500"/>
        <v>0</v>
      </c>
      <c r="AR510" s="53">
        <f t="shared" si="500"/>
        <v>0</v>
      </c>
      <c r="AS510" s="53">
        <f t="shared" si="500"/>
        <v>0</v>
      </c>
      <c r="AT510" s="53">
        <f t="shared" si="500"/>
        <v>0</v>
      </c>
      <c r="AU510" s="53">
        <f t="shared" si="500"/>
        <v>0</v>
      </c>
      <c r="AV510" s="53">
        <f t="shared" si="500"/>
        <v>0</v>
      </c>
      <c r="AW510" s="53">
        <f t="shared" si="500"/>
        <v>0</v>
      </c>
      <c r="AX510" s="53">
        <f t="shared" si="500"/>
        <v>0</v>
      </c>
      <c r="AY510" s="53">
        <f t="shared" si="500"/>
        <v>0</v>
      </c>
      <c r="AZ510" s="53">
        <f t="shared" si="500"/>
        <v>0</v>
      </c>
      <c r="BA510" s="53">
        <f t="shared" si="500"/>
        <v>0</v>
      </c>
      <c r="BB510" s="53">
        <f t="shared" si="500"/>
        <v>0</v>
      </c>
      <c r="BC510" s="53">
        <f t="shared" si="500"/>
        <v>0</v>
      </c>
      <c r="BD510" s="53">
        <f t="shared" si="500"/>
        <v>0</v>
      </c>
      <c r="BE510" s="53">
        <f t="shared" si="500"/>
        <v>0</v>
      </c>
      <c r="BF510" s="53">
        <f t="shared" si="500"/>
        <v>0</v>
      </c>
      <c r="BG510" s="53">
        <f t="shared" si="500"/>
        <v>0</v>
      </c>
      <c r="BH510" s="53">
        <f t="shared" si="500"/>
        <v>0</v>
      </c>
      <c r="BI510" s="53">
        <f t="shared" si="500"/>
        <v>0</v>
      </c>
      <c r="BJ510" s="53">
        <f t="shared" si="500"/>
        <v>0</v>
      </c>
      <c r="BK510" s="53">
        <f t="shared" si="500"/>
        <v>0</v>
      </c>
      <c r="BL510" s="53">
        <f t="shared" si="500"/>
        <v>0</v>
      </c>
      <c r="BM510" s="53">
        <f t="shared" si="500"/>
        <v>0</v>
      </c>
      <c r="BN510" s="53">
        <f t="shared" si="500"/>
        <v>0</v>
      </c>
      <c r="BO510" s="53">
        <f t="shared" ref="BO510:CX510" si="501">IFERROR(IF(BO$262=0,0,(BO251-BO252)/BO252),0)</f>
        <v>0</v>
      </c>
      <c r="BP510" s="53">
        <f t="shared" si="501"/>
        <v>0</v>
      </c>
      <c r="BQ510" s="53">
        <f t="shared" si="501"/>
        <v>0</v>
      </c>
      <c r="BR510" s="53">
        <f t="shared" si="501"/>
        <v>0</v>
      </c>
      <c r="BS510" s="53">
        <f t="shared" si="501"/>
        <v>0</v>
      </c>
      <c r="BT510" s="53">
        <f t="shared" si="501"/>
        <v>0</v>
      </c>
      <c r="BU510" s="53">
        <f t="shared" si="501"/>
        <v>0</v>
      </c>
      <c r="BV510" s="53">
        <f t="shared" si="501"/>
        <v>0</v>
      </c>
      <c r="BW510" s="53">
        <f t="shared" si="501"/>
        <v>0</v>
      </c>
      <c r="BX510" s="53">
        <f t="shared" si="501"/>
        <v>0</v>
      </c>
      <c r="BY510" s="53">
        <f t="shared" si="501"/>
        <v>0</v>
      </c>
      <c r="BZ510" s="53">
        <f t="shared" si="501"/>
        <v>0</v>
      </c>
      <c r="CA510" s="53">
        <f t="shared" si="501"/>
        <v>0</v>
      </c>
      <c r="CB510" s="53">
        <f t="shared" si="501"/>
        <v>0</v>
      </c>
      <c r="CC510" s="53">
        <f t="shared" si="501"/>
        <v>0</v>
      </c>
      <c r="CD510" s="53">
        <f t="shared" si="501"/>
        <v>0</v>
      </c>
      <c r="CE510" s="53">
        <f t="shared" si="501"/>
        <v>0</v>
      </c>
      <c r="CF510" s="53">
        <f t="shared" si="501"/>
        <v>0</v>
      </c>
      <c r="CG510" s="53">
        <f t="shared" si="501"/>
        <v>0</v>
      </c>
      <c r="CH510" s="53">
        <f t="shared" si="501"/>
        <v>0</v>
      </c>
      <c r="CI510" s="53">
        <f t="shared" si="501"/>
        <v>0</v>
      </c>
      <c r="CJ510" s="53">
        <f t="shared" si="501"/>
        <v>0</v>
      </c>
      <c r="CK510" s="53">
        <f t="shared" si="501"/>
        <v>0</v>
      </c>
      <c r="CL510" s="53">
        <f t="shared" si="501"/>
        <v>0</v>
      </c>
      <c r="CM510" s="53">
        <f t="shared" si="501"/>
        <v>0</v>
      </c>
      <c r="CN510" s="53">
        <f t="shared" si="501"/>
        <v>0</v>
      </c>
      <c r="CO510" s="53">
        <f t="shared" si="501"/>
        <v>0</v>
      </c>
      <c r="CP510" s="53">
        <f t="shared" si="501"/>
        <v>0</v>
      </c>
      <c r="CQ510" s="53">
        <f t="shared" si="501"/>
        <v>0</v>
      </c>
      <c r="CR510" s="53">
        <f t="shared" si="501"/>
        <v>0</v>
      </c>
      <c r="CS510" s="53">
        <f t="shared" si="501"/>
        <v>0</v>
      </c>
      <c r="CT510" s="53">
        <f t="shared" si="501"/>
        <v>0</v>
      </c>
      <c r="CU510" s="53">
        <f t="shared" si="501"/>
        <v>0</v>
      </c>
      <c r="CV510" s="53">
        <f t="shared" si="501"/>
        <v>0</v>
      </c>
      <c r="CW510" s="53">
        <f t="shared" si="501"/>
        <v>0</v>
      </c>
      <c r="CX510" s="53">
        <f t="shared" si="501"/>
        <v>0</v>
      </c>
      <c r="DB510" s="2" vm="759">
        <f ca="1">IF(Returns!A514&lt;&gt;0,Returns!A514,"")</f>
        <v>43766</v>
      </c>
      <c r="DC510" s="11">
        <f ca="1">IF(Returns!B525&gt;0,Returns!B525/Returns!B524-1,"")</f>
        <v>-9.7920516578516859E-3</v>
      </c>
      <c r="DD510" s="11">
        <f ca="1">IF(Returns!D517&gt;0,Returns!D517/Returns!D516-1,"")</f>
        <v>-4.6159047443465884E-3</v>
      </c>
    </row>
    <row r="511" spans="2:108" x14ac:dyDescent="0.3">
      <c r="B511" s="57">
        <f t="shared" ca="1" si="393"/>
        <v>5.5011206751464222E-3</v>
      </c>
      <c r="C511" s="53">
        <f t="shared" ref="C511:BN511" si="502">IFERROR(IF(C$262=0,0,(C252-C253)/C253),0)</f>
        <v>0</v>
      </c>
      <c r="D511" s="53">
        <f t="shared" si="502"/>
        <v>0</v>
      </c>
      <c r="E511" s="53">
        <f t="shared" si="502"/>
        <v>0</v>
      </c>
      <c r="F511" s="53">
        <f t="shared" si="502"/>
        <v>0</v>
      </c>
      <c r="G511" s="53">
        <f t="shared" si="502"/>
        <v>0</v>
      </c>
      <c r="H511" s="53">
        <f t="shared" si="502"/>
        <v>0</v>
      </c>
      <c r="I511" s="53">
        <f t="shared" si="502"/>
        <v>0</v>
      </c>
      <c r="J511" s="53">
        <f t="shared" si="502"/>
        <v>0</v>
      </c>
      <c r="K511" s="53">
        <f t="shared" si="502"/>
        <v>0</v>
      </c>
      <c r="L511" s="53">
        <f t="shared" si="502"/>
        <v>0</v>
      </c>
      <c r="M511" s="53">
        <f t="shared" si="502"/>
        <v>0</v>
      </c>
      <c r="N511" s="53">
        <f t="shared" si="502"/>
        <v>0</v>
      </c>
      <c r="O511" s="53">
        <f t="shared" si="502"/>
        <v>0</v>
      </c>
      <c r="P511" s="53">
        <f t="shared" si="502"/>
        <v>0</v>
      </c>
      <c r="Q511" s="53">
        <f t="shared" si="502"/>
        <v>0</v>
      </c>
      <c r="R511" s="53">
        <f t="shared" si="502"/>
        <v>0</v>
      </c>
      <c r="S511" s="53">
        <f t="shared" si="502"/>
        <v>0</v>
      </c>
      <c r="T511" s="53">
        <f t="shared" si="502"/>
        <v>0</v>
      </c>
      <c r="U511" s="53">
        <f t="shared" si="502"/>
        <v>0</v>
      </c>
      <c r="V511" s="53">
        <f t="shared" si="502"/>
        <v>0</v>
      </c>
      <c r="W511" s="53">
        <f t="shared" si="502"/>
        <v>0</v>
      </c>
      <c r="X511" s="53">
        <f t="shared" si="502"/>
        <v>0</v>
      </c>
      <c r="Y511" s="53">
        <f t="shared" si="502"/>
        <v>0</v>
      </c>
      <c r="Z511" s="53">
        <f t="shared" si="502"/>
        <v>0</v>
      </c>
      <c r="AA511" s="53">
        <f t="shared" si="502"/>
        <v>0</v>
      </c>
      <c r="AB511" s="53">
        <f t="shared" si="502"/>
        <v>0</v>
      </c>
      <c r="AC511" s="53">
        <f t="shared" si="502"/>
        <v>0</v>
      </c>
      <c r="AD511" s="53">
        <f t="shared" si="502"/>
        <v>0</v>
      </c>
      <c r="AE511" s="53">
        <f t="shared" si="502"/>
        <v>0</v>
      </c>
      <c r="AF511" s="53">
        <f t="shared" si="502"/>
        <v>0</v>
      </c>
      <c r="AG511" s="53">
        <f t="shared" si="502"/>
        <v>0</v>
      </c>
      <c r="AH511" s="53">
        <f t="shared" si="502"/>
        <v>0</v>
      </c>
      <c r="AI511" s="53">
        <f t="shared" si="502"/>
        <v>0</v>
      </c>
      <c r="AJ511" s="53">
        <f t="shared" si="502"/>
        <v>0</v>
      </c>
      <c r="AK511" s="53">
        <f t="shared" si="502"/>
        <v>0</v>
      </c>
      <c r="AL511" s="53">
        <f t="shared" si="502"/>
        <v>0</v>
      </c>
      <c r="AM511" s="53">
        <f t="shared" si="502"/>
        <v>0</v>
      </c>
      <c r="AN511" s="53">
        <f t="shared" si="502"/>
        <v>0</v>
      </c>
      <c r="AO511" s="53">
        <f t="shared" si="502"/>
        <v>0</v>
      </c>
      <c r="AP511" s="53">
        <f t="shared" si="502"/>
        <v>0</v>
      </c>
      <c r="AQ511" s="53">
        <f t="shared" si="502"/>
        <v>0</v>
      </c>
      <c r="AR511" s="53">
        <f t="shared" si="502"/>
        <v>0</v>
      </c>
      <c r="AS511" s="53">
        <f t="shared" si="502"/>
        <v>0</v>
      </c>
      <c r="AT511" s="53">
        <f t="shared" si="502"/>
        <v>0</v>
      </c>
      <c r="AU511" s="53">
        <f t="shared" si="502"/>
        <v>0</v>
      </c>
      <c r="AV511" s="53">
        <f t="shared" si="502"/>
        <v>0</v>
      </c>
      <c r="AW511" s="53">
        <f t="shared" si="502"/>
        <v>0</v>
      </c>
      <c r="AX511" s="53">
        <f t="shared" si="502"/>
        <v>0</v>
      </c>
      <c r="AY511" s="53">
        <f t="shared" si="502"/>
        <v>0</v>
      </c>
      <c r="AZ511" s="53">
        <f t="shared" si="502"/>
        <v>0</v>
      </c>
      <c r="BA511" s="53">
        <f t="shared" si="502"/>
        <v>0</v>
      </c>
      <c r="BB511" s="53">
        <f t="shared" si="502"/>
        <v>0</v>
      </c>
      <c r="BC511" s="53">
        <f t="shared" si="502"/>
        <v>0</v>
      </c>
      <c r="BD511" s="53">
        <f t="shared" si="502"/>
        <v>0</v>
      </c>
      <c r="BE511" s="53">
        <f t="shared" si="502"/>
        <v>0</v>
      </c>
      <c r="BF511" s="53">
        <f t="shared" si="502"/>
        <v>0</v>
      </c>
      <c r="BG511" s="53">
        <f t="shared" si="502"/>
        <v>0</v>
      </c>
      <c r="BH511" s="53">
        <f t="shared" si="502"/>
        <v>0</v>
      </c>
      <c r="BI511" s="53">
        <f t="shared" si="502"/>
        <v>0</v>
      </c>
      <c r="BJ511" s="53">
        <f t="shared" si="502"/>
        <v>0</v>
      </c>
      <c r="BK511" s="53">
        <f t="shared" si="502"/>
        <v>0</v>
      </c>
      <c r="BL511" s="53">
        <f t="shared" si="502"/>
        <v>0</v>
      </c>
      <c r="BM511" s="53">
        <f t="shared" si="502"/>
        <v>0</v>
      </c>
      <c r="BN511" s="53">
        <f t="shared" si="502"/>
        <v>0</v>
      </c>
      <c r="BO511" s="53">
        <f t="shared" ref="BO511:CX511" si="503">IFERROR(IF(BO$262=0,0,(BO252-BO253)/BO253),0)</f>
        <v>0</v>
      </c>
      <c r="BP511" s="53">
        <f t="shared" si="503"/>
        <v>0</v>
      </c>
      <c r="BQ511" s="53">
        <f t="shared" si="503"/>
        <v>0</v>
      </c>
      <c r="BR511" s="53">
        <f t="shared" si="503"/>
        <v>0</v>
      </c>
      <c r="BS511" s="53">
        <f t="shared" si="503"/>
        <v>0</v>
      </c>
      <c r="BT511" s="53">
        <f t="shared" si="503"/>
        <v>0</v>
      </c>
      <c r="BU511" s="53">
        <f t="shared" si="503"/>
        <v>0</v>
      </c>
      <c r="BV511" s="53">
        <f t="shared" si="503"/>
        <v>0</v>
      </c>
      <c r="BW511" s="53">
        <f t="shared" si="503"/>
        <v>0</v>
      </c>
      <c r="BX511" s="53">
        <f t="shared" si="503"/>
        <v>0</v>
      </c>
      <c r="BY511" s="53">
        <f t="shared" si="503"/>
        <v>0</v>
      </c>
      <c r="BZ511" s="53">
        <f t="shared" si="503"/>
        <v>0</v>
      </c>
      <c r="CA511" s="53">
        <f t="shared" si="503"/>
        <v>0</v>
      </c>
      <c r="CB511" s="53">
        <f t="shared" si="503"/>
        <v>0</v>
      </c>
      <c r="CC511" s="53">
        <f t="shared" si="503"/>
        <v>0</v>
      </c>
      <c r="CD511" s="53">
        <f t="shared" si="503"/>
        <v>0</v>
      </c>
      <c r="CE511" s="53">
        <f t="shared" si="503"/>
        <v>0</v>
      </c>
      <c r="CF511" s="53">
        <f t="shared" si="503"/>
        <v>0</v>
      </c>
      <c r="CG511" s="53">
        <f t="shared" si="503"/>
        <v>0</v>
      </c>
      <c r="CH511" s="53">
        <f t="shared" si="503"/>
        <v>0</v>
      </c>
      <c r="CI511" s="53">
        <f t="shared" si="503"/>
        <v>0</v>
      </c>
      <c r="CJ511" s="53">
        <f t="shared" si="503"/>
        <v>0</v>
      </c>
      <c r="CK511" s="53">
        <f t="shared" si="503"/>
        <v>0</v>
      </c>
      <c r="CL511" s="53">
        <f t="shared" si="503"/>
        <v>0</v>
      </c>
      <c r="CM511" s="53">
        <f t="shared" si="503"/>
        <v>0</v>
      </c>
      <c r="CN511" s="53">
        <f t="shared" si="503"/>
        <v>0</v>
      </c>
      <c r="CO511" s="53">
        <f t="shared" si="503"/>
        <v>0</v>
      </c>
      <c r="CP511" s="53">
        <f t="shared" si="503"/>
        <v>0</v>
      </c>
      <c r="CQ511" s="53">
        <f t="shared" si="503"/>
        <v>0</v>
      </c>
      <c r="CR511" s="53">
        <f t="shared" si="503"/>
        <v>0</v>
      </c>
      <c r="CS511" s="53">
        <f t="shared" si="503"/>
        <v>0</v>
      </c>
      <c r="CT511" s="53">
        <f t="shared" si="503"/>
        <v>0</v>
      </c>
      <c r="CU511" s="53">
        <f t="shared" si="503"/>
        <v>0</v>
      </c>
      <c r="CV511" s="53">
        <f t="shared" si="503"/>
        <v>0</v>
      </c>
      <c r="CW511" s="53">
        <f t="shared" si="503"/>
        <v>0</v>
      </c>
      <c r="CX511" s="53">
        <f t="shared" si="503"/>
        <v>0</v>
      </c>
      <c r="DB511" s="2" vm="760">
        <f ca="1">IF(Returns!A515&lt;&gt;0,Returns!A515,"")</f>
        <v>43773</v>
      </c>
      <c r="DC511" s="11">
        <f ca="1">IF(Returns!B526&gt;0,Returns!B526/Returns!B525-1,"")</f>
        <v>-1.651722510618292E-3</v>
      </c>
      <c r="DD511" s="11">
        <f ca="1">IF(Returns!D518&gt;0,Returns!D518/Returns!D517-1,"")</f>
        <v>6.306352757822431E-3</v>
      </c>
    </row>
    <row r="512" spans="2:108" x14ac:dyDescent="0.3">
      <c r="B512" s="57">
        <f t="shared" ca="1" si="393"/>
        <v>3.6638722676613218E-3</v>
      </c>
      <c r="C512" s="53">
        <f t="shared" ref="C512:BN512" si="504">IFERROR(IF(C$262=0,0,(C253-C254)/C254),0)</f>
        <v>0</v>
      </c>
      <c r="D512" s="53">
        <f t="shared" si="504"/>
        <v>0</v>
      </c>
      <c r="E512" s="53">
        <f t="shared" si="504"/>
        <v>0</v>
      </c>
      <c r="F512" s="53">
        <f t="shared" si="504"/>
        <v>0</v>
      </c>
      <c r="G512" s="53">
        <f t="shared" si="504"/>
        <v>0</v>
      </c>
      <c r="H512" s="53">
        <f t="shared" si="504"/>
        <v>0</v>
      </c>
      <c r="I512" s="53">
        <f t="shared" si="504"/>
        <v>0</v>
      </c>
      <c r="J512" s="53">
        <f t="shared" si="504"/>
        <v>0</v>
      </c>
      <c r="K512" s="53">
        <f t="shared" si="504"/>
        <v>0</v>
      </c>
      <c r="L512" s="53">
        <f t="shared" si="504"/>
        <v>0</v>
      </c>
      <c r="M512" s="53">
        <f t="shared" si="504"/>
        <v>0</v>
      </c>
      <c r="N512" s="53">
        <f t="shared" si="504"/>
        <v>0</v>
      </c>
      <c r="O512" s="53">
        <f t="shared" si="504"/>
        <v>0</v>
      </c>
      <c r="P512" s="53">
        <f t="shared" si="504"/>
        <v>0</v>
      </c>
      <c r="Q512" s="53">
        <f t="shared" si="504"/>
        <v>0</v>
      </c>
      <c r="R512" s="53">
        <f t="shared" si="504"/>
        <v>0</v>
      </c>
      <c r="S512" s="53">
        <f t="shared" si="504"/>
        <v>0</v>
      </c>
      <c r="T512" s="53">
        <f t="shared" si="504"/>
        <v>0</v>
      </c>
      <c r="U512" s="53">
        <f t="shared" si="504"/>
        <v>0</v>
      </c>
      <c r="V512" s="53">
        <f t="shared" si="504"/>
        <v>0</v>
      </c>
      <c r="W512" s="53">
        <f t="shared" si="504"/>
        <v>0</v>
      </c>
      <c r="X512" s="53">
        <f t="shared" si="504"/>
        <v>0</v>
      </c>
      <c r="Y512" s="53">
        <f t="shared" si="504"/>
        <v>0</v>
      </c>
      <c r="Z512" s="53">
        <f t="shared" si="504"/>
        <v>0</v>
      </c>
      <c r="AA512" s="53">
        <f t="shared" si="504"/>
        <v>0</v>
      </c>
      <c r="AB512" s="53">
        <f t="shared" si="504"/>
        <v>0</v>
      </c>
      <c r="AC512" s="53">
        <f t="shared" si="504"/>
        <v>0</v>
      </c>
      <c r="AD512" s="53">
        <f t="shared" si="504"/>
        <v>0</v>
      </c>
      <c r="AE512" s="53">
        <f t="shared" si="504"/>
        <v>0</v>
      </c>
      <c r="AF512" s="53">
        <f t="shared" si="504"/>
        <v>0</v>
      </c>
      <c r="AG512" s="53">
        <f t="shared" si="504"/>
        <v>0</v>
      </c>
      <c r="AH512" s="53">
        <f t="shared" si="504"/>
        <v>0</v>
      </c>
      <c r="AI512" s="53">
        <f t="shared" si="504"/>
        <v>0</v>
      </c>
      <c r="AJ512" s="53">
        <f t="shared" si="504"/>
        <v>0</v>
      </c>
      <c r="AK512" s="53">
        <f t="shared" si="504"/>
        <v>0</v>
      </c>
      <c r="AL512" s="53">
        <f t="shared" si="504"/>
        <v>0</v>
      </c>
      <c r="AM512" s="53">
        <f t="shared" si="504"/>
        <v>0</v>
      </c>
      <c r="AN512" s="53">
        <f t="shared" si="504"/>
        <v>0</v>
      </c>
      <c r="AO512" s="53">
        <f t="shared" si="504"/>
        <v>0</v>
      </c>
      <c r="AP512" s="53">
        <f t="shared" si="504"/>
        <v>0</v>
      </c>
      <c r="AQ512" s="53">
        <f t="shared" si="504"/>
        <v>0</v>
      </c>
      <c r="AR512" s="53">
        <f t="shared" si="504"/>
        <v>0</v>
      </c>
      <c r="AS512" s="53">
        <f t="shared" si="504"/>
        <v>0</v>
      </c>
      <c r="AT512" s="53">
        <f t="shared" si="504"/>
        <v>0</v>
      </c>
      <c r="AU512" s="53">
        <f t="shared" si="504"/>
        <v>0</v>
      </c>
      <c r="AV512" s="53">
        <f t="shared" si="504"/>
        <v>0</v>
      </c>
      <c r="AW512" s="53">
        <f t="shared" si="504"/>
        <v>0</v>
      </c>
      <c r="AX512" s="53">
        <f t="shared" si="504"/>
        <v>0</v>
      </c>
      <c r="AY512" s="53">
        <f t="shared" si="504"/>
        <v>0</v>
      </c>
      <c r="AZ512" s="53">
        <f t="shared" si="504"/>
        <v>0</v>
      </c>
      <c r="BA512" s="53">
        <f t="shared" si="504"/>
        <v>0</v>
      </c>
      <c r="BB512" s="53">
        <f t="shared" si="504"/>
        <v>0</v>
      </c>
      <c r="BC512" s="53">
        <f t="shared" si="504"/>
        <v>0</v>
      </c>
      <c r="BD512" s="53">
        <f t="shared" si="504"/>
        <v>0</v>
      </c>
      <c r="BE512" s="53">
        <f t="shared" si="504"/>
        <v>0</v>
      </c>
      <c r="BF512" s="53">
        <f t="shared" si="504"/>
        <v>0</v>
      </c>
      <c r="BG512" s="53">
        <f t="shared" si="504"/>
        <v>0</v>
      </c>
      <c r="BH512" s="53">
        <f t="shared" si="504"/>
        <v>0</v>
      </c>
      <c r="BI512" s="53">
        <f t="shared" si="504"/>
        <v>0</v>
      </c>
      <c r="BJ512" s="53">
        <f t="shared" si="504"/>
        <v>0</v>
      </c>
      <c r="BK512" s="53">
        <f t="shared" si="504"/>
        <v>0</v>
      </c>
      <c r="BL512" s="53">
        <f t="shared" si="504"/>
        <v>0</v>
      </c>
      <c r="BM512" s="53">
        <f t="shared" si="504"/>
        <v>0</v>
      </c>
      <c r="BN512" s="53">
        <f t="shared" si="504"/>
        <v>0</v>
      </c>
      <c r="BO512" s="53">
        <f t="shared" ref="BO512:CX512" si="505">IFERROR(IF(BO$262=0,0,(BO253-BO254)/BO254),0)</f>
        <v>0</v>
      </c>
      <c r="BP512" s="53">
        <f t="shared" si="505"/>
        <v>0</v>
      </c>
      <c r="BQ512" s="53">
        <f t="shared" si="505"/>
        <v>0</v>
      </c>
      <c r="BR512" s="53">
        <f t="shared" si="505"/>
        <v>0</v>
      </c>
      <c r="BS512" s="53">
        <f t="shared" si="505"/>
        <v>0</v>
      </c>
      <c r="BT512" s="53">
        <f t="shared" si="505"/>
        <v>0</v>
      </c>
      <c r="BU512" s="53">
        <f t="shared" si="505"/>
        <v>0</v>
      </c>
      <c r="BV512" s="53">
        <f t="shared" si="505"/>
        <v>0</v>
      </c>
      <c r="BW512" s="53">
        <f t="shared" si="505"/>
        <v>0</v>
      </c>
      <c r="BX512" s="53">
        <f t="shared" si="505"/>
        <v>0</v>
      </c>
      <c r="BY512" s="53">
        <f t="shared" si="505"/>
        <v>0</v>
      </c>
      <c r="BZ512" s="53">
        <f t="shared" si="505"/>
        <v>0</v>
      </c>
      <c r="CA512" s="53">
        <f t="shared" si="505"/>
        <v>0</v>
      </c>
      <c r="CB512" s="53">
        <f t="shared" si="505"/>
        <v>0</v>
      </c>
      <c r="CC512" s="53">
        <f t="shared" si="505"/>
        <v>0</v>
      </c>
      <c r="CD512" s="53">
        <f t="shared" si="505"/>
        <v>0</v>
      </c>
      <c r="CE512" s="53">
        <f t="shared" si="505"/>
        <v>0</v>
      </c>
      <c r="CF512" s="53">
        <f t="shared" si="505"/>
        <v>0</v>
      </c>
      <c r="CG512" s="53">
        <f t="shared" si="505"/>
        <v>0</v>
      </c>
      <c r="CH512" s="53">
        <f t="shared" si="505"/>
        <v>0</v>
      </c>
      <c r="CI512" s="53">
        <f t="shared" si="505"/>
        <v>0</v>
      </c>
      <c r="CJ512" s="53">
        <f t="shared" si="505"/>
        <v>0</v>
      </c>
      <c r="CK512" s="53">
        <f t="shared" si="505"/>
        <v>0</v>
      </c>
      <c r="CL512" s="53">
        <f t="shared" si="505"/>
        <v>0</v>
      </c>
      <c r="CM512" s="53">
        <f t="shared" si="505"/>
        <v>0</v>
      </c>
      <c r="CN512" s="53">
        <f t="shared" si="505"/>
        <v>0</v>
      </c>
      <c r="CO512" s="53">
        <f t="shared" si="505"/>
        <v>0</v>
      </c>
      <c r="CP512" s="53">
        <f t="shared" si="505"/>
        <v>0</v>
      </c>
      <c r="CQ512" s="53">
        <f t="shared" si="505"/>
        <v>0</v>
      </c>
      <c r="CR512" s="53">
        <f t="shared" si="505"/>
        <v>0</v>
      </c>
      <c r="CS512" s="53">
        <f t="shared" si="505"/>
        <v>0</v>
      </c>
      <c r="CT512" s="53">
        <f t="shared" si="505"/>
        <v>0</v>
      </c>
      <c r="CU512" s="53">
        <f t="shared" si="505"/>
        <v>0</v>
      </c>
      <c r="CV512" s="53">
        <f t="shared" si="505"/>
        <v>0</v>
      </c>
      <c r="CW512" s="53">
        <f t="shared" si="505"/>
        <v>0</v>
      </c>
      <c r="CX512" s="53">
        <f t="shared" si="505"/>
        <v>0</v>
      </c>
      <c r="DB512" s="2" vm="761">
        <f ca="1">IF(Returns!A516&lt;&gt;0,Returns!A516,"")</f>
        <v>43780</v>
      </c>
      <c r="DC512" s="11">
        <f ca="1">IF(Returns!B527&gt;0,Returns!B527/Returns!B526-1,"")</f>
        <v>7.9005607958574364E-2</v>
      </c>
      <c r="DD512" s="11">
        <f ca="1">IF(Returns!D519&gt;0,Returns!D519/Returns!D518-1,"")</f>
        <v>-1.2959203847067169E-3</v>
      </c>
    </row>
    <row r="513" spans="2:108" x14ac:dyDescent="0.3">
      <c r="B513" s="57">
        <f t="shared" ca="1" si="393"/>
        <v>1.9651568910323651E-2</v>
      </c>
      <c r="C513" s="53">
        <f t="shared" ref="C513:BN513" si="506">IFERROR(IF(C$262=0,0,(C254-C255)/C255),0)</f>
        <v>0</v>
      </c>
      <c r="D513" s="53">
        <f t="shared" si="506"/>
        <v>0</v>
      </c>
      <c r="E513" s="53">
        <f t="shared" si="506"/>
        <v>0</v>
      </c>
      <c r="F513" s="53">
        <f t="shared" si="506"/>
        <v>0</v>
      </c>
      <c r="G513" s="53">
        <f t="shared" si="506"/>
        <v>0</v>
      </c>
      <c r="H513" s="53">
        <f t="shared" si="506"/>
        <v>0</v>
      </c>
      <c r="I513" s="53">
        <f t="shared" si="506"/>
        <v>0</v>
      </c>
      <c r="J513" s="53">
        <f t="shared" si="506"/>
        <v>0</v>
      </c>
      <c r="K513" s="53">
        <f t="shared" si="506"/>
        <v>0</v>
      </c>
      <c r="L513" s="53">
        <f t="shared" si="506"/>
        <v>0</v>
      </c>
      <c r="M513" s="53">
        <f t="shared" si="506"/>
        <v>0</v>
      </c>
      <c r="N513" s="53">
        <f t="shared" si="506"/>
        <v>0</v>
      </c>
      <c r="O513" s="53">
        <f t="shared" si="506"/>
        <v>0</v>
      </c>
      <c r="P513" s="53">
        <f t="shared" si="506"/>
        <v>0</v>
      </c>
      <c r="Q513" s="53">
        <f t="shared" si="506"/>
        <v>0</v>
      </c>
      <c r="R513" s="53">
        <f t="shared" si="506"/>
        <v>0</v>
      </c>
      <c r="S513" s="53">
        <f t="shared" si="506"/>
        <v>0</v>
      </c>
      <c r="T513" s="53">
        <f t="shared" si="506"/>
        <v>0</v>
      </c>
      <c r="U513" s="53">
        <f t="shared" si="506"/>
        <v>0</v>
      </c>
      <c r="V513" s="53">
        <f t="shared" si="506"/>
        <v>0</v>
      </c>
      <c r="W513" s="53">
        <f t="shared" si="506"/>
        <v>0</v>
      </c>
      <c r="X513" s="53">
        <f t="shared" si="506"/>
        <v>0</v>
      </c>
      <c r="Y513" s="53">
        <f t="shared" si="506"/>
        <v>0</v>
      </c>
      <c r="Z513" s="53">
        <f t="shared" si="506"/>
        <v>0</v>
      </c>
      <c r="AA513" s="53">
        <f t="shared" si="506"/>
        <v>0</v>
      </c>
      <c r="AB513" s="53">
        <f t="shared" si="506"/>
        <v>0</v>
      </c>
      <c r="AC513" s="53">
        <f t="shared" si="506"/>
        <v>0</v>
      </c>
      <c r="AD513" s="53">
        <f t="shared" si="506"/>
        <v>0</v>
      </c>
      <c r="AE513" s="53">
        <f t="shared" si="506"/>
        <v>0</v>
      </c>
      <c r="AF513" s="53">
        <f t="shared" si="506"/>
        <v>0</v>
      </c>
      <c r="AG513" s="53">
        <f t="shared" si="506"/>
        <v>0</v>
      </c>
      <c r="AH513" s="53">
        <f t="shared" si="506"/>
        <v>0</v>
      </c>
      <c r="AI513" s="53">
        <f t="shared" si="506"/>
        <v>0</v>
      </c>
      <c r="AJ513" s="53">
        <f t="shared" si="506"/>
        <v>0</v>
      </c>
      <c r="AK513" s="53">
        <f t="shared" si="506"/>
        <v>0</v>
      </c>
      <c r="AL513" s="53">
        <f t="shared" si="506"/>
        <v>0</v>
      </c>
      <c r="AM513" s="53">
        <f t="shared" si="506"/>
        <v>0</v>
      </c>
      <c r="AN513" s="53">
        <f t="shared" si="506"/>
        <v>0</v>
      </c>
      <c r="AO513" s="53">
        <f t="shared" si="506"/>
        <v>0</v>
      </c>
      <c r="AP513" s="53">
        <f t="shared" si="506"/>
        <v>0</v>
      </c>
      <c r="AQ513" s="53">
        <f t="shared" si="506"/>
        <v>0</v>
      </c>
      <c r="AR513" s="53">
        <f t="shared" si="506"/>
        <v>0</v>
      </c>
      <c r="AS513" s="53">
        <f t="shared" si="506"/>
        <v>0</v>
      </c>
      <c r="AT513" s="53">
        <f t="shared" si="506"/>
        <v>0</v>
      </c>
      <c r="AU513" s="53">
        <f t="shared" si="506"/>
        <v>0</v>
      </c>
      <c r="AV513" s="53">
        <f t="shared" si="506"/>
        <v>0</v>
      </c>
      <c r="AW513" s="53">
        <f t="shared" si="506"/>
        <v>0</v>
      </c>
      <c r="AX513" s="53">
        <f t="shared" si="506"/>
        <v>0</v>
      </c>
      <c r="AY513" s="53">
        <f t="shared" si="506"/>
        <v>0</v>
      </c>
      <c r="AZ513" s="53">
        <f t="shared" si="506"/>
        <v>0</v>
      </c>
      <c r="BA513" s="53">
        <f t="shared" si="506"/>
        <v>0</v>
      </c>
      <c r="BB513" s="53">
        <f t="shared" si="506"/>
        <v>0</v>
      </c>
      <c r="BC513" s="53">
        <f t="shared" si="506"/>
        <v>0</v>
      </c>
      <c r="BD513" s="53">
        <f t="shared" si="506"/>
        <v>0</v>
      </c>
      <c r="BE513" s="53">
        <f t="shared" si="506"/>
        <v>0</v>
      </c>
      <c r="BF513" s="53">
        <f t="shared" si="506"/>
        <v>0</v>
      </c>
      <c r="BG513" s="53">
        <f t="shared" si="506"/>
        <v>0</v>
      </c>
      <c r="BH513" s="53">
        <f t="shared" si="506"/>
        <v>0</v>
      </c>
      <c r="BI513" s="53">
        <f t="shared" si="506"/>
        <v>0</v>
      </c>
      <c r="BJ513" s="53">
        <f t="shared" si="506"/>
        <v>0</v>
      </c>
      <c r="BK513" s="53">
        <f t="shared" si="506"/>
        <v>0</v>
      </c>
      <c r="BL513" s="53">
        <f t="shared" si="506"/>
        <v>0</v>
      </c>
      <c r="BM513" s="53">
        <f t="shared" si="506"/>
        <v>0</v>
      </c>
      <c r="BN513" s="53">
        <f t="shared" si="506"/>
        <v>0</v>
      </c>
      <c r="BO513" s="53">
        <f t="shared" ref="BO513:CX513" si="507">IFERROR(IF(BO$262=0,0,(BO254-BO255)/BO255),0)</f>
        <v>0</v>
      </c>
      <c r="BP513" s="53">
        <f t="shared" si="507"/>
        <v>0</v>
      </c>
      <c r="BQ513" s="53">
        <f t="shared" si="507"/>
        <v>0</v>
      </c>
      <c r="BR513" s="53">
        <f t="shared" si="507"/>
        <v>0</v>
      </c>
      <c r="BS513" s="53">
        <f t="shared" si="507"/>
        <v>0</v>
      </c>
      <c r="BT513" s="53">
        <f t="shared" si="507"/>
        <v>0</v>
      </c>
      <c r="BU513" s="53">
        <f t="shared" si="507"/>
        <v>0</v>
      </c>
      <c r="BV513" s="53">
        <f t="shared" si="507"/>
        <v>0</v>
      </c>
      <c r="BW513" s="53">
        <f t="shared" si="507"/>
        <v>0</v>
      </c>
      <c r="BX513" s="53">
        <f t="shared" si="507"/>
        <v>0</v>
      </c>
      <c r="BY513" s="53">
        <f t="shared" si="507"/>
        <v>0</v>
      </c>
      <c r="BZ513" s="53">
        <f t="shared" si="507"/>
        <v>0</v>
      </c>
      <c r="CA513" s="53">
        <f t="shared" si="507"/>
        <v>0</v>
      </c>
      <c r="CB513" s="53">
        <f t="shared" si="507"/>
        <v>0</v>
      </c>
      <c r="CC513" s="53">
        <f t="shared" si="507"/>
        <v>0</v>
      </c>
      <c r="CD513" s="53">
        <f t="shared" si="507"/>
        <v>0</v>
      </c>
      <c r="CE513" s="53">
        <f t="shared" si="507"/>
        <v>0</v>
      </c>
      <c r="CF513" s="53">
        <f t="shared" si="507"/>
        <v>0</v>
      </c>
      <c r="CG513" s="53">
        <f t="shared" si="507"/>
        <v>0</v>
      </c>
      <c r="CH513" s="53">
        <f t="shared" si="507"/>
        <v>0</v>
      </c>
      <c r="CI513" s="53">
        <f t="shared" si="507"/>
        <v>0</v>
      </c>
      <c r="CJ513" s="53">
        <f t="shared" si="507"/>
        <v>0</v>
      </c>
      <c r="CK513" s="53">
        <f t="shared" si="507"/>
        <v>0</v>
      </c>
      <c r="CL513" s="53">
        <f t="shared" si="507"/>
        <v>0</v>
      </c>
      <c r="CM513" s="53">
        <f t="shared" si="507"/>
        <v>0</v>
      </c>
      <c r="CN513" s="53">
        <f t="shared" si="507"/>
        <v>0</v>
      </c>
      <c r="CO513" s="53">
        <f t="shared" si="507"/>
        <v>0</v>
      </c>
      <c r="CP513" s="53">
        <f t="shared" si="507"/>
        <v>0</v>
      </c>
      <c r="CQ513" s="53">
        <f t="shared" si="507"/>
        <v>0</v>
      </c>
      <c r="CR513" s="53">
        <f t="shared" si="507"/>
        <v>0</v>
      </c>
      <c r="CS513" s="53">
        <f t="shared" si="507"/>
        <v>0</v>
      </c>
      <c r="CT513" s="53">
        <f t="shared" si="507"/>
        <v>0</v>
      </c>
      <c r="CU513" s="53">
        <f t="shared" si="507"/>
        <v>0</v>
      </c>
      <c r="CV513" s="53">
        <f t="shared" si="507"/>
        <v>0</v>
      </c>
      <c r="CW513" s="53">
        <f t="shared" si="507"/>
        <v>0</v>
      </c>
      <c r="CX513" s="53">
        <f t="shared" si="507"/>
        <v>0</v>
      </c>
      <c r="DB513" s="2" vm="762">
        <f ca="1">IF(Returns!A517&lt;&gt;0,Returns!A517,"")</f>
        <v>43787</v>
      </c>
      <c r="DC513" s="11">
        <f ca="1">IF(Returns!B528&gt;0,Returns!B528/Returns!B527-1,"")</f>
        <v>3.5126846947309609E-2</v>
      </c>
      <c r="DD513" s="11">
        <f ca="1">IF(Returns!D520&gt;0,Returns!D520/Returns!D519-1,"")</f>
        <v>4.294671885468837E-3</v>
      </c>
    </row>
    <row r="514" spans="2:108" x14ac:dyDescent="0.3">
      <c r="B514" s="57">
        <f t="shared" ca="1" si="393"/>
        <v>2.174121787273092E-3</v>
      </c>
      <c r="C514" s="53">
        <f t="shared" ref="C514:BN514" si="508">IFERROR(IF(C$262=0,0,(C255-C256)/C256),0)</f>
        <v>0</v>
      </c>
      <c r="D514" s="53">
        <f t="shared" si="508"/>
        <v>0</v>
      </c>
      <c r="E514" s="53">
        <f t="shared" si="508"/>
        <v>0</v>
      </c>
      <c r="F514" s="53">
        <f t="shared" si="508"/>
        <v>0</v>
      </c>
      <c r="G514" s="53">
        <f t="shared" si="508"/>
        <v>0</v>
      </c>
      <c r="H514" s="53">
        <f t="shared" si="508"/>
        <v>0</v>
      </c>
      <c r="I514" s="53">
        <f t="shared" si="508"/>
        <v>0</v>
      </c>
      <c r="J514" s="53">
        <f t="shared" si="508"/>
        <v>0</v>
      </c>
      <c r="K514" s="53">
        <f t="shared" si="508"/>
        <v>0</v>
      </c>
      <c r="L514" s="53">
        <f t="shared" si="508"/>
        <v>0</v>
      </c>
      <c r="M514" s="53">
        <f t="shared" si="508"/>
        <v>0</v>
      </c>
      <c r="N514" s="53">
        <f t="shared" si="508"/>
        <v>0</v>
      </c>
      <c r="O514" s="53">
        <f t="shared" si="508"/>
        <v>0</v>
      </c>
      <c r="P514" s="53">
        <f t="shared" si="508"/>
        <v>0</v>
      </c>
      <c r="Q514" s="53">
        <f t="shared" si="508"/>
        <v>0</v>
      </c>
      <c r="R514" s="53">
        <f t="shared" si="508"/>
        <v>0</v>
      </c>
      <c r="S514" s="53">
        <f t="shared" si="508"/>
        <v>0</v>
      </c>
      <c r="T514" s="53">
        <f t="shared" si="508"/>
        <v>0</v>
      </c>
      <c r="U514" s="53">
        <f t="shared" si="508"/>
        <v>0</v>
      </c>
      <c r="V514" s="53">
        <f t="shared" si="508"/>
        <v>0</v>
      </c>
      <c r="W514" s="53">
        <f t="shared" si="508"/>
        <v>0</v>
      </c>
      <c r="X514" s="53">
        <f t="shared" si="508"/>
        <v>0</v>
      </c>
      <c r="Y514" s="53">
        <f t="shared" si="508"/>
        <v>0</v>
      </c>
      <c r="Z514" s="53">
        <f t="shared" si="508"/>
        <v>0</v>
      </c>
      <c r="AA514" s="53">
        <f t="shared" si="508"/>
        <v>0</v>
      </c>
      <c r="AB514" s="53">
        <f t="shared" si="508"/>
        <v>0</v>
      </c>
      <c r="AC514" s="53">
        <f t="shared" si="508"/>
        <v>0</v>
      </c>
      <c r="AD514" s="53">
        <f t="shared" si="508"/>
        <v>0</v>
      </c>
      <c r="AE514" s="53">
        <f t="shared" si="508"/>
        <v>0</v>
      </c>
      <c r="AF514" s="53">
        <f t="shared" si="508"/>
        <v>0</v>
      </c>
      <c r="AG514" s="53">
        <f t="shared" si="508"/>
        <v>0</v>
      </c>
      <c r="AH514" s="53">
        <f t="shared" si="508"/>
        <v>0</v>
      </c>
      <c r="AI514" s="53">
        <f t="shared" si="508"/>
        <v>0</v>
      </c>
      <c r="AJ514" s="53">
        <f t="shared" si="508"/>
        <v>0</v>
      </c>
      <c r="AK514" s="53">
        <f t="shared" si="508"/>
        <v>0</v>
      </c>
      <c r="AL514" s="53">
        <f t="shared" si="508"/>
        <v>0</v>
      </c>
      <c r="AM514" s="53">
        <f t="shared" si="508"/>
        <v>0</v>
      </c>
      <c r="AN514" s="53">
        <f t="shared" si="508"/>
        <v>0</v>
      </c>
      <c r="AO514" s="53">
        <f t="shared" si="508"/>
        <v>0</v>
      </c>
      <c r="AP514" s="53">
        <f t="shared" si="508"/>
        <v>0</v>
      </c>
      <c r="AQ514" s="53">
        <f t="shared" si="508"/>
        <v>0</v>
      </c>
      <c r="AR514" s="53">
        <f t="shared" si="508"/>
        <v>0</v>
      </c>
      <c r="AS514" s="53">
        <f t="shared" si="508"/>
        <v>0</v>
      </c>
      <c r="AT514" s="53">
        <f t="shared" si="508"/>
        <v>0</v>
      </c>
      <c r="AU514" s="53">
        <f t="shared" si="508"/>
        <v>0</v>
      </c>
      <c r="AV514" s="53">
        <f t="shared" si="508"/>
        <v>0</v>
      </c>
      <c r="AW514" s="53">
        <f t="shared" si="508"/>
        <v>0</v>
      </c>
      <c r="AX514" s="53">
        <f t="shared" si="508"/>
        <v>0</v>
      </c>
      <c r="AY514" s="53">
        <f t="shared" si="508"/>
        <v>0</v>
      </c>
      <c r="AZ514" s="53">
        <f t="shared" si="508"/>
        <v>0</v>
      </c>
      <c r="BA514" s="53">
        <f t="shared" si="508"/>
        <v>0</v>
      </c>
      <c r="BB514" s="53">
        <f t="shared" si="508"/>
        <v>0</v>
      </c>
      <c r="BC514" s="53">
        <f t="shared" si="508"/>
        <v>0</v>
      </c>
      <c r="BD514" s="53">
        <f t="shared" si="508"/>
        <v>0</v>
      </c>
      <c r="BE514" s="53">
        <f t="shared" si="508"/>
        <v>0</v>
      </c>
      <c r="BF514" s="53">
        <f t="shared" si="508"/>
        <v>0</v>
      </c>
      <c r="BG514" s="53">
        <f t="shared" si="508"/>
        <v>0</v>
      </c>
      <c r="BH514" s="53">
        <f t="shared" si="508"/>
        <v>0</v>
      </c>
      <c r="BI514" s="53">
        <f t="shared" si="508"/>
        <v>0</v>
      </c>
      <c r="BJ514" s="53">
        <f t="shared" si="508"/>
        <v>0</v>
      </c>
      <c r="BK514" s="53">
        <f t="shared" si="508"/>
        <v>0</v>
      </c>
      <c r="BL514" s="53">
        <f t="shared" si="508"/>
        <v>0</v>
      </c>
      <c r="BM514" s="53">
        <f t="shared" si="508"/>
        <v>0</v>
      </c>
      <c r="BN514" s="53">
        <f t="shared" si="508"/>
        <v>0</v>
      </c>
      <c r="BO514" s="53">
        <f t="shared" ref="BO514:CX514" si="509">IFERROR(IF(BO$262=0,0,(BO255-BO256)/BO256),0)</f>
        <v>0</v>
      </c>
      <c r="BP514" s="53">
        <f t="shared" si="509"/>
        <v>0</v>
      </c>
      <c r="BQ514" s="53">
        <f t="shared" si="509"/>
        <v>0</v>
      </c>
      <c r="BR514" s="53">
        <f t="shared" si="509"/>
        <v>0</v>
      </c>
      <c r="BS514" s="53">
        <f t="shared" si="509"/>
        <v>0</v>
      </c>
      <c r="BT514" s="53">
        <f t="shared" si="509"/>
        <v>0</v>
      </c>
      <c r="BU514" s="53">
        <f t="shared" si="509"/>
        <v>0</v>
      </c>
      <c r="BV514" s="53">
        <f t="shared" si="509"/>
        <v>0</v>
      </c>
      <c r="BW514" s="53">
        <f t="shared" si="509"/>
        <v>0</v>
      </c>
      <c r="BX514" s="53">
        <f t="shared" si="509"/>
        <v>0</v>
      </c>
      <c r="BY514" s="53">
        <f t="shared" si="509"/>
        <v>0</v>
      </c>
      <c r="BZ514" s="53">
        <f t="shared" si="509"/>
        <v>0</v>
      </c>
      <c r="CA514" s="53">
        <f t="shared" si="509"/>
        <v>0</v>
      </c>
      <c r="CB514" s="53">
        <f t="shared" si="509"/>
        <v>0</v>
      </c>
      <c r="CC514" s="53">
        <f t="shared" si="509"/>
        <v>0</v>
      </c>
      <c r="CD514" s="53">
        <f t="shared" si="509"/>
        <v>0</v>
      </c>
      <c r="CE514" s="53">
        <f t="shared" si="509"/>
        <v>0</v>
      </c>
      <c r="CF514" s="53">
        <f t="shared" si="509"/>
        <v>0</v>
      </c>
      <c r="CG514" s="53">
        <f t="shared" si="509"/>
        <v>0</v>
      </c>
      <c r="CH514" s="53">
        <f t="shared" si="509"/>
        <v>0</v>
      </c>
      <c r="CI514" s="53">
        <f t="shared" si="509"/>
        <v>0</v>
      </c>
      <c r="CJ514" s="53">
        <f t="shared" si="509"/>
        <v>0</v>
      </c>
      <c r="CK514" s="53">
        <f t="shared" si="509"/>
        <v>0</v>
      </c>
      <c r="CL514" s="53">
        <f t="shared" si="509"/>
        <v>0</v>
      </c>
      <c r="CM514" s="53">
        <f t="shared" si="509"/>
        <v>0</v>
      </c>
      <c r="CN514" s="53">
        <f t="shared" si="509"/>
        <v>0</v>
      </c>
      <c r="CO514" s="53">
        <f t="shared" si="509"/>
        <v>0</v>
      </c>
      <c r="CP514" s="53">
        <f t="shared" si="509"/>
        <v>0</v>
      </c>
      <c r="CQ514" s="53">
        <f t="shared" si="509"/>
        <v>0</v>
      </c>
      <c r="CR514" s="53">
        <f t="shared" si="509"/>
        <v>0</v>
      </c>
      <c r="CS514" s="53">
        <f t="shared" si="509"/>
        <v>0</v>
      </c>
      <c r="CT514" s="53">
        <f t="shared" si="509"/>
        <v>0</v>
      </c>
      <c r="CU514" s="53">
        <f t="shared" si="509"/>
        <v>0</v>
      </c>
      <c r="CV514" s="53">
        <f t="shared" si="509"/>
        <v>0</v>
      </c>
      <c r="CW514" s="53">
        <f t="shared" si="509"/>
        <v>0</v>
      </c>
      <c r="CX514" s="53">
        <f t="shared" si="509"/>
        <v>0</v>
      </c>
      <c r="DB514" s="2" vm="763">
        <f ca="1">IF(Returns!A518&lt;&gt;0,Returns!A518,"")</f>
        <v>43794</v>
      </c>
      <c r="DC514" s="11">
        <f ca="1">IF(Returns!B529&gt;0,Returns!B529/Returns!B528-1,"")</f>
        <v>2.6735216036320342E-2</v>
      </c>
      <c r="DD514" s="11">
        <f ca="1">IF(Returns!D521&gt;0,Returns!D521/Returns!D520-1,"")</f>
        <v>1.1363309332790728E-2</v>
      </c>
    </row>
    <row r="515" spans="2:108" x14ac:dyDescent="0.3">
      <c r="B515" s="57">
        <f t="shared" ca="1" si="393"/>
        <v>1.821717631406156E-4</v>
      </c>
      <c r="C515" s="53">
        <f t="shared" ref="C515:BN515" si="510">IFERROR(IF(C$262=0,0,(C256-C257)/C257),0)</f>
        <v>0</v>
      </c>
      <c r="D515" s="53">
        <f t="shared" si="510"/>
        <v>0</v>
      </c>
      <c r="E515" s="53">
        <f t="shared" si="510"/>
        <v>0</v>
      </c>
      <c r="F515" s="53">
        <f t="shared" si="510"/>
        <v>0</v>
      </c>
      <c r="G515" s="53">
        <f t="shared" si="510"/>
        <v>0</v>
      </c>
      <c r="H515" s="53">
        <f t="shared" si="510"/>
        <v>0</v>
      </c>
      <c r="I515" s="53">
        <f t="shared" si="510"/>
        <v>0</v>
      </c>
      <c r="J515" s="53">
        <f t="shared" si="510"/>
        <v>0</v>
      </c>
      <c r="K515" s="53">
        <f t="shared" si="510"/>
        <v>0</v>
      </c>
      <c r="L515" s="53">
        <f t="shared" si="510"/>
        <v>0</v>
      </c>
      <c r="M515" s="53">
        <f t="shared" si="510"/>
        <v>0</v>
      </c>
      <c r="N515" s="53">
        <f t="shared" si="510"/>
        <v>0</v>
      </c>
      <c r="O515" s="53">
        <f t="shared" si="510"/>
        <v>0</v>
      </c>
      <c r="P515" s="53">
        <f t="shared" si="510"/>
        <v>0</v>
      </c>
      <c r="Q515" s="53">
        <f t="shared" si="510"/>
        <v>0</v>
      </c>
      <c r="R515" s="53">
        <f t="shared" si="510"/>
        <v>0</v>
      </c>
      <c r="S515" s="53">
        <f t="shared" si="510"/>
        <v>0</v>
      </c>
      <c r="T515" s="53">
        <f t="shared" si="510"/>
        <v>0</v>
      </c>
      <c r="U515" s="53">
        <f t="shared" si="510"/>
        <v>0</v>
      </c>
      <c r="V515" s="53">
        <f t="shared" si="510"/>
        <v>0</v>
      </c>
      <c r="W515" s="53">
        <f t="shared" si="510"/>
        <v>0</v>
      </c>
      <c r="X515" s="53">
        <f t="shared" si="510"/>
        <v>0</v>
      </c>
      <c r="Y515" s="53">
        <f t="shared" si="510"/>
        <v>0</v>
      </c>
      <c r="Z515" s="53">
        <f t="shared" si="510"/>
        <v>0</v>
      </c>
      <c r="AA515" s="53">
        <f t="shared" si="510"/>
        <v>0</v>
      </c>
      <c r="AB515" s="53">
        <f t="shared" si="510"/>
        <v>0</v>
      </c>
      <c r="AC515" s="53">
        <f t="shared" si="510"/>
        <v>0</v>
      </c>
      <c r="AD515" s="53">
        <f t="shared" si="510"/>
        <v>0</v>
      </c>
      <c r="AE515" s="53">
        <f t="shared" si="510"/>
        <v>0</v>
      </c>
      <c r="AF515" s="53">
        <f t="shared" si="510"/>
        <v>0</v>
      </c>
      <c r="AG515" s="53">
        <f t="shared" si="510"/>
        <v>0</v>
      </c>
      <c r="AH515" s="53">
        <f t="shared" si="510"/>
        <v>0</v>
      </c>
      <c r="AI515" s="53">
        <f t="shared" si="510"/>
        <v>0</v>
      </c>
      <c r="AJ515" s="53">
        <f t="shared" si="510"/>
        <v>0</v>
      </c>
      <c r="AK515" s="53">
        <f t="shared" si="510"/>
        <v>0</v>
      </c>
      <c r="AL515" s="53">
        <f t="shared" si="510"/>
        <v>0</v>
      </c>
      <c r="AM515" s="53">
        <f t="shared" si="510"/>
        <v>0</v>
      </c>
      <c r="AN515" s="53">
        <f t="shared" si="510"/>
        <v>0</v>
      </c>
      <c r="AO515" s="53">
        <f t="shared" si="510"/>
        <v>0</v>
      </c>
      <c r="AP515" s="53">
        <f t="shared" si="510"/>
        <v>0</v>
      </c>
      <c r="AQ515" s="53">
        <f t="shared" si="510"/>
        <v>0</v>
      </c>
      <c r="AR515" s="53">
        <f t="shared" si="510"/>
        <v>0</v>
      </c>
      <c r="AS515" s="53">
        <f t="shared" si="510"/>
        <v>0</v>
      </c>
      <c r="AT515" s="53">
        <f t="shared" si="510"/>
        <v>0</v>
      </c>
      <c r="AU515" s="53">
        <f t="shared" si="510"/>
        <v>0</v>
      </c>
      <c r="AV515" s="53">
        <f t="shared" si="510"/>
        <v>0</v>
      </c>
      <c r="AW515" s="53">
        <f t="shared" si="510"/>
        <v>0</v>
      </c>
      <c r="AX515" s="53">
        <f t="shared" si="510"/>
        <v>0</v>
      </c>
      <c r="AY515" s="53">
        <f t="shared" si="510"/>
        <v>0</v>
      </c>
      <c r="AZ515" s="53">
        <f t="shared" si="510"/>
        <v>0</v>
      </c>
      <c r="BA515" s="53">
        <f t="shared" si="510"/>
        <v>0</v>
      </c>
      <c r="BB515" s="53">
        <f t="shared" si="510"/>
        <v>0</v>
      </c>
      <c r="BC515" s="53">
        <f t="shared" si="510"/>
        <v>0</v>
      </c>
      <c r="BD515" s="53">
        <f t="shared" si="510"/>
        <v>0</v>
      </c>
      <c r="BE515" s="53">
        <f t="shared" si="510"/>
        <v>0</v>
      </c>
      <c r="BF515" s="53">
        <f t="shared" si="510"/>
        <v>0</v>
      </c>
      <c r="BG515" s="53">
        <f t="shared" si="510"/>
        <v>0</v>
      </c>
      <c r="BH515" s="53">
        <f t="shared" si="510"/>
        <v>0</v>
      </c>
      <c r="BI515" s="53">
        <f t="shared" si="510"/>
        <v>0</v>
      </c>
      <c r="BJ515" s="53">
        <f t="shared" si="510"/>
        <v>0</v>
      </c>
      <c r="BK515" s="53">
        <f t="shared" si="510"/>
        <v>0</v>
      </c>
      <c r="BL515" s="53">
        <f t="shared" si="510"/>
        <v>0</v>
      </c>
      <c r="BM515" s="53">
        <f t="shared" si="510"/>
        <v>0</v>
      </c>
      <c r="BN515" s="53">
        <f t="shared" si="510"/>
        <v>0</v>
      </c>
      <c r="BO515" s="53">
        <f t="shared" ref="BO515:CX515" si="511">IFERROR(IF(BO$262=0,0,(BO256-BO257)/BO257),0)</f>
        <v>0</v>
      </c>
      <c r="BP515" s="53">
        <f t="shared" si="511"/>
        <v>0</v>
      </c>
      <c r="BQ515" s="53">
        <f t="shared" si="511"/>
        <v>0</v>
      </c>
      <c r="BR515" s="53">
        <f t="shared" si="511"/>
        <v>0</v>
      </c>
      <c r="BS515" s="53">
        <f t="shared" si="511"/>
        <v>0</v>
      </c>
      <c r="BT515" s="53">
        <f t="shared" si="511"/>
        <v>0</v>
      </c>
      <c r="BU515" s="53">
        <f t="shared" si="511"/>
        <v>0</v>
      </c>
      <c r="BV515" s="53">
        <f t="shared" si="511"/>
        <v>0</v>
      </c>
      <c r="BW515" s="53">
        <f t="shared" si="511"/>
        <v>0</v>
      </c>
      <c r="BX515" s="53">
        <f t="shared" si="511"/>
        <v>0</v>
      </c>
      <c r="BY515" s="53">
        <f t="shared" si="511"/>
        <v>0</v>
      </c>
      <c r="BZ515" s="53">
        <f t="shared" si="511"/>
        <v>0</v>
      </c>
      <c r="CA515" s="53">
        <f t="shared" si="511"/>
        <v>0</v>
      </c>
      <c r="CB515" s="53">
        <f t="shared" si="511"/>
        <v>0</v>
      </c>
      <c r="CC515" s="53">
        <f t="shared" si="511"/>
        <v>0</v>
      </c>
      <c r="CD515" s="53">
        <f t="shared" si="511"/>
        <v>0</v>
      </c>
      <c r="CE515" s="53">
        <f t="shared" si="511"/>
        <v>0</v>
      </c>
      <c r="CF515" s="53">
        <f t="shared" si="511"/>
        <v>0</v>
      </c>
      <c r="CG515" s="53">
        <f t="shared" si="511"/>
        <v>0</v>
      </c>
      <c r="CH515" s="53">
        <f t="shared" si="511"/>
        <v>0</v>
      </c>
      <c r="CI515" s="53">
        <f t="shared" si="511"/>
        <v>0</v>
      </c>
      <c r="CJ515" s="53">
        <f t="shared" si="511"/>
        <v>0</v>
      </c>
      <c r="CK515" s="53">
        <f t="shared" si="511"/>
        <v>0</v>
      </c>
      <c r="CL515" s="53">
        <f t="shared" si="511"/>
        <v>0</v>
      </c>
      <c r="CM515" s="53">
        <f t="shared" si="511"/>
        <v>0</v>
      </c>
      <c r="CN515" s="53">
        <f t="shared" si="511"/>
        <v>0</v>
      </c>
      <c r="CO515" s="53">
        <f t="shared" si="511"/>
        <v>0</v>
      </c>
      <c r="CP515" s="53">
        <f t="shared" si="511"/>
        <v>0</v>
      </c>
      <c r="CQ515" s="53">
        <f t="shared" si="511"/>
        <v>0</v>
      </c>
      <c r="CR515" s="53">
        <f t="shared" si="511"/>
        <v>0</v>
      </c>
      <c r="CS515" s="53">
        <f t="shared" si="511"/>
        <v>0</v>
      </c>
      <c r="CT515" s="53">
        <f t="shared" si="511"/>
        <v>0</v>
      </c>
      <c r="CU515" s="53">
        <f t="shared" si="511"/>
        <v>0</v>
      </c>
      <c r="CV515" s="53">
        <f t="shared" si="511"/>
        <v>0</v>
      </c>
      <c r="CW515" s="53">
        <f t="shared" si="511"/>
        <v>0</v>
      </c>
      <c r="CX515" s="53">
        <f t="shared" si="511"/>
        <v>0</v>
      </c>
      <c r="DB515" s="2" vm="764">
        <f ca="1">IF(Returns!A519&lt;&gt;0,Returns!A519,"")</f>
        <v>43801</v>
      </c>
      <c r="DC515" s="11">
        <f ca="1">IF(Returns!B530&gt;0,Returns!B530/Returns!B529-1,"")</f>
        <v>-1.8221250005855061E-2</v>
      </c>
      <c r="DD515" s="11">
        <f ca="1">IF(Returns!D522&gt;0,Returns!D522/Returns!D521-1,"")</f>
        <v>6.6832228851916309E-3</v>
      </c>
    </row>
    <row r="516" spans="2:108" x14ac:dyDescent="0.3">
      <c r="B516" s="57">
        <f t="shared" ca="1" si="393"/>
        <v>1.4334175740394308E-3</v>
      </c>
      <c r="C516" s="53">
        <f t="shared" ref="C516:BN516" si="512">IFERROR(IF(C$262=0,0,(C257-C258)/C258),0)</f>
        <v>0</v>
      </c>
      <c r="D516" s="53">
        <f t="shared" si="512"/>
        <v>0</v>
      </c>
      <c r="E516" s="53">
        <f t="shared" si="512"/>
        <v>0</v>
      </c>
      <c r="F516" s="53">
        <f t="shared" si="512"/>
        <v>0</v>
      </c>
      <c r="G516" s="53">
        <f t="shared" si="512"/>
        <v>0</v>
      </c>
      <c r="H516" s="53">
        <f t="shared" si="512"/>
        <v>0</v>
      </c>
      <c r="I516" s="53">
        <f t="shared" si="512"/>
        <v>0</v>
      </c>
      <c r="J516" s="53">
        <f t="shared" si="512"/>
        <v>0</v>
      </c>
      <c r="K516" s="53">
        <f t="shared" si="512"/>
        <v>0</v>
      </c>
      <c r="L516" s="53">
        <f t="shared" si="512"/>
        <v>0</v>
      </c>
      <c r="M516" s="53">
        <f t="shared" si="512"/>
        <v>0</v>
      </c>
      <c r="N516" s="53">
        <f t="shared" si="512"/>
        <v>0</v>
      </c>
      <c r="O516" s="53">
        <f t="shared" si="512"/>
        <v>0</v>
      </c>
      <c r="P516" s="53">
        <f t="shared" si="512"/>
        <v>0</v>
      </c>
      <c r="Q516" s="53">
        <f t="shared" si="512"/>
        <v>0</v>
      </c>
      <c r="R516" s="53">
        <f t="shared" si="512"/>
        <v>0</v>
      </c>
      <c r="S516" s="53">
        <f t="shared" si="512"/>
        <v>0</v>
      </c>
      <c r="T516" s="53">
        <f t="shared" si="512"/>
        <v>0</v>
      </c>
      <c r="U516" s="53">
        <f t="shared" si="512"/>
        <v>0</v>
      </c>
      <c r="V516" s="53">
        <f t="shared" si="512"/>
        <v>0</v>
      </c>
      <c r="W516" s="53">
        <f t="shared" si="512"/>
        <v>0</v>
      </c>
      <c r="X516" s="53">
        <f t="shared" si="512"/>
        <v>0</v>
      </c>
      <c r="Y516" s="53">
        <f t="shared" si="512"/>
        <v>0</v>
      </c>
      <c r="Z516" s="53">
        <f t="shared" si="512"/>
        <v>0</v>
      </c>
      <c r="AA516" s="53">
        <f t="shared" si="512"/>
        <v>0</v>
      </c>
      <c r="AB516" s="53">
        <f t="shared" si="512"/>
        <v>0</v>
      </c>
      <c r="AC516" s="53">
        <f t="shared" si="512"/>
        <v>0</v>
      </c>
      <c r="AD516" s="53">
        <f t="shared" si="512"/>
        <v>0</v>
      </c>
      <c r="AE516" s="53">
        <f t="shared" si="512"/>
        <v>0</v>
      </c>
      <c r="AF516" s="53">
        <f t="shared" si="512"/>
        <v>0</v>
      </c>
      <c r="AG516" s="53">
        <f t="shared" si="512"/>
        <v>0</v>
      </c>
      <c r="AH516" s="53">
        <f t="shared" si="512"/>
        <v>0</v>
      </c>
      <c r="AI516" s="53">
        <f t="shared" si="512"/>
        <v>0</v>
      </c>
      <c r="AJ516" s="53">
        <f t="shared" si="512"/>
        <v>0</v>
      </c>
      <c r="AK516" s="53">
        <f t="shared" si="512"/>
        <v>0</v>
      </c>
      <c r="AL516" s="53">
        <f t="shared" si="512"/>
        <v>0</v>
      </c>
      <c r="AM516" s="53">
        <f t="shared" si="512"/>
        <v>0</v>
      </c>
      <c r="AN516" s="53">
        <f t="shared" si="512"/>
        <v>0</v>
      </c>
      <c r="AO516" s="53">
        <f t="shared" si="512"/>
        <v>0</v>
      </c>
      <c r="AP516" s="53">
        <f t="shared" si="512"/>
        <v>0</v>
      </c>
      <c r="AQ516" s="53">
        <f t="shared" si="512"/>
        <v>0</v>
      </c>
      <c r="AR516" s="53">
        <f t="shared" si="512"/>
        <v>0</v>
      </c>
      <c r="AS516" s="53">
        <f t="shared" si="512"/>
        <v>0</v>
      </c>
      <c r="AT516" s="53">
        <f t="shared" si="512"/>
        <v>0</v>
      </c>
      <c r="AU516" s="53">
        <f t="shared" si="512"/>
        <v>0</v>
      </c>
      <c r="AV516" s="53">
        <f t="shared" si="512"/>
        <v>0</v>
      </c>
      <c r="AW516" s="53">
        <f t="shared" si="512"/>
        <v>0</v>
      </c>
      <c r="AX516" s="53">
        <f t="shared" si="512"/>
        <v>0</v>
      </c>
      <c r="AY516" s="53">
        <f t="shared" si="512"/>
        <v>0</v>
      </c>
      <c r="AZ516" s="53">
        <f t="shared" si="512"/>
        <v>0</v>
      </c>
      <c r="BA516" s="53">
        <f t="shared" si="512"/>
        <v>0</v>
      </c>
      <c r="BB516" s="53">
        <f t="shared" si="512"/>
        <v>0</v>
      </c>
      <c r="BC516" s="53">
        <f t="shared" si="512"/>
        <v>0</v>
      </c>
      <c r="BD516" s="53">
        <f t="shared" si="512"/>
        <v>0</v>
      </c>
      <c r="BE516" s="53">
        <f t="shared" si="512"/>
        <v>0</v>
      </c>
      <c r="BF516" s="53">
        <f t="shared" si="512"/>
        <v>0</v>
      </c>
      <c r="BG516" s="53">
        <f t="shared" si="512"/>
        <v>0</v>
      </c>
      <c r="BH516" s="53">
        <f t="shared" si="512"/>
        <v>0</v>
      </c>
      <c r="BI516" s="53">
        <f t="shared" si="512"/>
        <v>0</v>
      </c>
      <c r="BJ516" s="53">
        <f t="shared" si="512"/>
        <v>0</v>
      </c>
      <c r="BK516" s="53">
        <f t="shared" si="512"/>
        <v>0</v>
      </c>
      <c r="BL516" s="53">
        <f t="shared" si="512"/>
        <v>0</v>
      </c>
      <c r="BM516" s="53">
        <f t="shared" si="512"/>
        <v>0</v>
      </c>
      <c r="BN516" s="53">
        <f t="shared" si="512"/>
        <v>0</v>
      </c>
      <c r="BO516" s="53">
        <f t="shared" ref="BO516:CX516" si="513">IFERROR(IF(BO$262=0,0,(BO257-BO258)/BO258),0)</f>
        <v>0</v>
      </c>
      <c r="BP516" s="53">
        <f t="shared" si="513"/>
        <v>0</v>
      </c>
      <c r="BQ516" s="53">
        <f t="shared" si="513"/>
        <v>0</v>
      </c>
      <c r="BR516" s="53">
        <f t="shared" si="513"/>
        <v>0</v>
      </c>
      <c r="BS516" s="53">
        <f t="shared" si="513"/>
        <v>0</v>
      </c>
      <c r="BT516" s="53">
        <f t="shared" si="513"/>
        <v>0</v>
      </c>
      <c r="BU516" s="53">
        <f t="shared" si="513"/>
        <v>0</v>
      </c>
      <c r="BV516" s="53">
        <f t="shared" si="513"/>
        <v>0</v>
      </c>
      <c r="BW516" s="53">
        <f t="shared" si="513"/>
        <v>0</v>
      </c>
      <c r="BX516" s="53">
        <f t="shared" si="513"/>
        <v>0</v>
      </c>
      <c r="BY516" s="53">
        <f t="shared" si="513"/>
        <v>0</v>
      </c>
      <c r="BZ516" s="53">
        <f t="shared" si="513"/>
        <v>0</v>
      </c>
      <c r="CA516" s="53">
        <f t="shared" si="513"/>
        <v>0</v>
      </c>
      <c r="CB516" s="53">
        <f t="shared" si="513"/>
        <v>0</v>
      </c>
      <c r="CC516" s="53">
        <f t="shared" si="513"/>
        <v>0</v>
      </c>
      <c r="CD516" s="53">
        <f t="shared" si="513"/>
        <v>0</v>
      </c>
      <c r="CE516" s="53">
        <f t="shared" si="513"/>
        <v>0</v>
      </c>
      <c r="CF516" s="53">
        <f t="shared" si="513"/>
        <v>0</v>
      </c>
      <c r="CG516" s="53">
        <f t="shared" si="513"/>
        <v>0</v>
      </c>
      <c r="CH516" s="53">
        <f t="shared" si="513"/>
        <v>0</v>
      </c>
      <c r="CI516" s="53">
        <f t="shared" si="513"/>
        <v>0</v>
      </c>
      <c r="CJ516" s="53">
        <f t="shared" si="513"/>
        <v>0</v>
      </c>
      <c r="CK516" s="53">
        <f t="shared" si="513"/>
        <v>0</v>
      </c>
      <c r="CL516" s="53">
        <f t="shared" si="513"/>
        <v>0</v>
      </c>
      <c r="CM516" s="53">
        <f t="shared" si="513"/>
        <v>0</v>
      </c>
      <c r="CN516" s="53">
        <f t="shared" si="513"/>
        <v>0</v>
      </c>
      <c r="CO516" s="53">
        <f t="shared" si="513"/>
        <v>0</v>
      </c>
      <c r="CP516" s="53">
        <f t="shared" si="513"/>
        <v>0</v>
      </c>
      <c r="CQ516" s="53">
        <f t="shared" si="513"/>
        <v>0</v>
      </c>
      <c r="CR516" s="53">
        <f t="shared" si="513"/>
        <v>0</v>
      </c>
      <c r="CS516" s="53">
        <f t="shared" si="513"/>
        <v>0</v>
      </c>
      <c r="CT516" s="53">
        <f t="shared" si="513"/>
        <v>0</v>
      </c>
      <c r="CU516" s="53">
        <f t="shared" si="513"/>
        <v>0</v>
      </c>
      <c r="CV516" s="53">
        <f t="shared" si="513"/>
        <v>0</v>
      </c>
      <c r="CW516" s="53">
        <f t="shared" si="513"/>
        <v>0</v>
      </c>
      <c r="CX516" s="53">
        <f t="shared" si="513"/>
        <v>0</v>
      </c>
      <c r="DB516" s="2" vm="765">
        <f ca="1">IF(Returns!A520&lt;&gt;0,Returns!A520,"")</f>
        <v>43808</v>
      </c>
      <c r="DC516" s="11">
        <f ca="1">IF(Returns!B531&gt;0,Returns!B531/Returns!B530-1,"")</f>
        <v>-0.10125144920967388</v>
      </c>
      <c r="DD516" s="11">
        <f ca="1">IF(Returns!D523&gt;0,Returns!D523/Returns!D522-1,"")</f>
        <v>-3.622484088153799E-4</v>
      </c>
    </row>
    <row r="517" spans="2:108" x14ac:dyDescent="0.3">
      <c r="DB517" s="2" vm="766">
        <f ca="1">IF(Returns!A521&lt;&gt;0,Returns!A521,"")</f>
        <v>43815</v>
      </c>
      <c r="DC517" s="11">
        <f ca="1">IF(Returns!B532&gt;0,Returns!B532/Returns!B531-1,"")</f>
        <v>9.2050431320505055E-3</v>
      </c>
      <c r="DD517" s="11">
        <f ca="1">IF(Returns!D524&gt;0,Returns!D524/Returns!D523-1,"")</f>
        <v>6.5962586745202945E-3</v>
      </c>
    </row>
    <row r="518" spans="2:108" x14ac:dyDescent="0.3">
      <c r="DB518" s="2" vm="767">
        <f ca="1">IF(Returns!A522&lt;&gt;0,Returns!A522,"")</f>
        <v>43822</v>
      </c>
      <c r="DC518" s="11">
        <f ca="1">IF(Returns!B533&gt;0,Returns!B533/Returns!B532-1,"")</f>
        <v>-6.1064967992046748E-2</v>
      </c>
      <c r="DD518" s="11">
        <f ca="1">IF(Returns!D525&gt;0,Returns!D525/Returns!D524-1,"")</f>
        <v>1.819084589596387E-2</v>
      </c>
    </row>
    <row r="519" spans="2:108" x14ac:dyDescent="0.3">
      <c r="B519" s="64" t="s">
        <v>1358</v>
      </c>
      <c r="C519" s="58" cm="1">
        <f t="array" ref="C519:CP519">TRANSPOSE('Portfolio Builder'!$E$5:$E$96)</f>
        <v>0</v>
      </c>
      <c r="D519" s="58">
        <v>0</v>
      </c>
      <c r="E519" s="58">
        <v>0</v>
      </c>
      <c r="F519" s="58">
        <v>0</v>
      </c>
      <c r="G519" s="58">
        <v>0</v>
      </c>
      <c r="H519" s="58">
        <v>0</v>
      </c>
      <c r="I519" s="58">
        <v>0</v>
      </c>
      <c r="J519" s="58">
        <v>0</v>
      </c>
      <c r="K519" s="58">
        <v>0</v>
      </c>
      <c r="L519" s="58">
        <v>0</v>
      </c>
      <c r="M519" s="58">
        <v>0</v>
      </c>
      <c r="N519" s="58">
        <v>0</v>
      </c>
      <c r="O519" s="58">
        <v>0</v>
      </c>
      <c r="P519" s="58">
        <v>0</v>
      </c>
      <c r="Q519" s="58">
        <v>0</v>
      </c>
      <c r="R519" s="58">
        <v>0</v>
      </c>
      <c r="S519" s="58">
        <v>0</v>
      </c>
      <c r="T519" s="58">
        <v>0</v>
      </c>
      <c r="U519" s="58">
        <v>0</v>
      </c>
      <c r="V519" s="58">
        <v>0</v>
      </c>
      <c r="W519" s="58">
        <v>0</v>
      </c>
      <c r="X519" s="58">
        <v>0</v>
      </c>
      <c r="Y519" s="58">
        <v>0</v>
      </c>
      <c r="Z519" s="58">
        <v>0</v>
      </c>
      <c r="AA519" s="58">
        <v>0</v>
      </c>
      <c r="AB519" s="58">
        <v>0</v>
      </c>
      <c r="AC519" s="58">
        <v>0</v>
      </c>
      <c r="AD519" s="58">
        <v>0</v>
      </c>
      <c r="AE519" s="58">
        <v>0</v>
      </c>
      <c r="AF519" s="58">
        <v>0</v>
      </c>
      <c r="AG519" s="58">
        <v>0</v>
      </c>
      <c r="AH519" s="58">
        <v>0</v>
      </c>
      <c r="AI519" s="58">
        <v>0</v>
      </c>
      <c r="AJ519" s="58">
        <v>0</v>
      </c>
      <c r="AK519" s="58">
        <v>0</v>
      </c>
      <c r="AL519" s="58">
        <v>0</v>
      </c>
      <c r="AM519" s="58">
        <v>0</v>
      </c>
      <c r="AN519" s="58">
        <v>0</v>
      </c>
      <c r="AO519" s="58">
        <v>0</v>
      </c>
      <c r="AP519" s="58">
        <v>0</v>
      </c>
      <c r="AQ519" s="58">
        <v>0</v>
      </c>
      <c r="AR519" s="58">
        <v>0</v>
      </c>
      <c r="AS519" s="58">
        <v>0</v>
      </c>
      <c r="AT519" s="58">
        <v>0</v>
      </c>
      <c r="AU519" s="58">
        <v>0</v>
      </c>
      <c r="AV519" s="58">
        <v>0</v>
      </c>
      <c r="AW519" s="58">
        <v>0</v>
      </c>
      <c r="AX519" s="58">
        <v>0</v>
      </c>
      <c r="AY519" s="58">
        <v>0</v>
      </c>
      <c r="AZ519" s="58">
        <v>0</v>
      </c>
      <c r="BA519" s="58">
        <v>0</v>
      </c>
      <c r="BB519" s="58">
        <v>0</v>
      </c>
      <c r="BC519" s="58">
        <v>0</v>
      </c>
      <c r="BD519" s="58">
        <v>0</v>
      </c>
      <c r="BE519" s="58">
        <v>0</v>
      </c>
      <c r="BF519" s="58">
        <v>0</v>
      </c>
      <c r="BG519" s="58">
        <v>0</v>
      </c>
      <c r="BH519" s="58">
        <v>0</v>
      </c>
      <c r="BI519" s="58">
        <v>0</v>
      </c>
      <c r="BJ519" s="58">
        <v>0</v>
      </c>
      <c r="BK519" s="58">
        <v>0</v>
      </c>
      <c r="BL519" s="58">
        <v>0</v>
      </c>
      <c r="BM519" s="58">
        <v>0</v>
      </c>
      <c r="BN519" s="58">
        <v>0</v>
      </c>
      <c r="BO519" s="58">
        <v>0</v>
      </c>
      <c r="BP519" s="58">
        <v>0</v>
      </c>
      <c r="BQ519" s="58">
        <v>0</v>
      </c>
      <c r="BR519" s="58">
        <v>0</v>
      </c>
      <c r="BS519" s="58">
        <v>0</v>
      </c>
      <c r="BT519" s="58">
        <v>0</v>
      </c>
      <c r="BU519" s="58">
        <v>0</v>
      </c>
      <c r="BV519" s="58">
        <v>0</v>
      </c>
      <c r="BW519" s="58">
        <v>0</v>
      </c>
      <c r="BX519" s="58">
        <v>0</v>
      </c>
      <c r="BY519" s="58">
        <v>0</v>
      </c>
      <c r="BZ519" s="58">
        <v>0</v>
      </c>
      <c r="CA519" s="58">
        <v>0</v>
      </c>
      <c r="CB519" s="58">
        <v>0</v>
      </c>
      <c r="CC519" s="58">
        <v>0</v>
      </c>
      <c r="CD519" s="58">
        <v>0</v>
      </c>
      <c r="CE519" s="58">
        <v>0</v>
      </c>
      <c r="CF519" s="58">
        <v>0</v>
      </c>
      <c r="CG519" s="58">
        <v>0</v>
      </c>
      <c r="CH519" s="58">
        <v>0</v>
      </c>
      <c r="CI519" s="58">
        <v>0</v>
      </c>
      <c r="CJ519" s="58">
        <v>0</v>
      </c>
      <c r="CK519" s="58">
        <v>0</v>
      </c>
      <c r="CL519" s="58">
        <v>0</v>
      </c>
      <c r="CM519" s="58">
        <v>0</v>
      </c>
      <c r="CN519" s="58">
        <v>0</v>
      </c>
      <c r="CO519" s="58">
        <v>0</v>
      </c>
      <c r="CP519" s="58">
        <v>0</v>
      </c>
      <c r="CQ519" s="58"/>
      <c r="CR519" s="58"/>
      <c r="CS519" s="58"/>
      <c r="CT519" s="58"/>
      <c r="CU519" s="58"/>
      <c r="CV519" s="58"/>
      <c r="CW519" s="58"/>
      <c r="CX519" s="58"/>
      <c r="DB519" s="2" vm="768">
        <f ca="1">IF(Returns!A523&lt;&gt;0,Returns!A523,"")</f>
        <v>43829</v>
      </c>
      <c r="DC519" s="11">
        <f ca="1">IF(Returns!B534&gt;0,Returns!B534/Returns!B533-1,"")</f>
        <v>3.4224089635854327E-2</v>
      </c>
      <c r="DD519" s="11">
        <f ca="1">IF(Returns!D526&gt;0,Returns!D526/Returns!D525-1,"")</f>
        <v>-1.221098997718606E-2</v>
      </c>
    </row>
    <row r="520" spans="2:108" x14ac:dyDescent="0.3">
      <c r="B520" s="65" t="s">
        <v>1359</v>
      </c>
      <c r="C520" s="26">
        <f>IFERROR(C519/SUM(_xlfn.ANCHORARRAY($C$519)),0)</f>
        <v>0</v>
      </c>
      <c r="D520" s="26">
        <f t="shared" ref="D520:BO520" si="514">IFERROR(D519/SUM(_xlfn.ANCHORARRAY($C$519)),0)</f>
        <v>0</v>
      </c>
      <c r="E520" s="26">
        <f t="shared" si="514"/>
        <v>0</v>
      </c>
      <c r="F520" s="26">
        <f t="shared" si="514"/>
        <v>0</v>
      </c>
      <c r="G520" s="26">
        <f t="shared" si="514"/>
        <v>0</v>
      </c>
      <c r="H520" s="26">
        <f t="shared" si="514"/>
        <v>0</v>
      </c>
      <c r="I520" s="26">
        <f t="shared" si="514"/>
        <v>0</v>
      </c>
      <c r="J520" s="26">
        <f t="shared" si="514"/>
        <v>0</v>
      </c>
      <c r="K520" s="26">
        <f t="shared" si="514"/>
        <v>0</v>
      </c>
      <c r="L520" s="26">
        <f t="shared" si="514"/>
        <v>0</v>
      </c>
      <c r="M520" s="26">
        <f t="shared" si="514"/>
        <v>0</v>
      </c>
      <c r="N520" s="26">
        <f t="shared" si="514"/>
        <v>0</v>
      </c>
      <c r="O520" s="26">
        <f t="shared" si="514"/>
        <v>0</v>
      </c>
      <c r="P520" s="26">
        <f t="shared" si="514"/>
        <v>0</v>
      </c>
      <c r="Q520" s="26">
        <f t="shared" si="514"/>
        <v>0</v>
      </c>
      <c r="R520" s="26">
        <f t="shared" si="514"/>
        <v>0</v>
      </c>
      <c r="S520" s="26">
        <f t="shared" si="514"/>
        <v>0</v>
      </c>
      <c r="T520" s="26">
        <f t="shared" si="514"/>
        <v>0</v>
      </c>
      <c r="U520" s="26">
        <f t="shared" si="514"/>
        <v>0</v>
      </c>
      <c r="V520" s="26">
        <f t="shared" si="514"/>
        <v>0</v>
      </c>
      <c r="W520" s="26">
        <f t="shared" si="514"/>
        <v>0</v>
      </c>
      <c r="X520" s="26">
        <f t="shared" si="514"/>
        <v>0</v>
      </c>
      <c r="Y520" s="26">
        <f t="shared" si="514"/>
        <v>0</v>
      </c>
      <c r="Z520" s="26">
        <f t="shared" si="514"/>
        <v>0</v>
      </c>
      <c r="AA520" s="26">
        <f t="shared" si="514"/>
        <v>0</v>
      </c>
      <c r="AB520" s="26">
        <f t="shared" si="514"/>
        <v>0</v>
      </c>
      <c r="AC520" s="26">
        <f t="shared" si="514"/>
        <v>0</v>
      </c>
      <c r="AD520" s="26">
        <f t="shared" si="514"/>
        <v>0</v>
      </c>
      <c r="AE520" s="26">
        <f t="shared" si="514"/>
        <v>0</v>
      </c>
      <c r="AF520" s="26">
        <f t="shared" si="514"/>
        <v>0</v>
      </c>
      <c r="AG520" s="26">
        <f t="shared" si="514"/>
        <v>0</v>
      </c>
      <c r="AH520" s="26">
        <f t="shared" si="514"/>
        <v>0</v>
      </c>
      <c r="AI520" s="26">
        <f t="shared" si="514"/>
        <v>0</v>
      </c>
      <c r="AJ520" s="26">
        <f t="shared" si="514"/>
        <v>0</v>
      </c>
      <c r="AK520" s="26">
        <f t="shared" si="514"/>
        <v>0</v>
      </c>
      <c r="AL520" s="26">
        <f t="shared" si="514"/>
        <v>0</v>
      </c>
      <c r="AM520" s="26">
        <f t="shared" si="514"/>
        <v>0</v>
      </c>
      <c r="AN520" s="26">
        <f t="shared" si="514"/>
        <v>0</v>
      </c>
      <c r="AO520" s="26">
        <f t="shared" si="514"/>
        <v>0</v>
      </c>
      <c r="AP520" s="26">
        <f t="shared" si="514"/>
        <v>0</v>
      </c>
      <c r="AQ520" s="26">
        <f t="shared" si="514"/>
        <v>0</v>
      </c>
      <c r="AR520" s="26">
        <f t="shared" si="514"/>
        <v>0</v>
      </c>
      <c r="AS520" s="26">
        <f t="shared" si="514"/>
        <v>0</v>
      </c>
      <c r="AT520" s="26">
        <f t="shared" si="514"/>
        <v>0</v>
      </c>
      <c r="AU520" s="26">
        <f t="shared" si="514"/>
        <v>0</v>
      </c>
      <c r="AV520" s="26">
        <f t="shared" si="514"/>
        <v>0</v>
      </c>
      <c r="AW520" s="26">
        <f t="shared" si="514"/>
        <v>0</v>
      </c>
      <c r="AX520" s="26">
        <f t="shared" si="514"/>
        <v>0</v>
      </c>
      <c r="AY520" s="26">
        <f t="shared" si="514"/>
        <v>0</v>
      </c>
      <c r="AZ520" s="26">
        <f t="shared" si="514"/>
        <v>0</v>
      </c>
      <c r="BA520" s="26">
        <f t="shared" si="514"/>
        <v>0</v>
      </c>
      <c r="BB520" s="26">
        <f t="shared" si="514"/>
        <v>0</v>
      </c>
      <c r="BC520" s="26">
        <f t="shared" si="514"/>
        <v>0</v>
      </c>
      <c r="BD520" s="26">
        <f t="shared" si="514"/>
        <v>0</v>
      </c>
      <c r="BE520" s="26">
        <f t="shared" si="514"/>
        <v>0</v>
      </c>
      <c r="BF520" s="26">
        <f t="shared" si="514"/>
        <v>0</v>
      </c>
      <c r="BG520" s="26">
        <f t="shared" si="514"/>
        <v>0</v>
      </c>
      <c r="BH520" s="26">
        <f t="shared" si="514"/>
        <v>0</v>
      </c>
      <c r="BI520" s="26">
        <f t="shared" si="514"/>
        <v>0</v>
      </c>
      <c r="BJ520" s="26">
        <f t="shared" si="514"/>
        <v>0</v>
      </c>
      <c r="BK520" s="26">
        <f t="shared" si="514"/>
        <v>0</v>
      </c>
      <c r="BL520" s="26">
        <f t="shared" si="514"/>
        <v>0</v>
      </c>
      <c r="BM520" s="26">
        <f t="shared" si="514"/>
        <v>0</v>
      </c>
      <c r="BN520" s="26">
        <f t="shared" si="514"/>
        <v>0</v>
      </c>
      <c r="BO520" s="26">
        <f t="shared" si="514"/>
        <v>0</v>
      </c>
      <c r="BP520" s="26">
        <f t="shared" ref="BP520:CX520" si="515">IFERROR(BP519/SUM(_xlfn.ANCHORARRAY($C$519)),0)</f>
        <v>0</v>
      </c>
      <c r="BQ520" s="26">
        <f t="shared" si="515"/>
        <v>0</v>
      </c>
      <c r="BR520" s="26">
        <f t="shared" si="515"/>
        <v>0</v>
      </c>
      <c r="BS520" s="26">
        <f t="shared" si="515"/>
        <v>0</v>
      </c>
      <c r="BT520" s="26">
        <f t="shared" si="515"/>
        <v>0</v>
      </c>
      <c r="BU520" s="26">
        <f t="shared" si="515"/>
        <v>0</v>
      </c>
      <c r="BV520" s="26">
        <f t="shared" si="515"/>
        <v>0</v>
      </c>
      <c r="BW520" s="26">
        <f t="shared" si="515"/>
        <v>0</v>
      </c>
      <c r="BX520" s="26">
        <f t="shared" si="515"/>
        <v>0</v>
      </c>
      <c r="BY520" s="26">
        <f t="shared" si="515"/>
        <v>0</v>
      </c>
      <c r="BZ520" s="26">
        <f t="shared" si="515"/>
        <v>0</v>
      </c>
      <c r="CA520" s="26">
        <f t="shared" si="515"/>
        <v>0</v>
      </c>
      <c r="CB520" s="26">
        <f t="shared" si="515"/>
        <v>0</v>
      </c>
      <c r="CC520" s="26">
        <f t="shared" si="515"/>
        <v>0</v>
      </c>
      <c r="CD520" s="26">
        <f t="shared" si="515"/>
        <v>0</v>
      </c>
      <c r="CE520" s="26">
        <f t="shared" si="515"/>
        <v>0</v>
      </c>
      <c r="CF520" s="26">
        <f t="shared" si="515"/>
        <v>0</v>
      </c>
      <c r="CG520" s="26">
        <f t="shared" si="515"/>
        <v>0</v>
      </c>
      <c r="CH520" s="26">
        <f t="shared" si="515"/>
        <v>0</v>
      </c>
      <c r="CI520" s="26">
        <f t="shared" si="515"/>
        <v>0</v>
      </c>
      <c r="CJ520" s="26">
        <f t="shared" si="515"/>
        <v>0</v>
      </c>
      <c r="CK520" s="26">
        <f t="shared" si="515"/>
        <v>0</v>
      </c>
      <c r="CL520" s="26">
        <f t="shared" si="515"/>
        <v>0</v>
      </c>
      <c r="CM520" s="26">
        <f t="shared" si="515"/>
        <v>0</v>
      </c>
      <c r="CN520" s="26">
        <f t="shared" si="515"/>
        <v>0</v>
      </c>
      <c r="CO520" s="26">
        <f t="shared" si="515"/>
        <v>0</v>
      </c>
      <c r="CP520" s="26">
        <f t="shared" si="515"/>
        <v>0</v>
      </c>
      <c r="CQ520" s="26">
        <f t="shared" si="515"/>
        <v>0</v>
      </c>
      <c r="CR520" s="26">
        <f t="shared" si="515"/>
        <v>0</v>
      </c>
      <c r="CS520" s="26">
        <f t="shared" si="515"/>
        <v>0</v>
      </c>
      <c r="CT520" s="26">
        <f t="shared" si="515"/>
        <v>0</v>
      </c>
      <c r="CU520" s="26">
        <f t="shared" si="515"/>
        <v>0</v>
      </c>
      <c r="CV520" s="26">
        <f t="shared" si="515"/>
        <v>0</v>
      </c>
      <c r="CW520" s="26">
        <f t="shared" si="515"/>
        <v>0</v>
      </c>
      <c r="CX520" s="26">
        <f t="shared" si="515"/>
        <v>0</v>
      </c>
      <c r="DB520" s="2" vm="769">
        <f ca="1">IF(Returns!A524&lt;&gt;0,Returns!A524,"")</f>
        <v>43836</v>
      </c>
      <c r="DC520" s="11">
        <f ca="1">IF(Returns!B535&gt;0,Returns!B535/Returns!B534-1,"")</f>
        <v>2.9256428451483796E-2</v>
      </c>
      <c r="DD520" s="11">
        <f ca="1">IF(Returns!D527&gt;0,Returns!D527/Returns!D526-1,"")</f>
        <v>-2.530875576189473E-2</v>
      </c>
    </row>
    <row r="521" spans="2:108" x14ac:dyDescent="0.3">
      <c r="B521" s="66" t="s">
        <v>1365</v>
      </c>
      <c r="C521" s="11">
        <f>IF(C4&lt;&gt;0,(C$5/C$29-1),0)</f>
        <v>0</v>
      </c>
      <c r="D521" s="11">
        <f t="shared" ref="D521:BO521" si="516">IF(D4&lt;&gt;0,(D$5/D$29-1),0)</f>
        <v>0</v>
      </c>
      <c r="E521" s="11">
        <f t="shared" si="516"/>
        <v>0</v>
      </c>
      <c r="F521" s="11">
        <f t="shared" si="516"/>
        <v>0</v>
      </c>
      <c r="G521" s="11">
        <f t="shared" si="516"/>
        <v>0</v>
      </c>
      <c r="H521" s="11">
        <f t="shared" si="516"/>
        <v>0</v>
      </c>
      <c r="I521" s="11">
        <f t="shared" si="516"/>
        <v>0</v>
      </c>
      <c r="J521" s="11">
        <f t="shared" si="516"/>
        <v>0</v>
      </c>
      <c r="K521" s="11">
        <f t="shared" si="516"/>
        <v>0</v>
      </c>
      <c r="L521" s="11">
        <f t="shared" si="516"/>
        <v>0</v>
      </c>
      <c r="M521" s="11">
        <f t="shared" si="516"/>
        <v>0</v>
      </c>
      <c r="N521" s="11">
        <f t="shared" si="516"/>
        <v>0</v>
      </c>
      <c r="O521" s="11">
        <f t="shared" si="516"/>
        <v>0</v>
      </c>
      <c r="P521" s="11">
        <f t="shared" si="516"/>
        <v>0</v>
      </c>
      <c r="Q521" s="11">
        <f t="shared" si="516"/>
        <v>0</v>
      </c>
      <c r="R521" s="11">
        <f t="shared" si="516"/>
        <v>0</v>
      </c>
      <c r="S521" s="11">
        <f t="shared" si="516"/>
        <v>0</v>
      </c>
      <c r="T521" s="11">
        <f t="shared" si="516"/>
        <v>0</v>
      </c>
      <c r="U521" s="11">
        <f t="shared" si="516"/>
        <v>0</v>
      </c>
      <c r="V521" s="11">
        <f t="shared" si="516"/>
        <v>0</v>
      </c>
      <c r="W521" s="11">
        <f t="shared" si="516"/>
        <v>0</v>
      </c>
      <c r="X521" s="11">
        <f t="shared" si="516"/>
        <v>0</v>
      </c>
      <c r="Y521" s="11">
        <f t="shared" si="516"/>
        <v>0</v>
      </c>
      <c r="Z521" s="11">
        <f t="shared" si="516"/>
        <v>0</v>
      </c>
      <c r="AA521" s="11">
        <f t="shared" si="516"/>
        <v>0</v>
      </c>
      <c r="AB521" s="11">
        <f t="shared" si="516"/>
        <v>0</v>
      </c>
      <c r="AC521" s="11">
        <f t="shared" si="516"/>
        <v>0</v>
      </c>
      <c r="AD521" s="11">
        <f t="shared" si="516"/>
        <v>0</v>
      </c>
      <c r="AE521" s="11">
        <f t="shared" si="516"/>
        <v>0</v>
      </c>
      <c r="AF521" s="11">
        <f t="shared" si="516"/>
        <v>0</v>
      </c>
      <c r="AG521" s="11">
        <f t="shared" si="516"/>
        <v>0</v>
      </c>
      <c r="AH521" s="11">
        <f t="shared" si="516"/>
        <v>0</v>
      </c>
      <c r="AI521" s="11">
        <f t="shared" si="516"/>
        <v>0</v>
      </c>
      <c r="AJ521" s="11">
        <f t="shared" si="516"/>
        <v>0</v>
      </c>
      <c r="AK521" s="11">
        <f t="shared" si="516"/>
        <v>0</v>
      </c>
      <c r="AL521" s="11">
        <f t="shared" si="516"/>
        <v>0</v>
      </c>
      <c r="AM521" s="11">
        <f t="shared" si="516"/>
        <v>0</v>
      </c>
      <c r="AN521" s="11">
        <f t="shared" si="516"/>
        <v>0</v>
      </c>
      <c r="AO521" s="11">
        <f t="shared" si="516"/>
        <v>0</v>
      </c>
      <c r="AP521" s="11">
        <f t="shared" si="516"/>
        <v>0</v>
      </c>
      <c r="AQ521" s="11">
        <f t="shared" si="516"/>
        <v>0</v>
      </c>
      <c r="AR521" s="11">
        <f t="shared" si="516"/>
        <v>0</v>
      </c>
      <c r="AS521" s="11">
        <f t="shared" si="516"/>
        <v>0</v>
      </c>
      <c r="AT521" s="11">
        <f t="shared" si="516"/>
        <v>0</v>
      </c>
      <c r="AU521" s="11">
        <f t="shared" si="516"/>
        <v>0</v>
      </c>
      <c r="AV521" s="11">
        <f t="shared" si="516"/>
        <v>0</v>
      </c>
      <c r="AW521" s="11">
        <f t="shared" si="516"/>
        <v>0</v>
      </c>
      <c r="AX521" s="11">
        <f t="shared" si="516"/>
        <v>0</v>
      </c>
      <c r="AY521" s="11">
        <f t="shared" si="516"/>
        <v>0</v>
      </c>
      <c r="AZ521" s="11">
        <f t="shared" si="516"/>
        <v>0</v>
      </c>
      <c r="BA521" s="11">
        <f t="shared" si="516"/>
        <v>0</v>
      </c>
      <c r="BB521" s="11">
        <f t="shared" si="516"/>
        <v>0</v>
      </c>
      <c r="BC521" s="11">
        <f t="shared" si="516"/>
        <v>0</v>
      </c>
      <c r="BD521" s="11">
        <f t="shared" si="516"/>
        <v>0</v>
      </c>
      <c r="BE521" s="11">
        <f t="shared" si="516"/>
        <v>0</v>
      </c>
      <c r="BF521" s="11">
        <f t="shared" si="516"/>
        <v>0</v>
      </c>
      <c r="BG521" s="11">
        <f t="shared" si="516"/>
        <v>0</v>
      </c>
      <c r="BH521" s="11">
        <f t="shared" si="516"/>
        <v>0</v>
      </c>
      <c r="BI521" s="11">
        <f t="shared" si="516"/>
        <v>0</v>
      </c>
      <c r="BJ521" s="11">
        <f t="shared" si="516"/>
        <v>0</v>
      </c>
      <c r="BK521" s="11">
        <f t="shared" si="516"/>
        <v>0</v>
      </c>
      <c r="BL521" s="11">
        <f t="shared" si="516"/>
        <v>0</v>
      </c>
      <c r="BM521" s="11">
        <f t="shared" si="516"/>
        <v>0</v>
      </c>
      <c r="BN521" s="11">
        <f t="shared" si="516"/>
        <v>0</v>
      </c>
      <c r="BO521" s="11">
        <f t="shared" si="516"/>
        <v>0</v>
      </c>
      <c r="BP521" s="11">
        <f t="shared" ref="BP521:CX521" si="517">IF(BP4&lt;&gt;0,(BP$5/BP$29-1),0)</f>
        <v>0</v>
      </c>
      <c r="BQ521" s="11">
        <f t="shared" si="517"/>
        <v>0</v>
      </c>
      <c r="BR521" s="11">
        <f t="shared" si="517"/>
        <v>0</v>
      </c>
      <c r="BS521" s="11">
        <f t="shared" si="517"/>
        <v>0</v>
      </c>
      <c r="BT521" s="11">
        <f t="shared" si="517"/>
        <v>0</v>
      </c>
      <c r="BU521" s="11">
        <f t="shared" si="517"/>
        <v>0</v>
      </c>
      <c r="BV521" s="11">
        <f t="shared" si="517"/>
        <v>0</v>
      </c>
      <c r="BW521" s="11">
        <f t="shared" si="517"/>
        <v>0</v>
      </c>
      <c r="BX521" s="11">
        <f t="shared" si="517"/>
        <v>0</v>
      </c>
      <c r="BY521" s="11">
        <f t="shared" si="517"/>
        <v>0</v>
      </c>
      <c r="BZ521" s="11">
        <f t="shared" si="517"/>
        <v>0</v>
      </c>
      <c r="CA521" s="11">
        <f t="shared" si="517"/>
        <v>0</v>
      </c>
      <c r="CB521" s="11">
        <f t="shared" si="517"/>
        <v>0</v>
      </c>
      <c r="CC521" s="11">
        <f t="shared" si="517"/>
        <v>0</v>
      </c>
      <c r="CD521" s="11">
        <f t="shared" si="517"/>
        <v>0</v>
      </c>
      <c r="CE521" s="11">
        <f t="shared" si="517"/>
        <v>0</v>
      </c>
      <c r="CF521" s="11">
        <f t="shared" si="517"/>
        <v>0</v>
      </c>
      <c r="CG521" s="11">
        <f t="shared" si="517"/>
        <v>0</v>
      </c>
      <c r="CH521" s="11">
        <f t="shared" si="517"/>
        <v>0</v>
      </c>
      <c r="CI521" s="11">
        <f t="shared" si="517"/>
        <v>0</v>
      </c>
      <c r="CJ521" s="11">
        <f t="shared" si="517"/>
        <v>0</v>
      </c>
      <c r="CK521" s="11">
        <f t="shared" si="517"/>
        <v>0</v>
      </c>
      <c r="CL521" s="11">
        <f t="shared" si="517"/>
        <v>0</v>
      </c>
      <c r="CM521" s="11">
        <f t="shared" si="517"/>
        <v>0</v>
      </c>
      <c r="CN521" s="11">
        <f t="shared" si="517"/>
        <v>0</v>
      </c>
      <c r="CO521" s="11">
        <f t="shared" si="517"/>
        <v>0</v>
      </c>
      <c r="CP521" s="11">
        <f t="shared" si="517"/>
        <v>0</v>
      </c>
      <c r="CQ521" s="11">
        <f t="shared" si="517"/>
        <v>0</v>
      </c>
      <c r="CR521" s="11">
        <f t="shared" si="517"/>
        <v>0</v>
      </c>
      <c r="CS521" s="11">
        <f t="shared" si="517"/>
        <v>0</v>
      </c>
      <c r="CT521" s="11">
        <f t="shared" si="517"/>
        <v>0</v>
      </c>
      <c r="CU521" s="11">
        <f t="shared" si="517"/>
        <v>0</v>
      </c>
      <c r="CV521" s="11">
        <f t="shared" si="517"/>
        <v>0</v>
      </c>
      <c r="CW521" s="11">
        <f t="shared" si="517"/>
        <v>0</v>
      </c>
      <c r="CX521" s="11">
        <f t="shared" si="517"/>
        <v>0</v>
      </c>
      <c r="DB521" s="2" vm="770">
        <f ca="1">IF(Returns!A525&lt;&gt;0,Returns!A525,"")</f>
        <v>43843</v>
      </c>
      <c r="DC521" s="11">
        <f ca="1">IF(Returns!B536&gt;0,Returns!B536/Returns!B535-1,"")</f>
        <v>3.4156097047524092E-3</v>
      </c>
      <c r="DD521" s="11">
        <f ca="1">IF(Returns!D528&gt;0,Returns!D528/Returns!D527-1,"")</f>
        <v>2.9957539367620356E-2</v>
      </c>
    </row>
    <row r="522" spans="2:108" x14ac:dyDescent="0.3">
      <c r="B522" s="64" t="s">
        <v>1298</v>
      </c>
      <c r="C522" s="36">
        <f>C521*C520</f>
        <v>0</v>
      </c>
      <c r="D522" s="36">
        <f t="shared" ref="D522:BO522" si="518">D521*D520</f>
        <v>0</v>
      </c>
      <c r="E522" s="36">
        <f t="shared" si="518"/>
        <v>0</v>
      </c>
      <c r="F522" s="36">
        <f t="shared" si="518"/>
        <v>0</v>
      </c>
      <c r="G522" s="36">
        <f t="shared" si="518"/>
        <v>0</v>
      </c>
      <c r="H522" s="36">
        <f t="shared" si="518"/>
        <v>0</v>
      </c>
      <c r="I522" s="36">
        <f t="shared" si="518"/>
        <v>0</v>
      </c>
      <c r="J522" s="36">
        <f t="shared" si="518"/>
        <v>0</v>
      </c>
      <c r="K522" s="36">
        <f t="shared" si="518"/>
        <v>0</v>
      </c>
      <c r="L522" s="36">
        <f t="shared" si="518"/>
        <v>0</v>
      </c>
      <c r="M522" s="36">
        <f t="shared" si="518"/>
        <v>0</v>
      </c>
      <c r="N522" s="36">
        <f t="shared" si="518"/>
        <v>0</v>
      </c>
      <c r="O522" s="36">
        <f t="shared" si="518"/>
        <v>0</v>
      </c>
      <c r="P522" s="36">
        <f t="shared" si="518"/>
        <v>0</v>
      </c>
      <c r="Q522" s="36">
        <f t="shared" si="518"/>
        <v>0</v>
      </c>
      <c r="R522" s="36">
        <f t="shared" si="518"/>
        <v>0</v>
      </c>
      <c r="S522" s="36">
        <f t="shared" si="518"/>
        <v>0</v>
      </c>
      <c r="T522" s="36">
        <f t="shared" si="518"/>
        <v>0</v>
      </c>
      <c r="U522" s="36">
        <f t="shared" si="518"/>
        <v>0</v>
      </c>
      <c r="V522" s="36">
        <f t="shared" si="518"/>
        <v>0</v>
      </c>
      <c r="W522" s="36">
        <f t="shared" si="518"/>
        <v>0</v>
      </c>
      <c r="X522" s="36">
        <f t="shared" si="518"/>
        <v>0</v>
      </c>
      <c r="Y522" s="36">
        <f t="shared" si="518"/>
        <v>0</v>
      </c>
      <c r="Z522" s="36">
        <f t="shared" si="518"/>
        <v>0</v>
      </c>
      <c r="AA522" s="36">
        <f t="shared" si="518"/>
        <v>0</v>
      </c>
      <c r="AB522" s="36">
        <f t="shared" si="518"/>
        <v>0</v>
      </c>
      <c r="AC522" s="36">
        <f t="shared" si="518"/>
        <v>0</v>
      </c>
      <c r="AD522" s="36">
        <f t="shared" si="518"/>
        <v>0</v>
      </c>
      <c r="AE522" s="36">
        <f t="shared" si="518"/>
        <v>0</v>
      </c>
      <c r="AF522" s="36">
        <f t="shared" si="518"/>
        <v>0</v>
      </c>
      <c r="AG522" s="36">
        <f t="shared" si="518"/>
        <v>0</v>
      </c>
      <c r="AH522" s="36">
        <f t="shared" si="518"/>
        <v>0</v>
      </c>
      <c r="AI522" s="36">
        <f t="shared" si="518"/>
        <v>0</v>
      </c>
      <c r="AJ522" s="36">
        <f t="shared" si="518"/>
        <v>0</v>
      </c>
      <c r="AK522" s="36">
        <f t="shared" si="518"/>
        <v>0</v>
      </c>
      <c r="AL522" s="36">
        <f t="shared" si="518"/>
        <v>0</v>
      </c>
      <c r="AM522" s="36">
        <f t="shared" si="518"/>
        <v>0</v>
      </c>
      <c r="AN522" s="36">
        <f t="shared" si="518"/>
        <v>0</v>
      </c>
      <c r="AO522" s="36">
        <f t="shared" si="518"/>
        <v>0</v>
      </c>
      <c r="AP522" s="36">
        <f t="shared" si="518"/>
        <v>0</v>
      </c>
      <c r="AQ522" s="36">
        <f t="shared" si="518"/>
        <v>0</v>
      </c>
      <c r="AR522" s="36">
        <f t="shared" si="518"/>
        <v>0</v>
      </c>
      <c r="AS522" s="36">
        <f t="shared" si="518"/>
        <v>0</v>
      </c>
      <c r="AT522" s="36">
        <f t="shared" si="518"/>
        <v>0</v>
      </c>
      <c r="AU522" s="36">
        <f t="shared" si="518"/>
        <v>0</v>
      </c>
      <c r="AV522" s="36">
        <f t="shared" si="518"/>
        <v>0</v>
      </c>
      <c r="AW522" s="36">
        <f t="shared" si="518"/>
        <v>0</v>
      </c>
      <c r="AX522" s="36">
        <f t="shared" si="518"/>
        <v>0</v>
      </c>
      <c r="AY522" s="36">
        <f t="shared" si="518"/>
        <v>0</v>
      </c>
      <c r="AZ522" s="36">
        <f t="shared" si="518"/>
        <v>0</v>
      </c>
      <c r="BA522" s="36">
        <f t="shared" si="518"/>
        <v>0</v>
      </c>
      <c r="BB522" s="36">
        <f t="shared" si="518"/>
        <v>0</v>
      </c>
      <c r="BC522" s="36">
        <f t="shared" si="518"/>
        <v>0</v>
      </c>
      <c r="BD522" s="36">
        <f t="shared" si="518"/>
        <v>0</v>
      </c>
      <c r="BE522" s="36">
        <f t="shared" si="518"/>
        <v>0</v>
      </c>
      <c r="BF522" s="36">
        <f t="shared" si="518"/>
        <v>0</v>
      </c>
      <c r="BG522" s="36">
        <f t="shared" si="518"/>
        <v>0</v>
      </c>
      <c r="BH522" s="36">
        <f t="shared" si="518"/>
        <v>0</v>
      </c>
      <c r="BI522" s="36">
        <f t="shared" si="518"/>
        <v>0</v>
      </c>
      <c r="BJ522" s="36">
        <f t="shared" si="518"/>
        <v>0</v>
      </c>
      <c r="BK522" s="36">
        <f t="shared" si="518"/>
        <v>0</v>
      </c>
      <c r="BL522" s="36">
        <f t="shared" si="518"/>
        <v>0</v>
      </c>
      <c r="BM522" s="36">
        <f t="shared" si="518"/>
        <v>0</v>
      </c>
      <c r="BN522" s="36">
        <f t="shared" si="518"/>
        <v>0</v>
      </c>
      <c r="BO522" s="36">
        <f t="shared" si="518"/>
        <v>0</v>
      </c>
      <c r="BP522" s="36">
        <f t="shared" ref="BP522:CX522" si="519">BP521*BP520</f>
        <v>0</v>
      </c>
      <c r="BQ522" s="36">
        <f t="shared" si="519"/>
        <v>0</v>
      </c>
      <c r="BR522" s="36">
        <f t="shared" si="519"/>
        <v>0</v>
      </c>
      <c r="BS522" s="36">
        <f t="shared" si="519"/>
        <v>0</v>
      </c>
      <c r="BT522" s="36">
        <f t="shared" si="519"/>
        <v>0</v>
      </c>
      <c r="BU522" s="36">
        <f t="shared" si="519"/>
        <v>0</v>
      </c>
      <c r="BV522" s="36">
        <f t="shared" si="519"/>
        <v>0</v>
      </c>
      <c r="BW522" s="36">
        <f t="shared" si="519"/>
        <v>0</v>
      </c>
      <c r="BX522" s="36">
        <f t="shared" si="519"/>
        <v>0</v>
      </c>
      <c r="BY522" s="36">
        <f t="shared" si="519"/>
        <v>0</v>
      </c>
      <c r="BZ522" s="36">
        <f t="shared" si="519"/>
        <v>0</v>
      </c>
      <c r="CA522" s="36">
        <f t="shared" si="519"/>
        <v>0</v>
      </c>
      <c r="CB522" s="36">
        <f t="shared" si="519"/>
        <v>0</v>
      </c>
      <c r="CC522" s="36">
        <f t="shared" si="519"/>
        <v>0</v>
      </c>
      <c r="CD522" s="36">
        <f t="shared" si="519"/>
        <v>0</v>
      </c>
      <c r="CE522" s="36">
        <f t="shared" si="519"/>
        <v>0</v>
      </c>
      <c r="CF522" s="36">
        <f t="shared" si="519"/>
        <v>0</v>
      </c>
      <c r="CG522" s="36">
        <f t="shared" si="519"/>
        <v>0</v>
      </c>
      <c r="CH522" s="36">
        <f t="shared" si="519"/>
        <v>0</v>
      </c>
      <c r="CI522" s="36">
        <f t="shared" si="519"/>
        <v>0</v>
      </c>
      <c r="CJ522" s="36">
        <f t="shared" si="519"/>
        <v>0</v>
      </c>
      <c r="CK522" s="36">
        <f t="shared" si="519"/>
        <v>0</v>
      </c>
      <c r="CL522" s="36">
        <f t="shared" si="519"/>
        <v>0</v>
      </c>
      <c r="CM522" s="36">
        <f t="shared" si="519"/>
        <v>0</v>
      </c>
      <c r="CN522" s="36">
        <f t="shared" si="519"/>
        <v>0</v>
      </c>
      <c r="CO522" s="36">
        <f t="shared" si="519"/>
        <v>0</v>
      </c>
      <c r="CP522" s="36">
        <f t="shared" si="519"/>
        <v>0</v>
      </c>
      <c r="CQ522" s="36">
        <f t="shared" si="519"/>
        <v>0</v>
      </c>
      <c r="CR522" s="36">
        <f t="shared" si="519"/>
        <v>0</v>
      </c>
      <c r="CS522" s="36">
        <f t="shared" si="519"/>
        <v>0</v>
      </c>
      <c r="CT522" s="36">
        <f t="shared" si="519"/>
        <v>0</v>
      </c>
      <c r="CU522" s="36">
        <f t="shared" si="519"/>
        <v>0</v>
      </c>
      <c r="CV522" s="36">
        <f t="shared" si="519"/>
        <v>0</v>
      </c>
      <c r="CW522" s="36">
        <f t="shared" si="519"/>
        <v>0</v>
      </c>
      <c r="CX522" s="36">
        <f t="shared" si="519"/>
        <v>0</v>
      </c>
      <c r="DB522" s="2" vm="771">
        <f ca="1">IF(Returns!A526&lt;&gt;0,Returns!A526,"")</f>
        <v>43851</v>
      </c>
      <c r="DC522" s="11">
        <f ca="1">IF(Returns!B537&gt;0,Returns!B537/Returns!B536-1,"")</f>
        <v>7.1420703979355959E-2</v>
      </c>
      <c r="DD522" s="11">
        <f ca="1">IF(Returns!D529&gt;0,Returns!D529/Returns!D528-1,"")</f>
        <v>1.0156047174413319E-2</v>
      </c>
    </row>
    <row r="523" spans="2:108" x14ac:dyDescent="0.3">
      <c r="B523" s="64" t="s">
        <v>1364</v>
      </c>
      <c r="C523" s="11">
        <f t="shared" ref="C523:AH523" si="520">IF(C4&lt;&gt;0,C$5/C$53-1,0)</f>
        <v>0</v>
      </c>
      <c r="D523" s="11">
        <f t="shared" si="520"/>
        <v>0</v>
      </c>
      <c r="E523" s="11">
        <f t="shared" si="520"/>
        <v>0</v>
      </c>
      <c r="F523" s="11">
        <f t="shared" si="520"/>
        <v>0</v>
      </c>
      <c r="G523" s="11">
        <f t="shared" si="520"/>
        <v>0</v>
      </c>
      <c r="H523" s="11">
        <f t="shared" si="520"/>
        <v>0</v>
      </c>
      <c r="I523" s="11">
        <f t="shared" si="520"/>
        <v>0</v>
      </c>
      <c r="J523" s="11">
        <f t="shared" si="520"/>
        <v>0</v>
      </c>
      <c r="K523" s="11">
        <f t="shared" si="520"/>
        <v>0</v>
      </c>
      <c r="L523" s="11">
        <f t="shared" si="520"/>
        <v>0</v>
      </c>
      <c r="M523" s="11">
        <f t="shared" si="520"/>
        <v>0</v>
      </c>
      <c r="N523" s="11">
        <f t="shared" si="520"/>
        <v>0</v>
      </c>
      <c r="O523" s="11">
        <f t="shared" si="520"/>
        <v>0</v>
      </c>
      <c r="P523" s="11">
        <f t="shared" si="520"/>
        <v>0</v>
      </c>
      <c r="Q523" s="11">
        <f t="shared" si="520"/>
        <v>0</v>
      </c>
      <c r="R523" s="11">
        <f t="shared" si="520"/>
        <v>0</v>
      </c>
      <c r="S523" s="11">
        <f t="shared" si="520"/>
        <v>0</v>
      </c>
      <c r="T523" s="11">
        <f t="shared" si="520"/>
        <v>0</v>
      </c>
      <c r="U523" s="11">
        <f t="shared" si="520"/>
        <v>0</v>
      </c>
      <c r="V523" s="11">
        <f t="shared" si="520"/>
        <v>0</v>
      </c>
      <c r="W523" s="11">
        <f t="shared" si="520"/>
        <v>0</v>
      </c>
      <c r="X523" s="11">
        <f t="shared" si="520"/>
        <v>0</v>
      </c>
      <c r="Y523" s="11">
        <f t="shared" si="520"/>
        <v>0</v>
      </c>
      <c r="Z523" s="11">
        <f t="shared" si="520"/>
        <v>0</v>
      </c>
      <c r="AA523" s="11">
        <f t="shared" si="520"/>
        <v>0</v>
      </c>
      <c r="AB523" s="11">
        <f t="shared" si="520"/>
        <v>0</v>
      </c>
      <c r="AC523" s="11">
        <f t="shared" si="520"/>
        <v>0</v>
      </c>
      <c r="AD523" s="11">
        <f t="shared" si="520"/>
        <v>0</v>
      </c>
      <c r="AE523" s="11">
        <f t="shared" si="520"/>
        <v>0</v>
      </c>
      <c r="AF523" s="11">
        <f t="shared" si="520"/>
        <v>0</v>
      </c>
      <c r="AG523" s="11">
        <f t="shared" si="520"/>
        <v>0</v>
      </c>
      <c r="AH523" s="11">
        <f t="shared" si="520"/>
        <v>0</v>
      </c>
      <c r="AI523" s="11">
        <f t="shared" ref="AI523:BN523" si="521">IF(AI4&lt;&gt;0,AI$5/AI$53-1,0)</f>
        <v>0</v>
      </c>
      <c r="AJ523" s="11">
        <f t="shared" si="521"/>
        <v>0</v>
      </c>
      <c r="AK523" s="11">
        <f t="shared" si="521"/>
        <v>0</v>
      </c>
      <c r="AL523" s="11">
        <f t="shared" si="521"/>
        <v>0</v>
      </c>
      <c r="AM523" s="11">
        <f t="shared" si="521"/>
        <v>0</v>
      </c>
      <c r="AN523" s="11">
        <f t="shared" si="521"/>
        <v>0</v>
      </c>
      <c r="AO523" s="11">
        <f t="shared" si="521"/>
        <v>0</v>
      </c>
      <c r="AP523" s="11">
        <f t="shared" si="521"/>
        <v>0</v>
      </c>
      <c r="AQ523" s="11">
        <f t="shared" si="521"/>
        <v>0</v>
      </c>
      <c r="AR523" s="11">
        <f t="shared" si="521"/>
        <v>0</v>
      </c>
      <c r="AS523" s="11">
        <f t="shared" si="521"/>
        <v>0</v>
      </c>
      <c r="AT523" s="11">
        <f t="shared" si="521"/>
        <v>0</v>
      </c>
      <c r="AU523" s="11">
        <f t="shared" si="521"/>
        <v>0</v>
      </c>
      <c r="AV523" s="11">
        <f t="shared" si="521"/>
        <v>0</v>
      </c>
      <c r="AW523" s="11">
        <f t="shared" si="521"/>
        <v>0</v>
      </c>
      <c r="AX523" s="11">
        <f t="shared" si="521"/>
        <v>0</v>
      </c>
      <c r="AY523" s="11">
        <f t="shared" si="521"/>
        <v>0</v>
      </c>
      <c r="AZ523" s="11">
        <f t="shared" si="521"/>
        <v>0</v>
      </c>
      <c r="BA523" s="11">
        <f t="shared" si="521"/>
        <v>0</v>
      </c>
      <c r="BB523" s="11">
        <f t="shared" si="521"/>
        <v>0</v>
      </c>
      <c r="BC523" s="11">
        <f t="shared" si="521"/>
        <v>0</v>
      </c>
      <c r="BD523" s="11">
        <f t="shared" si="521"/>
        <v>0</v>
      </c>
      <c r="BE523" s="11">
        <f t="shared" si="521"/>
        <v>0</v>
      </c>
      <c r="BF523" s="11">
        <f t="shared" si="521"/>
        <v>0</v>
      </c>
      <c r="BG523" s="11">
        <f t="shared" si="521"/>
        <v>0</v>
      </c>
      <c r="BH523" s="11">
        <f t="shared" si="521"/>
        <v>0</v>
      </c>
      <c r="BI523" s="11">
        <f t="shared" si="521"/>
        <v>0</v>
      </c>
      <c r="BJ523" s="11">
        <f t="shared" si="521"/>
        <v>0</v>
      </c>
      <c r="BK523" s="11">
        <f t="shared" si="521"/>
        <v>0</v>
      </c>
      <c r="BL523" s="11">
        <f t="shared" si="521"/>
        <v>0</v>
      </c>
      <c r="BM523" s="11">
        <f t="shared" si="521"/>
        <v>0</v>
      </c>
      <c r="BN523" s="11">
        <f t="shared" si="521"/>
        <v>0</v>
      </c>
      <c r="BO523" s="11">
        <f t="shared" ref="BO523:CX523" si="522">IF(BO4&lt;&gt;0,BO$5/BO$53-1,0)</f>
        <v>0</v>
      </c>
      <c r="BP523" s="11">
        <f t="shared" si="522"/>
        <v>0</v>
      </c>
      <c r="BQ523" s="11">
        <f t="shared" si="522"/>
        <v>0</v>
      </c>
      <c r="BR523" s="11">
        <f t="shared" si="522"/>
        <v>0</v>
      </c>
      <c r="BS523" s="11">
        <f t="shared" si="522"/>
        <v>0</v>
      </c>
      <c r="BT523" s="11">
        <f t="shared" si="522"/>
        <v>0</v>
      </c>
      <c r="BU523" s="11">
        <f t="shared" si="522"/>
        <v>0</v>
      </c>
      <c r="BV523" s="11">
        <f t="shared" si="522"/>
        <v>0</v>
      </c>
      <c r="BW523" s="11">
        <f t="shared" si="522"/>
        <v>0</v>
      </c>
      <c r="BX523" s="11">
        <f t="shared" si="522"/>
        <v>0</v>
      </c>
      <c r="BY523" s="11">
        <f t="shared" si="522"/>
        <v>0</v>
      </c>
      <c r="BZ523" s="11">
        <f t="shared" si="522"/>
        <v>0</v>
      </c>
      <c r="CA523" s="11">
        <f t="shared" si="522"/>
        <v>0</v>
      </c>
      <c r="CB523" s="11">
        <f t="shared" si="522"/>
        <v>0</v>
      </c>
      <c r="CC523" s="11">
        <f t="shared" si="522"/>
        <v>0</v>
      </c>
      <c r="CD523" s="11">
        <f t="shared" si="522"/>
        <v>0</v>
      </c>
      <c r="CE523" s="11">
        <f t="shared" si="522"/>
        <v>0</v>
      </c>
      <c r="CF523" s="11">
        <f t="shared" si="522"/>
        <v>0</v>
      </c>
      <c r="CG523" s="11">
        <f t="shared" si="522"/>
        <v>0</v>
      </c>
      <c r="CH523" s="11">
        <f t="shared" si="522"/>
        <v>0</v>
      </c>
      <c r="CI523" s="11">
        <f t="shared" si="522"/>
        <v>0</v>
      </c>
      <c r="CJ523" s="11">
        <f t="shared" si="522"/>
        <v>0</v>
      </c>
      <c r="CK523" s="11">
        <f t="shared" si="522"/>
        <v>0</v>
      </c>
      <c r="CL523" s="11">
        <f t="shared" si="522"/>
        <v>0</v>
      </c>
      <c r="CM523" s="11">
        <f t="shared" si="522"/>
        <v>0</v>
      </c>
      <c r="CN523" s="11">
        <f t="shared" si="522"/>
        <v>0</v>
      </c>
      <c r="CO523" s="11">
        <f t="shared" si="522"/>
        <v>0</v>
      </c>
      <c r="CP523" s="11">
        <f t="shared" si="522"/>
        <v>0</v>
      </c>
      <c r="CQ523" s="11">
        <f t="shared" si="522"/>
        <v>0</v>
      </c>
      <c r="CR523" s="11">
        <f t="shared" si="522"/>
        <v>0</v>
      </c>
      <c r="CS523" s="11">
        <f t="shared" si="522"/>
        <v>0</v>
      </c>
      <c r="CT523" s="11">
        <f t="shared" si="522"/>
        <v>0</v>
      </c>
      <c r="CU523" s="11">
        <f t="shared" si="522"/>
        <v>0</v>
      </c>
      <c r="CV523" s="11">
        <f t="shared" si="522"/>
        <v>0</v>
      </c>
      <c r="CW523" s="11">
        <f t="shared" si="522"/>
        <v>0</v>
      </c>
      <c r="CX523" s="11">
        <f t="shared" si="522"/>
        <v>0</v>
      </c>
      <c r="DB523" s="2" vm="772">
        <f ca="1">IF(Returns!A527&lt;&gt;0,Returns!A527,"")</f>
        <v>43857</v>
      </c>
      <c r="DC523" s="11">
        <f ca="1">IF(Returns!B538&gt;0,Returns!B538/Returns!B537-1,"")</f>
        <v>0.16264269909338336</v>
      </c>
      <c r="DD523" s="11">
        <f ca="1">IF(Returns!D530&gt;0,Returns!D530/Returns!D529-1,"")</f>
        <v>-1.3799363767973971E-2</v>
      </c>
    </row>
    <row r="524" spans="2:108" x14ac:dyDescent="0.3">
      <c r="B524" s="64" t="s">
        <v>1299</v>
      </c>
      <c r="C524" s="36">
        <f>C523*C520</f>
        <v>0</v>
      </c>
      <c r="D524" s="36">
        <f t="shared" ref="D524:BO524" si="523">D523*D520</f>
        <v>0</v>
      </c>
      <c r="E524" s="36">
        <f t="shared" si="523"/>
        <v>0</v>
      </c>
      <c r="F524" s="36">
        <f t="shared" si="523"/>
        <v>0</v>
      </c>
      <c r="G524" s="36">
        <f t="shared" si="523"/>
        <v>0</v>
      </c>
      <c r="H524" s="36">
        <f t="shared" si="523"/>
        <v>0</v>
      </c>
      <c r="I524" s="36">
        <f t="shared" si="523"/>
        <v>0</v>
      </c>
      <c r="J524" s="36">
        <f t="shared" si="523"/>
        <v>0</v>
      </c>
      <c r="K524" s="36">
        <f t="shared" si="523"/>
        <v>0</v>
      </c>
      <c r="L524" s="36">
        <f t="shared" si="523"/>
        <v>0</v>
      </c>
      <c r="M524" s="36">
        <f t="shared" si="523"/>
        <v>0</v>
      </c>
      <c r="N524" s="36">
        <f t="shared" si="523"/>
        <v>0</v>
      </c>
      <c r="O524" s="36">
        <f t="shared" si="523"/>
        <v>0</v>
      </c>
      <c r="P524" s="36">
        <f t="shared" si="523"/>
        <v>0</v>
      </c>
      <c r="Q524" s="36">
        <f t="shared" si="523"/>
        <v>0</v>
      </c>
      <c r="R524" s="36">
        <f t="shared" si="523"/>
        <v>0</v>
      </c>
      <c r="S524" s="36">
        <f t="shared" si="523"/>
        <v>0</v>
      </c>
      <c r="T524" s="36">
        <f t="shared" si="523"/>
        <v>0</v>
      </c>
      <c r="U524" s="36">
        <f t="shared" si="523"/>
        <v>0</v>
      </c>
      <c r="V524" s="36">
        <f t="shared" si="523"/>
        <v>0</v>
      </c>
      <c r="W524" s="36">
        <f t="shared" si="523"/>
        <v>0</v>
      </c>
      <c r="X524" s="36">
        <f t="shared" si="523"/>
        <v>0</v>
      </c>
      <c r="Y524" s="36">
        <f t="shared" si="523"/>
        <v>0</v>
      </c>
      <c r="Z524" s="36">
        <f t="shared" si="523"/>
        <v>0</v>
      </c>
      <c r="AA524" s="36">
        <f t="shared" si="523"/>
        <v>0</v>
      </c>
      <c r="AB524" s="36">
        <f t="shared" si="523"/>
        <v>0</v>
      </c>
      <c r="AC524" s="36">
        <f t="shared" si="523"/>
        <v>0</v>
      </c>
      <c r="AD524" s="36">
        <f t="shared" si="523"/>
        <v>0</v>
      </c>
      <c r="AE524" s="36">
        <f t="shared" si="523"/>
        <v>0</v>
      </c>
      <c r="AF524" s="36">
        <f t="shared" si="523"/>
        <v>0</v>
      </c>
      <c r="AG524" s="36">
        <f t="shared" si="523"/>
        <v>0</v>
      </c>
      <c r="AH524" s="36">
        <f t="shared" si="523"/>
        <v>0</v>
      </c>
      <c r="AI524" s="36">
        <f t="shared" si="523"/>
        <v>0</v>
      </c>
      <c r="AJ524" s="36">
        <f t="shared" si="523"/>
        <v>0</v>
      </c>
      <c r="AK524" s="36">
        <f t="shared" si="523"/>
        <v>0</v>
      </c>
      <c r="AL524" s="36">
        <f t="shared" si="523"/>
        <v>0</v>
      </c>
      <c r="AM524" s="36">
        <f t="shared" si="523"/>
        <v>0</v>
      </c>
      <c r="AN524" s="36">
        <f t="shared" si="523"/>
        <v>0</v>
      </c>
      <c r="AO524" s="36">
        <f t="shared" si="523"/>
        <v>0</v>
      </c>
      <c r="AP524" s="36">
        <f t="shared" si="523"/>
        <v>0</v>
      </c>
      <c r="AQ524" s="36">
        <f t="shared" si="523"/>
        <v>0</v>
      </c>
      <c r="AR524" s="36">
        <f t="shared" si="523"/>
        <v>0</v>
      </c>
      <c r="AS524" s="36">
        <f t="shared" si="523"/>
        <v>0</v>
      </c>
      <c r="AT524" s="36">
        <f t="shared" si="523"/>
        <v>0</v>
      </c>
      <c r="AU524" s="36">
        <f t="shared" si="523"/>
        <v>0</v>
      </c>
      <c r="AV524" s="36">
        <f t="shared" si="523"/>
        <v>0</v>
      </c>
      <c r="AW524" s="36">
        <f t="shared" si="523"/>
        <v>0</v>
      </c>
      <c r="AX524" s="36">
        <f t="shared" si="523"/>
        <v>0</v>
      </c>
      <c r="AY524" s="36">
        <f t="shared" si="523"/>
        <v>0</v>
      </c>
      <c r="AZ524" s="36">
        <f t="shared" si="523"/>
        <v>0</v>
      </c>
      <c r="BA524" s="36">
        <f t="shared" si="523"/>
        <v>0</v>
      </c>
      <c r="BB524" s="36">
        <f t="shared" si="523"/>
        <v>0</v>
      </c>
      <c r="BC524" s="36">
        <f t="shared" si="523"/>
        <v>0</v>
      </c>
      <c r="BD524" s="36">
        <f t="shared" si="523"/>
        <v>0</v>
      </c>
      <c r="BE524" s="36">
        <f t="shared" si="523"/>
        <v>0</v>
      </c>
      <c r="BF524" s="36">
        <f t="shared" si="523"/>
        <v>0</v>
      </c>
      <c r="BG524" s="36">
        <f t="shared" si="523"/>
        <v>0</v>
      </c>
      <c r="BH524" s="36">
        <f t="shared" si="523"/>
        <v>0</v>
      </c>
      <c r="BI524" s="36">
        <f t="shared" si="523"/>
        <v>0</v>
      </c>
      <c r="BJ524" s="36">
        <f t="shared" si="523"/>
        <v>0</v>
      </c>
      <c r="BK524" s="36">
        <f t="shared" si="523"/>
        <v>0</v>
      </c>
      <c r="BL524" s="36">
        <f t="shared" si="523"/>
        <v>0</v>
      </c>
      <c r="BM524" s="36">
        <f t="shared" si="523"/>
        <v>0</v>
      </c>
      <c r="BN524" s="36">
        <f t="shared" si="523"/>
        <v>0</v>
      </c>
      <c r="BO524" s="36">
        <f t="shared" si="523"/>
        <v>0</v>
      </c>
      <c r="BP524" s="36">
        <f t="shared" ref="BP524:CX524" si="524">BP523*BP520</f>
        <v>0</v>
      </c>
      <c r="BQ524" s="36">
        <f t="shared" si="524"/>
        <v>0</v>
      </c>
      <c r="BR524" s="36">
        <f t="shared" si="524"/>
        <v>0</v>
      </c>
      <c r="BS524" s="36">
        <f t="shared" si="524"/>
        <v>0</v>
      </c>
      <c r="BT524" s="36">
        <f t="shared" si="524"/>
        <v>0</v>
      </c>
      <c r="BU524" s="36">
        <f t="shared" si="524"/>
        <v>0</v>
      </c>
      <c r="BV524" s="36">
        <f t="shared" si="524"/>
        <v>0</v>
      </c>
      <c r="BW524" s="36">
        <f t="shared" si="524"/>
        <v>0</v>
      </c>
      <c r="BX524" s="36">
        <f t="shared" si="524"/>
        <v>0</v>
      </c>
      <c r="BY524" s="36">
        <f t="shared" si="524"/>
        <v>0</v>
      </c>
      <c r="BZ524" s="36">
        <f t="shared" si="524"/>
        <v>0</v>
      </c>
      <c r="CA524" s="36">
        <f t="shared" si="524"/>
        <v>0</v>
      </c>
      <c r="CB524" s="36">
        <f t="shared" si="524"/>
        <v>0</v>
      </c>
      <c r="CC524" s="36">
        <f t="shared" si="524"/>
        <v>0</v>
      </c>
      <c r="CD524" s="36">
        <f t="shared" si="524"/>
        <v>0</v>
      </c>
      <c r="CE524" s="36">
        <f t="shared" si="524"/>
        <v>0</v>
      </c>
      <c r="CF524" s="36">
        <f t="shared" si="524"/>
        <v>0</v>
      </c>
      <c r="CG524" s="36">
        <f t="shared" si="524"/>
        <v>0</v>
      </c>
      <c r="CH524" s="36">
        <f t="shared" si="524"/>
        <v>0</v>
      </c>
      <c r="CI524" s="36">
        <f t="shared" si="524"/>
        <v>0</v>
      </c>
      <c r="CJ524" s="36">
        <f t="shared" si="524"/>
        <v>0</v>
      </c>
      <c r="CK524" s="36">
        <f t="shared" si="524"/>
        <v>0</v>
      </c>
      <c r="CL524" s="36">
        <f t="shared" si="524"/>
        <v>0</v>
      </c>
      <c r="CM524" s="36">
        <f t="shared" si="524"/>
        <v>0</v>
      </c>
      <c r="CN524" s="36">
        <f t="shared" si="524"/>
        <v>0</v>
      </c>
      <c r="CO524" s="36">
        <f t="shared" si="524"/>
        <v>0</v>
      </c>
      <c r="CP524" s="36">
        <f t="shared" si="524"/>
        <v>0</v>
      </c>
      <c r="CQ524" s="36">
        <f t="shared" si="524"/>
        <v>0</v>
      </c>
      <c r="CR524" s="36">
        <f t="shared" si="524"/>
        <v>0</v>
      </c>
      <c r="CS524" s="36">
        <f t="shared" si="524"/>
        <v>0</v>
      </c>
      <c r="CT524" s="36">
        <f t="shared" si="524"/>
        <v>0</v>
      </c>
      <c r="CU524" s="36">
        <f t="shared" si="524"/>
        <v>0</v>
      </c>
      <c r="CV524" s="36">
        <f t="shared" si="524"/>
        <v>0</v>
      </c>
      <c r="CW524" s="36">
        <f t="shared" si="524"/>
        <v>0</v>
      </c>
      <c r="CX524" s="36">
        <f t="shared" si="524"/>
        <v>0</v>
      </c>
      <c r="DB524" s="2" vm="773">
        <f ca="1">IF(Returns!A528&lt;&gt;0,Returns!A528,"")</f>
        <v>43864</v>
      </c>
      <c r="DC524" s="11">
        <f ca="1">IF(Returns!B539&gt;0,Returns!B539/Returns!B538-1,"")</f>
        <v>1.4829473684210503E-2</v>
      </c>
      <c r="DD524" s="11">
        <f ca="1">IF(Returns!D531&gt;0,Returns!D531/Returns!D530-1,"")</f>
        <v>-0.12358575548606099</v>
      </c>
    </row>
    <row r="525" spans="2:108" x14ac:dyDescent="0.3">
      <c r="B525" s="64" t="s">
        <v>1366</v>
      </c>
      <c r="C525" s="11">
        <f>IF(C4&lt;&gt;0,C$5/C$259-1,0)</f>
        <v>0</v>
      </c>
      <c r="D525" s="11">
        <f t="shared" ref="D525:BO525" si="525">IF(D4&lt;&gt;0,D$5/D$259-1,0)</f>
        <v>0</v>
      </c>
      <c r="E525" s="11">
        <f t="shared" si="525"/>
        <v>0</v>
      </c>
      <c r="F525" s="11">
        <f t="shared" si="525"/>
        <v>0</v>
      </c>
      <c r="G525" s="11">
        <f t="shared" si="525"/>
        <v>0</v>
      </c>
      <c r="H525" s="11">
        <f t="shared" si="525"/>
        <v>0</v>
      </c>
      <c r="I525" s="11">
        <f t="shared" si="525"/>
        <v>0</v>
      </c>
      <c r="J525" s="11">
        <f t="shared" si="525"/>
        <v>0</v>
      </c>
      <c r="K525" s="11">
        <f t="shared" si="525"/>
        <v>0</v>
      </c>
      <c r="L525" s="11">
        <f t="shared" si="525"/>
        <v>0</v>
      </c>
      <c r="M525" s="11">
        <f t="shared" si="525"/>
        <v>0</v>
      </c>
      <c r="N525" s="11">
        <f t="shared" si="525"/>
        <v>0</v>
      </c>
      <c r="O525" s="11">
        <f t="shared" si="525"/>
        <v>0</v>
      </c>
      <c r="P525" s="11">
        <f t="shared" si="525"/>
        <v>0</v>
      </c>
      <c r="Q525" s="11">
        <f t="shared" si="525"/>
        <v>0</v>
      </c>
      <c r="R525" s="11">
        <f t="shared" si="525"/>
        <v>0</v>
      </c>
      <c r="S525" s="11">
        <f t="shared" si="525"/>
        <v>0</v>
      </c>
      <c r="T525" s="11">
        <f t="shared" si="525"/>
        <v>0</v>
      </c>
      <c r="U525" s="11">
        <f t="shared" si="525"/>
        <v>0</v>
      </c>
      <c r="V525" s="11">
        <f t="shared" si="525"/>
        <v>0</v>
      </c>
      <c r="W525" s="11">
        <f t="shared" si="525"/>
        <v>0</v>
      </c>
      <c r="X525" s="11">
        <f t="shared" si="525"/>
        <v>0</v>
      </c>
      <c r="Y525" s="11">
        <f t="shared" si="525"/>
        <v>0</v>
      </c>
      <c r="Z525" s="11">
        <f t="shared" si="525"/>
        <v>0</v>
      </c>
      <c r="AA525" s="11">
        <f t="shared" si="525"/>
        <v>0</v>
      </c>
      <c r="AB525" s="11">
        <f t="shared" si="525"/>
        <v>0</v>
      </c>
      <c r="AC525" s="11">
        <f t="shared" si="525"/>
        <v>0</v>
      </c>
      <c r="AD525" s="11">
        <f t="shared" si="525"/>
        <v>0</v>
      </c>
      <c r="AE525" s="11">
        <f t="shared" si="525"/>
        <v>0</v>
      </c>
      <c r="AF525" s="11">
        <f t="shared" si="525"/>
        <v>0</v>
      </c>
      <c r="AG525" s="11">
        <f t="shared" si="525"/>
        <v>0</v>
      </c>
      <c r="AH525" s="11">
        <f t="shared" si="525"/>
        <v>0</v>
      </c>
      <c r="AI525" s="11">
        <f t="shared" si="525"/>
        <v>0</v>
      </c>
      <c r="AJ525" s="11">
        <f t="shared" si="525"/>
        <v>0</v>
      </c>
      <c r="AK525" s="11">
        <f t="shared" si="525"/>
        <v>0</v>
      </c>
      <c r="AL525" s="11">
        <f t="shared" si="525"/>
        <v>0</v>
      </c>
      <c r="AM525" s="11">
        <f t="shared" si="525"/>
        <v>0</v>
      </c>
      <c r="AN525" s="11">
        <f t="shared" si="525"/>
        <v>0</v>
      </c>
      <c r="AO525" s="11">
        <f t="shared" si="525"/>
        <v>0</v>
      </c>
      <c r="AP525" s="11">
        <f t="shared" si="525"/>
        <v>0</v>
      </c>
      <c r="AQ525" s="11">
        <f t="shared" si="525"/>
        <v>0</v>
      </c>
      <c r="AR525" s="11">
        <f t="shared" si="525"/>
        <v>0</v>
      </c>
      <c r="AS525" s="11">
        <f t="shared" si="525"/>
        <v>0</v>
      </c>
      <c r="AT525" s="11">
        <f t="shared" si="525"/>
        <v>0</v>
      </c>
      <c r="AU525" s="11">
        <f t="shared" si="525"/>
        <v>0</v>
      </c>
      <c r="AV525" s="11">
        <f t="shared" si="525"/>
        <v>0</v>
      </c>
      <c r="AW525" s="11">
        <f t="shared" si="525"/>
        <v>0</v>
      </c>
      <c r="AX525" s="11">
        <f t="shared" si="525"/>
        <v>0</v>
      </c>
      <c r="AY525" s="11">
        <f t="shared" si="525"/>
        <v>0</v>
      </c>
      <c r="AZ525" s="11">
        <f t="shared" si="525"/>
        <v>0</v>
      </c>
      <c r="BA525" s="11">
        <f t="shared" si="525"/>
        <v>0</v>
      </c>
      <c r="BB525" s="11">
        <f t="shared" si="525"/>
        <v>0</v>
      </c>
      <c r="BC525" s="11">
        <f t="shared" si="525"/>
        <v>0</v>
      </c>
      <c r="BD525" s="11">
        <f t="shared" si="525"/>
        <v>0</v>
      </c>
      <c r="BE525" s="11">
        <f t="shared" si="525"/>
        <v>0</v>
      </c>
      <c r="BF525" s="11">
        <f t="shared" si="525"/>
        <v>0</v>
      </c>
      <c r="BG525" s="11">
        <f t="shared" si="525"/>
        <v>0</v>
      </c>
      <c r="BH525" s="11">
        <f t="shared" si="525"/>
        <v>0</v>
      </c>
      <c r="BI525" s="11">
        <f t="shared" si="525"/>
        <v>0</v>
      </c>
      <c r="BJ525" s="11">
        <f t="shared" si="525"/>
        <v>0</v>
      </c>
      <c r="BK525" s="11">
        <f t="shared" si="525"/>
        <v>0</v>
      </c>
      <c r="BL525" s="11">
        <f t="shared" si="525"/>
        <v>0</v>
      </c>
      <c r="BM525" s="11">
        <f t="shared" si="525"/>
        <v>0</v>
      </c>
      <c r="BN525" s="11">
        <f t="shared" si="525"/>
        <v>0</v>
      </c>
      <c r="BO525" s="11">
        <f t="shared" si="525"/>
        <v>0</v>
      </c>
      <c r="BP525" s="11">
        <f t="shared" ref="BP525:CX525" si="526">IF(BP4&lt;&gt;0,BP$5/BP$259-1,0)</f>
        <v>0</v>
      </c>
      <c r="BQ525" s="11">
        <f t="shared" si="526"/>
        <v>0</v>
      </c>
      <c r="BR525" s="11">
        <f t="shared" si="526"/>
        <v>0</v>
      </c>
      <c r="BS525" s="11">
        <f t="shared" si="526"/>
        <v>0</v>
      </c>
      <c r="BT525" s="11">
        <f t="shared" si="526"/>
        <v>0</v>
      </c>
      <c r="BU525" s="11">
        <f t="shared" si="526"/>
        <v>0</v>
      </c>
      <c r="BV525" s="11">
        <f t="shared" si="526"/>
        <v>0</v>
      </c>
      <c r="BW525" s="11">
        <f t="shared" si="526"/>
        <v>0</v>
      </c>
      <c r="BX525" s="11">
        <f t="shared" si="526"/>
        <v>0</v>
      </c>
      <c r="BY525" s="11">
        <f t="shared" si="526"/>
        <v>0</v>
      </c>
      <c r="BZ525" s="11">
        <f t="shared" si="526"/>
        <v>0</v>
      </c>
      <c r="CA525" s="11">
        <f t="shared" si="526"/>
        <v>0</v>
      </c>
      <c r="CB525" s="11">
        <f t="shared" si="526"/>
        <v>0</v>
      </c>
      <c r="CC525" s="11">
        <f t="shared" si="526"/>
        <v>0</v>
      </c>
      <c r="CD525" s="11">
        <f t="shared" si="526"/>
        <v>0</v>
      </c>
      <c r="CE525" s="11">
        <f t="shared" si="526"/>
        <v>0</v>
      </c>
      <c r="CF525" s="11">
        <f t="shared" si="526"/>
        <v>0</v>
      </c>
      <c r="CG525" s="11">
        <f t="shared" si="526"/>
        <v>0</v>
      </c>
      <c r="CH525" s="11">
        <f t="shared" si="526"/>
        <v>0</v>
      </c>
      <c r="CI525" s="11">
        <f t="shared" si="526"/>
        <v>0</v>
      </c>
      <c r="CJ525" s="11">
        <f t="shared" si="526"/>
        <v>0</v>
      </c>
      <c r="CK525" s="11">
        <f t="shared" si="526"/>
        <v>0</v>
      </c>
      <c r="CL525" s="11">
        <f t="shared" si="526"/>
        <v>0</v>
      </c>
      <c r="CM525" s="11">
        <f t="shared" si="526"/>
        <v>0</v>
      </c>
      <c r="CN525" s="11">
        <f t="shared" si="526"/>
        <v>0</v>
      </c>
      <c r="CO525" s="11">
        <f t="shared" si="526"/>
        <v>0</v>
      </c>
      <c r="CP525" s="11">
        <f t="shared" si="526"/>
        <v>0</v>
      </c>
      <c r="CQ525" s="11">
        <f t="shared" si="526"/>
        <v>0</v>
      </c>
      <c r="CR525" s="11">
        <f t="shared" si="526"/>
        <v>0</v>
      </c>
      <c r="CS525" s="11">
        <f t="shared" si="526"/>
        <v>0</v>
      </c>
      <c r="CT525" s="11">
        <f t="shared" si="526"/>
        <v>0</v>
      </c>
      <c r="CU525" s="11">
        <f t="shared" si="526"/>
        <v>0</v>
      </c>
      <c r="CV525" s="11">
        <f t="shared" si="526"/>
        <v>0</v>
      </c>
      <c r="CW525" s="11">
        <f t="shared" si="526"/>
        <v>0</v>
      </c>
      <c r="CX525" s="11">
        <f t="shared" si="526"/>
        <v>0</v>
      </c>
      <c r="DB525" s="2" vm="774">
        <f ca="1">IF(Returns!A529&lt;&gt;0,Returns!A529,"")</f>
        <v>43871</v>
      </c>
      <c r="DC525" s="11">
        <f ca="1">IF(Returns!B540&gt;0,Returns!B540/Returns!B539-1,"")</f>
        <v>-5.1522267676809452E-2</v>
      </c>
      <c r="DD525" s="11">
        <f ca="1">IF(Returns!D532&gt;0,Returns!D532/Returns!D531-1,"")</f>
        <v>1.7923397345015246E-2</v>
      </c>
    </row>
    <row r="526" spans="2:108" x14ac:dyDescent="0.3">
      <c r="B526" s="64" t="s">
        <v>1300</v>
      </c>
      <c r="C526" s="36">
        <f>C525*C520</f>
        <v>0</v>
      </c>
      <c r="D526" s="36">
        <f t="shared" ref="D526:BO526" si="527">D525*D520</f>
        <v>0</v>
      </c>
      <c r="E526" s="36">
        <f t="shared" si="527"/>
        <v>0</v>
      </c>
      <c r="F526" s="36">
        <f t="shared" si="527"/>
        <v>0</v>
      </c>
      <c r="G526" s="36">
        <f t="shared" si="527"/>
        <v>0</v>
      </c>
      <c r="H526" s="36">
        <f t="shared" si="527"/>
        <v>0</v>
      </c>
      <c r="I526" s="36">
        <f t="shared" si="527"/>
        <v>0</v>
      </c>
      <c r="J526" s="36">
        <f t="shared" si="527"/>
        <v>0</v>
      </c>
      <c r="K526" s="36">
        <f t="shared" si="527"/>
        <v>0</v>
      </c>
      <c r="L526" s="36">
        <f t="shared" si="527"/>
        <v>0</v>
      </c>
      <c r="M526" s="36">
        <f t="shared" si="527"/>
        <v>0</v>
      </c>
      <c r="N526" s="36">
        <f t="shared" si="527"/>
        <v>0</v>
      </c>
      <c r="O526" s="36">
        <f t="shared" si="527"/>
        <v>0</v>
      </c>
      <c r="P526" s="36">
        <f t="shared" si="527"/>
        <v>0</v>
      </c>
      <c r="Q526" s="36">
        <f t="shared" si="527"/>
        <v>0</v>
      </c>
      <c r="R526" s="36">
        <f t="shared" si="527"/>
        <v>0</v>
      </c>
      <c r="S526" s="36">
        <f t="shared" si="527"/>
        <v>0</v>
      </c>
      <c r="T526" s="36">
        <f t="shared" si="527"/>
        <v>0</v>
      </c>
      <c r="U526" s="36">
        <f t="shared" si="527"/>
        <v>0</v>
      </c>
      <c r="V526" s="36">
        <f t="shared" si="527"/>
        <v>0</v>
      </c>
      <c r="W526" s="36">
        <f t="shared" si="527"/>
        <v>0</v>
      </c>
      <c r="X526" s="36">
        <f t="shared" si="527"/>
        <v>0</v>
      </c>
      <c r="Y526" s="36">
        <f t="shared" si="527"/>
        <v>0</v>
      </c>
      <c r="Z526" s="36">
        <f t="shared" si="527"/>
        <v>0</v>
      </c>
      <c r="AA526" s="36">
        <f t="shared" si="527"/>
        <v>0</v>
      </c>
      <c r="AB526" s="36">
        <f t="shared" si="527"/>
        <v>0</v>
      </c>
      <c r="AC526" s="36">
        <f t="shared" si="527"/>
        <v>0</v>
      </c>
      <c r="AD526" s="36">
        <f t="shared" si="527"/>
        <v>0</v>
      </c>
      <c r="AE526" s="36">
        <f t="shared" si="527"/>
        <v>0</v>
      </c>
      <c r="AF526" s="36">
        <f t="shared" si="527"/>
        <v>0</v>
      </c>
      <c r="AG526" s="36">
        <f t="shared" si="527"/>
        <v>0</v>
      </c>
      <c r="AH526" s="36">
        <f t="shared" si="527"/>
        <v>0</v>
      </c>
      <c r="AI526" s="36">
        <f t="shared" si="527"/>
        <v>0</v>
      </c>
      <c r="AJ526" s="36">
        <f t="shared" si="527"/>
        <v>0</v>
      </c>
      <c r="AK526" s="36">
        <f t="shared" si="527"/>
        <v>0</v>
      </c>
      <c r="AL526" s="36">
        <f t="shared" si="527"/>
        <v>0</v>
      </c>
      <c r="AM526" s="36">
        <f t="shared" si="527"/>
        <v>0</v>
      </c>
      <c r="AN526" s="36">
        <f t="shared" si="527"/>
        <v>0</v>
      </c>
      <c r="AO526" s="36">
        <f t="shared" si="527"/>
        <v>0</v>
      </c>
      <c r="AP526" s="36">
        <f t="shared" si="527"/>
        <v>0</v>
      </c>
      <c r="AQ526" s="36">
        <f t="shared" si="527"/>
        <v>0</v>
      </c>
      <c r="AR526" s="36">
        <f t="shared" si="527"/>
        <v>0</v>
      </c>
      <c r="AS526" s="36">
        <f t="shared" si="527"/>
        <v>0</v>
      </c>
      <c r="AT526" s="36">
        <f t="shared" si="527"/>
        <v>0</v>
      </c>
      <c r="AU526" s="36">
        <f t="shared" si="527"/>
        <v>0</v>
      </c>
      <c r="AV526" s="36">
        <f t="shared" si="527"/>
        <v>0</v>
      </c>
      <c r="AW526" s="36">
        <f t="shared" si="527"/>
        <v>0</v>
      </c>
      <c r="AX526" s="36">
        <f t="shared" si="527"/>
        <v>0</v>
      </c>
      <c r="AY526" s="36">
        <f t="shared" si="527"/>
        <v>0</v>
      </c>
      <c r="AZ526" s="36">
        <f t="shared" si="527"/>
        <v>0</v>
      </c>
      <c r="BA526" s="36">
        <f t="shared" si="527"/>
        <v>0</v>
      </c>
      <c r="BB526" s="36">
        <f t="shared" si="527"/>
        <v>0</v>
      </c>
      <c r="BC526" s="36">
        <f t="shared" si="527"/>
        <v>0</v>
      </c>
      <c r="BD526" s="36">
        <f t="shared" si="527"/>
        <v>0</v>
      </c>
      <c r="BE526" s="36">
        <f t="shared" si="527"/>
        <v>0</v>
      </c>
      <c r="BF526" s="36">
        <f t="shared" si="527"/>
        <v>0</v>
      </c>
      <c r="BG526" s="36">
        <f t="shared" si="527"/>
        <v>0</v>
      </c>
      <c r="BH526" s="36">
        <f t="shared" si="527"/>
        <v>0</v>
      </c>
      <c r="BI526" s="36">
        <f t="shared" si="527"/>
        <v>0</v>
      </c>
      <c r="BJ526" s="36">
        <f t="shared" si="527"/>
        <v>0</v>
      </c>
      <c r="BK526" s="36">
        <f t="shared" si="527"/>
        <v>0</v>
      </c>
      <c r="BL526" s="36">
        <f t="shared" si="527"/>
        <v>0</v>
      </c>
      <c r="BM526" s="36">
        <f t="shared" si="527"/>
        <v>0</v>
      </c>
      <c r="BN526" s="36">
        <f t="shared" si="527"/>
        <v>0</v>
      </c>
      <c r="BO526" s="36">
        <f t="shared" si="527"/>
        <v>0</v>
      </c>
      <c r="BP526" s="36">
        <f t="shared" ref="BP526:CX526" si="528">BP525*BP520</f>
        <v>0</v>
      </c>
      <c r="BQ526" s="36">
        <f t="shared" si="528"/>
        <v>0</v>
      </c>
      <c r="BR526" s="36">
        <f t="shared" si="528"/>
        <v>0</v>
      </c>
      <c r="BS526" s="36">
        <f t="shared" si="528"/>
        <v>0</v>
      </c>
      <c r="BT526" s="36">
        <f t="shared" si="528"/>
        <v>0</v>
      </c>
      <c r="BU526" s="36">
        <f t="shared" si="528"/>
        <v>0</v>
      </c>
      <c r="BV526" s="36">
        <f t="shared" si="528"/>
        <v>0</v>
      </c>
      <c r="BW526" s="36">
        <f t="shared" si="528"/>
        <v>0</v>
      </c>
      <c r="BX526" s="36">
        <f t="shared" si="528"/>
        <v>0</v>
      </c>
      <c r="BY526" s="36">
        <f t="shared" si="528"/>
        <v>0</v>
      </c>
      <c r="BZ526" s="36">
        <f t="shared" si="528"/>
        <v>0</v>
      </c>
      <c r="CA526" s="36">
        <f t="shared" si="528"/>
        <v>0</v>
      </c>
      <c r="CB526" s="36">
        <f t="shared" si="528"/>
        <v>0</v>
      </c>
      <c r="CC526" s="36">
        <f t="shared" si="528"/>
        <v>0</v>
      </c>
      <c r="CD526" s="36">
        <f t="shared" si="528"/>
        <v>0</v>
      </c>
      <c r="CE526" s="36">
        <f t="shared" si="528"/>
        <v>0</v>
      </c>
      <c r="CF526" s="36">
        <f t="shared" si="528"/>
        <v>0</v>
      </c>
      <c r="CG526" s="36">
        <f t="shared" si="528"/>
        <v>0</v>
      </c>
      <c r="CH526" s="36">
        <f t="shared" si="528"/>
        <v>0</v>
      </c>
      <c r="CI526" s="36">
        <f t="shared" si="528"/>
        <v>0</v>
      </c>
      <c r="CJ526" s="36">
        <f t="shared" si="528"/>
        <v>0</v>
      </c>
      <c r="CK526" s="36">
        <f t="shared" si="528"/>
        <v>0</v>
      </c>
      <c r="CL526" s="36">
        <f t="shared" si="528"/>
        <v>0</v>
      </c>
      <c r="CM526" s="36">
        <f t="shared" si="528"/>
        <v>0</v>
      </c>
      <c r="CN526" s="36">
        <f t="shared" si="528"/>
        <v>0</v>
      </c>
      <c r="CO526" s="36">
        <f t="shared" si="528"/>
        <v>0</v>
      </c>
      <c r="CP526" s="36">
        <f t="shared" si="528"/>
        <v>0</v>
      </c>
      <c r="CQ526" s="36">
        <f t="shared" si="528"/>
        <v>0</v>
      </c>
      <c r="CR526" s="36">
        <f t="shared" si="528"/>
        <v>0</v>
      </c>
      <c r="CS526" s="36">
        <f t="shared" si="528"/>
        <v>0</v>
      </c>
      <c r="CT526" s="36">
        <f t="shared" si="528"/>
        <v>0</v>
      </c>
      <c r="CU526" s="36">
        <f t="shared" si="528"/>
        <v>0</v>
      </c>
      <c r="CV526" s="36">
        <f t="shared" si="528"/>
        <v>0</v>
      </c>
      <c r="CW526" s="36">
        <f t="shared" si="528"/>
        <v>0</v>
      </c>
      <c r="CX526" s="36">
        <f t="shared" si="528"/>
        <v>0</v>
      </c>
      <c r="DB526" s="2" vm="775">
        <f ca="1">IF(Returns!A530&lt;&gt;0,Returns!A530,"")</f>
        <v>43879</v>
      </c>
      <c r="DC526" s="11">
        <f ca="1">IF(Returns!B541&gt;0,Returns!B541/Returns!B540-1,"")</f>
        <v>4.0931042326468381E-2</v>
      </c>
      <c r="DD526" s="11">
        <f ca="1">IF(Returns!D533&gt;0,Returns!D533/Returns!D532-1,"")</f>
        <v>-0.10358318199271366</v>
      </c>
    </row>
    <row r="527" spans="2:108" x14ac:dyDescent="0.3">
      <c r="B527" s="67"/>
      <c r="DB527" s="2" vm="776">
        <f ca="1">IF(Returns!A531&lt;&gt;0,Returns!A531,"")</f>
        <v>43885</v>
      </c>
      <c r="DC527" s="11">
        <f ca="1">IF(Returns!B542&gt;0,Returns!B542/Returns!B541-1,"")</f>
        <v>1.2678548165455661E-2</v>
      </c>
      <c r="DD527" s="11">
        <f ca="1">IF(Returns!D534&gt;0,Returns!D534/Returns!D533-1,"")</f>
        <v>-0.17302303391220542</v>
      </c>
    </row>
    <row r="528" spans="2:108" x14ac:dyDescent="0.3">
      <c r="B528" s="35"/>
      <c r="DB528" s="2" vm="777">
        <f ca="1">IF(Returns!A532&lt;&gt;0,Returns!A532,"")</f>
        <v>43892</v>
      </c>
      <c r="DC528" s="11">
        <f ca="1">IF(Returns!B543&gt;0,Returns!B543/Returns!B542-1,"")</f>
        <v>1.1245839869199692E-2</v>
      </c>
      <c r="DD528" s="11">
        <f ca="1">IF(Returns!D535&gt;0,Returns!D535/Returns!D534-1,"")</f>
        <v>0.12844520093276435</v>
      </c>
    </row>
    <row r="529" spans="2:108" x14ac:dyDescent="0.3">
      <c r="B529" s="64" t="s">
        <v>1367</v>
      </c>
      <c r="C529" s="60">
        <f>IF(C4&lt;&gt;0,SLOPE(C264:C516,$B$264:$B$516),0)</f>
        <v>0</v>
      </c>
      <c r="D529" s="60">
        <f t="shared" ref="D529:BO529" si="529">IF(D4&lt;&gt;0,SLOPE(D264:D516,$B$264:$B$516),0)</f>
        <v>0</v>
      </c>
      <c r="E529" s="60">
        <f t="shared" si="529"/>
        <v>0</v>
      </c>
      <c r="F529" s="60">
        <f t="shared" si="529"/>
        <v>0</v>
      </c>
      <c r="G529" s="60">
        <f t="shared" si="529"/>
        <v>0</v>
      </c>
      <c r="H529" s="60">
        <f t="shared" si="529"/>
        <v>0</v>
      </c>
      <c r="I529" s="60">
        <f t="shared" si="529"/>
        <v>0</v>
      </c>
      <c r="J529" s="60">
        <f t="shared" si="529"/>
        <v>0</v>
      </c>
      <c r="K529" s="60">
        <f t="shared" si="529"/>
        <v>0</v>
      </c>
      <c r="L529" s="60">
        <f t="shared" si="529"/>
        <v>0</v>
      </c>
      <c r="M529" s="60">
        <f t="shared" si="529"/>
        <v>0</v>
      </c>
      <c r="N529" s="60">
        <f t="shared" si="529"/>
        <v>0</v>
      </c>
      <c r="O529" s="60">
        <f t="shared" si="529"/>
        <v>0</v>
      </c>
      <c r="P529" s="60">
        <f t="shared" si="529"/>
        <v>0</v>
      </c>
      <c r="Q529" s="60">
        <f t="shared" si="529"/>
        <v>0</v>
      </c>
      <c r="R529" s="60">
        <f t="shared" si="529"/>
        <v>0</v>
      </c>
      <c r="S529" s="60">
        <f t="shared" si="529"/>
        <v>0</v>
      </c>
      <c r="T529" s="60">
        <f t="shared" si="529"/>
        <v>0</v>
      </c>
      <c r="U529" s="60">
        <f t="shared" si="529"/>
        <v>0</v>
      </c>
      <c r="V529" s="60">
        <f t="shared" si="529"/>
        <v>0</v>
      </c>
      <c r="W529" s="60">
        <f t="shared" si="529"/>
        <v>0</v>
      </c>
      <c r="X529" s="60">
        <f t="shared" si="529"/>
        <v>0</v>
      </c>
      <c r="Y529" s="60">
        <f t="shared" si="529"/>
        <v>0</v>
      </c>
      <c r="Z529" s="60">
        <f t="shared" si="529"/>
        <v>0</v>
      </c>
      <c r="AA529" s="60">
        <f t="shared" si="529"/>
        <v>0</v>
      </c>
      <c r="AB529" s="60">
        <f t="shared" si="529"/>
        <v>0</v>
      </c>
      <c r="AC529" s="60">
        <f t="shared" si="529"/>
        <v>0</v>
      </c>
      <c r="AD529" s="60">
        <f t="shared" si="529"/>
        <v>0</v>
      </c>
      <c r="AE529" s="60">
        <f t="shared" si="529"/>
        <v>0</v>
      </c>
      <c r="AF529" s="60">
        <f t="shared" si="529"/>
        <v>0</v>
      </c>
      <c r="AG529" s="60">
        <f t="shared" si="529"/>
        <v>0</v>
      </c>
      <c r="AH529" s="60">
        <f t="shared" si="529"/>
        <v>0</v>
      </c>
      <c r="AI529" s="60">
        <f t="shared" si="529"/>
        <v>0</v>
      </c>
      <c r="AJ529" s="60">
        <f t="shared" si="529"/>
        <v>0</v>
      </c>
      <c r="AK529" s="60">
        <f t="shared" si="529"/>
        <v>0</v>
      </c>
      <c r="AL529" s="60">
        <f t="shared" si="529"/>
        <v>0</v>
      </c>
      <c r="AM529" s="60">
        <f t="shared" si="529"/>
        <v>0</v>
      </c>
      <c r="AN529" s="60">
        <f t="shared" si="529"/>
        <v>0</v>
      </c>
      <c r="AO529" s="60">
        <f t="shared" si="529"/>
        <v>0</v>
      </c>
      <c r="AP529" s="60">
        <f t="shared" si="529"/>
        <v>0</v>
      </c>
      <c r="AQ529" s="60">
        <f t="shared" si="529"/>
        <v>0</v>
      </c>
      <c r="AR529" s="60">
        <f t="shared" si="529"/>
        <v>0</v>
      </c>
      <c r="AS529" s="60">
        <f t="shared" si="529"/>
        <v>0</v>
      </c>
      <c r="AT529" s="60">
        <f t="shared" si="529"/>
        <v>0</v>
      </c>
      <c r="AU529" s="60">
        <f t="shared" si="529"/>
        <v>0</v>
      </c>
      <c r="AV529" s="60">
        <f t="shared" si="529"/>
        <v>0</v>
      </c>
      <c r="AW529" s="60">
        <f t="shared" si="529"/>
        <v>0</v>
      </c>
      <c r="AX529" s="60">
        <f t="shared" si="529"/>
        <v>0</v>
      </c>
      <c r="AY529" s="60">
        <f t="shared" si="529"/>
        <v>0</v>
      </c>
      <c r="AZ529" s="60">
        <f t="shared" si="529"/>
        <v>0</v>
      </c>
      <c r="BA529" s="60">
        <f t="shared" si="529"/>
        <v>0</v>
      </c>
      <c r="BB529" s="60">
        <f t="shared" si="529"/>
        <v>0</v>
      </c>
      <c r="BC529" s="60">
        <f t="shared" si="529"/>
        <v>0</v>
      </c>
      <c r="BD529" s="60">
        <f t="shared" si="529"/>
        <v>0</v>
      </c>
      <c r="BE529" s="60">
        <f t="shared" si="529"/>
        <v>0</v>
      </c>
      <c r="BF529" s="60">
        <f t="shared" si="529"/>
        <v>0</v>
      </c>
      <c r="BG529" s="60">
        <f t="shared" si="529"/>
        <v>0</v>
      </c>
      <c r="BH529" s="60">
        <f t="shared" si="529"/>
        <v>0</v>
      </c>
      <c r="BI529" s="60">
        <f t="shared" si="529"/>
        <v>0</v>
      </c>
      <c r="BJ529" s="60">
        <f t="shared" si="529"/>
        <v>0</v>
      </c>
      <c r="BK529" s="60">
        <f t="shared" si="529"/>
        <v>0</v>
      </c>
      <c r="BL529" s="60">
        <f t="shared" si="529"/>
        <v>0</v>
      </c>
      <c r="BM529" s="60">
        <f t="shared" si="529"/>
        <v>0</v>
      </c>
      <c r="BN529" s="60">
        <f t="shared" si="529"/>
        <v>0</v>
      </c>
      <c r="BO529" s="60">
        <f t="shared" si="529"/>
        <v>0</v>
      </c>
      <c r="BP529" s="60">
        <f t="shared" ref="BP529:CX529" si="530">IF(BP4&lt;&gt;0,SLOPE(BP264:BP516,$B$264:$B$516),0)</f>
        <v>0</v>
      </c>
      <c r="BQ529" s="60">
        <f t="shared" si="530"/>
        <v>0</v>
      </c>
      <c r="BR529" s="60">
        <f t="shared" si="530"/>
        <v>0</v>
      </c>
      <c r="BS529" s="60">
        <f t="shared" si="530"/>
        <v>0</v>
      </c>
      <c r="BT529" s="60">
        <f t="shared" si="530"/>
        <v>0</v>
      </c>
      <c r="BU529" s="60">
        <f t="shared" si="530"/>
        <v>0</v>
      </c>
      <c r="BV529" s="60">
        <f t="shared" si="530"/>
        <v>0</v>
      </c>
      <c r="BW529" s="60">
        <f t="shared" si="530"/>
        <v>0</v>
      </c>
      <c r="BX529" s="60">
        <f t="shared" si="530"/>
        <v>0</v>
      </c>
      <c r="BY529" s="60">
        <f t="shared" si="530"/>
        <v>0</v>
      </c>
      <c r="BZ529" s="60">
        <f t="shared" si="530"/>
        <v>0</v>
      </c>
      <c r="CA529" s="60">
        <f t="shared" si="530"/>
        <v>0</v>
      </c>
      <c r="CB529" s="60">
        <f t="shared" si="530"/>
        <v>0</v>
      </c>
      <c r="CC529" s="60">
        <f t="shared" si="530"/>
        <v>0</v>
      </c>
      <c r="CD529" s="60">
        <f t="shared" si="530"/>
        <v>0</v>
      </c>
      <c r="CE529" s="60">
        <f t="shared" si="530"/>
        <v>0</v>
      </c>
      <c r="CF529" s="60">
        <f t="shared" si="530"/>
        <v>0</v>
      </c>
      <c r="CG529" s="60">
        <f t="shared" si="530"/>
        <v>0</v>
      </c>
      <c r="CH529" s="60">
        <f t="shared" si="530"/>
        <v>0</v>
      </c>
      <c r="CI529" s="60">
        <f t="shared" si="530"/>
        <v>0</v>
      </c>
      <c r="CJ529" s="60">
        <f t="shared" si="530"/>
        <v>0</v>
      </c>
      <c r="CK529" s="60">
        <f t="shared" si="530"/>
        <v>0</v>
      </c>
      <c r="CL529" s="60">
        <f t="shared" si="530"/>
        <v>0</v>
      </c>
      <c r="CM529" s="60">
        <f t="shared" si="530"/>
        <v>0</v>
      </c>
      <c r="CN529" s="60">
        <f t="shared" si="530"/>
        <v>0</v>
      </c>
      <c r="CO529" s="60">
        <f t="shared" si="530"/>
        <v>0</v>
      </c>
      <c r="CP529" s="60">
        <f t="shared" si="530"/>
        <v>0</v>
      </c>
      <c r="CQ529" s="60">
        <f t="shared" si="530"/>
        <v>0</v>
      </c>
      <c r="CR529" s="60">
        <f t="shared" si="530"/>
        <v>0</v>
      </c>
      <c r="CS529" s="60">
        <f t="shared" si="530"/>
        <v>0</v>
      </c>
      <c r="CT529" s="60">
        <f t="shared" si="530"/>
        <v>0</v>
      </c>
      <c r="CU529" s="60">
        <f t="shared" si="530"/>
        <v>0</v>
      </c>
      <c r="CV529" s="60">
        <f t="shared" si="530"/>
        <v>0</v>
      </c>
      <c r="CW529" s="60">
        <f t="shared" si="530"/>
        <v>0</v>
      </c>
      <c r="CX529" s="60">
        <f t="shared" si="530"/>
        <v>0</v>
      </c>
      <c r="DB529" s="2" vm="778">
        <f ca="1">IF(Returns!A533&lt;&gt;0,Returns!A533,"")</f>
        <v>43899</v>
      </c>
      <c r="DC529" s="11">
        <f ca="1">IF(Returns!B544&gt;0,Returns!B544/Returns!B543-1,"")</f>
        <v>2.2528807327402145E-3</v>
      </c>
      <c r="DD529" s="11">
        <f ca="1">IF(Returns!D536&gt;0,Returns!D536/Returns!D535-1,"")</f>
        <v>-2.7002463749090322E-2</v>
      </c>
    </row>
    <row r="530" spans="2:108" x14ac:dyDescent="0.3">
      <c r="B530" s="64" t="s">
        <v>1360</v>
      </c>
      <c r="C530" s="60">
        <f>C529*C520</f>
        <v>0</v>
      </c>
      <c r="D530" s="60">
        <f t="shared" ref="D530:BO530" si="531">D529*D520</f>
        <v>0</v>
      </c>
      <c r="E530" s="60">
        <f t="shared" si="531"/>
        <v>0</v>
      </c>
      <c r="F530" s="60">
        <f t="shared" si="531"/>
        <v>0</v>
      </c>
      <c r="G530" s="60">
        <f t="shared" si="531"/>
        <v>0</v>
      </c>
      <c r="H530" s="60">
        <f t="shared" si="531"/>
        <v>0</v>
      </c>
      <c r="I530" s="60">
        <f t="shared" si="531"/>
        <v>0</v>
      </c>
      <c r="J530" s="60">
        <f t="shared" si="531"/>
        <v>0</v>
      </c>
      <c r="K530" s="60">
        <f t="shared" si="531"/>
        <v>0</v>
      </c>
      <c r="L530" s="60">
        <f t="shared" si="531"/>
        <v>0</v>
      </c>
      <c r="M530" s="60">
        <f t="shared" si="531"/>
        <v>0</v>
      </c>
      <c r="N530" s="60">
        <f t="shared" si="531"/>
        <v>0</v>
      </c>
      <c r="O530" s="60">
        <f t="shared" si="531"/>
        <v>0</v>
      </c>
      <c r="P530" s="60">
        <f t="shared" si="531"/>
        <v>0</v>
      </c>
      <c r="Q530" s="60">
        <f t="shared" si="531"/>
        <v>0</v>
      </c>
      <c r="R530" s="60">
        <f t="shared" si="531"/>
        <v>0</v>
      </c>
      <c r="S530" s="60">
        <f t="shared" si="531"/>
        <v>0</v>
      </c>
      <c r="T530" s="60">
        <f t="shared" si="531"/>
        <v>0</v>
      </c>
      <c r="U530" s="60">
        <f t="shared" si="531"/>
        <v>0</v>
      </c>
      <c r="V530" s="60">
        <f t="shared" si="531"/>
        <v>0</v>
      </c>
      <c r="W530" s="60">
        <f t="shared" si="531"/>
        <v>0</v>
      </c>
      <c r="X530" s="60">
        <f t="shared" si="531"/>
        <v>0</v>
      </c>
      <c r="Y530" s="60">
        <f t="shared" si="531"/>
        <v>0</v>
      </c>
      <c r="Z530" s="60">
        <f t="shared" si="531"/>
        <v>0</v>
      </c>
      <c r="AA530" s="60">
        <f t="shared" si="531"/>
        <v>0</v>
      </c>
      <c r="AB530" s="60">
        <f t="shared" si="531"/>
        <v>0</v>
      </c>
      <c r="AC530" s="60">
        <f t="shared" si="531"/>
        <v>0</v>
      </c>
      <c r="AD530" s="60">
        <f t="shared" si="531"/>
        <v>0</v>
      </c>
      <c r="AE530" s="60">
        <f t="shared" si="531"/>
        <v>0</v>
      </c>
      <c r="AF530" s="60">
        <f t="shared" si="531"/>
        <v>0</v>
      </c>
      <c r="AG530" s="60">
        <f t="shared" si="531"/>
        <v>0</v>
      </c>
      <c r="AH530" s="60">
        <f t="shared" si="531"/>
        <v>0</v>
      </c>
      <c r="AI530" s="60">
        <f t="shared" si="531"/>
        <v>0</v>
      </c>
      <c r="AJ530" s="60">
        <f t="shared" si="531"/>
        <v>0</v>
      </c>
      <c r="AK530" s="60">
        <f t="shared" si="531"/>
        <v>0</v>
      </c>
      <c r="AL530" s="60">
        <f t="shared" si="531"/>
        <v>0</v>
      </c>
      <c r="AM530" s="60">
        <f t="shared" si="531"/>
        <v>0</v>
      </c>
      <c r="AN530" s="60">
        <f t="shared" si="531"/>
        <v>0</v>
      </c>
      <c r="AO530" s="60">
        <f t="shared" si="531"/>
        <v>0</v>
      </c>
      <c r="AP530" s="60">
        <f t="shared" si="531"/>
        <v>0</v>
      </c>
      <c r="AQ530" s="60">
        <f t="shared" si="531"/>
        <v>0</v>
      </c>
      <c r="AR530" s="60">
        <f t="shared" si="531"/>
        <v>0</v>
      </c>
      <c r="AS530" s="60">
        <f t="shared" si="531"/>
        <v>0</v>
      </c>
      <c r="AT530" s="60">
        <f t="shared" si="531"/>
        <v>0</v>
      </c>
      <c r="AU530" s="60">
        <f t="shared" si="531"/>
        <v>0</v>
      </c>
      <c r="AV530" s="60">
        <f t="shared" si="531"/>
        <v>0</v>
      </c>
      <c r="AW530" s="60">
        <f t="shared" si="531"/>
        <v>0</v>
      </c>
      <c r="AX530" s="60">
        <f t="shared" si="531"/>
        <v>0</v>
      </c>
      <c r="AY530" s="60">
        <f t="shared" si="531"/>
        <v>0</v>
      </c>
      <c r="AZ530" s="60">
        <f t="shared" si="531"/>
        <v>0</v>
      </c>
      <c r="BA530" s="60">
        <f t="shared" si="531"/>
        <v>0</v>
      </c>
      <c r="BB530" s="60">
        <f t="shared" si="531"/>
        <v>0</v>
      </c>
      <c r="BC530" s="60">
        <f t="shared" si="531"/>
        <v>0</v>
      </c>
      <c r="BD530" s="60">
        <f t="shared" si="531"/>
        <v>0</v>
      </c>
      <c r="BE530" s="60">
        <f t="shared" si="531"/>
        <v>0</v>
      </c>
      <c r="BF530" s="60">
        <f t="shared" si="531"/>
        <v>0</v>
      </c>
      <c r="BG530" s="60">
        <f t="shared" si="531"/>
        <v>0</v>
      </c>
      <c r="BH530" s="60">
        <f t="shared" si="531"/>
        <v>0</v>
      </c>
      <c r="BI530" s="60">
        <f t="shared" si="531"/>
        <v>0</v>
      </c>
      <c r="BJ530" s="60">
        <f t="shared" si="531"/>
        <v>0</v>
      </c>
      <c r="BK530" s="60">
        <f t="shared" si="531"/>
        <v>0</v>
      </c>
      <c r="BL530" s="60">
        <f t="shared" si="531"/>
        <v>0</v>
      </c>
      <c r="BM530" s="60">
        <f t="shared" si="531"/>
        <v>0</v>
      </c>
      <c r="BN530" s="60">
        <f t="shared" si="531"/>
        <v>0</v>
      </c>
      <c r="BO530" s="60">
        <f t="shared" si="531"/>
        <v>0</v>
      </c>
      <c r="BP530" s="60">
        <f t="shared" ref="BP530:CX530" si="532">BP529*BP520</f>
        <v>0</v>
      </c>
      <c r="BQ530" s="60">
        <f t="shared" si="532"/>
        <v>0</v>
      </c>
      <c r="BR530" s="60">
        <f t="shared" si="532"/>
        <v>0</v>
      </c>
      <c r="BS530" s="60">
        <f t="shared" si="532"/>
        <v>0</v>
      </c>
      <c r="BT530" s="60">
        <f t="shared" si="532"/>
        <v>0</v>
      </c>
      <c r="BU530" s="60">
        <f t="shared" si="532"/>
        <v>0</v>
      </c>
      <c r="BV530" s="60">
        <f t="shared" si="532"/>
        <v>0</v>
      </c>
      <c r="BW530" s="60">
        <f t="shared" si="532"/>
        <v>0</v>
      </c>
      <c r="BX530" s="60">
        <f t="shared" si="532"/>
        <v>0</v>
      </c>
      <c r="BY530" s="60">
        <f t="shared" si="532"/>
        <v>0</v>
      </c>
      <c r="BZ530" s="60">
        <f t="shared" si="532"/>
        <v>0</v>
      </c>
      <c r="CA530" s="60">
        <f t="shared" si="532"/>
        <v>0</v>
      </c>
      <c r="CB530" s="60">
        <f t="shared" si="532"/>
        <v>0</v>
      </c>
      <c r="CC530" s="60">
        <f t="shared" si="532"/>
        <v>0</v>
      </c>
      <c r="CD530" s="60">
        <f t="shared" si="532"/>
        <v>0</v>
      </c>
      <c r="CE530" s="60">
        <f t="shared" si="532"/>
        <v>0</v>
      </c>
      <c r="CF530" s="60">
        <f t="shared" si="532"/>
        <v>0</v>
      </c>
      <c r="CG530" s="60">
        <f t="shared" si="532"/>
        <v>0</v>
      </c>
      <c r="CH530" s="60">
        <f t="shared" si="532"/>
        <v>0</v>
      </c>
      <c r="CI530" s="60">
        <f t="shared" si="532"/>
        <v>0</v>
      </c>
      <c r="CJ530" s="60">
        <f t="shared" si="532"/>
        <v>0</v>
      </c>
      <c r="CK530" s="60">
        <f t="shared" si="532"/>
        <v>0</v>
      </c>
      <c r="CL530" s="60">
        <f t="shared" si="532"/>
        <v>0</v>
      </c>
      <c r="CM530" s="60">
        <f t="shared" si="532"/>
        <v>0</v>
      </c>
      <c r="CN530" s="60">
        <f t="shared" si="532"/>
        <v>0</v>
      </c>
      <c r="CO530" s="60">
        <f t="shared" si="532"/>
        <v>0</v>
      </c>
      <c r="CP530" s="60">
        <f t="shared" si="532"/>
        <v>0</v>
      </c>
      <c r="CQ530" s="60">
        <f t="shared" si="532"/>
        <v>0</v>
      </c>
      <c r="CR530" s="60">
        <f t="shared" si="532"/>
        <v>0</v>
      </c>
      <c r="CS530" s="60">
        <f t="shared" si="532"/>
        <v>0</v>
      </c>
      <c r="CT530" s="60">
        <f t="shared" si="532"/>
        <v>0</v>
      </c>
      <c r="CU530" s="60">
        <f t="shared" si="532"/>
        <v>0</v>
      </c>
      <c r="CV530" s="60">
        <f t="shared" si="532"/>
        <v>0</v>
      </c>
      <c r="CW530" s="60">
        <f t="shared" si="532"/>
        <v>0</v>
      </c>
      <c r="CX530" s="60">
        <f t="shared" si="532"/>
        <v>0</v>
      </c>
      <c r="DB530" s="2" vm="779">
        <f ca="1">IF(Returns!A534&lt;&gt;0,Returns!A534,"")</f>
        <v>43906</v>
      </c>
      <c r="DC530" s="11">
        <f ca="1">IF(Returns!B545&gt;0,Returns!B545/Returns!B544-1,"")</f>
        <v>1.6635481110560679E-2</v>
      </c>
      <c r="DD530" s="11">
        <f ca="1">IF(Returns!D537&gt;0,Returns!D537/Returns!D536-1,"")</f>
        <v>0.12667539682679907</v>
      </c>
    </row>
    <row r="531" spans="2:108" x14ac:dyDescent="0.3">
      <c r="B531" s="68" t="s">
        <v>1361</v>
      </c>
      <c r="C531" s="62">
        <f>SUM(C530:CX530)</f>
        <v>0</v>
      </c>
      <c r="D531" s="60"/>
      <c r="E531" s="60"/>
      <c r="F531" s="61"/>
      <c r="G531" s="61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  <c r="AA531" s="60"/>
      <c r="AB531" s="60"/>
      <c r="AC531" s="60"/>
      <c r="AD531" s="60"/>
      <c r="AE531" s="60"/>
      <c r="AF531" s="60"/>
      <c r="AG531" s="60"/>
      <c r="AH531" s="60"/>
      <c r="AI531" s="60"/>
      <c r="AJ531" s="60"/>
      <c r="AK531" s="60"/>
      <c r="AL531" s="60"/>
      <c r="AM531" s="60"/>
      <c r="AN531" s="60"/>
      <c r="AO531" s="60"/>
      <c r="AP531" s="60"/>
      <c r="AQ531" s="60"/>
      <c r="AR531" s="60"/>
      <c r="AS531" s="60"/>
      <c r="AT531" s="60"/>
      <c r="AU531" s="60"/>
      <c r="AV531" s="60"/>
      <c r="AW531" s="60"/>
      <c r="AX531" s="60"/>
      <c r="AY531" s="60"/>
      <c r="AZ531" s="60"/>
      <c r="BA531" s="60"/>
      <c r="BB531" s="60"/>
      <c r="BC531" s="60"/>
      <c r="BD531" s="60"/>
      <c r="BE531" s="60"/>
      <c r="BF531" s="60"/>
      <c r="BG531" s="60"/>
      <c r="BH531" s="60"/>
      <c r="BI531" s="60"/>
      <c r="BJ531" s="60"/>
      <c r="BK531" s="60"/>
      <c r="BL531" s="60"/>
      <c r="BM531" s="60"/>
      <c r="BN531" s="60"/>
      <c r="BO531" s="60"/>
      <c r="BP531" s="60"/>
      <c r="BQ531" s="60"/>
      <c r="BR531" s="60"/>
      <c r="BS531" s="60"/>
      <c r="BT531" s="60"/>
      <c r="BU531" s="60"/>
      <c r="BV531" s="60"/>
      <c r="BW531" s="60"/>
      <c r="BX531" s="60"/>
      <c r="BY531" s="60"/>
      <c r="BZ531" s="60"/>
      <c r="CA531" s="60"/>
      <c r="CB531" s="60"/>
      <c r="CC531" s="60"/>
      <c r="CD531" s="60"/>
      <c r="CE531" s="60"/>
      <c r="CF531" s="60"/>
      <c r="CG531" s="60"/>
      <c r="CH531" s="60"/>
      <c r="CI531" s="60"/>
      <c r="CJ531" s="60"/>
      <c r="CK531" s="60"/>
      <c r="CL531" s="60"/>
      <c r="CM531" s="60"/>
      <c r="CN531" s="60"/>
      <c r="CO531" s="60"/>
      <c r="CP531" s="60"/>
      <c r="CQ531" s="60"/>
      <c r="CR531" s="60"/>
      <c r="CS531" s="60"/>
      <c r="CT531" s="60"/>
      <c r="CU531" s="60"/>
      <c r="CV531" s="60"/>
      <c r="CW531" s="60"/>
      <c r="CX531" s="60"/>
      <c r="DB531" s="2" vm="780">
        <f ca="1">IF(Returns!A535&lt;&gt;0,Returns!A535,"")</f>
        <v>43913</v>
      </c>
      <c r="DC531" s="11">
        <f ca="1">IF(Returns!B546&gt;0,Returns!B546/Returns!B545-1,"")</f>
        <v>2.497784937575509E-2</v>
      </c>
      <c r="DD531" s="11">
        <f ca="1">IF(Returns!D538&gt;0,Returns!D538/Returns!D537-1,"")</f>
        <v>2.2054571172686721E-2</v>
      </c>
    </row>
    <row r="532" spans="2:108" x14ac:dyDescent="0.3">
      <c r="B532" s="64" t="s">
        <v>1368</v>
      </c>
      <c r="C532" s="53">
        <f>IF(C4&lt;&gt;0,_xlfn.STDEV.S(C264:C516),0)</f>
        <v>0</v>
      </c>
      <c r="D532" s="53">
        <f t="shared" ref="D532:BO532" si="533">IF(D4&lt;&gt;0,_xlfn.STDEV.S(D264:D516),0)</f>
        <v>0</v>
      </c>
      <c r="E532" s="53">
        <f t="shared" si="533"/>
        <v>0</v>
      </c>
      <c r="F532" s="53">
        <f t="shared" si="533"/>
        <v>0</v>
      </c>
      <c r="G532" s="53">
        <f t="shared" si="533"/>
        <v>0</v>
      </c>
      <c r="H532" s="53">
        <f t="shared" si="533"/>
        <v>0</v>
      </c>
      <c r="I532" s="53">
        <f t="shared" si="533"/>
        <v>0</v>
      </c>
      <c r="J532" s="53">
        <f t="shared" si="533"/>
        <v>0</v>
      </c>
      <c r="K532" s="53">
        <f t="shared" si="533"/>
        <v>0</v>
      </c>
      <c r="L532" s="53">
        <f t="shared" si="533"/>
        <v>0</v>
      </c>
      <c r="M532" s="53">
        <f t="shared" si="533"/>
        <v>0</v>
      </c>
      <c r="N532" s="53">
        <f t="shared" si="533"/>
        <v>0</v>
      </c>
      <c r="O532" s="53">
        <f t="shared" si="533"/>
        <v>0</v>
      </c>
      <c r="P532" s="53">
        <f t="shared" si="533"/>
        <v>0</v>
      </c>
      <c r="Q532" s="53">
        <f t="shared" si="533"/>
        <v>0</v>
      </c>
      <c r="R532" s="53">
        <f t="shared" si="533"/>
        <v>0</v>
      </c>
      <c r="S532" s="53">
        <f t="shared" si="533"/>
        <v>0</v>
      </c>
      <c r="T532" s="53">
        <f t="shared" si="533"/>
        <v>0</v>
      </c>
      <c r="U532" s="53">
        <f t="shared" si="533"/>
        <v>0</v>
      </c>
      <c r="V532" s="53">
        <f t="shared" si="533"/>
        <v>0</v>
      </c>
      <c r="W532" s="53">
        <f t="shared" si="533"/>
        <v>0</v>
      </c>
      <c r="X532" s="53">
        <f t="shared" si="533"/>
        <v>0</v>
      </c>
      <c r="Y532" s="53">
        <f t="shared" si="533"/>
        <v>0</v>
      </c>
      <c r="Z532" s="53">
        <f t="shared" si="533"/>
        <v>0</v>
      </c>
      <c r="AA532" s="53">
        <f t="shared" si="533"/>
        <v>0</v>
      </c>
      <c r="AB532" s="53">
        <f t="shared" si="533"/>
        <v>0</v>
      </c>
      <c r="AC532" s="53">
        <f t="shared" si="533"/>
        <v>0</v>
      </c>
      <c r="AD532" s="53">
        <f t="shared" si="533"/>
        <v>0</v>
      </c>
      <c r="AE532" s="53">
        <f t="shared" si="533"/>
        <v>0</v>
      </c>
      <c r="AF532" s="53">
        <f t="shared" si="533"/>
        <v>0</v>
      </c>
      <c r="AG532" s="53">
        <f t="shared" si="533"/>
        <v>0</v>
      </c>
      <c r="AH532" s="53">
        <f t="shared" si="533"/>
        <v>0</v>
      </c>
      <c r="AI532" s="53">
        <f t="shared" si="533"/>
        <v>0</v>
      </c>
      <c r="AJ532" s="53">
        <f t="shared" si="533"/>
        <v>0</v>
      </c>
      <c r="AK532" s="53">
        <f t="shared" si="533"/>
        <v>0</v>
      </c>
      <c r="AL532" s="53">
        <f t="shared" si="533"/>
        <v>0</v>
      </c>
      <c r="AM532" s="53">
        <f t="shared" si="533"/>
        <v>0</v>
      </c>
      <c r="AN532" s="53">
        <f t="shared" si="533"/>
        <v>0</v>
      </c>
      <c r="AO532" s="53">
        <f t="shared" si="533"/>
        <v>0</v>
      </c>
      <c r="AP532" s="53">
        <f t="shared" si="533"/>
        <v>0</v>
      </c>
      <c r="AQ532" s="53">
        <f t="shared" si="533"/>
        <v>0</v>
      </c>
      <c r="AR532" s="53">
        <f t="shared" si="533"/>
        <v>0</v>
      </c>
      <c r="AS532" s="53">
        <f t="shared" si="533"/>
        <v>0</v>
      </c>
      <c r="AT532" s="53">
        <f t="shared" si="533"/>
        <v>0</v>
      </c>
      <c r="AU532" s="53">
        <f t="shared" si="533"/>
        <v>0</v>
      </c>
      <c r="AV532" s="53">
        <f t="shared" si="533"/>
        <v>0</v>
      </c>
      <c r="AW532" s="53">
        <f t="shared" si="533"/>
        <v>0</v>
      </c>
      <c r="AX532" s="53">
        <f t="shared" si="533"/>
        <v>0</v>
      </c>
      <c r="AY532" s="53">
        <f t="shared" si="533"/>
        <v>0</v>
      </c>
      <c r="AZ532" s="53">
        <f t="shared" si="533"/>
        <v>0</v>
      </c>
      <c r="BA532" s="53">
        <f t="shared" si="533"/>
        <v>0</v>
      </c>
      <c r="BB532" s="53">
        <f t="shared" si="533"/>
        <v>0</v>
      </c>
      <c r="BC532" s="53">
        <f t="shared" si="533"/>
        <v>0</v>
      </c>
      <c r="BD532" s="53">
        <f t="shared" si="533"/>
        <v>0</v>
      </c>
      <c r="BE532" s="53">
        <f t="shared" si="533"/>
        <v>0</v>
      </c>
      <c r="BF532" s="53">
        <f t="shared" si="533"/>
        <v>0</v>
      </c>
      <c r="BG532" s="53">
        <f t="shared" si="533"/>
        <v>0</v>
      </c>
      <c r="BH532" s="53">
        <f t="shared" si="533"/>
        <v>0</v>
      </c>
      <c r="BI532" s="53">
        <f t="shared" si="533"/>
        <v>0</v>
      </c>
      <c r="BJ532" s="53">
        <f t="shared" si="533"/>
        <v>0</v>
      </c>
      <c r="BK532" s="53">
        <f t="shared" si="533"/>
        <v>0</v>
      </c>
      <c r="BL532" s="53">
        <f t="shared" si="533"/>
        <v>0</v>
      </c>
      <c r="BM532" s="53">
        <f t="shared" si="533"/>
        <v>0</v>
      </c>
      <c r="BN532" s="53">
        <f t="shared" si="533"/>
        <v>0</v>
      </c>
      <c r="BO532" s="53">
        <f t="shared" si="533"/>
        <v>0</v>
      </c>
      <c r="BP532" s="53">
        <f t="shared" ref="BP532:CX532" si="534">IF(BP4&lt;&gt;0,_xlfn.STDEV.S(BP264:BP516),0)</f>
        <v>0</v>
      </c>
      <c r="BQ532" s="53">
        <f t="shared" si="534"/>
        <v>0</v>
      </c>
      <c r="BR532" s="53">
        <f t="shared" si="534"/>
        <v>0</v>
      </c>
      <c r="BS532" s="53">
        <f t="shared" si="534"/>
        <v>0</v>
      </c>
      <c r="BT532" s="53">
        <f t="shared" si="534"/>
        <v>0</v>
      </c>
      <c r="BU532" s="53">
        <f t="shared" si="534"/>
        <v>0</v>
      </c>
      <c r="BV532" s="53">
        <f t="shared" si="534"/>
        <v>0</v>
      </c>
      <c r="BW532" s="53">
        <f t="shared" si="534"/>
        <v>0</v>
      </c>
      <c r="BX532" s="53">
        <f t="shared" si="534"/>
        <v>0</v>
      </c>
      <c r="BY532" s="53">
        <f t="shared" si="534"/>
        <v>0</v>
      </c>
      <c r="BZ532" s="53">
        <f t="shared" si="534"/>
        <v>0</v>
      </c>
      <c r="CA532" s="53">
        <f t="shared" si="534"/>
        <v>0</v>
      </c>
      <c r="CB532" s="53">
        <f t="shared" si="534"/>
        <v>0</v>
      </c>
      <c r="CC532" s="53">
        <f t="shared" si="534"/>
        <v>0</v>
      </c>
      <c r="CD532" s="53">
        <f t="shared" si="534"/>
        <v>0</v>
      </c>
      <c r="CE532" s="53">
        <f t="shared" si="534"/>
        <v>0</v>
      </c>
      <c r="CF532" s="53">
        <f t="shared" si="534"/>
        <v>0</v>
      </c>
      <c r="CG532" s="53">
        <f t="shared" si="534"/>
        <v>0</v>
      </c>
      <c r="CH532" s="53">
        <f t="shared" si="534"/>
        <v>0</v>
      </c>
      <c r="CI532" s="53">
        <f t="shared" si="534"/>
        <v>0</v>
      </c>
      <c r="CJ532" s="53">
        <f t="shared" si="534"/>
        <v>0</v>
      </c>
      <c r="CK532" s="53">
        <f t="shared" si="534"/>
        <v>0</v>
      </c>
      <c r="CL532" s="53">
        <f t="shared" si="534"/>
        <v>0</v>
      </c>
      <c r="CM532" s="53">
        <f t="shared" si="534"/>
        <v>0</v>
      </c>
      <c r="CN532" s="53">
        <f t="shared" si="534"/>
        <v>0</v>
      </c>
      <c r="CO532" s="53">
        <f t="shared" si="534"/>
        <v>0</v>
      </c>
      <c r="CP532" s="53">
        <f t="shared" si="534"/>
        <v>0</v>
      </c>
      <c r="CQ532" s="53">
        <f t="shared" si="534"/>
        <v>0</v>
      </c>
      <c r="CR532" s="53">
        <f t="shared" si="534"/>
        <v>0</v>
      </c>
      <c r="CS532" s="53">
        <f t="shared" si="534"/>
        <v>0</v>
      </c>
      <c r="CT532" s="53">
        <f t="shared" si="534"/>
        <v>0</v>
      </c>
      <c r="CU532" s="53">
        <f t="shared" si="534"/>
        <v>0</v>
      </c>
      <c r="CV532" s="53">
        <f t="shared" si="534"/>
        <v>0</v>
      </c>
      <c r="CW532" s="53">
        <f t="shared" si="534"/>
        <v>0</v>
      </c>
      <c r="CX532" s="53">
        <f t="shared" si="534"/>
        <v>0</v>
      </c>
      <c r="DB532" s="2" vm="781">
        <f ca="1">IF(Returns!A536&lt;&gt;0,Returns!A536,"")</f>
        <v>43920</v>
      </c>
      <c r="DC532" s="11">
        <f ca="1">IF(Returns!B547&gt;0,Returns!B547/Returns!B546-1,"")</f>
        <v>5.1076219440318704E-2</v>
      </c>
      <c r="DD532" s="11">
        <f ca="1">IF(Returns!D539&gt;0,Returns!D539/Returns!D538-1,"")</f>
        <v>-1.9272827610440246E-2</v>
      </c>
    </row>
    <row r="533" spans="2:108" x14ac:dyDescent="0.3">
      <c r="B533" s="64" t="s">
        <v>1362</v>
      </c>
      <c r="C533" s="53">
        <f>C532*C520</f>
        <v>0</v>
      </c>
      <c r="D533" s="53">
        <f t="shared" ref="D533:BO533" si="535">D532*D520</f>
        <v>0</v>
      </c>
      <c r="E533" s="53">
        <f t="shared" si="535"/>
        <v>0</v>
      </c>
      <c r="F533" s="53">
        <f t="shared" si="535"/>
        <v>0</v>
      </c>
      <c r="G533" s="53">
        <f t="shared" si="535"/>
        <v>0</v>
      </c>
      <c r="H533" s="53">
        <f t="shared" si="535"/>
        <v>0</v>
      </c>
      <c r="I533" s="53">
        <f t="shared" si="535"/>
        <v>0</v>
      </c>
      <c r="J533" s="53">
        <f t="shared" si="535"/>
        <v>0</v>
      </c>
      <c r="K533" s="53">
        <f t="shared" si="535"/>
        <v>0</v>
      </c>
      <c r="L533" s="53">
        <f t="shared" si="535"/>
        <v>0</v>
      </c>
      <c r="M533" s="53">
        <f t="shared" si="535"/>
        <v>0</v>
      </c>
      <c r="N533" s="53">
        <f t="shared" si="535"/>
        <v>0</v>
      </c>
      <c r="O533" s="53">
        <f t="shared" si="535"/>
        <v>0</v>
      </c>
      <c r="P533" s="53">
        <f t="shared" si="535"/>
        <v>0</v>
      </c>
      <c r="Q533" s="53">
        <f t="shared" si="535"/>
        <v>0</v>
      </c>
      <c r="R533" s="53">
        <f t="shared" si="535"/>
        <v>0</v>
      </c>
      <c r="S533" s="53">
        <f t="shared" si="535"/>
        <v>0</v>
      </c>
      <c r="T533" s="53">
        <f t="shared" si="535"/>
        <v>0</v>
      </c>
      <c r="U533" s="53">
        <f t="shared" si="535"/>
        <v>0</v>
      </c>
      <c r="V533" s="53">
        <f t="shared" si="535"/>
        <v>0</v>
      </c>
      <c r="W533" s="53">
        <f t="shared" si="535"/>
        <v>0</v>
      </c>
      <c r="X533" s="53">
        <f t="shared" si="535"/>
        <v>0</v>
      </c>
      <c r="Y533" s="53">
        <f t="shared" si="535"/>
        <v>0</v>
      </c>
      <c r="Z533" s="53">
        <f t="shared" si="535"/>
        <v>0</v>
      </c>
      <c r="AA533" s="53">
        <f t="shared" si="535"/>
        <v>0</v>
      </c>
      <c r="AB533" s="53">
        <f t="shared" si="535"/>
        <v>0</v>
      </c>
      <c r="AC533" s="53">
        <f t="shared" si="535"/>
        <v>0</v>
      </c>
      <c r="AD533" s="53">
        <f t="shared" si="535"/>
        <v>0</v>
      </c>
      <c r="AE533" s="53">
        <f t="shared" si="535"/>
        <v>0</v>
      </c>
      <c r="AF533" s="53">
        <f t="shared" si="535"/>
        <v>0</v>
      </c>
      <c r="AG533" s="53">
        <f t="shared" si="535"/>
        <v>0</v>
      </c>
      <c r="AH533" s="53">
        <f t="shared" si="535"/>
        <v>0</v>
      </c>
      <c r="AI533" s="53">
        <f t="shared" si="535"/>
        <v>0</v>
      </c>
      <c r="AJ533" s="53">
        <f t="shared" si="535"/>
        <v>0</v>
      </c>
      <c r="AK533" s="53">
        <f t="shared" si="535"/>
        <v>0</v>
      </c>
      <c r="AL533" s="53">
        <f t="shared" si="535"/>
        <v>0</v>
      </c>
      <c r="AM533" s="53">
        <f t="shared" si="535"/>
        <v>0</v>
      </c>
      <c r="AN533" s="53">
        <f t="shared" si="535"/>
        <v>0</v>
      </c>
      <c r="AO533" s="53">
        <f t="shared" si="535"/>
        <v>0</v>
      </c>
      <c r="AP533" s="53">
        <f t="shared" si="535"/>
        <v>0</v>
      </c>
      <c r="AQ533" s="53">
        <f t="shared" si="535"/>
        <v>0</v>
      </c>
      <c r="AR533" s="53">
        <f t="shared" si="535"/>
        <v>0</v>
      </c>
      <c r="AS533" s="53">
        <f t="shared" si="535"/>
        <v>0</v>
      </c>
      <c r="AT533" s="53">
        <f t="shared" si="535"/>
        <v>0</v>
      </c>
      <c r="AU533" s="53">
        <f t="shared" si="535"/>
        <v>0</v>
      </c>
      <c r="AV533" s="53">
        <f t="shared" si="535"/>
        <v>0</v>
      </c>
      <c r="AW533" s="53">
        <f t="shared" si="535"/>
        <v>0</v>
      </c>
      <c r="AX533" s="53">
        <f t="shared" si="535"/>
        <v>0</v>
      </c>
      <c r="AY533" s="53">
        <f t="shared" si="535"/>
        <v>0</v>
      </c>
      <c r="AZ533" s="53">
        <f t="shared" si="535"/>
        <v>0</v>
      </c>
      <c r="BA533" s="53">
        <f t="shared" si="535"/>
        <v>0</v>
      </c>
      <c r="BB533" s="53">
        <f t="shared" si="535"/>
        <v>0</v>
      </c>
      <c r="BC533" s="53">
        <f t="shared" si="535"/>
        <v>0</v>
      </c>
      <c r="BD533" s="53">
        <f t="shared" si="535"/>
        <v>0</v>
      </c>
      <c r="BE533" s="53">
        <f t="shared" si="535"/>
        <v>0</v>
      </c>
      <c r="BF533" s="53">
        <f t="shared" si="535"/>
        <v>0</v>
      </c>
      <c r="BG533" s="53">
        <f t="shared" si="535"/>
        <v>0</v>
      </c>
      <c r="BH533" s="53">
        <f t="shared" si="535"/>
        <v>0</v>
      </c>
      <c r="BI533" s="53">
        <f t="shared" si="535"/>
        <v>0</v>
      </c>
      <c r="BJ533" s="53">
        <f t="shared" si="535"/>
        <v>0</v>
      </c>
      <c r="BK533" s="53">
        <f t="shared" si="535"/>
        <v>0</v>
      </c>
      <c r="BL533" s="53">
        <f t="shared" si="535"/>
        <v>0</v>
      </c>
      <c r="BM533" s="53">
        <f t="shared" si="535"/>
        <v>0</v>
      </c>
      <c r="BN533" s="53">
        <f t="shared" si="535"/>
        <v>0</v>
      </c>
      <c r="BO533" s="53">
        <f t="shared" si="535"/>
        <v>0</v>
      </c>
      <c r="BP533" s="53">
        <f t="shared" ref="BP533:CX533" si="536">BP532*BP520</f>
        <v>0</v>
      </c>
      <c r="BQ533" s="53">
        <f t="shared" si="536"/>
        <v>0</v>
      </c>
      <c r="BR533" s="53">
        <f t="shared" si="536"/>
        <v>0</v>
      </c>
      <c r="BS533" s="53">
        <f t="shared" si="536"/>
        <v>0</v>
      </c>
      <c r="BT533" s="53">
        <f t="shared" si="536"/>
        <v>0</v>
      </c>
      <c r="BU533" s="53">
        <f t="shared" si="536"/>
        <v>0</v>
      </c>
      <c r="BV533" s="53">
        <f t="shared" si="536"/>
        <v>0</v>
      </c>
      <c r="BW533" s="53">
        <f t="shared" si="536"/>
        <v>0</v>
      </c>
      <c r="BX533" s="53">
        <f t="shared" si="536"/>
        <v>0</v>
      </c>
      <c r="BY533" s="53">
        <f t="shared" si="536"/>
        <v>0</v>
      </c>
      <c r="BZ533" s="53">
        <f t="shared" si="536"/>
        <v>0</v>
      </c>
      <c r="CA533" s="53">
        <f t="shared" si="536"/>
        <v>0</v>
      </c>
      <c r="CB533" s="53">
        <f t="shared" si="536"/>
        <v>0</v>
      </c>
      <c r="CC533" s="53">
        <f t="shared" si="536"/>
        <v>0</v>
      </c>
      <c r="CD533" s="53">
        <f t="shared" si="536"/>
        <v>0</v>
      </c>
      <c r="CE533" s="53">
        <f t="shared" si="536"/>
        <v>0</v>
      </c>
      <c r="CF533" s="53">
        <f t="shared" si="536"/>
        <v>0</v>
      </c>
      <c r="CG533" s="53">
        <f t="shared" si="536"/>
        <v>0</v>
      </c>
      <c r="CH533" s="53">
        <f t="shared" si="536"/>
        <v>0</v>
      </c>
      <c r="CI533" s="53">
        <f t="shared" si="536"/>
        <v>0</v>
      </c>
      <c r="CJ533" s="53">
        <f t="shared" si="536"/>
        <v>0</v>
      </c>
      <c r="CK533" s="53">
        <f t="shared" si="536"/>
        <v>0</v>
      </c>
      <c r="CL533" s="53">
        <f t="shared" si="536"/>
        <v>0</v>
      </c>
      <c r="CM533" s="53">
        <f t="shared" si="536"/>
        <v>0</v>
      </c>
      <c r="CN533" s="53">
        <f t="shared" si="536"/>
        <v>0</v>
      </c>
      <c r="CO533" s="53">
        <f t="shared" si="536"/>
        <v>0</v>
      </c>
      <c r="CP533" s="53">
        <f t="shared" si="536"/>
        <v>0</v>
      </c>
      <c r="CQ533" s="53">
        <f t="shared" si="536"/>
        <v>0</v>
      </c>
      <c r="CR533" s="53">
        <f t="shared" si="536"/>
        <v>0</v>
      </c>
      <c r="CS533" s="53">
        <f t="shared" si="536"/>
        <v>0</v>
      </c>
      <c r="CT533" s="53">
        <f t="shared" si="536"/>
        <v>0</v>
      </c>
      <c r="CU533" s="53">
        <f t="shared" si="536"/>
        <v>0</v>
      </c>
      <c r="CV533" s="53">
        <f t="shared" si="536"/>
        <v>0</v>
      </c>
      <c r="CW533" s="53">
        <f t="shared" si="536"/>
        <v>0</v>
      </c>
      <c r="CX533" s="53">
        <f t="shared" si="536"/>
        <v>0</v>
      </c>
      <c r="DB533" s="2" vm="782">
        <f ca="1">IF(Returns!A537&lt;&gt;0,Returns!A537,"")</f>
        <v>43927</v>
      </c>
      <c r="DC533" s="11">
        <f ca="1">IF(Returns!B548&gt;0,Returns!B548/Returns!B547-1,"")</f>
        <v>6.6766105547269028E-3</v>
      </c>
      <c r="DD533" s="11">
        <f ca="1">IF(Returns!D540&gt;0,Returns!D540/Returns!D539-1,"")</f>
        <v>-2.1694052360838878E-3</v>
      </c>
    </row>
    <row r="534" spans="2:108" x14ac:dyDescent="0.3">
      <c r="B534" s="68" t="s">
        <v>1363</v>
      </c>
      <c r="C534" s="63">
        <f>SUM(C533:CX533)</f>
        <v>0</v>
      </c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  <c r="BM534" s="11"/>
      <c r="BN534" s="11"/>
      <c r="BO534" s="11"/>
      <c r="BP534" s="11"/>
      <c r="BQ534" s="11"/>
      <c r="BR534" s="11"/>
      <c r="BS534" s="11"/>
      <c r="BT534" s="11"/>
      <c r="BU534" s="11"/>
      <c r="BV534" s="11"/>
      <c r="BW534" s="11"/>
      <c r="BX534" s="11"/>
      <c r="BY534" s="11"/>
      <c r="BZ534" s="11"/>
      <c r="CA534" s="11"/>
      <c r="CB534" s="11"/>
      <c r="CC534" s="11"/>
      <c r="CD534" s="11"/>
      <c r="CE534" s="11"/>
      <c r="CF534" s="11"/>
      <c r="CG534" s="11"/>
      <c r="CH534" s="11"/>
      <c r="CI534" s="11"/>
      <c r="CJ534" s="11"/>
      <c r="CK534" s="11"/>
      <c r="CL534" s="11"/>
      <c r="CM534" s="11"/>
      <c r="CN534" s="11"/>
      <c r="CO534" s="11"/>
      <c r="CP534" s="11"/>
      <c r="CQ534" s="11"/>
      <c r="CR534" s="11"/>
      <c r="CS534" s="11"/>
      <c r="CT534" s="11"/>
      <c r="CU534" s="11"/>
      <c r="CV534" s="11"/>
      <c r="CW534" s="11"/>
      <c r="CX534" s="11"/>
      <c r="DB534" s="2" vm="783">
        <f ca="1">IF(Returns!A538&lt;&gt;0,Returns!A538,"")</f>
        <v>43934</v>
      </c>
      <c r="DC534" s="11">
        <f ca="1">IF(Returns!B549&gt;0,Returns!B549/Returns!B548-1,"")</f>
        <v>7.3315830322295605E-2</v>
      </c>
      <c r="DD534" s="11">
        <f ca="1">IF(Returns!D541&gt;0,Returns!D541/Returns!D540-1,"")</f>
        <v>2.561241095084088E-2</v>
      </c>
    </row>
    <row r="535" spans="2:108" x14ac:dyDescent="0.3">
      <c r="B535" s="35"/>
      <c r="DB535" s="2" vm="784">
        <f ca="1">IF(Returns!A539&lt;&gt;0,Returns!A539,"")</f>
        <v>43941</v>
      </c>
      <c r="DC535" s="11">
        <f ca="1">IF(Returns!B550&gt;0,Returns!B550/Returns!B549-1,"")</f>
        <v>0.10715150676400387</v>
      </c>
      <c r="DD535" s="11">
        <f ca="1">IF(Returns!D542&gt;0,Returns!D542/Returns!D541-1,"")</f>
        <v>-2.6545753897806112E-2</v>
      </c>
    </row>
    <row r="536" spans="2:108" x14ac:dyDescent="0.3">
      <c r="B536" s="64" t="s">
        <v>1301</v>
      </c>
      <c r="C536" s="36">
        <f>SUM($C$522:$CX$522)</f>
        <v>0</v>
      </c>
      <c r="DB536" s="2" vm="785">
        <f ca="1">IF(Returns!A540&lt;&gt;0,Returns!A540,"")</f>
        <v>43948</v>
      </c>
      <c r="DC536" s="11">
        <f ca="1">IF(Returns!B551&gt;0,Returns!B551/Returns!B550-1,"")</f>
        <v>-7.4384374999999947E-2</v>
      </c>
      <c r="DD536" s="11">
        <f ca="1">IF(Returns!D543&gt;0,Returns!D543/Returns!D542-1,"")</f>
        <v>3.2920781537777888E-2</v>
      </c>
    </row>
    <row r="537" spans="2:108" x14ac:dyDescent="0.3">
      <c r="B537" s="64" t="s">
        <v>1302</v>
      </c>
      <c r="C537" s="36">
        <f>SUM($C$524:$CX$524)</f>
        <v>0</v>
      </c>
      <c r="DB537" s="2" vm="786">
        <f ca="1">IF(Returns!A541&lt;&gt;0,Returns!A541,"")</f>
        <v>43955</v>
      </c>
      <c r="DC537" s="11">
        <f ca="1">IF(Returns!B552&gt;0,Returns!B552/Returns!B551-1,"")</f>
        <v>1.5847560913851311E-2</v>
      </c>
      <c r="DD537" s="11">
        <f ca="1">IF(Returns!D544&gt;0,Returns!D544/Returns!D543-1,"")</f>
        <v>3.7520589734845178E-2</v>
      </c>
    </row>
    <row r="538" spans="2:108" x14ac:dyDescent="0.3">
      <c r="B538" s="64" t="s">
        <v>1303</v>
      </c>
      <c r="C538" s="36">
        <f>SUM($C$526:$CX$526)</f>
        <v>0</v>
      </c>
      <c r="DB538" s="2" vm="787">
        <f ca="1">IF(Returns!A542&lt;&gt;0,Returns!A542,"")</f>
        <v>43962</v>
      </c>
      <c r="DC538" s="11">
        <f ca="1">IF(Returns!B553&gt;0,Returns!B553/Returns!B552-1,"")</f>
        <v>5.1769577687601043E-2</v>
      </c>
      <c r="DD538" s="11">
        <f ca="1">IF(Returns!D545&gt;0,Returns!D545/Returns!D544-1,"")</f>
        <v>6.8071582665165664E-2</v>
      </c>
    </row>
    <row r="539" spans="2:108" x14ac:dyDescent="0.3">
      <c r="B539" s="67"/>
      <c r="DB539" s="2" vm="788">
        <f ca="1">IF(Returns!A543&lt;&gt;0,Returns!A543,"")</f>
        <v>43969</v>
      </c>
      <c r="DC539" s="11">
        <f ca="1">IF(Returns!B554&gt;0,Returns!B554/Returns!B553-1,"")</f>
        <v>8.7844584602536635E-4</v>
      </c>
      <c r="DD539" s="11">
        <f ca="1">IF(Returns!D546&gt;0,Returns!D546/Returns!D545-1,"")</f>
        <v>-5.5528710959015237E-2</v>
      </c>
    </row>
    <row r="540" spans="2:108" x14ac:dyDescent="0.3">
      <c r="B540" s="64" t="s">
        <v>1333</v>
      </c>
      <c r="C540" s="11">
        <f ca="1">B5/B29-1</f>
        <v>9.2585150527204174E-2</v>
      </c>
      <c r="DB540" s="2" vm="789">
        <f ca="1">IF(Returns!A544&lt;&gt;0,Returns!A544,"")</f>
        <v>43977</v>
      </c>
      <c r="DC540" s="11">
        <f ca="1">IF(Returns!B555&gt;0,Returns!B555/Returns!B554-1,"")</f>
        <v>-6.1374097857588295E-3</v>
      </c>
      <c r="DD540" s="11">
        <f ca="1">IF(Returns!D547&gt;0,Returns!D547/Returns!D546-1,"")</f>
        <v>1.0385079633558947E-2</v>
      </c>
    </row>
    <row r="541" spans="2:108" x14ac:dyDescent="0.3">
      <c r="B541" s="64" t="s">
        <v>1334</v>
      </c>
      <c r="C541" s="11">
        <f ca="1">B5/B53-1</f>
        <v>0.14926692270498054</v>
      </c>
      <c r="DB541" s="2" vm="790">
        <f ca="1">IF(Returns!A545&lt;&gt;0,Returns!A545,"")</f>
        <v>43983</v>
      </c>
      <c r="DC541" s="11">
        <f ca="1">IF(Returns!B556&gt;0,Returns!B556/Returns!B555-1,"")</f>
        <v>4.3424120558319013E-2</v>
      </c>
      <c r="DD541" s="11">
        <f ca="1">IF(Returns!D548&gt;0,Returns!D548/Returns!D547-1,"")</f>
        <v>-3.3083156352264775E-2</v>
      </c>
    </row>
    <row r="542" spans="2:108" x14ac:dyDescent="0.3">
      <c r="B542" s="64" t="s">
        <v>1335</v>
      </c>
      <c r="C542" s="11">
        <f ca="1">B5/B258-1</f>
        <v>0.87559462472568406</v>
      </c>
      <c r="DB542" s="2" vm="791">
        <f ca="1">IF(Returns!A546&lt;&gt;0,Returns!A546,"")</f>
        <v>43990</v>
      </c>
      <c r="DC542" s="11">
        <f ca="1">IF(Returns!B557&gt;0,Returns!B557/Returns!B556-1,"")</f>
        <v>3.5643829611047506E-2</v>
      </c>
      <c r="DD542" s="11">
        <f ca="1">IF(Returns!D549&gt;0,Returns!D549/Returns!D548-1,"")</f>
        <v>3.2452116341337156E-2</v>
      </c>
    </row>
    <row r="543" spans="2:108" x14ac:dyDescent="0.3">
      <c r="B543" s="67"/>
      <c r="DB543" s="2" vm="792">
        <f ca="1">IF(Returns!A547&lt;&gt;0,Returns!A547,"")</f>
        <v>43997</v>
      </c>
      <c r="DC543" s="11">
        <f ca="1">IF(Returns!B558&gt;0,Returns!B558/Returns!B557-1,"")</f>
        <v>-3.150684931506853E-2</v>
      </c>
      <c r="DD543" s="11">
        <f ca="1">IF(Returns!D550&gt;0,Returns!D550/Returns!D549-1,"")</f>
        <v>9.6001114910859719E-3</v>
      </c>
    </row>
    <row r="544" spans="2:108" x14ac:dyDescent="0.3">
      <c r="B544" s="67"/>
      <c r="DB544" s="2" vm="793">
        <f ca="1">IF(Returns!A548&lt;&gt;0,Returns!A548,"")</f>
        <v>44004</v>
      </c>
      <c r="DC544" s="11">
        <f ca="1">IF(Returns!B559&gt;0,Returns!B559/Returns!B558-1,"")</f>
        <v>-5.41488851521571E-2</v>
      </c>
      <c r="DD544" s="11">
        <f ca="1">IF(Returns!D551&gt;0,Returns!D551/Returns!D550-1,"")</f>
        <v>2.2881691056783726E-2</v>
      </c>
    </row>
    <row r="545" spans="2:108" x14ac:dyDescent="0.3">
      <c r="B545" s="68" t="s">
        <v>1353</v>
      </c>
      <c r="C545" s="36">
        <v>4.2999999999999997E-2</v>
      </c>
      <c r="DB545" s="2" vm="794">
        <f ca="1">IF(Returns!A549&lt;&gt;0,Returns!A549,"")</f>
        <v>44011</v>
      </c>
      <c r="DC545" s="11">
        <f ca="1">IF(Returns!B560&gt;0,Returns!B560/Returns!B559-1,"")</f>
        <v>-5.1764637926719037E-2</v>
      </c>
      <c r="DD545" s="11">
        <f ca="1">IF(Returns!D552&gt;0,Returns!D552/Returns!D551-1,"")</f>
        <v>-7.5757568940744147E-3</v>
      </c>
    </row>
    <row r="546" spans="2:108" x14ac:dyDescent="0.3">
      <c r="DB546" s="2" vm="795">
        <f ca="1">IF(Returns!A550&lt;&gt;0,Returns!A550,"")</f>
        <v>44018</v>
      </c>
      <c r="DC546" s="11">
        <f ca="1">IF(Returns!B561&gt;0,Returns!B561/Returns!B560-1,"")</f>
        <v>4.7453221925540801E-2</v>
      </c>
      <c r="DD546" s="11">
        <f ca="1">IF(Returns!D553&gt;0,Returns!D553/Returns!D552-1,"")</f>
        <v>-1.570252169478259E-3</v>
      </c>
    </row>
    <row r="547" spans="2:108" x14ac:dyDescent="0.3">
      <c r="DB547" s="2" vm="796">
        <f ca="1">IF(Returns!A551&lt;&gt;0,Returns!A551,"")</f>
        <v>44025</v>
      </c>
      <c r="DC547" s="11">
        <f ca="1">IF(Returns!B562&gt;0,Returns!B562/Returns!B561-1,"")</f>
        <v>9.6506447225157554E-3</v>
      </c>
      <c r="DD547" s="11">
        <f ca="1">IF(Returns!D554&gt;0,Returns!D554/Returns!D553-1,"")</f>
        <v>3.8033323353888537E-2</v>
      </c>
    </row>
    <row r="548" spans="2:108" x14ac:dyDescent="0.3">
      <c r="DB548" s="2" vm="797">
        <f ca="1">IF(Returns!A552&lt;&gt;0,Returns!A552,"")</f>
        <v>44032</v>
      </c>
      <c r="DC548" s="11">
        <f ca="1">IF(Returns!B563&gt;0,Returns!B563/Returns!B562-1,"")</f>
        <v>5.1727999999999996E-2</v>
      </c>
      <c r="DD548" s="11">
        <f ca="1">IF(Returns!D555&gt;0,Returns!D555/Returns!D554-1,"")</f>
        <v>1.813613432333927E-2</v>
      </c>
    </row>
    <row r="549" spans="2:108" x14ac:dyDescent="0.3">
      <c r="DB549" s="2" vm="798">
        <f ca="1">IF(Returns!A553&lt;&gt;0,Returns!A553,"")</f>
        <v>44039</v>
      </c>
      <c r="DC549" s="11">
        <f ca="1">IF(Returns!B564&gt;0,Returns!B564/Returns!B563-1,"")</f>
        <v>-4.2414008184625818E-3</v>
      </c>
      <c r="DD549" s="11">
        <f ca="1">IF(Returns!D556&gt;0,Returns!D556/Returns!D555-1,"")</f>
        <v>-2.4556927632146675E-5</v>
      </c>
    </row>
    <row r="550" spans="2:108" x14ac:dyDescent="0.3">
      <c r="DB550" s="2" vm="799">
        <f ca="1">IF(Returns!A554&lt;&gt;0,Returns!A554,"")</f>
        <v>44046</v>
      </c>
      <c r="DC550" s="11">
        <f ca="1">IF(Returns!B565&gt;0,Returns!B565/Returns!B564-1,"")</f>
        <v>-2.0872610160998173E-2</v>
      </c>
      <c r="DD550" s="11">
        <f ca="1">IF(Returns!D557&gt;0,Returns!D557/Returns!D556-1,"")</f>
        <v>2.5904979735185796E-2</v>
      </c>
    </row>
    <row r="551" spans="2:108" x14ac:dyDescent="0.3">
      <c r="DB551" s="2" vm="800">
        <f ca="1">IF(Returns!A555&lt;&gt;0,Returns!A555,"")</f>
        <v>44053</v>
      </c>
      <c r="DC551" s="11">
        <f ca="1">IF(Returns!B566&gt;0,Returns!B566/Returns!B565-1,"")</f>
        <v>-5.2505929347147595E-2</v>
      </c>
      <c r="DD551" s="11">
        <f ca="1">IF(Returns!D558&gt;0,Returns!D558/Returns!D557-1,"")</f>
        <v>-1.8166975317848277E-2</v>
      </c>
    </row>
    <row r="552" spans="2:108" x14ac:dyDescent="0.3">
      <c r="DB552" s="2" vm="801">
        <f ca="1">IF(Returns!A556&lt;&gt;0,Returns!A556,"")</f>
        <v>44060</v>
      </c>
      <c r="DC552" s="11">
        <f ca="1">IF(Returns!B567&gt;0,Returns!B567/Returns!B566-1,"")</f>
        <v>9.0647695271972806E-2</v>
      </c>
      <c r="DD552" s="11">
        <f ca="1">IF(Returns!D559&gt;0,Returns!D559/Returns!D558-1,"")</f>
        <v>-1.6623402891629557E-2</v>
      </c>
    </row>
    <row r="553" spans="2:108" x14ac:dyDescent="0.3">
      <c r="DB553" s="2" vm="802">
        <f ca="1">IF(Returns!A557&lt;&gt;0,Returns!A557,"")</f>
        <v>44067</v>
      </c>
      <c r="DC553" s="11">
        <f ca="1">IF(Returns!B568&gt;0,Returns!B568/Returns!B567-1,"")</f>
        <v>-5.5131259871292082E-2</v>
      </c>
      <c r="DD553" s="11">
        <f ca="1">IF(Returns!D560&gt;0,Returns!D560/Returns!D559-1,"")</f>
        <v>-2.972748674856529E-4</v>
      </c>
    </row>
    <row r="554" spans="2:108" x14ac:dyDescent="0.3">
      <c r="DB554" s="2" vm="803">
        <f ca="1">IF(Returns!A558&lt;&gt;0,Returns!A558,"")</f>
        <v>44074</v>
      </c>
      <c r="DC554" s="11">
        <f ca="1">IF(Returns!B569&gt;0,Returns!B569/Returns!B568-1,"")</f>
        <v>-9.3997398371904461E-3</v>
      </c>
      <c r="DD554" s="11">
        <f ca="1">IF(Returns!D561&gt;0,Returns!D561/Returns!D560-1,"")</f>
        <v>-1.7480381167185866E-2</v>
      </c>
    </row>
    <row r="555" spans="2:108" x14ac:dyDescent="0.3">
      <c r="DB555" s="2" vm="804">
        <f ca="1">IF(Returns!A559&lt;&gt;0,Returns!A559,"")</f>
        <v>44082</v>
      </c>
      <c r="DC555" s="11">
        <f ca="1">IF(Returns!B570&gt;0,Returns!B570/Returns!B569-1,"")</f>
        <v>3.0954378266761395E-2</v>
      </c>
      <c r="DD555" s="11">
        <f ca="1">IF(Returns!D562&gt;0,Returns!D562/Returns!D561-1,"")</f>
        <v>1.8725985760343011E-2</v>
      </c>
    </row>
    <row r="556" spans="2:108" x14ac:dyDescent="0.3">
      <c r="DB556" s="2" vm="805">
        <f ca="1">IF(Returns!A560&lt;&gt;0,Returns!A560,"")</f>
        <v>44088</v>
      </c>
      <c r="DC556" s="11">
        <f ca="1">IF(Returns!B571&gt;0,Returns!B571/Returns!B570-1,"")</f>
        <v>-1.0252430101335142E-2</v>
      </c>
      <c r="DD556" s="11">
        <f ca="1">IF(Returns!D563&gt;0,Returns!D563/Returns!D562-1,"")</f>
        <v>3.2658890347507352E-2</v>
      </c>
    </row>
    <row r="557" spans="2:108" x14ac:dyDescent="0.3">
      <c r="DB557" s="2" vm="806">
        <f ca="1">IF(Returns!A561&lt;&gt;0,Returns!A561,"")</f>
        <v>44095</v>
      </c>
      <c r="DC557" s="11">
        <f ca="1">IF(Returns!B572&gt;0,Returns!B572/Returns!B571-1,"")</f>
        <v>-1.4595678212092622E-2</v>
      </c>
      <c r="DD557" s="11">
        <f ca="1">IF(Returns!D564&gt;0,Returns!D564/Returns!D563-1,"")</f>
        <v>6.7896473603501484E-4</v>
      </c>
    </row>
    <row r="558" spans="2:108" x14ac:dyDescent="0.3">
      <c r="DB558" s="2" vm="807">
        <f ca="1">IF(Returns!A562&lt;&gt;0,Returns!A562,"")</f>
        <v>44102</v>
      </c>
      <c r="DC558" s="11">
        <f ca="1">IF(Returns!B573&gt;0,Returns!B573/Returns!B572-1,"")</f>
        <v>2.7348688559308609E-2</v>
      </c>
      <c r="DD558" s="11">
        <f ca="1">IF(Returns!D565&gt;0,Returns!D565/Returns!D564-1,"")</f>
        <v>-9.4645783775727521E-3</v>
      </c>
    </row>
    <row r="559" spans="2:108" x14ac:dyDescent="0.3">
      <c r="DB559" s="2" vm="808">
        <f ca="1">IF(Returns!A563&lt;&gt;0,Returns!A563,"")</f>
        <v>44109</v>
      </c>
      <c r="DC559" s="11">
        <f ca="1">IF(Returns!B574&gt;0,Returns!B574/Returns!B573-1,"")</f>
        <v>-9.0453359986257809E-3</v>
      </c>
      <c r="DD559" s="11">
        <f ca="1">IF(Returns!D566&gt;0,Returns!D566/Returns!D565-1,"")</f>
        <v>-6.47233100031257E-2</v>
      </c>
    </row>
    <row r="560" spans="2:108" x14ac:dyDescent="0.3">
      <c r="DB560" s="2" vm="809">
        <f ca="1">IF(Returns!A564&lt;&gt;0,Returns!A564,"")</f>
        <v>44116</v>
      </c>
      <c r="DC560" s="11">
        <f ca="1">IF(Returns!B575&gt;0,Returns!B575/Returns!B574-1,"")</f>
        <v>2.6551601322536866E-2</v>
      </c>
      <c r="DD560" s="11">
        <f ca="1">IF(Returns!D567&gt;0,Returns!D567/Returns!D566-1,"")</f>
        <v>6.8743015868610646E-2</v>
      </c>
    </row>
    <row r="561" spans="106:108" x14ac:dyDescent="0.3">
      <c r="DB561" s="2" vm="810">
        <f ca="1">IF(Returns!A565&lt;&gt;0,Returns!A565,"")</f>
        <v>44123</v>
      </c>
      <c r="DC561" s="11">
        <f ca="1">IF(Returns!B576&gt;0,Returns!B576/Returns!B575-1,"")</f>
        <v>-2.2791401718796567E-2</v>
      </c>
      <c r="DD561" s="11">
        <f ca="1">IF(Returns!D568&gt;0,Returns!D568/Returns!D567-1,"")</f>
        <v>4.0828940030568583E-2</v>
      </c>
    </row>
    <row r="562" spans="106:108" x14ac:dyDescent="0.3">
      <c r="DB562" s="2" vm="811">
        <f ca="1">IF(Returns!A566&lt;&gt;0,Returns!A566,"")</f>
        <v>44130</v>
      </c>
      <c r="DC562" s="11">
        <f ca="1">IF(Returns!B577&gt;0,Returns!B577/Returns!B576-1,"")</f>
        <v>-2.4648883023847601E-2</v>
      </c>
      <c r="DD562" s="11">
        <f ca="1">IF(Returns!D569&gt;0,Returns!D569/Returns!D568-1,"")</f>
        <v>-7.3383853266649757E-3</v>
      </c>
    </row>
    <row r="563" spans="106:108" x14ac:dyDescent="0.3">
      <c r="DB563" s="2" vm="812">
        <f ca="1">IF(Returns!A567&lt;&gt;0,Returns!A567,"")</f>
        <v>44137</v>
      </c>
      <c r="DC563" s="11">
        <f ca="1">IF(Returns!B578&gt;0,Returns!B578/Returns!B577-1,"")</f>
        <v>6.0555689780140032E-2</v>
      </c>
      <c r="DD563" s="11">
        <f ca="1">IF(Returns!D570&gt;0,Returns!D570/Returns!D569-1,"")</f>
        <v>2.2105956240310087E-2</v>
      </c>
    </row>
    <row r="564" spans="106:108" x14ac:dyDescent="0.3">
      <c r="DB564" s="2" vm="813">
        <f ca="1">IF(Returns!A568&lt;&gt;0,Returns!A568,"")</f>
        <v>44144</v>
      </c>
      <c r="DC564" s="11">
        <f ca="1">IF(Returns!B579&gt;0,Returns!B579/Returns!B578-1,"")</f>
        <v>-2.6131224124681496E-2</v>
      </c>
      <c r="DD564" s="11">
        <f ca="1">IF(Returns!D571&gt;0,Returns!D571/Returns!D570-1,"")</f>
        <v>1.029368668304298E-2</v>
      </c>
    </row>
    <row r="565" spans="106:108" x14ac:dyDescent="0.3">
      <c r="DB565" s="2" vm="814">
        <f ca="1">IF(Returns!A569&lt;&gt;0,Returns!A569,"")</f>
        <v>44151</v>
      </c>
      <c r="DC565" s="11">
        <f ca="1">IF(Returns!B580&gt;0,Returns!B580/Returns!B579-1,"")</f>
        <v>4.5521177718170991E-2</v>
      </c>
      <c r="DD565" s="11">
        <f ca="1">IF(Returns!D572&gt;0,Returns!D572/Returns!D571-1,"")</f>
        <v>-5.6882692405965107E-3</v>
      </c>
    </row>
    <row r="566" spans="106:108" x14ac:dyDescent="0.3">
      <c r="DB566" s="2" vm="815">
        <f ca="1">IF(Returns!A570&lt;&gt;0,Returns!A570,"")</f>
        <v>44158</v>
      </c>
      <c r="DC566" s="11">
        <f ca="1">IF(Returns!B581&gt;0,Returns!B581/Returns!B580-1,"")</f>
        <v>-2.2206643497456713E-2</v>
      </c>
      <c r="DD566" s="11">
        <f ca="1">IF(Returns!D573&gt;0,Returns!D573/Returns!D572-1,"")</f>
        <v>4.4156980477370045E-3</v>
      </c>
    </row>
    <row r="567" spans="106:108" x14ac:dyDescent="0.3">
      <c r="DB567" s="2" vm="816">
        <f ca="1">IF(Returns!A571&lt;&gt;0,Returns!A571,"")</f>
        <v>44165</v>
      </c>
      <c r="DC567" s="11">
        <f ca="1">IF(Returns!B582&gt;0,Returns!B582/Returns!B581-1,"")</f>
        <v>-8.4845822235646295E-3</v>
      </c>
      <c r="DD567" s="11">
        <f ca="1">IF(Returns!D574&gt;0,Returns!D574/Returns!D573-1,"")</f>
        <v>6.9002180496346988E-4</v>
      </c>
    </row>
    <row r="568" spans="106:108" x14ac:dyDescent="0.3">
      <c r="DB568" s="2" vm="817">
        <f ca="1">IF(Returns!A572&lt;&gt;0,Returns!A572,"")</f>
        <v>44172</v>
      </c>
      <c r="DC568" s="11">
        <f ca="1">IF(Returns!B583&gt;0,Returns!B583/Returns!B582-1,"")</f>
        <v>-4.8299947690698231E-2</v>
      </c>
      <c r="DD568" s="11">
        <f ca="1">IF(Returns!D575&gt;0,Returns!D575/Returns!D574-1,"")</f>
        <v>1.3464080913856868E-2</v>
      </c>
    </row>
    <row r="569" spans="106:108" x14ac:dyDescent="0.3">
      <c r="DB569" s="2" vm="818">
        <f ca="1">IF(Returns!A573&lt;&gt;0,Returns!A573,"")</f>
        <v>44179</v>
      </c>
      <c r="DC569" s="11">
        <f ca="1">IF(Returns!B584&gt;0,Returns!B584/Returns!B583-1,"")</f>
        <v>-2.9897217201811932E-2</v>
      </c>
      <c r="DD569" s="11">
        <f ca="1">IF(Returns!D576&gt;0,Returns!D576/Returns!D575-1,"")</f>
        <v>1.6058335874189256E-2</v>
      </c>
    </row>
    <row r="570" spans="106:108" x14ac:dyDescent="0.3">
      <c r="DB570" s="2" vm="819">
        <f ca="1">IF(Returns!A574&lt;&gt;0,Returns!A574,"")</f>
        <v>44186</v>
      </c>
      <c r="DC570" s="11">
        <f ca="1">IF(Returns!B585&gt;0,Returns!B585/Returns!B584-1,"")</f>
        <v>2.967211694206906E-2</v>
      </c>
      <c r="DD570" s="11">
        <f ca="1">IF(Returns!D577&gt;0,Returns!D577/Returns!D576-1,"")</f>
        <v>-9.1230511446964702E-3</v>
      </c>
    </row>
    <row r="571" spans="106:108" x14ac:dyDescent="0.3">
      <c r="DB571" s="2" vm="820">
        <f ca="1">IF(Returns!A575&lt;&gt;0,Returns!A575,"")</f>
        <v>44193</v>
      </c>
      <c r="DC571" s="11">
        <f ca="1">IF(Returns!B586&gt;0,Returns!B586/Returns!B585-1,"")</f>
        <v>-4.7030416023358113E-3</v>
      </c>
      <c r="DD571" s="11">
        <f ca="1">IF(Returns!D578&gt;0,Returns!D578/Returns!D577-1,"")</f>
        <v>5.9294908116711564E-3</v>
      </c>
    </row>
    <row r="572" spans="106:108" x14ac:dyDescent="0.3">
      <c r="DB572" s="2" vm="821">
        <f ca="1">IF(Returns!A576&lt;&gt;0,Returns!A576,"")</f>
        <v>44200</v>
      </c>
      <c r="DC572" s="11">
        <f ca="1">IF(Returns!B587&gt;0,Returns!B587/Returns!B586-1,"")</f>
        <v>-7.4570075708302319E-3</v>
      </c>
      <c r="DD572" s="11">
        <f ca="1">IF(Returns!D579&gt;0,Returns!D579/Returns!D578-1,"")</f>
        <v>-3.2724561401352381E-2</v>
      </c>
    </row>
    <row r="573" spans="106:108" x14ac:dyDescent="0.3">
      <c r="DB573" s="2" vm="822">
        <f ca="1">IF(Returns!A577&lt;&gt;0,Returns!A577,"")</f>
        <v>44207</v>
      </c>
      <c r="DC573" s="11">
        <f ca="1">IF(Returns!B588&gt;0,Returns!B588/Returns!B587-1,"")</f>
        <v>3.5704105136581399E-2</v>
      </c>
      <c r="DD573" s="11">
        <f ca="1">IF(Returns!D580&gt;0,Returns!D580/Returns!D579-1,"")</f>
        <v>3.8876708793567749E-2</v>
      </c>
    </row>
    <row r="574" spans="106:108" x14ac:dyDescent="0.3">
      <c r="DB574" s="2" vm="823">
        <f ca="1">IF(Returns!A578&lt;&gt;0,Returns!A578,"")</f>
        <v>44215</v>
      </c>
      <c r="DC574" s="11">
        <f ca="1">IF(Returns!B589&gt;0,Returns!B589/Returns!B588-1,"")</f>
        <v>6.6814299272382138E-2</v>
      </c>
      <c r="DD574" s="11">
        <f ca="1">IF(Returns!D581&gt;0,Returns!D581/Returns!D580-1,"")</f>
        <v>9.9574805518871656E-3</v>
      </c>
    </row>
    <row r="575" spans="106:108" x14ac:dyDescent="0.3">
      <c r="DB575" s="2" vm="824">
        <f ca="1">IF(Returns!A579&lt;&gt;0,Returns!A579,"")</f>
        <v>44221</v>
      </c>
      <c r="DC575" s="11">
        <f ca="1">IF(Returns!B590&gt;0,Returns!B590/Returns!B589-1,"")</f>
        <v>8.0778127038727554E-3</v>
      </c>
      <c r="DD575" s="11">
        <f ca="1">IF(Returns!D582&gt;0,Returns!D582/Returns!D581-1,"")</f>
        <v>1.1419557764773547E-3</v>
      </c>
    </row>
    <row r="576" spans="106:108" x14ac:dyDescent="0.3">
      <c r="DB576" s="2" vm="825">
        <f ca="1">IF(Returns!A580&lt;&gt;0,Returns!A580,"")</f>
        <v>44228</v>
      </c>
      <c r="DC576" s="11">
        <f ca="1">IF(Returns!B591&gt;0,Returns!B591/Returns!B590-1,"")</f>
        <v>-1.7226366695690998E-2</v>
      </c>
      <c r="DD576" s="11">
        <f ca="1">IF(Returns!D583&gt;0,Returns!D583/Returns!D582-1,"")</f>
        <v>-1.784307938141505E-2</v>
      </c>
    </row>
    <row r="577" spans="106:108" x14ac:dyDescent="0.3">
      <c r="DB577" s="2" vm="826">
        <f ca="1">IF(Returns!A581&lt;&gt;0,Returns!A581,"")</f>
        <v>44235</v>
      </c>
      <c r="DC577" s="11">
        <f ca="1">IF(Returns!B592&gt;0,Returns!B592/Returns!B591-1,"")</f>
        <v>3.7876248174133709E-2</v>
      </c>
      <c r="DD577" s="11">
        <f ca="1">IF(Returns!D584&gt;0,Returns!D584/Returns!D583-1,"")</f>
        <v>1.8231049049689751E-2</v>
      </c>
    </row>
    <row r="578" spans="106:108" x14ac:dyDescent="0.3">
      <c r="DB578" s="2" vm="827">
        <f ca="1">IF(Returns!A582&lt;&gt;0,Returns!A582,"")</f>
        <v>44243</v>
      </c>
      <c r="DC578" s="11">
        <f ca="1">IF(Returns!B593&gt;0,Returns!B593/Returns!B592-1,"")</f>
        <v>-5.0703404837025845E-2</v>
      </c>
      <c r="DD578" s="11">
        <f ca="1">IF(Returns!D585&gt;0,Returns!D585/Returns!D584-1,"")</f>
        <v>4.0714180475155182E-2</v>
      </c>
    </row>
    <row r="579" spans="106:108" x14ac:dyDescent="0.3">
      <c r="DB579" s="2" vm="828">
        <f ca="1">IF(Returns!A583&lt;&gt;0,Returns!A583,"")</f>
        <v>44249</v>
      </c>
      <c r="DC579" s="11">
        <f ca="1">IF(Returns!B594&gt;0,Returns!B594/Returns!B593-1,"")</f>
        <v>-2.0874283405385108E-2</v>
      </c>
      <c r="DD579" s="11">
        <f ca="1">IF(Returns!D586&gt;0,Returns!D586/Returns!D585-1,"")</f>
        <v>-4.5966119695060037E-3</v>
      </c>
    </row>
    <row r="580" spans="106:108" x14ac:dyDescent="0.3">
      <c r="DB580" s="2" vm="829">
        <f ca="1">IF(Returns!A584&lt;&gt;0,Returns!A584,"")</f>
        <v>44256</v>
      </c>
      <c r="DC580" s="11">
        <f ca="1">IF(Returns!B595&gt;0,Returns!B595/Returns!B594-1,"")</f>
        <v>-6.1497409165659489E-3</v>
      </c>
      <c r="DD580" s="11">
        <f ca="1">IF(Returns!D587&gt;0,Returns!D587/Returns!D586-1,"")</f>
        <v>1.3635729615396164E-2</v>
      </c>
    </row>
    <row r="581" spans="106:108" x14ac:dyDescent="0.3">
      <c r="DB581" s="2" vm="830">
        <f ca="1">IF(Returns!A585&lt;&gt;0,Returns!A585,"")</f>
        <v>44263</v>
      </c>
      <c r="DC581" s="11">
        <f ca="1">IF(Returns!B596&gt;0,Returns!B596/Returns!B595-1,"")</f>
        <v>6.240868164391955E-3</v>
      </c>
      <c r="DD581" s="11">
        <f ca="1">IF(Returns!D588&gt;0,Returns!D588/Returns!D587-1,"")</f>
        <v>2.4290538078635127E-3</v>
      </c>
    </row>
    <row r="582" spans="106:108" x14ac:dyDescent="0.3">
      <c r="DB582" s="2" vm="831">
        <f ca="1">IF(Returns!A586&lt;&gt;0,Returns!A586,"")</f>
        <v>44270</v>
      </c>
      <c r="DC582" s="11">
        <f ca="1">IF(Returns!B597&gt;0,Returns!B597/Returns!B596-1,"")</f>
        <v>-5.2279348571393491E-3</v>
      </c>
      <c r="DD582" s="11">
        <f ca="1">IF(Returns!D589&gt;0,Returns!D589/Returns!D588-1,"")</f>
        <v>1.952723515307353E-2</v>
      </c>
    </row>
    <row r="583" spans="106:108" x14ac:dyDescent="0.3">
      <c r="DB583" s="2" vm="832">
        <f ca="1">IF(Returns!A587&lt;&gt;0,Returns!A587,"")</f>
        <v>44277</v>
      </c>
      <c r="DC583" s="11">
        <f ca="1">IF(Returns!B598&gt;0,Returns!B598/Returns!B597-1,"")</f>
        <v>4.3855381102980928E-2</v>
      </c>
      <c r="DD583" s="11">
        <f ca="1">IF(Returns!D590&gt;0,Returns!D590/Returns!D589-1,"")</f>
        <v>1.1836087202736767E-2</v>
      </c>
    </row>
    <row r="584" spans="106:108" x14ac:dyDescent="0.3">
      <c r="DB584" s="2" vm="833">
        <f ca="1">IF(Returns!A588&lt;&gt;0,Returns!A588,"")</f>
        <v>44284</v>
      </c>
      <c r="DC584" s="11">
        <f ca="1">IF(Returns!B599&gt;0,Returns!B599/Returns!B598-1,"")</f>
        <v>4.1851543101980138E-2</v>
      </c>
      <c r="DD584" s="11">
        <f ca="1">IF(Returns!D591&gt;0,Returns!D591/Returns!D590-1,"")</f>
        <v>-4.5959448889412169E-3</v>
      </c>
    </row>
    <row r="585" spans="106:108" x14ac:dyDescent="0.3">
      <c r="DB585" s="2" vm="834">
        <f ca="1">IF(Returns!A589&lt;&gt;0,Returns!A589,"")</f>
        <v>44291</v>
      </c>
      <c r="DC585" s="11">
        <f ca="1">IF(Returns!B600&gt;0,Returns!B600/Returns!B599-1,"")</f>
        <v>-2.4503140325217165E-2</v>
      </c>
      <c r="DD585" s="11">
        <f ca="1">IF(Returns!D592&gt;0,Returns!D592/Returns!D591-1,"")</f>
        <v>-4.9534526527993394E-3</v>
      </c>
    </row>
    <row r="586" spans="106:108" x14ac:dyDescent="0.3">
      <c r="DB586" s="2" vm="835">
        <f ca="1">IF(Returns!A590&lt;&gt;0,Returns!A590,"")</f>
        <v>44298</v>
      </c>
      <c r="DC586" s="11">
        <f ca="1">IF(Returns!B601&gt;0,Returns!B601/Returns!B600-1,"")</f>
        <v>3.2197938532277259E-2</v>
      </c>
      <c r="DD586" s="11">
        <f ca="1">IF(Returns!D593&gt;0,Returns!D593/Returns!D592-1,"")</f>
        <v>2.6654157682864277E-2</v>
      </c>
    </row>
    <row r="587" spans="106:108" x14ac:dyDescent="0.3">
      <c r="DB587" s="2" vm="836">
        <f ca="1">IF(Returns!A591&lt;&gt;0,Returns!A591,"")</f>
        <v>44305</v>
      </c>
      <c r="DC587" s="11">
        <f ca="1">IF(Returns!B602&gt;0,Returns!B602/Returns!B601-1,"")</f>
        <v>5.9345254031637928E-2</v>
      </c>
      <c r="DD587" s="11">
        <f ca="1">IF(Returns!D594&gt;0,Returns!D594/Returns!D593-1,"")</f>
        <v>-1.1375824763088627E-2</v>
      </c>
    </row>
    <row r="588" spans="106:108" x14ac:dyDescent="0.3">
      <c r="DB588" s="2" vm="837">
        <f ca="1">IF(Returns!A592&lt;&gt;0,Returns!A592,"")</f>
        <v>44312</v>
      </c>
      <c r="DC588" s="11">
        <f ca="1">IF(Returns!B603&gt;0,Returns!B603/Returns!B602-1,"")</f>
        <v>-3.9176305473551776E-2</v>
      </c>
      <c r="DD588" s="11">
        <f ca="1">IF(Returns!D595&gt;0,Returns!D595/Returns!D594-1,"")</f>
        <v>-5.0692345041757347E-3</v>
      </c>
    </row>
    <row r="589" spans="106:108" x14ac:dyDescent="0.3">
      <c r="DB589" s="2" vm="838">
        <f ca="1">IF(Returns!A593&lt;&gt;0,Returns!A593,"")</f>
        <v>44319</v>
      </c>
      <c r="DC589" s="11">
        <f ca="1">IF(Returns!B604&gt;0,Returns!B604/Returns!B603-1,"")</f>
        <v>2.3228481963717629E-2</v>
      </c>
      <c r="DD589" s="11">
        <f ca="1">IF(Returns!D596&gt;0,Returns!D596/Returns!D595-1,"")</f>
        <v>9.4015369791118353E-3</v>
      </c>
    </row>
    <row r="590" spans="106:108" x14ac:dyDescent="0.3">
      <c r="DB590" s="2" vm="839">
        <f ca="1">IF(Returns!A594&lt;&gt;0,Returns!A594,"")</f>
        <v>44326</v>
      </c>
      <c r="DC590" s="11">
        <f ca="1">IF(Returns!B605&gt;0,Returns!B605/Returns!B604-1,"")</f>
        <v>-8.9986982585105402E-2</v>
      </c>
      <c r="DD590" s="11">
        <f ca="1">IF(Returns!D597&gt;0,Returns!D597/Returns!D596-1,"")</f>
        <v>6.5723492629590208E-3</v>
      </c>
    </row>
    <row r="591" spans="106:108" x14ac:dyDescent="0.3">
      <c r="DB591" s="2" vm="840">
        <f ca="1">IF(Returns!A595&lt;&gt;0,Returns!A595,"")</f>
        <v>44333</v>
      </c>
      <c r="DC591" s="11">
        <f ca="1">IF(Returns!B606&gt;0,Returns!B606/Returns!B605-1,"")</f>
        <v>5.2139836939046891E-3</v>
      </c>
      <c r="DD591" s="11">
        <f ca="1">IF(Returns!D598&gt;0,Returns!D598/Returns!D597-1,"")</f>
        <v>-7.9636581807371876E-3</v>
      </c>
    </row>
    <row r="592" spans="106:108" x14ac:dyDescent="0.3">
      <c r="DB592" s="2" vm="841">
        <f ca="1">IF(Returns!A596&lt;&gt;0,Returns!A596,"")</f>
        <v>44340</v>
      </c>
      <c r="DC592" s="11">
        <f ca="1">IF(Returns!B607&gt;0,Returns!B607/Returns!B606-1,"")</f>
        <v>-1.5237941487739826E-2</v>
      </c>
      <c r="DD592" s="11">
        <f ca="1">IF(Returns!D599&gt;0,Returns!D599/Returns!D598-1,"")</f>
        <v>-3.4499155222237898E-2</v>
      </c>
    </row>
    <row r="593" spans="106:108" x14ac:dyDescent="0.3">
      <c r="DB593" s="2" vm="842">
        <f ca="1">IF(Returns!A597&lt;&gt;0,Returns!A597,"")</f>
        <v>44348</v>
      </c>
      <c r="DC593" s="11">
        <f ca="1">IF(Returns!B608&gt;0,Returns!B608/Returns!B607-1,"")</f>
        <v>-2.8543065055237293E-2</v>
      </c>
      <c r="DD593" s="11">
        <f ca="1">IF(Returns!D600&gt;0,Returns!D600/Returns!D599-1,"")</f>
        <v>3.4357342273669156E-2</v>
      </c>
    </row>
    <row r="594" spans="106:108" x14ac:dyDescent="0.3">
      <c r="DB594" s="2" vm="843">
        <f ca="1">IF(Returns!A598&lt;&gt;0,Returns!A598,"")</f>
        <v>44354</v>
      </c>
      <c r="DC594" s="11">
        <f ca="1">IF(Returns!B609&gt;0,Returns!B609/Returns!B608-1,"")</f>
        <v>4.6775730870795007E-2</v>
      </c>
      <c r="DD594" s="11">
        <f ca="1">IF(Returns!D601&gt;0,Returns!D601/Returns!D600-1,"")</f>
        <v>1.0237114838403505E-2</v>
      </c>
    </row>
    <row r="595" spans="106:108" x14ac:dyDescent="0.3">
      <c r="DB595" s="2" vm="844">
        <f ca="1">IF(Returns!A599&lt;&gt;0,Returns!A599,"")</f>
        <v>44361</v>
      </c>
      <c r="DC595" s="11">
        <f ca="1">IF(Returns!B610&gt;0,Returns!B610/Returns!B609-1,"")</f>
        <v>3.8338562766633943E-2</v>
      </c>
      <c r="DD595" s="11">
        <f ca="1">IF(Returns!D602&gt;0,Returns!D602/Returns!D601-1,"")</f>
        <v>2.4093735146202278E-3</v>
      </c>
    </row>
    <row r="596" spans="106:108" x14ac:dyDescent="0.3">
      <c r="DB596" s="2" vm="845">
        <f ca="1">IF(Returns!A600&lt;&gt;0,Returns!A600,"")</f>
        <v>44368</v>
      </c>
      <c r="DC596" s="11">
        <f ca="1">IF(Returns!B611&gt;0,Returns!B611/Returns!B610-1,"")</f>
        <v>-2.5589051336236679E-3</v>
      </c>
      <c r="DD596" s="11">
        <f ca="1">IF(Returns!D603&gt;0,Returns!D603/Returns!D602-1,"")</f>
        <v>-5.2282182022742596E-3</v>
      </c>
    </row>
    <row r="597" spans="106:108" x14ac:dyDescent="0.3">
      <c r="DB597" s="2" vm="846">
        <f ca="1">IF(Returns!A601&lt;&gt;0,Returns!A601,"")</f>
        <v>44375</v>
      </c>
      <c r="DC597" s="11">
        <f ca="1">IF(Returns!B612&gt;0,Returns!B612/Returns!B611-1,"")</f>
        <v>-1.9111309686811184E-3</v>
      </c>
      <c r="DD597" s="11">
        <f ca="1">IF(Returns!D604&gt;0,Returns!D604/Returns!D603-1,"")</f>
        <v>1.0773322585439393E-2</v>
      </c>
    </row>
    <row r="598" spans="106:108" x14ac:dyDescent="0.3">
      <c r="DB598" s="2" vm="847">
        <f ca="1">IF(Returns!A602&lt;&gt;0,Returns!A602,"")</f>
        <v>44383</v>
      </c>
      <c r="DC598" s="11">
        <f ca="1">IF(Returns!B613&gt;0,Returns!B613/Returns!B612-1,"")</f>
        <v>-1.068585885424489E-2</v>
      </c>
      <c r="DD598" s="11">
        <f ca="1">IF(Returns!D605&gt;0,Returns!D605/Returns!D604-1,"")</f>
        <v>-3.5960214837713611E-3</v>
      </c>
    </row>
    <row r="599" spans="106:108" x14ac:dyDescent="0.3">
      <c r="DB599" s="2" vm="848">
        <f ca="1">IF(Returns!A603&lt;&gt;0,Returns!A603,"")</f>
        <v>44389</v>
      </c>
      <c r="DC599" s="11">
        <f ca="1">IF(Returns!B614&gt;0,Returns!B614/Returns!B613-1,"")</f>
        <v>-4.1529461220486175E-2</v>
      </c>
      <c r="DD599" s="11">
        <f ca="1">IF(Returns!D606&gt;0,Returns!D606/Returns!D605-1,"")</f>
        <v>7.8154147712017341E-3</v>
      </c>
    </row>
    <row r="600" spans="106:108" x14ac:dyDescent="0.3">
      <c r="DB600" s="2" vm="849">
        <f ca="1">IF(Returns!A604&lt;&gt;0,Returns!A604,"")</f>
        <v>44396</v>
      </c>
      <c r="DC600" s="11">
        <f ca="1">IF(Returns!B615&gt;0,Returns!B615/Returns!B614-1,"")</f>
        <v>1.6325237721046548E-3</v>
      </c>
      <c r="DD600" s="11">
        <f ca="1">IF(Returns!D607&gt;0,Returns!D607/Returns!D606-1,"")</f>
        <v>8.7159788574617814E-3</v>
      </c>
    </row>
    <row r="601" spans="106:108" x14ac:dyDescent="0.3">
      <c r="DB601" s="2" vm="850">
        <f ca="1">IF(Returns!A605&lt;&gt;0,Returns!A605,"")</f>
        <v>44403</v>
      </c>
      <c r="DC601" s="11">
        <f ca="1">IF(Returns!B616&gt;0,Returns!B616/Returns!B615-1,"")</f>
        <v>3.6611101313012595E-2</v>
      </c>
      <c r="DD601" s="11">
        <f ca="1">IF(Returns!D608&gt;0,Returns!D608/Returns!D607-1,"")</f>
        <v>-1.1130351506019043E-2</v>
      </c>
    </row>
    <row r="602" spans="106:108" x14ac:dyDescent="0.3">
      <c r="DB602" s="2" vm="851">
        <f ca="1">IF(Returns!A606&lt;&gt;0,Returns!A606,"")</f>
        <v>44410</v>
      </c>
      <c r="DC602" s="11">
        <f ca="1">IF(Returns!B617&gt;0,Returns!B617/Returns!B616-1,"")</f>
        <v>-2.1551648274284019E-2</v>
      </c>
      <c r="DD602" s="11">
        <f ca="1">IF(Returns!D609&gt;0,Returns!D609/Returns!D608-1,"")</f>
        <v>9.559037337854015E-3</v>
      </c>
    </row>
    <row r="603" spans="106:108" x14ac:dyDescent="0.3">
      <c r="DB603" s="2" vm="852">
        <f ca="1">IF(Returns!A607&lt;&gt;0,Returns!A607,"")</f>
        <v>44417</v>
      </c>
      <c r="DC603" s="11">
        <f ca="1">IF(Returns!B618&gt;0,Returns!B618/Returns!B617-1,"")</f>
        <v>1.1056647329525937E-2</v>
      </c>
      <c r="DD603" s="11">
        <f ca="1">IF(Returns!D610&gt;0,Returns!D610/Returns!D609-1,"")</f>
        <v>-2.4455858543509512E-3</v>
      </c>
    </row>
    <row r="604" spans="106:108" x14ac:dyDescent="0.3">
      <c r="DB604" s="2" vm="853">
        <f ca="1">IF(Returns!A608&lt;&gt;0,Returns!A608,"")</f>
        <v>44424</v>
      </c>
      <c r="DC604" s="11">
        <f ca="1">IF(Returns!B619&gt;0,Returns!B619/Returns!B618-1,"")</f>
        <v>4.3458277858991812E-2</v>
      </c>
      <c r="DD604" s="11">
        <f ca="1">IF(Returns!D611&gt;0,Returns!D611/Returns!D610-1,"")</f>
        <v>-2.1526274216746577E-2</v>
      </c>
    </row>
    <row r="605" spans="106:108" x14ac:dyDescent="0.3">
      <c r="DB605" s="2" vm="854">
        <f ca="1">IF(Returns!A609&lt;&gt;0,Returns!A609,"")</f>
        <v>44431</v>
      </c>
      <c r="DC605" s="11">
        <f ca="1">IF(Returns!B620&gt;0,Returns!B620/Returns!B619-1,"")</f>
        <v>1.7505022748003363E-3</v>
      </c>
      <c r="DD605" s="11">
        <f ca="1">IF(Returns!D612&gt;0,Returns!D612/Returns!D611-1,"")</f>
        <v>-6.6014743026776568E-4</v>
      </c>
    </row>
    <row r="606" spans="106:108" x14ac:dyDescent="0.3">
      <c r="DB606" s="2" vm="855">
        <f ca="1">IF(Returns!A610&lt;&gt;0,Returns!A610,"")</f>
        <v>44438</v>
      </c>
      <c r="DC606" s="11">
        <f ca="1">IF(Returns!B621&gt;0,Returns!B621/Returns!B620-1,"")</f>
        <v>4.295420053047394E-2</v>
      </c>
      <c r="DD606" s="11">
        <f ca="1">IF(Returns!D613&gt;0,Returns!D613/Returns!D612-1,"")</f>
        <v>6.1622742126974384E-3</v>
      </c>
    </row>
    <row r="607" spans="106:108" x14ac:dyDescent="0.3">
      <c r="DB607" s="2" vm="856">
        <f ca="1">IF(Returns!A611&lt;&gt;0,Returns!A611,"")</f>
        <v>44446</v>
      </c>
      <c r="DC607" s="11">
        <f ca="1">IF(Returns!B622&gt;0,Returns!B622/Returns!B621-1,"")</f>
        <v>-4.6785454921298819E-2</v>
      </c>
      <c r="DD607" s="11">
        <f ca="1">IF(Returns!D614&gt;0,Returns!D614/Returns!D613-1,"")</f>
        <v>-1.3550790586833505E-2</v>
      </c>
    </row>
    <row r="608" spans="106:108" x14ac:dyDescent="0.3">
      <c r="DB608" s="2" vm="857">
        <f ca="1">IF(Returns!A612&lt;&gt;0,Returns!A612,"")</f>
        <v>44452</v>
      </c>
      <c r="DC608" s="11">
        <f ca="1">IF(Returns!B623&gt;0,Returns!B623/Returns!B622-1,"")</f>
        <v>-3.2748761613440869E-2</v>
      </c>
      <c r="DD608" s="11">
        <f ca="1">IF(Returns!D615&gt;0,Returns!D615/Returns!D614-1,"")</f>
        <v>1.222936517995854E-2</v>
      </c>
    </row>
    <row r="609" spans="106:108" x14ac:dyDescent="0.3">
      <c r="DB609" s="2" vm="858">
        <f ca="1">IF(Returns!A613&lt;&gt;0,Returns!A613,"")</f>
        <v>44459</v>
      </c>
      <c r="DC609" s="11">
        <f ca="1">IF(Returns!B624&gt;0,Returns!B624/Returns!B623-1,"")</f>
        <v>1.6062941952156295E-2</v>
      </c>
      <c r="DD609" s="11">
        <f ca="1">IF(Returns!D616&gt;0,Returns!D616/Returns!D615-1,"")</f>
        <v>1.5786063425964558E-2</v>
      </c>
    </row>
    <row r="610" spans="106:108" x14ac:dyDescent="0.3">
      <c r="DB610" s="2" vm="859">
        <f ca="1">IF(Returns!A614&lt;&gt;0,Returns!A614,"")</f>
        <v>44466</v>
      </c>
      <c r="DC610" s="11">
        <f ca="1">IF(Returns!B625&gt;0,Returns!B625/Returns!B624-1,"")</f>
        <v>-1.2743014424081767E-2</v>
      </c>
      <c r="DD610" s="11">
        <f ca="1">IF(Returns!D617&gt;0,Returns!D617/Returns!D616-1,"")</f>
        <v>1.0830572080366307E-2</v>
      </c>
    </row>
    <row r="611" spans="106:108" x14ac:dyDescent="0.3">
      <c r="DB611" s="2" vm="860">
        <f ca="1">IF(Returns!A615&lt;&gt;0,Returns!A615,"")</f>
        <v>44473</v>
      </c>
      <c r="DC611" s="11">
        <f ca="1">IF(Returns!B626&gt;0,Returns!B626/Returns!B625-1,"")</f>
        <v>6.181716587998265E-3</v>
      </c>
      <c r="DD611" s="11">
        <f ca="1">IF(Returns!D618&gt;0,Returns!D618/Returns!D617-1,"")</f>
        <v>3.9953422677403427E-3</v>
      </c>
    </row>
    <row r="612" spans="106:108" x14ac:dyDescent="0.3">
      <c r="DB612" s="2" vm="861">
        <f ca="1">IF(Returns!A616&lt;&gt;0,Returns!A616,"")</f>
        <v>44480</v>
      </c>
      <c r="DC612" s="11">
        <f ca="1">IF(Returns!B627&gt;0,Returns!B627/Returns!B626-1,"")</f>
        <v>-2.5437178674039829E-2</v>
      </c>
      <c r="DD612" s="11">
        <f ca="1">IF(Returns!D619&gt;0,Returns!D619/Returns!D618-1,"")</f>
        <v>1.41930775900867E-2</v>
      </c>
    </row>
    <row r="613" spans="106:108" x14ac:dyDescent="0.3">
      <c r="DB613" s="2" vm="862">
        <f ca="1">IF(Returns!A617&lt;&gt;0,Returns!A617,"")</f>
        <v>44487</v>
      </c>
      <c r="DC613" s="11">
        <f ca="1">IF(Returns!B628&gt;0,Returns!B628/Returns!B627-1,"")</f>
        <v>-2.4970458921405814E-2</v>
      </c>
      <c r="DD613" s="11">
        <f ca="1">IF(Returns!D620&gt;0,Returns!D620/Returns!D619-1,"")</f>
        <v>-6.2663871412155236E-3</v>
      </c>
    </row>
    <row r="614" spans="106:108" x14ac:dyDescent="0.3">
      <c r="DB614" s="2" vm="863">
        <f ca="1">IF(Returns!A618&lt;&gt;0,Returns!A618,"")</f>
        <v>44494</v>
      </c>
      <c r="DC614" s="11">
        <f ca="1">IF(Returns!B629&gt;0,Returns!B629/Returns!B628-1,"")</f>
        <v>-2.5591495749104354E-3</v>
      </c>
      <c r="DD614" s="11">
        <f ca="1">IF(Returns!D621&gt;0,Returns!D621/Returns!D620-1,"")</f>
        <v>-1.380396916976756E-2</v>
      </c>
    </row>
    <row r="615" spans="106:108" x14ac:dyDescent="0.3">
      <c r="DB615" s="2" vm="864">
        <f ca="1">IF(Returns!A619&lt;&gt;0,Returns!A619,"")</f>
        <v>44501</v>
      </c>
      <c r="DC615" s="11">
        <f ca="1">IF(Returns!B630&gt;0,Returns!B630/Returns!B629-1,"")</f>
        <v>-0.12023708199188343</v>
      </c>
      <c r="DD615" s="11">
        <f ca="1">IF(Returns!D622&gt;0,Returns!D622/Returns!D621-1,"")</f>
        <v>-1.9736013148505482E-2</v>
      </c>
    </row>
    <row r="616" spans="106:108" x14ac:dyDescent="0.3">
      <c r="DB616" s="2" vm="865">
        <f ca="1">IF(Returns!A620&lt;&gt;0,Returns!A620,"")</f>
        <v>44508</v>
      </c>
      <c r="DC616" s="11">
        <f ca="1">IF(Returns!B631&gt;0,Returns!B631/Returns!B630-1,"")</f>
        <v>9.3590291847480689E-3</v>
      </c>
      <c r="DD616" s="11">
        <f ca="1">IF(Returns!D623&gt;0,Returns!D623/Returns!D622-1,"")</f>
        <v>-9.1479246055353736E-3</v>
      </c>
    </row>
    <row r="617" spans="106:108" x14ac:dyDescent="0.3">
      <c r="DB617" s="2" vm="866">
        <f ca="1">IF(Returns!A621&lt;&gt;0,Returns!A621,"")</f>
        <v>44515</v>
      </c>
      <c r="DC617" s="11">
        <f ca="1">IF(Returns!B632&gt;0,Returns!B632/Returns!B631-1,"")</f>
        <v>9.4886024253705292E-2</v>
      </c>
      <c r="DD617" s="11">
        <f ca="1">IF(Returns!D624&gt;0,Returns!D624/Returns!D623-1,"")</f>
        <v>4.0222995319204147E-2</v>
      </c>
    </row>
    <row r="618" spans="106:108" x14ac:dyDescent="0.3">
      <c r="DB618" s="2" vm="867">
        <f ca="1">IF(Returns!A622&lt;&gt;0,Returns!A622,"")</f>
        <v>44522</v>
      </c>
      <c r="DC618" s="11">
        <f ca="1">IF(Returns!B633&gt;0,Returns!B633/Returns!B632-1,"")</f>
        <v>-2.7569232330729276E-2</v>
      </c>
      <c r="DD618" s="11">
        <f ca="1">IF(Returns!D625&gt;0,Returns!D625/Returns!D624-1,"")</f>
        <v>-1.6834652708865305E-2</v>
      </c>
    </row>
    <row r="619" spans="106:108" x14ac:dyDescent="0.3">
      <c r="DB619" s="2" vm="868">
        <f ca="1">IF(Returns!A623&lt;&gt;0,Returns!A623,"")</f>
        <v>44529</v>
      </c>
      <c r="DC619" s="11">
        <f ca="1">IF(Returns!B634&gt;0,Returns!B634/Returns!B633-1,"")</f>
        <v>-4.5142161931197577E-3</v>
      </c>
      <c r="DD619" s="11">
        <f ca="1">IF(Returns!D626&gt;0,Returns!D626/Returns!D625-1,"")</f>
        <v>1.6545188685971102E-2</v>
      </c>
    </row>
    <row r="620" spans="106:108" x14ac:dyDescent="0.3">
      <c r="DB620" s="2" vm="869">
        <f ca="1">IF(Returns!A624&lt;&gt;0,Returns!A624,"")</f>
        <v>44536</v>
      </c>
      <c r="DC620" s="11">
        <f ca="1">IF(Returns!B635&gt;0,Returns!B635/Returns!B634-1,"")</f>
        <v>7.7784294387670538E-3</v>
      </c>
      <c r="DD620" s="11">
        <f ca="1">IF(Returns!D627&gt;0,Returns!D627/Returns!D626-1,"")</f>
        <v>1.0785216323913493E-2</v>
      </c>
    </row>
    <row r="621" spans="106:108" x14ac:dyDescent="0.3">
      <c r="DB621" s="2" vm="870">
        <f ca="1">IF(Returns!A625&lt;&gt;0,Returns!A625,"")</f>
        <v>44543</v>
      </c>
      <c r="DC621" s="11">
        <f ca="1">IF(Returns!B636&gt;0,Returns!B636/Returns!B635-1,"")</f>
        <v>-5.2978603731748564E-2</v>
      </c>
      <c r="DD621" s="11">
        <f ca="1">IF(Returns!D628&gt;0,Returns!D628/Returns!D627-1,"")</f>
        <v>-2.9346063726041205E-3</v>
      </c>
    </row>
    <row r="622" spans="106:108" x14ac:dyDescent="0.3">
      <c r="DB622" s="2" vm="871">
        <f ca="1">IF(Returns!A626&lt;&gt;0,Returns!A626,"")</f>
        <v>44550</v>
      </c>
      <c r="DC622" s="11">
        <f ca="1">IF(Returns!B637&gt;0,Returns!B637/Returns!B636-1,"")</f>
        <v>-7.9991211266061679E-4</v>
      </c>
      <c r="DD622" s="11">
        <f ca="1">IF(Returns!D629&gt;0,Returns!D629/Returns!D628-1,"")</f>
        <v>-8.8279037710419228E-3</v>
      </c>
    </row>
    <row r="623" spans="106:108" x14ac:dyDescent="0.3">
      <c r="DB623" s="2" vm="872">
        <f ca="1">IF(Returns!A627&lt;&gt;0,Returns!A627,"")</f>
        <v>44557</v>
      </c>
      <c r="DC623" s="11">
        <f ca="1">IF(Returns!B638&gt;0,Returns!B638/Returns!B637-1,"")</f>
        <v>0.10806427783637806</v>
      </c>
      <c r="DD623" s="11">
        <f ca="1">IF(Returns!D630&gt;0,Returns!D630/Returns!D629-1,"")</f>
        <v>-4.5846709562212484E-2</v>
      </c>
    </row>
    <row r="624" spans="106:108" x14ac:dyDescent="0.3">
      <c r="DB624" s="2" vm="873">
        <f ca="1">IF(Returns!A628&lt;&gt;0,Returns!A628,"")</f>
        <v>44564</v>
      </c>
      <c r="DC624" s="11">
        <f ca="1">IF(Returns!B639&gt;0,Returns!B639/Returns!B638-1,"")</f>
        <v>2.1847994269785342E-2</v>
      </c>
      <c r="DD624" s="11">
        <f ca="1">IF(Returns!D631&gt;0,Returns!D631/Returns!D630-1,"")</f>
        <v>1.3427582538489968E-2</v>
      </c>
    </row>
    <row r="625" spans="106:108" x14ac:dyDescent="0.3">
      <c r="DB625" s="2" vm="874">
        <f ca="1">IF(Returns!A629&lt;&gt;0,Returns!A629,"")</f>
        <v>44571</v>
      </c>
      <c r="DC625" s="11">
        <f ca="1">IF(Returns!B640&gt;0,Returns!B640/Returns!B639-1,"")</f>
        <v>-7.3646551174795238E-3</v>
      </c>
      <c r="DD625" s="11">
        <f ca="1">IF(Returns!D632&gt;0,Returns!D632/Returns!D631-1,"")</f>
        <v>1.049003442927976E-2</v>
      </c>
    </row>
    <row r="626" spans="106:108" x14ac:dyDescent="0.3">
      <c r="DB626" s="2" vm="875">
        <f ca="1">IF(Returns!A630&lt;&gt;0,Returns!A630,"")</f>
        <v>44579</v>
      </c>
      <c r="DC626" s="11">
        <f ca="1">IF(Returns!B641&gt;0,Returns!B641/Returns!B640-1,"")</f>
        <v>-5.563401809733437E-2</v>
      </c>
      <c r="DD626" s="11">
        <f ca="1">IF(Returns!D633&gt;0,Returns!D633/Returns!D632-1,"")</f>
        <v>-1.002238725385729E-2</v>
      </c>
    </row>
    <row r="627" spans="106:108" x14ac:dyDescent="0.3">
      <c r="DB627" s="2" vm="876">
        <f ca="1">IF(Returns!A631&lt;&gt;0,Returns!A631,"")</f>
        <v>44585</v>
      </c>
      <c r="DC627" s="11">
        <f ca="1">IF(Returns!B642&gt;0,Returns!B642/Returns!B641-1,"")</f>
        <v>-1.78298011465714E-2</v>
      </c>
      <c r="DD627" s="11">
        <f ca="1">IF(Returns!D634&gt;0,Returns!D634/Returns!D633-1,"")</f>
        <v>-1.8967049015490955E-2</v>
      </c>
    </row>
    <row r="628" spans="106:108" x14ac:dyDescent="0.3">
      <c r="DB628" s="2" vm="877">
        <f ca="1">IF(Returns!A632&lt;&gt;0,Returns!A632,"")</f>
        <v>44592</v>
      </c>
      <c r="DC628" s="11">
        <f ca="1">IF(Returns!B643&gt;0,Returns!B643/Returns!B642-1,"")</f>
        <v>-4.8491659882734184E-2</v>
      </c>
      <c r="DD628" s="11">
        <f ca="1">IF(Returns!D635&gt;0,Returns!D635/Returns!D634-1,"")</f>
        <v>-5.9952729734225052E-4</v>
      </c>
    </row>
    <row r="629" spans="106:108" x14ac:dyDescent="0.3">
      <c r="DB629" s="2" vm="878">
        <f ca="1">IF(Returns!A633&lt;&gt;0,Returns!A633,"")</f>
        <v>44599</v>
      </c>
      <c r="DC629" s="11">
        <f ca="1">IF(Returns!B644&gt;0,Returns!B644/Returns!B643-1,"")</f>
        <v>-0.13902667128507107</v>
      </c>
      <c r="DD629" s="11">
        <f ca="1">IF(Returns!D636&gt;0,Returns!D636/Returns!D635-1,"")</f>
        <v>-1.3034937852153927E-2</v>
      </c>
    </row>
    <row r="630" spans="106:108" x14ac:dyDescent="0.3">
      <c r="DB630" s="2" vm="879">
        <f ca="1">IF(Returns!A634&lt;&gt;0,Returns!A634,"")</f>
        <v>44606</v>
      </c>
      <c r="DC630" s="11">
        <f ca="1">IF(Returns!B645&gt;0,Returns!B645/Returns!B644-1,"")</f>
        <v>-7.6511789767584104E-2</v>
      </c>
      <c r="DD630" s="11">
        <f ca="1">IF(Returns!D637&gt;0,Returns!D637/Returns!D636-1,"")</f>
        <v>-1.9949845242409614E-2</v>
      </c>
    </row>
    <row r="631" spans="106:108" x14ac:dyDescent="0.3">
      <c r="DB631" s="2" vm="880">
        <f ca="1">IF(Returns!A635&lt;&gt;0,Returns!A635,"")</f>
        <v>44614</v>
      </c>
      <c r="DC631" s="11">
        <f ca="1">IF(Returns!B646&gt;0,Returns!B646/Returns!B645-1,"")</f>
        <v>-1.496438606809114E-2</v>
      </c>
      <c r="DD631" s="11">
        <f ca="1">IF(Returns!D638&gt;0,Returns!D638/Returns!D637-1,"")</f>
        <v>5.4964048574141167E-2</v>
      </c>
    </row>
    <row r="632" spans="106:108" x14ac:dyDescent="0.3">
      <c r="DB632" s="2" vm="881">
        <f ca="1">IF(Returns!A636&lt;&gt;0,Returns!A636,"")</f>
        <v>44620</v>
      </c>
      <c r="DC632" s="11">
        <f ca="1">IF(Returns!B647&gt;0,Returns!B647/Returns!B646-1,"")</f>
        <v>-4.8330458626332451E-2</v>
      </c>
      <c r="DD632" s="11">
        <f ca="1">IF(Returns!D639&gt;0,Returns!D639/Returns!D638-1,"")</f>
        <v>3.0588175785002392E-3</v>
      </c>
    </row>
    <row r="633" spans="106:108" x14ac:dyDescent="0.3">
      <c r="DB633" s="2" vm="882">
        <f ca="1">IF(Returns!A637&lt;&gt;0,Returns!A637,"")</f>
        <v>44627</v>
      </c>
      <c r="DC633" s="11">
        <f ca="1">IF(Returns!B648&gt;0,Returns!B648/Returns!B647-1,"")</f>
        <v>7.0224275264659797E-2</v>
      </c>
      <c r="DD633" s="11">
        <f ca="1">IF(Returns!D640&gt;0,Returns!D640/Returns!D639-1,"")</f>
        <v>-1.2326525830606005E-3</v>
      </c>
    </row>
    <row r="634" spans="106:108" x14ac:dyDescent="0.3">
      <c r="DB634" s="2" vm="883">
        <f ca="1">IF(Returns!A638&lt;&gt;0,Returns!A638,"")</f>
        <v>44634</v>
      </c>
      <c r="DC634" s="11">
        <f ca="1">IF(Returns!B649&gt;0,Returns!B649/Returns!B648-1,"")</f>
        <v>6.255943515434681E-2</v>
      </c>
      <c r="DD634" s="11">
        <f ca="1">IF(Returns!D641&gt;0,Returns!D641/Returns!D640-1,"")</f>
        <v>-2.7901386094705272E-3</v>
      </c>
    </row>
    <row r="635" spans="106:108" x14ac:dyDescent="0.3">
      <c r="DB635" s="2" vm="884">
        <f ca="1">IF(Returns!A639&lt;&gt;0,Returns!A639,"")</f>
        <v>44641</v>
      </c>
      <c r="DC635" s="11">
        <f ca="1">IF(Returns!B650&gt;0,Returns!B650/Returns!B649-1,"")</f>
        <v>-0.10380057212913762</v>
      </c>
      <c r="DD635" s="11">
        <f ca="1">IF(Returns!D642&gt;0,Returns!D642/Returns!D641-1,"")</f>
        <v>-7.7731271728703755E-3</v>
      </c>
    </row>
    <row r="636" spans="106:108" x14ac:dyDescent="0.3">
      <c r="DB636" s="2" vm="885">
        <f ca="1">IF(Returns!A640&lt;&gt;0,Returns!A640,"")</f>
        <v>44648</v>
      </c>
      <c r="DC636" s="11">
        <f ca="1">IF(Returns!B651&gt;0,Returns!B651/Returns!B650-1,"")</f>
        <v>-3.1281349749202048E-2</v>
      </c>
      <c r="DD636" s="11">
        <f ca="1">IF(Returns!D643&gt;0,Returns!D643/Returns!D642-1,"")</f>
        <v>-1.8572085437865038E-2</v>
      </c>
    </row>
    <row r="637" spans="106:108" x14ac:dyDescent="0.3">
      <c r="DB637" s="2" vm="886">
        <f ca="1">IF(Returns!A641&lt;&gt;0,Returns!A641,"")</f>
        <v>44655</v>
      </c>
      <c r="DC637" s="11">
        <f ca="1">IF(Returns!B652&gt;0,Returns!B652/Returns!B651-1,"")</f>
        <v>9.6403690453775059E-2</v>
      </c>
      <c r="DD637" s="11">
        <f ca="1">IF(Returns!D644&gt;0,Returns!D644/Returns!D643-1,"")</f>
        <v>-2.4671936457406951E-2</v>
      </c>
    </row>
    <row r="638" spans="106:108" x14ac:dyDescent="0.3">
      <c r="DB638" s="2" vm="887">
        <f ca="1">IF(Returns!A642&lt;&gt;0,Returns!A642,"")</f>
        <v>44662</v>
      </c>
      <c r="DC638" s="11">
        <f ca="1">IF(Returns!B653&gt;0,Returns!B653/Returns!B652-1,"")</f>
        <v>-5.9247810407006662E-2</v>
      </c>
      <c r="DD638" s="11">
        <f ca="1">IF(Returns!D645&gt;0,Returns!D645/Returns!D644-1,"")</f>
        <v>-2.360324222486998E-3</v>
      </c>
    </row>
    <row r="639" spans="106:108" x14ac:dyDescent="0.3">
      <c r="DB639" s="2" vm="888">
        <f ca="1">IF(Returns!A643&lt;&gt;0,Returns!A643,"")</f>
        <v>44669</v>
      </c>
      <c r="DC639" s="11">
        <f ca="1">IF(Returns!B654&gt;0,Returns!B654/Returns!B653-1,"")</f>
        <v>5.4581964220518531E-2</v>
      </c>
      <c r="DD639" s="11">
        <f ca="1">IF(Returns!D646&gt;0,Returns!D646/Returns!D645-1,"")</f>
        <v>-2.1359284452435623E-2</v>
      </c>
    </row>
    <row r="640" spans="106:108" x14ac:dyDescent="0.3">
      <c r="DB640" s="2" vm="889">
        <f ca="1">IF(Returns!A644&lt;&gt;0,Returns!A644,"")</f>
        <v>44676</v>
      </c>
      <c r="DC640" s="11">
        <f ca="1">IF(Returns!B655&gt;0,Returns!B655/Returns!B654-1,"")</f>
        <v>-1.7223472390514138E-2</v>
      </c>
      <c r="DD640" s="11">
        <f ca="1">IF(Returns!D647&gt;0,Returns!D647/Returns!D646-1,"")</f>
        <v>-2.9033064790077945E-2</v>
      </c>
    </row>
    <row r="641" spans="106:108" x14ac:dyDescent="0.3">
      <c r="DB641" s="2" vm="890">
        <f ca="1">IF(Returns!A645&lt;&gt;0,Returns!A645,"")</f>
        <v>44683</v>
      </c>
      <c r="DC641" s="11">
        <f ca="1">IF(Returns!B656&gt;0,Returns!B656/Returns!B655-1,"")</f>
        <v>7.8115367679436387E-2</v>
      </c>
      <c r="DD641" s="11">
        <f ca="1">IF(Returns!D648&gt;0,Returns!D648/Returns!D647-1,"")</f>
        <v>6.2410269555283726E-2</v>
      </c>
    </row>
    <row r="642" spans="106:108" x14ac:dyDescent="0.3">
      <c r="DB642" s="2" vm="891">
        <f ca="1">IF(Returns!A646&lt;&gt;0,Returns!A646,"")</f>
        <v>44690</v>
      </c>
      <c r="DC642" s="11">
        <f ca="1">IF(Returns!B657&gt;0,Returns!B657/Returns!B656-1,"")</f>
        <v>0.10235255677176913</v>
      </c>
      <c r="DD642" s="11">
        <f ca="1">IF(Returns!D649&gt;0,Returns!D649/Returns!D648-1,"")</f>
        <v>-9.4318306796784546E-3</v>
      </c>
    </row>
    <row r="643" spans="106:108" x14ac:dyDescent="0.3">
      <c r="DB643" s="2" vm="892">
        <f ca="1">IF(Returns!A647&lt;&gt;0,Returns!A647,"")</f>
        <v>44697</v>
      </c>
      <c r="DC643" s="11">
        <f ca="1">IF(Returns!B658&gt;0,Returns!B658/Returns!B657-1,"")</f>
        <v>4.3349388662467847E-2</v>
      </c>
      <c r="DD643" s="11">
        <f ca="1">IF(Returns!D650&gt;0,Returns!D650/Returns!D649-1,"")</f>
        <v>-4.5803208767311698E-2</v>
      </c>
    </row>
    <row r="644" spans="106:108" x14ac:dyDescent="0.3">
      <c r="DB644" s="2" vm="893">
        <f ca="1">IF(Returns!A648&lt;&gt;0,Returns!A648,"")</f>
        <v>44704</v>
      </c>
      <c r="DC644" s="11">
        <f ca="1">IF(Returns!B659&gt;0,Returns!B659/Returns!B658-1,"")</f>
        <v>1.953125E-2</v>
      </c>
      <c r="DD644" s="11">
        <f ca="1">IF(Returns!D651&gt;0,Returns!D651/Returns!D650-1,"")</f>
        <v>-4.7909469498656487E-2</v>
      </c>
    </row>
    <row r="645" spans="106:108" x14ac:dyDescent="0.3">
      <c r="DB645" s="2" vm="894">
        <f ca="1">IF(Returns!A649&lt;&gt;0,Returns!A649,"")</f>
        <v>44712</v>
      </c>
      <c r="DC645" s="11">
        <f ca="1">IF(Returns!B660&gt;0,Returns!B660/Returns!B659-1,"")</f>
        <v>-3.7060257749913061E-2</v>
      </c>
      <c r="DD645" s="11">
        <f ca="1">IF(Returns!D652&gt;0,Returns!D652/Returns!D651-1,"")</f>
        <v>5.3930030817789465E-2</v>
      </c>
    </row>
    <row r="646" spans="106:108" x14ac:dyDescent="0.3">
      <c r="DB646" s="2" vm="895">
        <f ca="1">IF(Returns!A650&lt;&gt;0,Returns!A650,"")</f>
        <v>44718</v>
      </c>
      <c r="DC646" s="11">
        <f ca="1">IF(Returns!B661&gt;0,Returns!B661/Returns!B660-1,"")</f>
        <v>-5.4112710699558586E-2</v>
      </c>
      <c r="DD646" s="11">
        <f ca="1">IF(Returns!D653&gt;0,Returns!D653/Returns!D652-1,"")</f>
        <v>-1.2806724187882867E-2</v>
      </c>
    </row>
    <row r="647" spans="106:108" x14ac:dyDescent="0.3">
      <c r="DB647" s="2" vm="896">
        <f ca="1">IF(Returns!A651&lt;&gt;0,Returns!A651,"")</f>
        <v>44725</v>
      </c>
      <c r="DC647" s="11">
        <f ca="1">IF(Returns!B662&gt;0,Returns!B662/Returns!B661-1,"")</f>
        <v>-2.4780114722753321E-2</v>
      </c>
      <c r="DD647" s="11">
        <f ca="1">IF(Returns!D654&gt;0,Returns!D654/Returns!D653-1,"")</f>
        <v>7.7464161237186246E-3</v>
      </c>
    </row>
    <row r="648" spans="106:108" x14ac:dyDescent="0.3">
      <c r="DB648" s="2" vm="897">
        <f ca="1">IF(Returns!A652&lt;&gt;0,Returns!A652,"")</f>
        <v>44733</v>
      </c>
      <c r="DC648" s="11">
        <f ca="1">IF(Returns!B663&gt;0,Returns!B663/Returns!B662-1,"")</f>
        <v>4.5172927613520653E-2</v>
      </c>
      <c r="DD648" s="11">
        <f ca="1">IF(Returns!D655&gt;0,Returns!D655/Returns!D654-1,"")</f>
        <v>-1.5920531263520221E-3</v>
      </c>
    </row>
    <row r="649" spans="106:108" x14ac:dyDescent="0.3">
      <c r="DB649" s="2" vm="898">
        <f ca="1">IF(Returns!A653&lt;&gt;0,Returns!A653,"")</f>
        <v>44739</v>
      </c>
      <c r="DC649" s="11">
        <f ca="1">IF(Returns!B664&gt;0,Returns!B664/Returns!B663-1,"")</f>
        <v>-7.3084715239738918E-2</v>
      </c>
      <c r="DD649" s="11">
        <f ca="1">IF(Returns!D656&gt;0,Returns!D656/Returns!D655-1,"")</f>
        <v>1.9529035336329548E-2</v>
      </c>
    </row>
    <row r="650" spans="106:108" x14ac:dyDescent="0.3">
      <c r="DB650" s="2" vm="899">
        <f ca="1">IF(Returns!A654&lt;&gt;0,Returns!A654,"")</f>
        <v>44747</v>
      </c>
      <c r="DC650" s="11">
        <f ca="1">IF(Returns!B665&gt;0,Returns!B665/Returns!B664-1,"")</f>
        <v>-7.8928195580021066E-2</v>
      </c>
      <c r="DD650" s="11">
        <f ca="1">IF(Returns!D657&gt;0,Returns!D657/Returns!D656-1,"")</f>
        <v>2.9650825087232269E-2</v>
      </c>
    </row>
    <row r="651" spans="106:108" x14ac:dyDescent="0.3">
      <c r="DB651" s="2" vm="900">
        <f ca="1">IF(Returns!A655&lt;&gt;0,Returns!A655,"")</f>
        <v>44753</v>
      </c>
      <c r="DC651" s="11">
        <f ca="1">IF(Returns!B666&gt;0,Returns!B666/Returns!B665-1,"")</f>
        <v>-6.8553348567410577E-3</v>
      </c>
      <c r="DD651" s="11">
        <f ca="1">IF(Returns!D658&gt;0,Returns!D658/Returns!D657-1,"")</f>
        <v>-1.2681820002898858E-3</v>
      </c>
    </row>
    <row r="652" spans="106:108" x14ac:dyDescent="0.3">
      <c r="DB652" s="2" vm="901">
        <f ca="1">IF(Returns!A656&lt;&gt;0,Returns!A656,"")</f>
        <v>44760</v>
      </c>
      <c r="DC652" s="11">
        <f ca="1">IF(Returns!B667&gt;0,Returns!B667/Returns!B666-1,"")</f>
        <v>1.3805309734513216E-2</v>
      </c>
      <c r="DD652" s="11">
        <f ca="1">IF(Returns!D659&gt;0,Returns!D659/Returns!D658-1,"")</f>
        <v>2.9191170156022128E-2</v>
      </c>
    </row>
    <row r="653" spans="106:108" x14ac:dyDescent="0.3">
      <c r="DB653" s="2" vm="902">
        <f ca="1">IF(Returns!A657&lt;&gt;0,Returns!A657,"")</f>
        <v>44767</v>
      </c>
      <c r="DC653" s="11">
        <f ca="1">IF(Returns!B668&gt;0,Returns!B668/Returns!B667-1,"")</f>
        <v>-6.6864525139664788E-2</v>
      </c>
      <c r="DD653" s="11">
        <f ca="1">IF(Returns!D660&gt;0,Returns!D660/Returns!D659-1,"")</f>
        <v>-1.6085964824413823E-3</v>
      </c>
    </row>
    <row r="654" spans="106:108" x14ac:dyDescent="0.3">
      <c r="DB654" s="2" vm="903">
        <f ca="1">IF(Returns!A658&lt;&gt;0,Returns!A658,"")</f>
        <v>44774</v>
      </c>
      <c r="DC654" s="11">
        <f ca="1">IF(Returns!B669&gt;0,Returns!B669/Returns!B668-1,"")</f>
        <v>0.1161833489242281</v>
      </c>
      <c r="DD654" s="11">
        <f ca="1">IF(Returns!D661&gt;0,Returns!D661/Returns!D660-1,"")</f>
        <v>-4.222719183192869E-2</v>
      </c>
    </row>
    <row r="655" spans="106:108" x14ac:dyDescent="0.3">
      <c r="DB655" s="2" vm="904">
        <f ca="1">IF(Returns!A659&lt;&gt;0,Returns!A659,"")</f>
        <v>44781</v>
      </c>
      <c r="DC655" s="11">
        <f ca="1">IF(Returns!B670&gt;0,Returns!B670/Returns!B669-1,"")</f>
        <v>-0.13333892054978203</v>
      </c>
      <c r="DD655" s="11">
        <f ca="1">IF(Returns!D662&gt;0,Returns!D662/Returns!D661-1,"")</f>
        <v>-2.98900853287829E-2</v>
      </c>
    </row>
    <row r="656" spans="106:108" x14ac:dyDescent="0.3">
      <c r="DB656" s="2" vm="905">
        <f ca="1">IF(Returns!A660&lt;&gt;0,Returns!A660,"")</f>
        <v>44788</v>
      </c>
      <c r="DC656" s="11">
        <f ca="1">IF(Returns!B671&gt;0,Returns!B671/Returns!B670-1,"")</f>
        <v>-0.12020114108886948</v>
      </c>
      <c r="DD656" s="11">
        <f ca="1">IF(Returns!D663&gt;0,Returns!D663/Returns!D662-1,"")</f>
        <v>2.6606369886105208E-2</v>
      </c>
    </row>
    <row r="657" spans="106:108" x14ac:dyDescent="0.3">
      <c r="DB657" s="2" vm="906">
        <f ca="1">IF(Returns!A661&lt;&gt;0,Returns!A661,"")</f>
        <v>44795</v>
      </c>
      <c r="DC657" s="11">
        <f ca="1">IF(Returns!B672&gt;0,Returns!B672/Returns!B671-1,"")</f>
        <v>0.107825895801275</v>
      </c>
      <c r="DD657" s="11">
        <f ca="1">IF(Returns!D664&gt;0,Returns!D664/Returns!D663-1,"")</f>
        <v>-4.1344321616397561E-2</v>
      </c>
    </row>
    <row r="658" spans="106:108" x14ac:dyDescent="0.3">
      <c r="DB658" s="2" vm="907">
        <f ca="1">IF(Returns!A662&lt;&gt;0,Returns!A662,"")</f>
        <v>44802</v>
      </c>
      <c r="DC658" s="11">
        <f ca="1">IF(Returns!B673&gt;0,Returns!B673/Returns!B672-1,"")</f>
        <v>-6.5978767734894417E-2</v>
      </c>
      <c r="DD658" s="11">
        <f ca="1">IF(Returns!D665&gt;0,Returns!D665/Returns!D664-1,"")</f>
        <v>-3.9971260403598774E-2</v>
      </c>
    </row>
    <row r="659" spans="106:108" x14ac:dyDescent="0.3">
      <c r="DB659" s="2" vm="908">
        <f ca="1">IF(Returns!A663&lt;&gt;0,Returns!A663,"")</f>
        <v>44810</v>
      </c>
      <c r="DC659" s="11">
        <f ca="1">IF(Returns!B674&gt;0,Returns!B674/Returns!B673-1,"")</f>
        <v>-7.7544083280220999E-3</v>
      </c>
      <c r="DD659" s="11">
        <f ca="1">IF(Returns!D666&gt;0,Returns!D666/Returns!D665-1,"")</f>
        <v>-2.922925507086549E-2</v>
      </c>
    </row>
    <row r="660" spans="106:108" x14ac:dyDescent="0.3">
      <c r="DB660" s="2" vm="909">
        <f ca="1">IF(Returns!A664&lt;&gt;0,Returns!A664,"")</f>
        <v>44816</v>
      </c>
      <c r="DC660" s="11">
        <f ca="1">IF(Returns!B675&gt;0,Returns!B675/Returns!B674-1,"")</f>
        <v>7.7079541804945251E-3</v>
      </c>
      <c r="DD660" s="11">
        <f ca="1">IF(Returns!D667&gt;0,Returns!D667/Returns!D666-1,"")</f>
        <v>1.9887802639008578E-2</v>
      </c>
    </row>
    <row r="661" spans="106:108" x14ac:dyDescent="0.3">
      <c r="DB661" s="2" vm="910">
        <f ca="1">IF(Returns!A665&lt;&gt;0,Returns!A665,"")</f>
        <v>44823</v>
      </c>
      <c r="DC661" s="11">
        <f ca="1">IF(Returns!B676&gt;0,Returns!B676/Returns!B675-1,"")</f>
        <v>-5.3542972484861284E-2</v>
      </c>
      <c r="DD661" s="11">
        <f ca="1">IF(Returns!D668&gt;0,Returns!D668/Returns!D667-1,"")</f>
        <v>1.1538470925154254E-2</v>
      </c>
    </row>
    <row r="662" spans="106:108" x14ac:dyDescent="0.3">
      <c r="DB662" s="2" vm="911">
        <f ca="1">IF(Returns!A666&lt;&gt;0,Returns!A666,"")</f>
        <v>44830</v>
      </c>
      <c r="DC662" s="11">
        <f ca="1">IF(Returns!B677&gt;0,Returns!B677/Returns!B676-1,"")</f>
        <v>-1.3806263329217638E-2</v>
      </c>
      <c r="DD662" s="11">
        <f ca="1">IF(Returns!D669&gt;0,Returns!D669/Returns!D668-1,"")</f>
        <v>4.8852199227964688E-2</v>
      </c>
    </row>
    <row r="663" spans="106:108" x14ac:dyDescent="0.3">
      <c r="DB663" s="2" vm="912">
        <f ca="1">IF(Returns!A667&lt;&gt;0,Returns!A667,"")</f>
        <v>44837</v>
      </c>
      <c r="DC663" s="11">
        <f ca="1">IF(Returns!B678&gt;0,Returns!B678/Returns!B677-1,"")</f>
        <v>-2.9706351012975141E-2</v>
      </c>
      <c r="DD663" s="11">
        <f ca="1">IF(Returns!D670&gt;0,Returns!D670/Returns!D669-1,"")</f>
        <v>5.7242455942456916E-2</v>
      </c>
    </row>
    <row r="664" spans="106:108" x14ac:dyDescent="0.3">
      <c r="DB664" s="2" vm="913">
        <f ca="1">IF(Returns!A668&lt;&gt;0,Returns!A668,"")</f>
        <v>44844</v>
      </c>
      <c r="DC664" s="11">
        <f ca="1">IF(Returns!B679&gt;0,Returns!B679/Returns!B678-1,"")</f>
        <v>-1.4662756598240456E-2</v>
      </c>
      <c r="DD664" s="11">
        <f ca="1">IF(Returns!D671&gt;0,Returns!D671/Returns!D670-1,"")</f>
        <v>-1.3954964844198892E-2</v>
      </c>
    </row>
    <row r="665" spans="106:108" x14ac:dyDescent="0.3">
      <c r="DB665" s="2" vm="914">
        <f ca="1">IF(Returns!A669&lt;&gt;0,Returns!A669,"")</f>
        <v>44851</v>
      </c>
      <c r="DC665" s="11">
        <f ca="1">IF(Returns!B680&gt;0,Returns!B680/Returns!B679-1,"")</f>
        <v>2.4761904761904763E-2</v>
      </c>
      <c r="DD665" s="11">
        <f ca="1">IF(Returns!D672&gt;0,Returns!D672/Returns!D671-1,"")</f>
        <v>4.1497339216374662E-2</v>
      </c>
    </row>
    <row r="666" spans="106:108" x14ac:dyDescent="0.3">
      <c r="DB666" s="2" vm="915">
        <f ca="1">IF(Returns!A670&lt;&gt;0,Returns!A670,"")</f>
        <v>44858</v>
      </c>
      <c r="DC666" s="11">
        <f ca="1">IF(Returns!B681&gt;0,Returns!B681/Returns!B680-1,"")</f>
        <v>0.13986988847583648</v>
      </c>
      <c r="DD666" s="11">
        <f ca="1">IF(Returns!D673&gt;0,Returns!D673/Returns!D672-1,"")</f>
        <v>-6.4448522174131995E-5</v>
      </c>
    </row>
    <row r="667" spans="106:108" x14ac:dyDescent="0.3">
      <c r="DB667" s="2" vm="916">
        <f ca="1">IF(Returns!A671&lt;&gt;0,Returns!A671,"")</f>
        <v>44865</v>
      </c>
      <c r="DC667" s="11">
        <f ca="1">IF(Returns!B682&gt;0,Returns!B682/Returns!B681-1,"")</f>
        <v>-8.8666938442724108E-3</v>
      </c>
      <c r="DD667" s="11">
        <f ca="1">IF(Returns!D674&gt;0,Returns!D674/Returns!D673-1,"")</f>
        <v>1.7819792901787368E-2</v>
      </c>
    </row>
    <row r="668" spans="106:108" x14ac:dyDescent="0.3">
      <c r="DB668" s="2" vm="917">
        <f ca="1">IF(Returns!A672&lt;&gt;0,Returns!A672,"")</f>
        <v>44872</v>
      </c>
      <c r="DC668" s="11">
        <f ca="1">IF(Returns!B683&gt;0,Returns!B683/Returns!B682-1,"")</f>
        <v>5.1311053984575805E-2</v>
      </c>
      <c r="DD668" s="11">
        <f ca="1">IF(Returns!D675&gt;0,Returns!D675/Returns!D674-1,"")</f>
        <v>2.4120221768924033E-3</v>
      </c>
    </row>
    <row r="669" spans="106:108" x14ac:dyDescent="0.3">
      <c r="DB669" s="2" vm="918">
        <f ca="1">IF(Returns!A673&lt;&gt;0,Returns!A673,"")</f>
        <v>44879</v>
      </c>
      <c r="DC669" s="11">
        <f ca="1">IF(Returns!B684&gt;0,Returns!B684/Returns!B683-1,"")</f>
        <v>1.1248043818466336E-2</v>
      </c>
      <c r="DD669" s="11">
        <f ca="1">IF(Returns!D676&gt;0,Returns!D676/Returns!D675-1,"")</f>
        <v>-2.7691635699908401E-2</v>
      </c>
    </row>
    <row r="670" spans="106:108" x14ac:dyDescent="0.3">
      <c r="DB670" s="2" vm="919">
        <f ca="1">IF(Returns!A674&lt;&gt;0,Returns!A674,"")</f>
        <v>44886</v>
      </c>
      <c r="DC670" s="11">
        <f ca="1">IF(Returns!B685&gt;0,Returns!B685/Returns!B684-1,"")</f>
        <v>-5.5904826385530515E-2</v>
      </c>
      <c r="DD670" s="11">
        <f ca="1">IF(Returns!D677&gt;0,Returns!D677/Returns!D676-1,"")</f>
        <v>-1.6608588537311508E-2</v>
      </c>
    </row>
    <row r="671" spans="106:108" x14ac:dyDescent="0.3">
      <c r="DB671" s="2" vm="920">
        <f ca="1">IF(Returns!A675&lt;&gt;0,Returns!A675,"")</f>
        <v>44893</v>
      </c>
      <c r="DC671" s="11">
        <f ca="1">IF(Returns!B686&gt;0,Returns!B686/Returns!B685-1,"")</f>
        <v>-4.2003893043744966E-3</v>
      </c>
      <c r="DD671" s="11">
        <f ca="1">IF(Returns!D678&gt;0,Returns!D678/Returns!D677-1,"")</f>
        <v>8.6107149601428734E-3</v>
      </c>
    </row>
    <row r="672" spans="106:108" x14ac:dyDescent="0.3">
      <c r="DB672" s="2" vm="921">
        <f ca="1">IF(Returns!A676&lt;&gt;0,Returns!A676,"")</f>
        <v>44900</v>
      </c>
      <c r="DC672" s="11">
        <f ca="1">IF(Returns!B687&gt;0,Returns!B687/Returns!B686-1,"")</f>
        <v>-3.8065843621399198E-2</v>
      </c>
      <c r="DD672" s="11">
        <f ca="1">IF(Returns!D679&gt;0,Returns!D679/Returns!D678-1,"")</f>
        <v>-1.707041958799338E-3</v>
      </c>
    </row>
    <row r="673" spans="106:108" x14ac:dyDescent="0.3">
      <c r="DB673" s="2" vm="922">
        <f ca="1">IF(Returns!A677&lt;&gt;0,Returns!A677,"")</f>
        <v>44907</v>
      </c>
      <c r="DC673" s="11">
        <f ca="1">IF(Returns!B688&gt;0,Returns!B688/Returns!B687-1,"")</f>
        <v>1.497326203208571E-2</v>
      </c>
      <c r="DD673" s="11">
        <f ca="1">IF(Returns!D680&gt;0,Returns!D680/Returns!D679-1,"")</f>
        <v>1.4582398898056237E-2</v>
      </c>
    </row>
    <row r="674" spans="106:108" x14ac:dyDescent="0.3">
      <c r="DB674" s="2" vm="923">
        <f ca="1">IF(Returns!A678&lt;&gt;0,Returns!A678,"")</f>
        <v>44914</v>
      </c>
      <c r="DC674" s="11">
        <f ca="1">IF(Returns!B689&gt;0,Returns!B689/Returns!B688-1,"")</f>
        <v>-4.3940990516333045E-2</v>
      </c>
      <c r="DD674" s="11">
        <f ca="1">IF(Returns!D681&gt;0,Returns!D681/Returns!D680-1,"")</f>
        <v>1.9981617998902523E-2</v>
      </c>
    </row>
    <row r="675" spans="106:108" x14ac:dyDescent="0.3">
      <c r="DB675" s="2" vm="924">
        <f ca="1">IF(Returns!A679&lt;&gt;0,Returns!A679,"")</f>
        <v>44922</v>
      </c>
      <c r="DC675" s="11">
        <f ca="1">IF(Returns!B690&gt;0,Returns!B690/Returns!B689-1,"")</f>
        <v>9.0598479003637156E-2</v>
      </c>
      <c r="DD675" s="11">
        <f ca="1">IF(Returns!D682&gt;0,Returns!D682/Returns!D681-1,"")</f>
        <v>-2.7027754652714564E-2</v>
      </c>
    </row>
    <row r="676" spans="106:108" x14ac:dyDescent="0.3">
      <c r="DB676" s="2" vm="925">
        <f ca="1">IF(Returns!A680&lt;&gt;0,Returns!A680,"")</f>
        <v>44929</v>
      </c>
      <c r="DC676" s="11">
        <f ca="1">IF(Returns!B691&gt;0,Returns!B691/Returns!B690-1,"")</f>
        <v>-8.2870136432542374E-3</v>
      </c>
      <c r="DD676" s="11">
        <f ca="1">IF(Returns!D683&gt;0,Returns!D683/Returns!D682-1,"")</f>
        <v>1.8054969775496588E-2</v>
      </c>
    </row>
    <row r="677" spans="106:108" x14ac:dyDescent="0.3">
      <c r="DB677" s="2" vm="926">
        <f ca="1">IF(Returns!A681&lt;&gt;0,Returns!A681,"")</f>
        <v>44935</v>
      </c>
      <c r="DC677" s="11">
        <f ca="1">IF(Returns!B692&gt;0,Returns!B692/Returns!B691-1,"")</f>
        <v>5.2583307856924666E-2</v>
      </c>
      <c r="DD677" s="11">
        <f ca="1">IF(Returns!D684&gt;0,Returns!D684/Returns!D683-1,"")</f>
        <v>-1.5323702855850607E-3</v>
      </c>
    </row>
    <row r="678" spans="106:108" x14ac:dyDescent="0.3">
      <c r="DB678" s="2" vm="927">
        <f ca="1">IF(Returns!A682&lt;&gt;0,Returns!A682,"")</f>
        <v>44943</v>
      </c>
      <c r="DC678" s="11">
        <f ca="1">IF(Returns!B693&gt;0,Returns!B693/Returns!B692-1,"")</f>
        <v>-1.1908219575951229E-2</v>
      </c>
      <c r="DD678" s="11">
        <f ca="1">IF(Returns!D685&gt;0,Returns!D685/Returns!D684-1,"")</f>
        <v>-1.6726545547001148E-3</v>
      </c>
    </row>
    <row r="679" spans="106:108" x14ac:dyDescent="0.3">
      <c r="DB679" s="2" vm="928">
        <f ca="1">IF(Returns!A683&lt;&gt;0,Returns!A683,"")</f>
        <v>44949</v>
      </c>
      <c r="DC679" s="11">
        <f ca="1">IF(Returns!B694&gt;0,Returns!B694/Returns!B693-1,"")</f>
        <v>4.4091710758378255E-3</v>
      </c>
      <c r="DD679" s="11">
        <f ca="1">IF(Returns!D686&gt;0,Returns!D686/Returns!D685-1,"")</f>
        <v>-1.2570777145619605E-3</v>
      </c>
    </row>
    <row r="680" spans="106:108" x14ac:dyDescent="0.3">
      <c r="DB680" s="2" vm="929">
        <f ca="1">IF(Returns!A684&lt;&gt;0,Returns!A684,"")</f>
        <v>44956</v>
      </c>
      <c r="DC680" s="11">
        <f ca="1">IF(Returns!B695&gt;0,Returns!B695/Returns!B694-1,"")</f>
        <v>4.3410398985464616E-2</v>
      </c>
      <c r="DD680" s="11">
        <f ca="1">IF(Returns!D687&gt;0,Returns!D687/Returns!D686-1,"")</f>
        <v>-2.9851297806994026E-2</v>
      </c>
    </row>
    <row r="681" spans="106:108" x14ac:dyDescent="0.3">
      <c r="DB681" s="2" vm="930">
        <f ca="1">IF(Returns!A685&lt;&gt;0,Returns!A685,"")</f>
        <v>44963</v>
      </c>
      <c r="DC681" s="11">
        <f ca="1">IF(Returns!B696&gt;0,Returns!B696/Returns!B695-1,"")</f>
        <v>-1.4117427075542199E-2</v>
      </c>
      <c r="DD681" s="11">
        <f ca="1">IF(Returns!D688&gt;0,Returns!D688/Returns!D687-1,"")</f>
        <v>1.7492662588272534E-2</v>
      </c>
    </row>
    <row r="682" spans="106:108" x14ac:dyDescent="0.3">
      <c r="DB682" s="2" vm="931">
        <f ca="1">IF(Returns!A686&lt;&gt;0,Returns!A686,"")</f>
        <v>44970</v>
      </c>
      <c r="DC682" s="11">
        <f ca="1">IF(Returns!B697&gt;0,Returns!B697/Returns!B696-1,"")</f>
        <v>1.9440493124702751E-3</v>
      </c>
      <c r="DD682" s="11">
        <f ca="1">IF(Returns!D689&gt;0,Returns!D689/Returns!D688-1,"")</f>
        <v>-4.4363472730960862E-2</v>
      </c>
    </row>
    <row r="683" spans="106:108" x14ac:dyDescent="0.3">
      <c r="DB683" s="2" vm="932">
        <f ca="1">IF(Returns!A687&lt;&gt;0,Returns!A687,"")</f>
        <v>44978</v>
      </c>
      <c r="DC683" s="11">
        <f ca="1">IF(Returns!B698&gt;0,Returns!B698/Returns!B697-1,"")</f>
        <v>4.3585253892385545E-2</v>
      </c>
      <c r="DD683" s="11">
        <f ca="1">IF(Returns!D690&gt;0,Returns!D690/Returns!D689-1,"")</f>
        <v>-1.4933169778136302E-3</v>
      </c>
    </row>
    <row r="684" spans="106:108" x14ac:dyDescent="0.3">
      <c r="DB684" s="2" vm="933">
        <f ca="1">IF(Returns!A688&lt;&gt;0,Returns!A688,"")</f>
        <v>44984</v>
      </c>
      <c r="DC684" s="11">
        <f ca="1">IF(Returns!B699&gt;0,Returns!B699/Returns!B698-1,"")</f>
        <v>5.4326138218755649E-2</v>
      </c>
      <c r="DD684" s="11">
        <f ca="1">IF(Returns!D691&gt;0,Returns!D691/Returns!D690-1,"")</f>
        <v>1.1786510218572799E-2</v>
      </c>
    </row>
    <row r="685" spans="106:108" x14ac:dyDescent="0.3">
      <c r="DB685" s="2" vm="934">
        <f ca="1">IF(Returns!A689&lt;&gt;0,Returns!A689,"")</f>
        <v>44991</v>
      </c>
      <c r="DC685" s="11">
        <f ca="1">IF(Returns!B700&gt;0,Returns!B700/Returns!B699-1,"")</f>
        <v>3.3204301075268727E-2</v>
      </c>
      <c r="DD685" s="11">
        <f ca="1">IF(Returns!D692&gt;0,Returns!D692/Returns!D691-1,"")</f>
        <v>3.2155941894001838E-2</v>
      </c>
    </row>
    <row r="686" spans="106:108" x14ac:dyDescent="0.3">
      <c r="DB686" s="2" vm="935">
        <f ca="1">IF(Returns!A690&lt;&gt;0,Returns!A690,"")</f>
        <v>44998</v>
      </c>
      <c r="DC686" s="11">
        <f ca="1">IF(Returns!B701&gt;0,Returns!B701/Returns!B700-1,"")</f>
        <v>3.4468403963033856E-2</v>
      </c>
      <c r="DD686" s="11">
        <f ca="1">IF(Returns!D693&gt;0,Returns!D693/Returns!D692-1,"")</f>
        <v>6.3453154222381514E-3</v>
      </c>
    </row>
    <row r="687" spans="106:108" x14ac:dyDescent="0.3">
      <c r="DB687" s="2" vm="936">
        <f ca="1">IF(Returns!A691&lt;&gt;0,Returns!A691,"")</f>
        <v>45005</v>
      </c>
      <c r="DC687" s="11">
        <f ca="1">IF(Returns!B702&gt;0,Returns!B702/Returns!B701-1,"")</f>
        <v>-6.599597585512984E-3</v>
      </c>
      <c r="DD687" s="11">
        <f ca="1">IF(Returns!D694&gt;0,Returns!D694/Returns!D693-1,"")</f>
        <v>1.1980774745360856E-2</v>
      </c>
    </row>
    <row r="688" spans="106:108" x14ac:dyDescent="0.3">
      <c r="DB688" s="2" vm="937">
        <f ca="1">IF(Returns!A692&lt;&gt;0,Returns!A692,"")</f>
        <v>45012</v>
      </c>
      <c r="DC688" s="11">
        <f ca="1">IF(Returns!B703&gt;0,Returns!B703/Returns!B702-1,"")</f>
        <v>1.6689621647897557E-2</v>
      </c>
      <c r="DD688" s="11">
        <f ca="1">IF(Returns!D695&gt;0,Returns!D695/Returns!D694-1,"")</f>
        <v>-2.2872640286328849E-3</v>
      </c>
    </row>
    <row r="689" spans="106:108" x14ac:dyDescent="0.3">
      <c r="DB689" s="2" vm="938">
        <f ca="1">IF(Returns!A693&lt;&gt;0,Returns!A693,"")</f>
        <v>45019</v>
      </c>
      <c r="DC689" s="11">
        <f ca="1">IF(Returns!B704&gt;0,Returns!B704/Returns!B703-1,"")</f>
        <v>3.0600047812574749E-2</v>
      </c>
      <c r="DD689" s="11">
        <f ca="1">IF(Returns!D696&gt;0,Returns!D696/Returns!D695-1,"")</f>
        <v>8.5540221126580995E-3</v>
      </c>
    </row>
    <row r="690" spans="106:108" x14ac:dyDescent="0.3">
      <c r="DB690" s="2" vm="939">
        <f ca="1">IF(Returns!A694&lt;&gt;0,Returns!A694,"")</f>
        <v>45026</v>
      </c>
      <c r="DC690" s="11">
        <f ca="1">IF(Returns!B705&gt;0,Returns!B705/Returns!B704-1,"")</f>
        <v>7.9641227866698028E-3</v>
      </c>
      <c r="DD690" s="11">
        <f ca="1">IF(Returns!D697&gt;0,Returns!D697/Returns!D696-1,"")</f>
        <v>-1.2428411247343507E-2</v>
      </c>
    </row>
    <row r="691" spans="106:108" x14ac:dyDescent="0.3">
      <c r="DB691" s="2" vm="940">
        <f ca="1">IF(Returns!A695&lt;&gt;0,Returns!A695,"")</f>
        <v>45033</v>
      </c>
      <c r="DC691" s="11">
        <f ca="1">IF(Returns!B706&gt;0,Returns!B706/Returns!B705-1,"")</f>
        <v>-4.4492175513962673E-3</v>
      </c>
      <c r="DD691" s="11">
        <f ca="1">IF(Returns!D698&gt;0,Returns!D698/Returns!D697-1,"")</f>
        <v>-1.1099302396609056E-2</v>
      </c>
    </row>
    <row r="692" spans="106:108" x14ac:dyDescent="0.3">
      <c r="DB692" s="2" vm="941">
        <f ca="1">IF(Returns!A696&lt;&gt;0,Returns!A696,"")</f>
        <v>45040</v>
      </c>
      <c r="DC692" s="11">
        <f ca="1">IF(Returns!B707&gt;0,Returns!B707/Returns!B706-1,"")</f>
        <v>3.7756202804746453E-2</v>
      </c>
      <c r="DD692" s="11">
        <f ca="1">IF(Returns!D699&gt;0,Returns!D699/Returns!D698-1,"")</f>
        <v>3.7841763014860863E-3</v>
      </c>
    </row>
    <row r="693" spans="106:108" x14ac:dyDescent="0.3">
      <c r="DB693" s="2" vm="942">
        <f ca="1">IF(Returns!A697&lt;&gt;0,Returns!A697,"")</f>
        <v>45047</v>
      </c>
      <c r="DC693" s="11">
        <f ca="1">IF(Returns!B708&gt;0,Returns!B708/Returns!B707-1,"")</f>
        <v>-3.4749034749034791E-2</v>
      </c>
      <c r="DD693" s="11">
        <f ca="1">IF(Returns!D700&gt;0,Returns!D700/Returns!D699-1,"")</f>
        <v>-9.9709390694230349E-3</v>
      </c>
    </row>
    <row r="694" spans="106:108" x14ac:dyDescent="0.3">
      <c r="DB694" s="2" vm="943">
        <f ca="1">IF(Returns!A698&lt;&gt;0,Returns!A698,"")</f>
        <v>45054</v>
      </c>
      <c r="DC694" s="11">
        <f ca="1">IF(Returns!B709&gt;0,Returns!B709/Returns!B708-1,"")</f>
        <v>1.7000000000000126E-2</v>
      </c>
      <c r="DD694" s="11">
        <f ca="1">IF(Returns!D701&gt;0,Returns!D701/Returns!D700-1,"")</f>
        <v>2.0228353527127041E-2</v>
      </c>
    </row>
    <row r="695" spans="106:108" x14ac:dyDescent="0.3">
      <c r="DB695" s="2" vm="944">
        <f ca="1">IF(Returns!A699&lt;&gt;0,Returns!A699,"")</f>
        <v>45061</v>
      </c>
      <c r="DC695" s="11">
        <f ca="1">IF(Returns!B710&gt;0,Returns!B710/Returns!B709-1,"")</f>
        <v>5.5669011421223713E-2</v>
      </c>
      <c r="DD695" s="11">
        <f ca="1">IF(Returns!D702&gt;0,Returns!D702/Returns!D701-1,"")</f>
        <v>3.3770995325361763E-3</v>
      </c>
    </row>
    <row r="696" spans="106:108" x14ac:dyDescent="0.3">
      <c r="DB696" s="2" vm="945">
        <f ca="1">IF(Returns!A700&lt;&gt;0,Returns!A700,"")</f>
        <v>45068</v>
      </c>
      <c r="DC696" s="11">
        <f ca="1">IF(Returns!B711&gt;0,Returns!B711/Returns!B710-1,"")</f>
        <v>-8.3112416708461812E-3</v>
      </c>
      <c r="DD696" s="11">
        <f ca="1">IF(Returns!D703&gt;0,Returns!D703/Returns!D702-1,"")</f>
        <v>1.2466828348109749E-2</v>
      </c>
    </row>
    <row r="697" spans="106:108" x14ac:dyDescent="0.3">
      <c r="DB697" s="2" vm="946">
        <f ca="1">IF(Returns!A701&lt;&gt;0,Returns!A701,"")</f>
        <v>45076</v>
      </c>
      <c r="DC697" s="11">
        <f ca="1">IF(Returns!B712&gt;0,Returns!B712/Returns!B711-1,"")</f>
        <v>-3.7497290658189408E-2</v>
      </c>
      <c r="DD697" s="11">
        <f ca="1">IF(Returns!D704&gt;0,Returns!D704/Returns!D703-1,"")</f>
        <v>-1.666756372574596E-2</v>
      </c>
    </row>
    <row r="698" spans="106:108" x14ac:dyDescent="0.3">
      <c r="DB698" s="2" vm="947">
        <f ca="1">IF(Returns!A702&lt;&gt;0,Returns!A702,"")</f>
        <v>45082</v>
      </c>
      <c r="DC698" s="11">
        <f ca="1">IF(Returns!B713&gt;0,Returns!B713/Returns!B712-1,"")</f>
        <v>3.002552169344419E-4</v>
      </c>
      <c r="DD698" s="11">
        <f ca="1">IF(Returns!D705&gt;0,Returns!D705/Returns!D704-1,"")</f>
        <v>2.0166571703416736E-2</v>
      </c>
    </row>
    <row r="699" spans="106:108" x14ac:dyDescent="0.3">
      <c r="DB699" s="2" vm="948">
        <f ca="1">IF(Returns!A703&lt;&gt;0,Returns!A703,"")</f>
        <v>45089</v>
      </c>
      <c r="DC699" s="11">
        <f ca="1">IF(Returns!B714&gt;0,Returns!B714/Returns!B713-1,"")</f>
        <v>3.6470058532192873E-2</v>
      </c>
      <c r="DD699" s="11">
        <f ca="1">IF(Returns!D706&gt;0,Returns!D706/Returns!D705-1,"")</f>
        <v>-1.9551468337086875E-2</v>
      </c>
    </row>
    <row r="700" spans="106:108" x14ac:dyDescent="0.3">
      <c r="DB700" s="2" vm="949">
        <f ca="1">IF(Returns!A704&lt;&gt;0,Returns!A704,"")</f>
        <v>45097</v>
      </c>
      <c r="DC700" s="11">
        <f ca="1">IF(Returns!B715&gt;0,Returns!B715/Returns!B714-1,"")</f>
        <v>7.9640891977983408E-4</v>
      </c>
      <c r="DD700" s="11">
        <f ca="1">IF(Returns!D707&gt;0,Returns!D707/Returns!D706-1,"")</f>
        <v>2.2948084642409716E-2</v>
      </c>
    </row>
    <row r="701" spans="106:108" x14ac:dyDescent="0.3">
      <c r="DB701" s="2" vm="950">
        <f ca="1">IF(Returns!A705&lt;&gt;0,Returns!A705,"")</f>
        <v>45103</v>
      </c>
      <c r="DC701" s="11">
        <f ca="1">IF(Returns!B716&gt;0,Returns!B716/Returns!B715-1,"")</f>
        <v>1.5626130362439428E-2</v>
      </c>
      <c r="DD701" s="11">
        <f ca="1">IF(Returns!D708&gt;0,Returns!D708/Returns!D707-1,"")</f>
        <v>2.0825177195568756E-2</v>
      </c>
    </row>
    <row r="702" spans="106:108" x14ac:dyDescent="0.3">
      <c r="DB702" s="2" vm="951">
        <f ca="1">IF(Returns!A706&lt;&gt;0,Returns!A706,"")</f>
        <v>45110</v>
      </c>
      <c r="DC702" s="11">
        <f ca="1">IF(Returns!B717&gt;0,Returns!B717/Returns!B716-1,"")</f>
        <v>-8.0276372961036957E-2</v>
      </c>
      <c r="DD702" s="11">
        <f ca="1">IF(Returns!D709&gt;0,Returns!D709/Returns!D708-1,"")</f>
        <v>6.5743541662530713E-3</v>
      </c>
    </row>
    <row r="703" spans="106:108" x14ac:dyDescent="0.3">
      <c r="DB703" s="2" vm="952">
        <f ca="1">IF(Returns!A707&lt;&gt;0,Returns!A707,"")</f>
        <v>45117</v>
      </c>
      <c r="DC703" s="11">
        <f ca="1">IF(Returns!B718&gt;0,Returns!B718/Returns!B717-1,"")</f>
        <v>-1.5489467162329573E-2</v>
      </c>
      <c r="DD703" s="11">
        <f ca="1">IF(Returns!D710&gt;0,Returns!D710/Returns!D709-1,"")</f>
        <v>-1.1101920696506284E-2</v>
      </c>
    </row>
    <row r="704" spans="106:108" x14ac:dyDescent="0.3">
      <c r="DB704" s="2" vm="953">
        <f ca="1">IF(Returns!A708&lt;&gt;0,Returns!A708,"")</f>
        <v>45124</v>
      </c>
      <c r="DC704" s="11">
        <f ca="1">IF(Returns!B719&gt;0,Returns!B719/Returns!B718-1,"")</f>
        <v>6.6079295154184425E-3</v>
      </c>
      <c r="DD704" s="11">
        <f ca="1">IF(Returns!D711&gt;0,Returns!D711/Returns!D710-1,"")</f>
        <v>6.1536510909980802E-3</v>
      </c>
    </row>
    <row r="705" spans="106:108" x14ac:dyDescent="0.3">
      <c r="DB705" s="2" vm="954">
        <f ca="1">IF(Returns!A709&lt;&gt;0,Returns!A709,"")</f>
        <v>45131</v>
      </c>
      <c r="DC705" s="11">
        <f ca="1">IF(Returns!B720&gt;0,Returns!B720/Returns!B719-1,"")</f>
        <v>1.4301344170053021E-2</v>
      </c>
      <c r="DD705" s="11">
        <f ca="1">IF(Returns!D712&gt;0,Returns!D712/Returns!D711-1,"")</f>
        <v>-2.2128986701212217E-2</v>
      </c>
    </row>
    <row r="706" spans="106:108" x14ac:dyDescent="0.3">
      <c r="DB706" s="2" vm="955">
        <f ca="1">IF(Returns!A710&lt;&gt;0,Returns!A710,"")</f>
        <v>45138</v>
      </c>
      <c r="DC706" s="11">
        <f ca="1">IF(Returns!B721&gt;0,Returns!B721/Returns!B720-1,"")</f>
        <v>-3.5595962708991347E-2</v>
      </c>
      <c r="DD706" s="11">
        <f ca="1">IF(Returns!D713&gt;0,Returns!D713/Returns!D712-1,"")</f>
        <v>-4.4567986166200724E-3</v>
      </c>
    </row>
    <row r="707" spans="106:108" x14ac:dyDescent="0.3">
      <c r="DB707" s="2" vm="956">
        <f ca="1">IF(Returns!A711&lt;&gt;0,Returns!A711,"")</f>
        <v>45145</v>
      </c>
      <c r="DC707" s="11">
        <f ca="1">IF(Returns!B722&gt;0,Returns!B722/Returns!B721-1,"")</f>
        <v>2.0532076376128305E-2</v>
      </c>
      <c r="DD707" s="11">
        <f ca="1">IF(Returns!D714&gt;0,Returns!D714/Returns!D713-1,"")</f>
        <v>1.4289910172938569E-2</v>
      </c>
    </row>
    <row r="708" spans="106:108" x14ac:dyDescent="0.3">
      <c r="DB708" s="2" vm="957">
        <f ca="1">IF(Returns!A712&lt;&gt;0,Returns!A712,"")</f>
        <v>45152</v>
      </c>
      <c r="DC708" s="11">
        <f ca="1">IF(Returns!B723&gt;0,Returns!B723/Returns!B722-1,"")</f>
        <v>8.5016439643024855E-2</v>
      </c>
      <c r="DD708" s="11">
        <f ca="1">IF(Returns!D715&gt;0,Returns!D715/Returns!D714-1,"")</f>
        <v>-7.4954977670320666E-3</v>
      </c>
    </row>
    <row r="709" spans="106:108" x14ac:dyDescent="0.3">
      <c r="DB709" s="2" vm="958">
        <f ca="1">IF(Returns!A713&lt;&gt;0,Returns!A713,"")</f>
        <v>45159</v>
      </c>
      <c r="DC709" s="11">
        <f ca="1">IF(Returns!B724&gt;0,Returns!B724/Returns!B723-1,"")</f>
        <v>3.5786435786435922E-2</v>
      </c>
      <c r="DD709" s="11">
        <f ca="1">IF(Returns!D716&gt;0,Returns!D716/Returns!D715-1,"")</f>
        <v>1.204676447678299E-3</v>
      </c>
    </row>
    <row r="710" spans="106:108" x14ac:dyDescent="0.3">
      <c r="DB710" s="2" vm="959">
        <f ca="1">IF(Returns!A714&lt;&gt;0,Returns!A714,"")</f>
        <v>45166</v>
      </c>
      <c r="DC710" s="11">
        <f ca="1">IF(Returns!B725&gt;0,Returns!B725/Returns!B724-1,"")</f>
        <v>1.1284480356645421E-2</v>
      </c>
      <c r="DD710" s="11">
        <f ca="1">IF(Returns!D717&gt;0,Returns!D717/Returns!D716-1,"")</f>
        <v>-1.8903233921136908E-2</v>
      </c>
    </row>
    <row r="711" spans="106:108" x14ac:dyDescent="0.3">
      <c r="DB711" s="2" vm="960">
        <f ca="1">IF(Returns!A715&lt;&gt;0,Returns!A715,"")</f>
        <v>45174</v>
      </c>
      <c r="DC711" s="11">
        <f ca="1">IF(Returns!B726&gt;0,Returns!B726/Returns!B725-1,"")</f>
        <v>1.0745281719245048E-2</v>
      </c>
      <c r="DD711" s="11">
        <f ca="1">IF(Returns!D718&gt;0,Returns!D718/Returns!D717-1,"")</f>
        <v>-1.3436182351550641E-2</v>
      </c>
    </row>
    <row r="712" spans="106:108" x14ac:dyDescent="0.3">
      <c r="DB712" s="2" vm="961">
        <f ca="1">IF(Returns!A716&lt;&gt;0,Returns!A716,"")</f>
        <v>45180</v>
      </c>
      <c r="DC712" s="11">
        <f ca="1">IF(Returns!B727&gt;0,Returns!B727/Returns!B726-1,"")</f>
        <v>1.9762845849802257E-3</v>
      </c>
      <c r="DD712" s="11">
        <f ca="1">IF(Returns!D719&gt;0,Returns!D719/Returns!D718-1,"")</f>
        <v>-2.9818966348115206E-3</v>
      </c>
    </row>
    <row r="713" spans="106:108" x14ac:dyDescent="0.3">
      <c r="DB713" s="2" vm="962">
        <f ca="1">IF(Returns!A717&lt;&gt;0,Returns!A717,"")</f>
        <v>45187</v>
      </c>
      <c r="DC713" s="11">
        <f ca="1">IF(Returns!B728&gt;0,Returns!B728/Returns!B727-1,"")</f>
        <v>2.6525198938991412E-3</v>
      </c>
      <c r="DD713" s="11">
        <f ca="1">IF(Returns!D720&gt;0,Returns!D720/Returns!D719-1,"")</f>
        <v>7.8637145130124875E-3</v>
      </c>
    </row>
    <row r="714" spans="106:108" x14ac:dyDescent="0.3">
      <c r="DB714" s="2" vm="963">
        <f ca="1">IF(Returns!A718&lt;&gt;0,Returns!A718,"")</f>
        <v>45194</v>
      </c>
      <c r="DC714" s="11">
        <f ca="1">IF(Returns!B729&gt;0,Returns!B729/Returns!B728-1,"")</f>
        <v>1.7297517297517384E-2</v>
      </c>
      <c r="DD714" s="11">
        <f ca="1">IF(Returns!D721&gt;0,Returns!D721/Returns!D720-1,"")</f>
        <v>-1.6127359729732893E-2</v>
      </c>
    </row>
    <row r="715" spans="106:108" x14ac:dyDescent="0.3">
      <c r="DB715" s="2" vm="964">
        <f ca="1">IF(Returns!A719&lt;&gt;0,Returns!A719,"")</f>
        <v>45201</v>
      </c>
      <c r="DC715" s="11">
        <f ca="1">IF(Returns!B730&gt;0,Returns!B730/Returns!B729-1,"")</f>
        <v>2.300460092018386E-2</v>
      </c>
      <c r="DD715" s="11">
        <f ca="1">IF(Returns!D722&gt;0,Returns!D722/Returns!D721-1,"")</f>
        <v>-2.1423226847394838E-2</v>
      </c>
    </row>
    <row r="716" spans="106:108" x14ac:dyDescent="0.3">
      <c r="DB716" s="2" vm="965">
        <f ca="1">IF(Returns!A720&lt;&gt;0,Returns!A720,"")</f>
        <v>45208</v>
      </c>
      <c r="DC716" s="11">
        <f ca="1">IF(Returns!B731&gt;0,Returns!B731/Returns!B730-1,"")</f>
        <v>-9.6467214183286742E-3</v>
      </c>
      <c r="DD716" s="11">
        <f ca="1">IF(Returns!D723&gt;0,Returns!D723/Returns!D722-1,"")</f>
        <v>5.0705072258127259E-2</v>
      </c>
    </row>
    <row r="717" spans="106:108" x14ac:dyDescent="0.3">
      <c r="DB717" s="2" vm="966">
        <f ca="1">IF(Returns!A721&lt;&gt;0,Returns!A721,"")</f>
        <v>45215</v>
      </c>
      <c r="DC717" s="11">
        <f ca="1">IF(Returns!B732&gt;0,Returns!B732/Returns!B731-1,"")</f>
        <v>-4.4096353823877776E-2</v>
      </c>
      <c r="DD717" s="11">
        <f ca="1">IF(Returns!D724&gt;0,Returns!D724/Returns!D723-1,"")</f>
        <v>6.5111743228563057E-3</v>
      </c>
    </row>
    <row r="718" spans="106:108" x14ac:dyDescent="0.3">
      <c r="DB718" s="2" vm="967">
        <f ca="1">IF(Returns!A722&lt;&gt;0,Returns!A722,"")</f>
        <v>45222</v>
      </c>
      <c r="DC718" s="11">
        <f ca="1">IF(Returns!B733&gt;0,Returns!B733/Returns!B732-1,"")</f>
        <v>6.4582759570366299E-2</v>
      </c>
      <c r="DD718" s="11">
        <f ca="1">IF(Returns!D725&gt;0,Returns!D725/Returns!D724-1,"")</f>
        <v>1.9373510337472144E-2</v>
      </c>
    </row>
    <row r="719" spans="106:108" x14ac:dyDescent="0.3">
      <c r="DB719" s="2" vm="968">
        <f ca="1">IF(Returns!A723&lt;&gt;0,Returns!A723,"")</f>
        <v>45229</v>
      </c>
      <c r="DC719" s="11">
        <f ca="1">IF(Returns!B734&gt;0,Returns!B734/Returns!B733-1,"")</f>
        <v>4.6565774155995499E-3</v>
      </c>
      <c r="DD719" s="11">
        <f ca="1">IF(Returns!D726&gt;0,Returns!D726/Returns!D725-1,"")</f>
        <v>1.2672406672033176E-2</v>
      </c>
    </row>
    <row r="720" spans="106:108" x14ac:dyDescent="0.3">
      <c r="DB720" s="2" vm="969">
        <f ca="1">IF(Returns!A724&lt;&gt;0,Returns!A724,"")</f>
        <v>45236</v>
      </c>
      <c r="DC720" s="11">
        <f ca="1">IF(Returns!B735&gt;0,Returns!B735/Returns!B734-1,"")</f>
        <v>2.4333719582850577E-2</v>
      </c>
      <c r="DD720" s="11">
        <f ca="1">IF(Returns!D727&gt;0,Returns!D727/Returns!D726-1,"")</f>
        <v>2.4169128571043696E-2</v>
      </c>
    </row>
    <row r="721" spans="106:108" x14ac:dyDescent="0.3">
      <c r="DB721" s="2" vm="970">
        <f ca="1">IF(Returns!A725&lt;&gt;0,Returns!A725,"")</f>
        <v>45243</v>
      </c>
      <c r="DC721" s="11">
        <f ca="1">IF(Returns!B736&gt;0,Returns!B736/Returns!B735-1,"")</f>
        <v>7.9751131221719396E-2</v>
      </c>
      <c r="DD721" s="11">
        <f ca="1">IF(Returns!D728&gt;0,Returns!D728/Returns!D727-1,"")</f>
        <v>6.5461919952491954E-5</v>
      </c>
    </row>
    <row r="722" spans="106:108" x14ac:dyDescent="0.3">
      <c r="DB722" s="2" vm="971">
        <f ca="1">IF(Returns!A726&lt;&gt;0,Returns!A726,"")</f>
        <v>45250</v>
      </c>
      <c r="DC722" s="11">
        <f ca="1">IF(Returns!B737&gt;0,Returns!B737/Returns!B736-1,"")</f>
        <v>1.5365811070368274E-2</v>
      </c>
      <c r="DD722" s="11">
        <f ca="1">IF(Returns!D729&gt;0,Returns!D729/Returns!D728-1,"")</f>
        <v>2.9168332649504691E-2</v>
      </c>
    </row>
    <row r="723" spans="106:108" x14ac:dyDescent="0.3">
      <c r="DB723" s="2" vm="972">
        <f ca="1">IF(Returns!A727&lt;&gt;0,Returns!A727,"")</f>
        <v>45257</v>
      </c>
      <c r="DC723" s="11">
        <f ca="1">IF(Returns!B738&gt;0,Returns!B738/Returns!B737-1,"")</f>
        <v>-2.8317569504155871E-2</v>
      </c>
      <c r="DD723" s="11">
        <f ca="1">IF(Returns!D730&gt;0,Returns!D730/Returns!D729-1,"")</f>
        <v>2.1659951277948064E-3</v>
      </c>
    </row>
    <row r="724" spans="106:108" x14ac:dyDescent="0.3">
      <c r="DB724" s="2" vm="973">
        <f ca="1">IF(Returns!A728&lt;&gt;0,Returns!A728,"")</f>
        <v>45264</v>
      </c>
      <c r="DC724" s="11">
        <f ca="1">IF(Returns!B739&gt;0,Returns!B739/Returns!B738-1,"")</f>
        <v>3.2328476196094691E-2</v>
      </c>
      <c r="DD724" s="11">
        <f ca="1">IF(Returns!D731&gt;0,Returns!D731/Returns!D730-1,"")</f>
        <v>8.1199053809637434E-3</v>
      </c>
    </row>
    <row r="725" spans="106:108" x14ac:dyDescent="0.3">
      <c r="DB725" s="2" vm="974">
        <f ca="1">IF(Returns!A729&lt;&gt;0,Returns!A729,"")</f>
        <v>45271</v>
      </c>
      <c r="DC725" s="11">
        <f ca="1">IF(Returns!B740&gt;0,Returns!B740/Returns!B739-1,"")</f>
        <v>1.8458197611292082E-2</v>
      </c>
      <c r="DD725" s="11">
        <f ca="1">IF(Returns!D732&gt;0,Returns!D732/Returns!D731-1,"")</f>
        <v>-5.9280884163293024E-3</v>
      </c>
    </row>
    <row r="726" spans="106:108" x14ac:dyDescent="0.3">
      <c r="DB726" s="2" vm="975">
        <f ca="1">IF(Returns!A730&lt;&gt;0,Returns!A730,"")</f>
        <v>45278</v>
      </c>
      <c r="DC726" s="11">
        <f ca="1">IF(Returns!B741&gt;0,Returns!B741/Returns!B740-1,"")</f>
        <v>-1.6103692065985831E-2</v>
      </c>
      <c r="DD726" s="11">
        <f ca="1">IF(Returns!D733&gt;0,Returns!D733/Returns!D732-1,"")</f>
        <v>3.3863191044809504E-3</v>
      </c>
    </row>
    <row r="727" spans="106:108" x14ac:dyDescent="0.3">
      <c r="DB727" s="2" vm="976">
        <f ca="1">IF(Returns!A731&lt;&gt;0,Returns!A731,"")</f>
        <v>45286</v>
      </c>
      <c r="DC727" s="11">
        <f ca="1">IF(Returns!B742&gt;0,Returns!B742/Returns!B741-1,"")</f>
        <v>-5.3036783575706181E-3</v>
      </c>
      <c r="DD727" s="11">
        <f ca="1">IF(Returns!D734&gt;0,Returns!D734/Returns!D733-1,"")</f>
        <v>7.2038554218407658E-3</v>
      </c>
    </row>
    <row r="728" spans="106:108" x14ac:dyDescent="0.3">
      <c r="DB728" s="2" vm="977">
        <f ca="1">IF(Returns!A732&lt;&gt;0,Returns!A732,"")</f>
        <v>45293</v>
      </c>
      <c r="DC728" s="11">
        <f ca="1">IF(Returns!B743&gt;0,Returns!B743/Returns!B742-1,"")</f>
        <v>2.5513129228299514E-2</v>
      </c>
      <c r="DD728" s="11">
        <f ca="1">IF(Returns!D735&gt;0,Returns!D735/Returns!D734-1,"")</f>
        <v>6.4874030034505203E-3</v>
      </c>
    </row>
    <row r="729" spans="106:108" x14ac:dyDescent="0.3">
      <c r="DB729" s="2" vm="978">
        <f ca="1">IF(Returns!A733&lt;&gt;0,Returns!A733,"")</f>
        <v>45299</v>
      </c>
      <c r="DC729" s="11">
        <f ca="1">IF(Returns!B744&gt;0,Returns!B744/Returns!B743-1,"")</f>
        <v>8.4418851679990414E-3</v>
      </c>
      <c r="DD729" s="11">
        <f ca="1">IF(Returns!D736&gt;0,Returns!D736/Returns!D735-1,"")</f>
        <v>1.4300661428626515E-2</v>
      </c>
    </row>
    <row r="730" spans="106:108" x14ac:dyDescent="0.3">
      <c r="DB730" s="2" vm="979">
        <f ca="1">IF(Returns!A734&lt;&gt;0,Returns!A734,"")</f>
        <v>45307</v>
      </c>
      <c r="DC730" s="11">
        <f ca="1">IF(Returns!B745&gt;0,Returns!B745/Returns!B744-1,"")</f>
        <v>2.6000665262224221E-2</v>
      </c>
      <c r="DD730" s="11">
        <f ca="1">IF(Returns!D737&gt;0,Returns!D737/Returns!D736-1,"")</f>
        <v>4.4672248530663872E-4</v>
      </c>
    </row>
    <row r="731" spans="106:108" x14ac:dyDescent="0.3">
      <c r="DB731" s="2" vm="980">
        <f ca="1">IF(Returns!A735&lt;&gt;0,Returns!A735,"")</f>
        <v>45313</v>
      </c>
      <c r="DC731" s="11">
        <f ca="1">IF(Returns!B746&gt;0,Returns!B746/Returns!B745-1,"")</f>
        <v>5.7275625439023869E-3</v>
      </c>
      <c r="DD731" s="11">
        <f ca="1">IF(Returns!D738&gt;0,Returns!D738/Returns!D737-1,"")</f>
        <v>-1.1299402449197471E-3</v>
      </c>
    </row>
    <row r="732" spans="106:108" x14ac:dyDescent="0.3">
      <c r="DB732" s="2" vm="981">
        <f ca="1">IF(Returns!A736&lt;&gt;0,Returns!A736,"")</f>
        <v>45320</v>
      </c>
      <c r="DC732" s="11">
        <f ca="1">IF(Returns!B747&gt;0,Returns!B747/Returns!B746-1,"")</f>
        <v>-6.1784774082630389E-2</v>
      </c>
      <c r="DD732" s="11">
        <f ca="1">IF(Returns!D739&gt;0,Returns!D739/Returns!D738-1,"")</f>
        <v>1.3035473602107217E-2</v>
      </c>
    </row>
    <row r="733" spans="106:108" x14ac:dyDescent="0.3">
      <c r="DB733" s="2" vm="982">
        <f ca="1">IF(Returns!A737&lt;&gt;0,Returns!A737,"")</f>
        <v>45327</v>
      </c>
      <c r="DC733" s="11">
        <f ca="1">IF(Returns!B748&gt;0,Returns!B748/Returns!B747-1,"")</f>
        <v>2.8574700795968688E-2</v>
      </c>
      <c r="DD733" s="11">
        <f ca="1">IF(Returns!D740&gt;0,Returns!D740/Returns!D739-1,"")</f>
        <v>-1.1283075742875015E-3</v>
      </c>
    </row>
    <row r="734" spans="106:108" x14ac:dyDescent="0.3">
      <c r="DB734" s="2" vm="983">
        <f ca="1">IF(Returns!A738&lt;&gt;0,Returns!A738,"")</f>
        <v>45334</v>
      </c>
      <c r="DC734" s="11">
        <f ca="1">IF(Returns!B749&gt;0,Returns!B749/Returns!B748-1,"")</f>
        <v>3.6688564747801022E-2</v>
      </c>
      <c r="DD734" s="11">
        <f ca="1">IF(Returns!D741&gt;0,Returns!D741/Returns!D740-1,"")</f>
        <v>-9.3299432294203788E-3</v>
      </c>
    </row>
    <row r="735" spans="106:108" x14ac:dyDescent="0.3">
      <c r="DB735" s="2" vm="984">
        <f ca="1">IF(Returns!A739&lt;&gt;0,Returns!A739,"")</f>
        <v>45342</v>
      </c>
      <c r="DC735" s="11">
        <f ca="1">IF(Returns!B750&gt;0,Returns!B750/Returns!B749-1,"")</f>
        <v>6.82025669942532E-3</v>
      </c>
      <c r="DD735" s="11">
        <f ca="1">IF(Returns!D742&gt;0,Returns!D742/Returns!D741-1,"")</f>
        <v>-2.046990889689182E-4</v>
      </c>
    </row>
    <row r="736" spans="106:108" x14ac:dyDescent="0.3">
      <c r="DB736" s="2" vm="985">
        <f ca="1">IF(Returns!A740&lt;&gt;0,Returns!A740,"")</f>
        <v>45348</v>
      </c>
      <c r="DC736" s="11">
        <f ca="1">IF(Returns!B751&gt;0,Returns!B751/Returns!B750-1,"")</f>
        <v>-1.4828248346490325E-2</v>
      </c>
      <c r="DD736" s="11">
        <f ca="1">IF(Returns!D743&gt;0,Returns!D743/Returns!D742-1,"")</f>
        <v>1.9660131439356299E-2</v>
      </c>
    </row>
    <row r="737" spans="106:108" x14ac:dyDescent="0.3">
      <c r="DB737" s="2" vm="986">
        <f ca="1">IF(Returns!A741&lt;&gt;0,Returns!A741,"")</f>
        <v>45355</v>
      </c>
      <c r="DC737" s="11">
        <f ca="1">IF(Returns!B752&gt;0,Returns!B752/Returns!B751-1,"")</f>
        <v>-2.1386031402273908E-2</v>
      </c>
      <c r="DD737" s="11">
        <f ca="1">IF(Returns!D744&gt;0,Returns!D744/Returns!D743-1,"")</f>
        <v>8.3967804765154863E-3</v>
      </c>
    </row>
    <row r="738" spans="106:108" x14ac:dyDescent="0.3">
      <c r="DB738" s="2" vm="987">
        <f ca="1">IF(Returns!A742&lt;&gt;0,Returns!A742,"")</f>
        <v>45362</v>
      </c>
      <c r="DC738" s="11">
        <f ca="1">IF(Returns!B753&gt;0,Returns!B753/Returns!B752-1,"")</f>
        <v>-2.3845089903181238E-2</v>
      </c>
      <c r="DD738" s="11">
        <f ca="1">IF(Returns!D745&gt;0,Returns!D745/Returns!D744-1,"")</f>
        <v>-2.2692682231529759E-2</v>
      </c>
    </row>
    <row r="739" spans="106:108" x14ac:dyDescent="0.3">
      <c r="DB739" s="2" vm="988">
        <f ca="1">IF(Returns!A743&lt;&gt;0,Returns!A743,"")</f>
        <v>45369</v>
      </c>
      <c r="DC739" s="11">
        <f ca="1">IF(Returns!B754&gt;0,Returns!B754/Returns!B753-1,"")</f>
        <v>4.454772160507825E-2</v>
      </c>
      <c r="DD739" s="11">
        <f ca="1">IF(Returns!D746&gt;0,Returns!D746/Returns!D745-1,"")</f>
        <v>-2.3668360352019246E-2</v>
      </c>
    </row>
    <row r="740" spans="106:108" x14ac:dyDescent="0.3">
      <c r="DB740" s="2" vm="989">
        <f ca="1">IF(Returns!A744&lt;&gt;0,Returns!A744,"")</f>
        <v>45376</v>
      </c>
      <c r="DC740" s="11">
        <f ca="1">IF(Returns!B755&gt;0,Returns!B755/Returns!B754-1,"")</f>
        <v>-3.4725990233316351E-3</v>
      </c>
      <c r="DD740" s="11">
        <f ca="1">IF(Returns!D747&gt;0,Returns!D747/Returns!D746-1,"")</f>
        <v>8.3020819211965247E-5</v>
      </c>
    </row>
    <row r="741" spans="106:108" x14ac:dyDescent="0.3">
      <c r="DB741" s="2" vm="990">
        <f ca="1">IF(Returns!A745&lt;&gt;0,Returns!A745,"")</f>
        <v>45383</v>
      </c>
      <c r="DC741" s="11">
        <f ca="1">IF(Returns!B756&gt;0,Returns!B756/Returns!B755-1,"")</f>
        <v>2.9511053032778012E-2</v>
      </c>
      <c r="DD741" s="11">
        <f ca="1">IF(Returns!D748&gt;0,Returns!D748/Returns!D747-1,"")</f>
        <v>6.6670708464402484E-3</v>
      </c>
    </row>
    <row r="742" spans="106:108" x14ac:dyDescent="0.3">
      <c r="DB742" s="2" vm="991">
        <f ca="1">IF(Returns!A746&lt;&gt;0,Returns!A746,"")</f>
        <v>45390</v>
      </c>
      <c r="DC742" s="11">
        <f ca="1">IF(Returns!B757&gt;0,Returns!B757/Returns!B756-1,"")</f>
        <v>2.2054156970594319E-2</v>
      </c>
      <c r="DD742" s="11">
        <f ca="1">IF(Returns!D749&gt;0,Returns!D749/Returns!D748-1,"")</f>
        <v>1.1402409357511134E-2</v>
      </c>
    </row>
    <row r="743" spans="106:108" x14ac:dyDescent="0.3">
      <c r="DB743" s="2" vm="992">
        <f ca="1">IF(Returns!A747&lt;&gt;0,Returns!A747,"")</f>
        <v>45397</v>
      </c>
      <c r="DC743" s="11">
        <f ca="1">IF(Returns!B758&gt;0,Returns!B758/Returns!B757-1,"")</f>
        <v>3.4928848641655907E-2</v>
      </c>
      <c r="DD743" s="11">
        <f ca="1">IF(Returns!D750&gt;0,Returns!D750/Returns!D749-1,"")</f>
        <v>2.1645742681617897E-2</v>
      </c>
    </row>
    <row r="744" spans="106:108" x14ac:dyDescent="0.3">
      <c r="DB744" s="2" vm="993">
        <f ca="1">IF(Returns!A748&lt;&gt;0,Returns!A748,"")</f>
        <v>45404</v>
      </c>
      <c r="DC744" s="11">
        <f ca="1">IF(Returns!B759&gt;0,Returns!B759/Returns!B758-1,"")</f>
        <v>-2.7549999999999963E-2</v>
      </c>
      <c r="DD744" s="11">
        <f ca="1">IF(Returns!D751&gt;0,Returns!D751/Returns!D750-1,"")</f>
        <v>1.2419984560462893E-2</v>
      </c>
    </row>
    <row r="745" spans="106:108" x14ac:dyDescent="0.3">
      <c r="DB745" s="2" vm="994">
        <f ca="1">IF(Returns!A749&lt;&gt;0,Returns!A749,"")</f>
        <v>45411</v>
      </c>
      <c r="DC745" s="11">
        <f ca="1">IF(Returns!B760&gt;0,Returns!B760/Returns!B759-1,"")</f>
        <v>-5.8409172708108414E-2</v>
      </c>
      <c r="DD745" s="11">
        <f ca="1">IF(Returns!D752&gt;0,Returns!D752/Returns!D751-1,"")</f>
        <v>-2.3347893417540955E-2</v>
      </c>
    </row>
    <row r="746" spans="106:108" x14ac:dyDescent="0.3">
      <c r="DB746" s="2" vm="995">
        <f ca="1">IF(Returns!A750&lt;&gt;0,Returns!A750,"")</f>
        <v>45418</v>
      </c>
      <c r="DC746" s="11">
        <f ca="1">IF(Returns!B761&gt;0,Returns!B761/Returns!B760-1,"")</f>
        <v>-3.4401791077376398E-3</v>
      </c>
      <c r="DD746" s="11">
        <f ca="1">IF(Returns!D753&gt;0,Returns!D753/Returns!D752-1,"")</f>
        <v>-9.8099411188377061E-3</v>
      </c>
    </row>
    <row r="747" spans="106:108" x14ac:dyDescent="0.3">
      <c r="DB747" s="2" vm="996">
        <f ca="1">IF(Returns!A751&lt;&gt;0,Returns!A751,"")</f>
        <v>45425</v>
      </c>
      <c r="DC747" s="11">
        <f ca="1">IF(Returns!B762&gt;0,Returns!B762/Returns!B761-1,"")</f>
        <v>-7.999999999999996E-2</v>
      </c>
      <c r="DD747" s="11">
        <f ca="1">IF(Returns!D754&gt;0,Returns!D754/Returns!D753-1,"")</f>
        <v>2.9123626766904831E-3</v>
      </c>
    </row>
    <row r="748" spans="106:108" x14ac:dyDescent="0.3">
      <c r="DB748" s="2" vm="997">
        <f ca="1">IF(Returns!A752&lt;&gt;0,Returns!A752,"")</f>
        <v>45432</v>
      </c>
      <c r="DC748" s="11">
        <f ca="1">IF(Returns!B763&gt;0,Returns!B763/Returns!B762-1,"")</f>
        <v>-5.7176891006551767E-3</v>
      </c>
      <c r="DD748" s="11">
        <f ca="1">IF(Returns!D755&gt;0,Returns!D755/Returns!D754-1,"")</f>
        <v>-5.4082051438941736E-3</v>
      </c>
    </row>
    <row r="749" spans="106:108" x14ac:dyDescent="0.3">
      <c r="DB749" s="2" vm="998">
        <f ca="1">IF(Returns!A753&lt;&gt;0,Returns!A753,"")</f>
        <v>45440</v>
      </c>
      <c r="DC749" s="11">
        <f ca="1">IF(Returns!B764&gt;0,Returns!B764/Returns!B763-1,"")</f>
        <v>6.0620582245118015E-2</v>
      </c>
      <c r="DD749" s="11">
        <f ca="1">IF(Returns!D756&gt;0,Returns!D756/Returns!D755-1,"")</f>
        <v>1.4542297238434809E-2</v>
      </c>
    </row>
    <row r="750" spans="106:108" x14ac:dyDescent="0.3">
      <c r="DB750" s="2" vm="999">
        <f ca="1">IF(Returns!A754&lt;&gt;0,Returns!A754,"")</f>
        <v>45446</v>
      </c>
      <c r="DC750" s="11">
        <f ca="1">IF(Returns!B765&gt;0,Returns!B765/Returns!B764-1,"")</f>
        <v>-1.1295606009265047E-4</v>
      </c>
      <c r="DD750" s="11">
        <f ca="1">IF(Returns!D757&gt;0,Returns!D757/Returns!D756-1,"")</f>
        <v>-8.0378372060108116E-4</v>
      </c>
    </row>
    <row r="751" spans="106:108" x14ac:dyDescent="0.3">
      <c r="DB751" s="2" vm="1000">
        <f ca="1">IF(Returns!A755&lt;&gt;0,Returns!A755,"")</f>
        <v>45453</v>
      </c>
      <c r="DC751" s="11">
        <f ca="1">IF(Returns!B766&gt;0,Returns!B766/Returns!B765-1,"")</f>
        <v>8.2467239042025575E-3</v>
      </c>
      <c r="DD751" s="11">
        <f ca="1">IF(Returns!D758&gt;0,Returns!D758/Returns!D757-1,"")</f>
        <v>6.5697894163296855E-3</v>
      </c>
    </row>
    <row r="752" spans="106:108" x14ac:dyDescent="0.3">
      <c r="DB752" s="2" vm="1001">
        <f ca="1">IF(Returns!A756&lt;&gt;0,Returns!A756,"")</f>
        <v>45460</v>
      </c>
      <c r="DC752" s="11">
        <f ca="1">IF(Returns!B767&gt;0,Returns!B767/Returns!B766-1,"")</f>
        <v>-3.9831932773109369E-2</v>
      </c>
      <c r="DD752" s="11">
        <f ca="1">IF(Returns!D759&gt;0,Returns!D759/Returns!D758-1,"")</f>
        <v>1.5873466394716873E-2</v>
      </c>
    </row>
    <row r="753" spans="106:108" x14ac:dyDescent="0.3">
      <c r="DB753" s="2" vm="1002">
        <f ca="1">IF(Returns!A757&lt;&gt;0,Returns!A757,"")</f>
        <v>45467</v>
      </c>
      <c r="DC753" s="11">
        <f ca="1">IF(Returns!B768&gt;0,Returns!B768/Returns!B767-1,"")</f>
        <v>8.8103156543555716E-2</v>
      </c>
      <c r="DD753" s="11">
        <f ca="1">IF(Returns!D760&gt;0,Returns!D760/Returns!D759-1,"")</f>
        <v>7.1656265600275049E-3</v>
      </c>
    </row>
    <row r="754" spans="106:108" x14ac:dyDescent="0.3">
      <c r="DB754" s="2" vm="1003">
        <f ca="1">IF(Returns!A758&lt;&gt;0,Returns!A758,"")</f>
        <v>45474</v>
      </c>
      <c r="DC754" s="11">
        <f ca="1">IF(Returns!B769&gt;0,Returns!B769/Returns!B768-1,"")</f>
        <v>2.7400933025899521E-2</v>
      </c>
      <c r="DD754" s="11">
        <f ca="1">IF(Returns!D761&gt;0,Returns!D761/Returns!D760-1,"")</f>
        <v>7.4913329446886223E-3</v>
      </c>
    </row>
    <row r="755" spans="106:108" x14ac:dyDescent="0.3">
      <c r="DB755" s="2" vm="1004">
        <f ca="1">IF(Returns!A759&lt;&gt;0,Returns!A759,"")</f>
        <v>45481</v>
      </c>
      <c r="DC755" s="11">
        <f ca="1">IF(Returns!B770&gt;0,Returns!B770/Returns!B769-1,"")</f>
        <v>-1.894572025052188E-2</v>
      </c>
      <c r="DD755" s="11">
        <f ca="1">IF(Returns!D762&gt;0,Returns!D762/Returns!D761-1,"")</f>
        <v>-2.0992626605393361E-2</v>
      </c>
    </row>
    <row r="756" spans="106:108" x14ac:dyDescent="0.3">
      <c r="DB756" s="2" vm="1005">
        <f ca="1">IF(Returns!A760&lt;&gt;0,Returns!A760,"")</f>
        <v>45488</v>
      </c>
      <c r="DC756" s="11">
        <f ca="1">IF(Returns!B771&gt;0,Returns!B771/Returns!B770-1,"")</f>
        <v>-7.7671968931213309E-3</v>
      </c>
      <c r="DD756" s="11">
        <f ca="1">IF(Returns!D763&gt;0,Returns!D763/Returns!D762-1,"")</f>
        <v>-6.0326353046723513E-3</v>
      </c>
    </row>
    <row r="757" spans="106:108" x14ac:dyDescent="0.3">
      <c r="DB757" s="2" vm="1006">
        <f ca="1">IF(Returns!A761&lt;&gt;0,Returns!A761,"")</f>
        <v>45495</v>
      </c>
      <c r="DC757" s="11">
        <f ca="1">IF(Returns!B772&gt;0,Returns!B772/Returns!B771-1,"")</f>
        <v>1.2385394884992795E-2</v>
      </c>
      <c r="DD757" s="11">
        <f ca="1">IF(Returns!D764&gt;0,Returns!D764/Returns!D763-1,"")</f>
        <v>2.9425123691247723E-2</v>
      </c>
    </row>
    <row r="758" spans="106:108" x14ac:dyDescent="0.3">
      <c r="DB758" s="2" vm="1007">
        <f ca="1">IF(Returns!A762&lt;&gt;0,Returns!A762,"")</f>
        <v>45502</v>
      </c>
      <c r="DC758" s="11">
        <f ca="1">IF(Returns!B773&gt;0,Returns!B773/Returns!B772-1,"")</f>
        <v>9.0032835504727515E-4</v>
      </c>
      <c r="DD758" s="11">
        <f ca="1">IF(Returns!D765&gt;0,Returns!D765/Returns!D764-1,"")</f>
        <v>1.2673955773472301E-2</v>
      </c>
    </row>
    <row r="759" spans="106:108" x14ac:dyDescent="0.3">
      <c r="DB759" s="2" vm="1008">
        <f ca="1">IF(Returns!A763&lt;&gt;0,Returns!A763,"")</f>
        <v>45509</v>
      </c>
      <c r="DC759" s="11">
        <f ca="1">IF(Returns!B774&gt;0,Returns!B774/Returns!B773-1,"")</f>
        <v>-6.1378908936980947E-3</v>
      </c>
      <c r="DD759" s="11">
        <f ca="1">IF(Returns!D766&gt;0,Returns!D766/Returns!D765-1,"")</f>
        <v>9.4231753769513649E-3</v>
      </c>
    </row>
    <row r="760" spans="106:108" x14ac:dyDescent="0.3">
      <c r="DB760" s="2" vm="1009">
        <f ca="1">IF(Returns!A764&lt;&gt;0,Returns!A764,"")</f>
        <v>45516</v>
      </c>
      <c r="DC760" s="11">
        <f ca="1">IF(Returns!B775&gt;0,Returns!B775/Returns!B774-1,"")</f>
        <v>5.3772027897566854E-2</v>
      </c>
      <c r="DD760" s="11">
        <f ca="1">IF(Returns!D767&gt;0,Returns!D767/Returns!D766-1,"")</f>
        <v>-2.9296914473133318E-2</v>
      </c>
    </row>
    <row r="761" spans="106:108" x14ac:dyDescent="0.3">
      <c r="DB761" s="2" vm="1010">
        <f ca="1">IF(Returns!A765&lt;&gt;0,Returns!A765,"")</f>
        <v>45523</v>
      </c>
      <c r="DC761" s="11">
        <f ca="1">IF(Returns!B776&gt;0,Returns!B776/Returns!B775-1,"")</f>
        <v>5.1785984944172192E-2</v>
      </c>
      <c r="DD761" s="11">
        <f ca="1">IF(Returns!D768&gt;0,Returns!D768/Returns!D767-1,"")</f>
        <v>2.5984864201404667E-2</v>
      </c>
    </row>
    <row r="762" spans="106:108" x14ac:dyDescent="0.3">
      <c r="DB762" s="2" vm="1011">
        <f ca="1">IF(Returns!A766&lt;&gt;0,Returns!A766,"")</f>
        <v>45530</v>
      </c>
      <c r="DC762" s="11">
        <f ca="1">IF(Returns!B777&gt;0,Returns!B777/Returns!B776-1,"")</f>
        <v>-2.6755692189451397E-2</v>
      </c>
      <c r="DD762" s="11">
        <f ca="1">IF(Returns!D769&gt;0,Returns!D769/Returns!D768-1,"")</f>
        <v>1.6175860237939155E-2</v>
      </c>
    </row>
    <row r="763" spans="106:108" x14ac:dyDescent="0.3">
      <c r="DB763" s="2" vm="1012">
        <f ca="1">IF(Returns!A767&lt;&gt;0,Returns!A767,"")</f>
        <v>45538</v>
      </c>
      <c r="DC763" s="11">
        <f ca="1">IF(Returns!B778&gt;0,Returns!B778/Returns!B777-1,"")</f>
        <v>-2.7096392083312826E-2</v>
      </c>
      <c r="DD763" s="11">
        <f ca="1">IF(Returns!D770&gt;0,Returns!D770/Returns!D769-1,"")</f>
        <v>5.9348563690584388E-3</v>
      </c>
    </row>
    <row r="764" spans="106:108" x14ac:dyDescent="0.3">
      <c r="DB764" s="2" vm="1013">
        <f ca="1">IF(Returns!A768&lt;&gt;0,Returns!A768,"")</f>
        <v>45544</v>
      </c>
      <c r="DC764" s="11">
        <f ca="1">IF(Returns!B779&gt;0,Returns!B779/Returns!B778-1,"")</f>
        <v>5.4636769480519431E-2</v>
      </c>
      <c r="DD764" s="11">
        <f ca="1">IF(Returns!D771&gt;0,Returns!D771/Returns!D770-1,"")</f>
        <v>9.3942759908305362E-4</v>
      </c>
    </row>
    <row r="765" spans="106:108" x14ac:dyDescent="0.3">
      <c r="DB765" s="2" vm="1014">
        <f ca="1">IF(Returns!A769&lt;&gt;0,Returns!A769,"")</f>
        <v>45551</v>
      </c>
      <c r="DC765" s="11">
        <f ca="1">IF(Returns!B780&gt;0,Returns!B780/Returns!B779-1,"")</f>
        <v>9.2067920534898429E-2</v>
      </c>
      <c r="DD765" s="11">
        <f ca="1">IF(Returns!D772&gt;0,Returns!D772/Returns!D771-1,"")</f>
        <v>1.2067929473292827E-2</v>
      </c>
    </row>
    <row r="766" spans="106:108" x14ac:dyDescent="0.3">
      <c r="DB766" s="2" vm="1015">
        <f ca="1">IF(Returns!A770&lt;&gt;0,Returns!A770,"")</f>
        <v>45558</v>
      </c>
      <c r="DC766" s="11">
        <f ca="1">IF(Returns!B781&gt;0,Returns!B781/Returns!B780-1,"")</f>
        <v>1.8940228163679684E-3</v>
      </c>
      <c r="DD766" s="11">
        <f ca="1">IF(Returns!D773&gt;0,Returns!D773/Returns!D772-1,"")</f>
        <v>9.6129933235131748E-3</v>
      </c>
    </row>
    <row r="767" spans="106:108" x14ac:dyDescent="0.3">
      <c r="DB767" s="2" vm="1016">
        <f ca="1">IF(Returns!A771&lt;&gt;0,Returns!A771,"")</f>
        <v>45565</v>
      </c>
      <c r="DC767" s="11">
        <f ca="1">IF(Returns!B782&gt;0,Returns!B782/Returns!B781-1,"")</f>
        <v>-1.11667985579883E-2</v>
      </c>
      <c r="DD767" s="11">
        <f ca="1">IF(Returns!D774&gt;0,Returns!D774/Returns!D773-1,"")</f>
        <v>-2.6839643579996353E-2</v>
      </c>
    </row>
    <row r="768" spans="106:108" x14ac:dyDescent="0.3">
      <c r="DB768" s="2" vm="1017">
        <f ca="1">IF(Returns!A772&lt;&gt;0,Returns!A772,"")</f>
        <v>45572</v>
      </c>
      <c r="DC768" s="11">
        <f ca="1">IF(Returns!B783&gt;0,Returns!B783/Returns!B782-1,"")</f>
        <v>-5.2018495465053771E-3</v>
      </c>
      <c r="DD768" s="11">
        <f ca="1">IF(Returns!D775&gt;0,Returns!D775/Returns!D774-1,"")</f>
        <v>-1.4771669547708477E-3</v>
      </c>
    </row>
    <row r="769" spans="106:108" x14ac:dyDescent="0.3">
      <c r="DB769" s="2" vm="1018">
        <f ca="1">IF(Returns!A773&lt;&gt;0,Returns!A773,"")</f>
        <v>45579</v>
      </c>
      <c r="DC769" s="11">
        <f ca="1">IF(Returns!B784&gt;0,Returns!B784/Returns!B783-1,"")</f>
        <v>1.9664804469272656E-3</v>
      </c>
      <c r="DD769" s="11">
        <f ca="1">IF(Returns!D776&gt;0,Returns!D776/Returns!D775-1,"")</f>
        <v>4.6057054341283932E-2</v>
      </c>
    </row>
    <row r="770" spans="106:108" x14ac:dyDescent="0.3">
      <c r="DB770" s="2" vm="1019">
        <f ca="1">IF(Returns!A774&lt;&gt;0,Returns!A774,"")</f>
        <v>45586</v>
      </c>
      <c r="DC770" s="11">
        <f ca="1">IF(Returns!B785&gt;0,Returns!B785/Returns!B784-1,"")</f>
        <v>-2.3417636825906585E-2</v>
      </c>
      <c r="DD770" s="11">
        <f ca="1">IF(Returns!D777&gt;0,Returns!D777/Returns!D776-1,"")</f>
        <v>-1.2366730856971264E-2</v>
      </c>
    </row>
    <row r="771" spans="106:108" x14ac:dyDescent="0.3">
      <c r="DB771" s="2" vm="1020">
        <f ca="1">IF(Returns!A775&lt;&gt;0,Returns!A775,"")</f>
        <v>45593</v>
      </c>
      <c r="DC771" s="11">
        <f ca="1">IF(Returns!B786&gt;0,Returns!B786/Returns!B785-1,"")</f>
        <v>3.1972229834657862E-2</v>
      </c>
      <c r="DD771" s="11">
        <f ca="1">IF(Returns!D778&gt;0,Returns!D778/Returns!D777-1,"")</f>
        <v>1.9599958476224755E-2</v>
      </c>
    </row>
    <row r="772" spans="106:108" x14ac:dyDescent="0.3">
      <c r="DB772" s="2" vm="1021">
        <f ca="1">IF(Returns!A776&lt;&gt;0,Returns!A776,"")</f>
        <v>45600</v>
      </c>
      <c r="DC772" s="11">
        <f ca="1">IF(Returns!B787&gt;0,Returns!B787/Returns!B786-1,"")</f>
        <v>3.9435248296007863E-2</v>
      </c>
      <c r="DD772" s="11">
        <f ca="1">IF(Returns!D779&gt;0,Returns!D779/Returns!D778-1,"")</f>
        <v>1.3864297661373204E-2</v>
      </c>
    </row>
    <row r="773" spans="106:108" x14ac:dyDescent="0.3">
      <c r="DB773" s="2" vm="1022">
        <f ca="1">IF(Returns!A777&lt;&gt;0,Returns!A777,"")</f>
        <v>45607</v>
      </c>
      <c r="DC773" s="11">
        <f ca="1">IF(Returns!B788&gt;0,Returns!B788/Returns!B787-1,"")</f>
        <v>1.2050244837130242E-2</v>
      </c>
      <c r="DD773" s="11">
        <f ca="1">IF(Returns!D780&gt;0,Returns!D780/Returns!D779-1,"")</f>
        <v>-5.9702988044039174E-3</v>
      </c>
    </row>
    <row r="774" spans="106:108" x14ac:dyDescent="0.3">
      <c r="DB774" s="2" vm="1023">
        <f ca="1">IF(Returns!A778&lt;&gt;0,Returns!A778,"")</f>
        <v>45614</v>
      </c>
      <c r="DC774" s="11">
        <f ca="1">IF(Returns!B789&gt;0,Returns!B789/Returns!B788-1,"")</f>
        <v>-3.5888589700437512E-2</v>
      </c>
      <c r="DD774" s="11">
        <f ca="1">IF(Returns!D781&gt;0,Returns!D781/Returns!D780-1,"")</f>
        <v>-1.8244041779003517E-2</v>
      </c>
    </row>
    <row r="775" spans="106:108" x14ac:dyDescent="0.3">
      <c r="DB775" s="2" vm="1024">
        <f ca="1">IF(Returns!A779&lt;&gt;0,Returns!A779,"")</f>
        <v>45621</v>
      </c>
      <c r="DC775" s="11">
        <f ca="1">IF(Returns!B790&gt;0,Returns!B790/Returns!B789-1,"")</f>
        <v>-2.0510582587824899E-3</v>
      </c>
      <c r="DD775" s="11">
        <f ca="1">IF(Returns!D782&gt;0,Returns!D782/Returns!D781-1,"")</f>
        <v>-2.2538072641134388E-2</v>
      </c>
    </row>
    <row r="776" spans="106:108" x14ac:dyDescent="0.3">
      <c r="DB776" s="2" vm="1025">
        <f ca="1">IF(Returns!A780&lt;&gt;0,Returns!A780,"")</f>
        <v>45628</v>
      </c>
      <c r="DC776" s="11">
        <f ca="1">IF(Returns!B791&gt;0,Returns!B791/Returns!B790-1,"")</f>
        <v>-5.2912366625852747E-2</v>
      </c>
      <c r="DD776" s="11">
        <f ca="1">IF(Returns!D783&gt;0,Returns!D783/Returns!D782-1,"")</f>
        <v>3.5468972410530597E-3</v>
      </c>
    </row>
    <row r="777" spans="106:108" x14ac:dyDescent="0.3">
      <c r="DB777" s="2" vm="1026">
        <f ca="1">IF(Returns!A781&lt;&gt;0,Returns!A781,"")</f>
        <v>45635</v>
      </c>
      <c r="DC777" s="11">
        <f ca="1">IF(Returns!B792&gt;0,Returns!B792/Returns!B791-1,"")</f>
        <v>-1.9854095484347689E-2</v>
      </c>
      <c r="DD777" s="11">
        <f ca="1">IF(Returns!D784&gt;0,Returns!D784/Returns!D783-1,"")</f>
        <v>-6.0494680315341665E-3</v>
      </c>
    </row>
    <row r="778" spans="106:108" x14ac:dyDescent="0.3">
      <c r="DB778" s="2" vm="1027">
        <f ca="1">IF(Returns!A782&lt;&gt;0,Returns!A782,"")</f>
        <v>45642</v>
      </c>
      <c r="DC778" s="51">
        <f ca="1">IF(Returns!B793&gt;0,Returns!B793/Returns!B792-1,"")</f>
        <v>-3.9947239495006559E-2</v>
      </c>
      <c r="DD778" s="11">
        <f ca="1">IF(Returns!D785&gt;0,Returns!D785/Returns!D784-1,"")</f>
        <v>-1.8573377924292589E-2</v>
      </c>
    </row>
    <row r="779" spans="106:108" x14ac:dyDescent="0.3">
      <c r="DB779" s="2" vm="1028">
        <f ca="1">IF(Returns!A783&lt;&gt;0,Returns!A783,"")</f>
        <v>45649</v>
      </c>
      <c r="DC779" s="51" t="str">
        <f>IF(Returns!B794&gt;0,Returns!B794/Returns!B793-1,"")</f>
        <v/>
      </c>
      <c r="DD779" s="11">
        <f ca="1">IF(Returns!D786&gt;0,Returns!D786/Returns!D785-1,"")</f>
        <v>3.6944140758659483E-2</v>
      </c>
    </row>
    <row r="780" spans="106:108" x14ac:dyDescent="0.3">
      <c r="DB780" s="2" vm="1029">
        <f ca="1">IF(Returns!A784&lt;&gt;0,Returns!A784,"")</f>
        <v>45656</v>
      </c>
      <c r="DC780" s="51" t="str">
        <f>IF(Returns!B795&gt;0,Returns!B795/Returns!B794-1,"")</f>
        <v/>
      </c>
      <c r="DD780" s="11">
        <f ca="1">IF(Returns!D787&gt;0,Returns!D787/Returns!D786-1,"")</f>
        <v>2.1532920819456791E-2</v>
      </c>
    </row>
    <row r="781" spans="106:108" x14ac:dyDescent="0.3">
      <c r="DB781" s="2" vm="1030">
        <f ca="1">IF(Returns!A785&lt;&gt;0,Returns!A785,"")</f>
        <v>45663</v>
      </c>
      <c r="DC781" s="51" t="str">
        <f>IF(Returns!B796&gt;0,Returns!B796/Returns!B795-1,"")</f>
        <v/>
      </c>
      <c r="DD781" s="11">
        <f ca="1">IF(Returns!D788&gt;0,Returns!D788/Returns!D787-1,"")</f>
        <v>2.7104565637012801E-3</v>
      </c>
    </row>
    <row r="782" spans="106:108" x14ac:dyDescent="0.3">
      <c r="DB782" s="2" vm="1031">
        <f ca="1">IF(Returns!A786&lt;&gt;0,Returns!A786,"")</f>
        <v>45670</v>
      </c>
      <c r="DC782" s="51" t="str">
        <f>IF(Returns!B797&gt;0,Returns!B797/Returns!B796-1,"")</f>
        <v/>
      </c>
      <c r="DD782" s="11">
        <f ca="1">IF(Returns!D789&gt;0,Returns!D789/Returns!D788-1,"")</f>
        <v>-5.4161374225328851E-3</v>
      </c>
    </row>
    <row r="783" spans="106:108" x14ac:dyDescent="0.3">
      <c r="DB783" s="2" vm="1032">
        <f ca="1">IF(Returns!A787&lt;&gt;0,Returns!A787,"")</f>
        <v>45678</v>
      </c>
      <c r="DC783" s="51" t="str">
        <f>IF(Returns!B798&gt;0,Returns!B798/Returns!B797-1,"")</f>
        <v/>
      </c>
      <c r="DD783" s="11">
        <f ca="1">IF(Returns!D790&gt;0,Returns!D790/Returns!D789-1,"")</f>
        <v>5.4776834283598586E-3</v>
      </c>
    </row>
    <row r="784" spans="106:108" x14ac:dyDescent="0.3">
      <c r="DB784" s="2" vm="1033">
        <f ca="1">IF(Returns!A788&lt;&gt;0,Returns!A788,"")</f>
        <v>45684</v>
      </c>
      <c r="DC784" s="51" t="str">
        <f>IF(Returns!B799&gt;0,Returns!B799/Returns!B798-1,"")</f>
        <v/>
      </c>
      <c r="DD784" s="11">
        <f ca="1">IF(Returns!D791&gt;0,Returns!D791/Returns!D790-1,"")</f>
        <v>-2.509895371265003E-2</v>
      </c>
    </row>
    <row r="785" spans="107:107" x14ac:dyDescent="0.3">
      <c r="DC785" s="11" t="str">
        <f>IF(Returns!B800&gt;0,Returns!B800/Returns!B799-1,"")</f>
        <v/>
      </c>
    </row>
  </sheetData>
  <mergeCells count="2">
    <mergeCell ref="C1:D1"/>
    <mergeCell ref="DF22:DI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5B132-5BA0-4FEB-A6AD-78827F1F2B02}">
  <sheetPr codeName="Sheet1">
    <tabColor theme="4" tint="0.59999389629810485"/>
  </sheetPr>
  <dimension ref="A1:N508"/>
  <sheetViews>
    <sheetView showRowColHeaders="0" workbookViewId="0">
      <selection activeCell="B4" sqref="B4"/>
    </sheetView>
  </sheetViews>
  <sheetFormatPr defaultColWidth="9.109375" defaultRowHeight="14.4" x14ac:dyDescent="0.3"/>
  <cols>
    <col min="1" max="1" width="45.44140625" style="2" bestFit="1" customWidth="1"/>
    <col min="2" max="2" width="32" style="2" customWidth="1"/>
    <col min="3" max="4" width="9.109375" style="2"/>
    <col min="5" max="5" width="40.6640625" style="2" bestFit="1" customWidth="1"/>
    <col min="6" max="6" width="9.109375" style="2"/>
    <col min="7" max="7" width="26.109375" style="2" customWidth="1"/>
    <col min="8" max="8" width="9.109375" style="2"/>
    <col min="9" max="9" width="47.109375" style="2" bestFit="1" customWidth="1"/>
    <col min="10" max="10" width="9.109375" style="2"/>
    <col min="11" max="11" width="21.6640625" style="2" customWidth="1"/>
    <col min="12" max="12" width="28.77734375" style="2" customWidth="1"/>
    <col min="13" max="13" width="4" style="37" customWidth="1"/>
    <col min="14" max="16384" width="9.109375" style="2"/>
  </cols>
  <sheetData>
    <row r="1" spans="1:14" ht="30.6" customHeight="1" x14ac:dyDescent="0.5">
      <c r="A1" s="21" t="s">
        <v>1331</v>
      </c>
      <c r="B1" s="72" t="s">
        <v>1343</v>
      </c>
      <c r="C1" s="72"/>
    </row>
    <row r="3" spans="1:14" x14ac:dyDescent="0.3">
      <c r="A3" s="46" t="s">
        <v>1330</v>
      </c>
      <c r="B3" s="2" t="s">
        <v>1345</v>
      </c>
      <c r="C3" s="8"/>
    </row>
    <row r="4" spans="1:14" ht="23.4" customHeight="1" x14ac:dyDescent="0.3">
      <c r="A4" s="46" t="s">
        <v>1342</v>
      </c>
      <c r="B4" s="8"/>
    </row>
    <row r="5" spans="1:14" x14ac:dyDescent="0.3">
      <c r="A5" s="16" t="s">
        <v>218</v>
      </c>
      <c r="B5" s="38"/>
      <c r="E5" s="7" t="s">
        <v>219</v>
      </c>
      <c r="I5" s="7" t="s">
        <v>1232</v>
      </c>
      <c r="L5" s="7" t="s">
        <v>1332</v>
      </c>
    </row>
    <row r="6" spans="1:14" x14ac:dyDescent="0.3">
      <c r="A6" s="2" t="s">
        <v>21</v>
      </c>
      <c r="B6" s="45" t="s">
        <v>20</v>
      </c>
      <c r="E6" s="2" t="s">
        <v>664</v>
      </c>
      <c r="F6" s="45" t="s">
        <v>665</v>
      </c>
      <c r="I6" s="2" t="s">
        <v>1251</v>
      </c>
      <c r="J6" s="45" t="s">
        <v>1276</v>
      </c>
      <c r="L6" s="2" t="s">
        <v>1311</v>
      </c>
      <c r="M6" s="37" t="s">
        <v>1320</v>
      </c>
      <c r="N6" s="10" t="s">
        <v>1324</v>
      </c>
    </row>
    <row r="7" spans="1:14" x14ac:dyDescent="0.3">
      <c r="A7" s="2" t="s">
        <v>117</v>
      </c>
      <c r="B7" s="45" t="s">
        <v>116</v>
      </c>
      <c r="E7" s="2" t="s">
        <v>220</v>
      </c>
      <c r="F7" s="45" t="s">
        <v>221</v>
      </c>
      <c r="I7" s="2" t="s">
        <v>1248</v>
      </c>
      <c r="J7" s="45" t="s">
        <v>1273</v>
      </c>
      <c r="L7" s="2" t="s">
        <v>1312</v>
      </c>
      <c r="M7" s="37" t="s">
        <v>1319</v>
      </c>
      <c r="N7" s="10" t="s">
        <v>1325</v>
      </c>
    </row>
    <row r="8" spans="1:14" x14ac:dyDescent="0.3">
      <c r="A8" s="2" t="s">
        <v>179</v>
      </c>
      <c r="B8" s="45" t="s">
        <v>178</v>
      </c>
      <c r="E8" s="2" t="s">
        <v>268</v>
      </c>
      <c r="F8" s="45" t="s">
        <v>269</v>
      </c>
      <c r="I8" s="2" t="s">
        <v>1250</v>
      </c>
      <c r="J8" s="45" t="s">
        <v>1275</v>
      </c>
      <c r="L8" s="2" t="s">
        <v>1315</v>
      </c>
      <c r="M8" s="37" t="s">
        <v>1316</v>
      </c>
      <c r="N8" s="10" t="s">
        <v>1326</v>
      </c>
    </row>
    <row r="9" spans="1:14" x14ac:dyDescent="0.3">
      <c r="A9" s="2" t="s">
        <v>17</v>
      </c>
      <c r="B9" s="45" t="s">
        <v>16</v>
      </c>
      <c r="E9" s="2" t="s">
        <v>540</v>
      </c>
      <c r="F9" s="45" t="s">
        <v>541</v>
      </c>
      <c r="I9" s="2" t="s">
        <v>1234</v>
      </c>
      <c r="J9" s="45" t="s">
        <v>1259</v>
      </c>
      <c r="L9" s="2" t="s">
        <v>1313</v>
      </c>
      <c r="M9" s="37" t="s">
        <v>1318</v>
      </c>
      <c r="N9" s="10" t="s">
        <v>1327</v>
      </c>
    </row>
    <row r="10" spans="1:14" x14ac:dyDescent="0.3">
      <c r="A10" s="2" t="s">
        <v>55</v>
      </c>
      <c r="B10" s="45" t="s">
        <v>54</v>
      </c>
      <c r="E10" s="2" t="s">
        <v>302</v>
      </c>
      <c r="F10" s="45" t="s">
        <v>303</v>
      </c>
      <c r="I10" s="2" t="s">
        <v>1255</v>
      </c>
      <c r="J10" s="45" t="s">
        <v>1280</v>
      </c>
      <c r="L10" s="2" t="s">
        <v>1314</v>
      </c>
      <c r="M10" s="37" t="s">
        <v>1317</v>
      </c>
      <c r="N10" s="10" t="s">
        <v>1328</v>
      </c>
    </row>
    <row r="11" spans="1:14" x14ac:dyDescent="0.3">
      <c r="A11" s="2" t="s">
        <v>127</v>
      </c>
      <c r="B11" s="45" t="s">
        <v>126</v>
      </c>
      <c r="E11" s="2" t="s">
        <v>724</v>
      </c>
      <c r="F11" s="45" t="s">
        <v>725</v>
      </c>
      <c r="I11" s="2" t="s">
        <v>1239</v>
      </c>
      <c r="J11" s="45" t="s">
        <v>1264</v>
      </c>
    </row>
    <row r="12" spans="1:14" x14ac:dyDescent="0.3">
      <c r="A12" s="2" t="s">
        <v>147</v>
      </c>
      <c r="B12" s="45" t="s">
        <v>146</v>
      </c>
      <c r="E12" s="2" t="s">
        <v>286</v>
      </c>
      <c r="F12" s="45" t="s">
        <v>287</v>
      </c>
      <c r="I12" s="2" t="s">
        <v>1237</v>
      </c>
      <c r="J12" s="45" t="s">
        <v>1262</v>
      </c>
    </row>
    <row r="13" spans="1:14" x14ac:dyDescent="0.3">
      <c r="A13" s="2" t="s">
        <v>123</v>
      </c>
      <c r="B13" s="45" t="s">
        <v>122</v>
      </c>
      <c r="E13" s="2" t="s">
        <v>276</v>
      </c>
      <c r="F13" s="45" t="s">
        <v>277</v>
      </c>
      <c r="I13" s="2" t="s">
        <v>1249</v>
      </c>
      <c r="J13" s="45" t="s">
        <v>1274</v>
      </c>
    </row>
    <row r="14" spans="1:14" x14ac:dyDescent="0.3">
      <c r="A14" s="2" t="s">
        <v>139</v>
      </c>
      <c r="B14" s="45" t="s">
        <v>138</v>
      </c>
      <c r="E14" s="2" t="s">
        <v>400</v>
      </c>
      <c r="F14" s="45" t="s">
        <v>401</v>
      </c>
      <c r="I14" s="2" t="s">
        <v>1254</v>
      </c>
      <c r="J14" s="45" t="s">
        <v>1279</v>
      </c>
    </row>
    <row r="15" spans="1:14" x14ac:dyDescent="0.3">
      <c r="A15" s="2" t="s">
        <v>93</v>
      </c>
      <c r="B15" s="45" t="s">
        <v>92</v>
      </c>
      <c r="E15" s="2" t="s">
        <v>856</v>
      </c>
      <c r="F15" s="45" t="s">
        <v>857</v>
      </c>
      <c r="I15" s="2" t="s">
        <v>1240</v>
      </c>
      <c r="J15" s="45" t="s">
        <v>1265</v>
      </c>
    </row>
    <row r="16" spans="1:14" x14ac:dyDescent="0.3">
      <c r="A16" s="2" t="s">
        <v>183</v>
      </c>
      <c r="B16" s="45" t="s">
        <v>182</v>
      </c>
      <c r="E16" s="2" t="s">
        <v>378</v>
      </c>
      <c r="F16" s="45" t="s">
        <v>379</v>
      </c>
      <c r="I16" s="2" t="s">
        <v>1245</v>
      </c>
      <c r="J16" s="45" t="s">
        <v>1271</v>
      </c>
    </row>
    <row r="17" spans="1:10" x14ac:dyDescent="0.3">
      <c r="A17" s="2" t="s">
        <v>65</v>
      </c>
      <c r="B17" s="45" t="s">
        <v>64</v>
      </c>
      <c r="E17" s="2" t="s">
        <v>512</v>
      </c>
      <c r="F17" s="45" t="s">
        <v>513</v>
      </c>
      <c r="I17" s="2" t="s">
        <v>1246</v>
      </c>
      <c r="J17" s="45" t="s">
        <v>1270</v>
      </c>
    </row>
    <row r="18" spans="1:10" x14ac:dyDescent="0.3">
      <c r="A18" s="2" t="s">
        <v>197</v>
      </c>
      <c r="B18" s="45" t="s">
        <v>196</v>
      </c>
      <c r="E18" s="2" t="s">
        <v>880</v>
      </c>
      <c r="F18" s="45" t="s">
        <v>881</v>
      </c>
      <c r="I18" s="2" t="s">
        <v>1241</v>
      </c>
      <c r="J18" s="45" t="s">
        <v>1266</v>
      </c>
    </row>
    <row r="19" spans="1:10" x14ac:dyDescent="0.3">
      <c r="A19" s="2" t="s">
        <v>187</v>
      </c>
      <c r="B19" s="45" t="s">
        <v>186</v>
      </c>
      <c r="E19" s="2" t="s">
        <v>602</v>
      </c>
      <c r="F19" s="45" t="s">
        <v>603</v>
      </c>
      <c r="I19" s="2" t="s">
        <v>1253</v>
      </c>
      <c r="J19" s="45" t="s">
        <v>1278</v>
      </c>
    </row>
    <row r="20" spans="1:10" x14ac:dyDescent="0.3">
      <c r="A20" s="2" t="s">
        <v>43</v>
      </c>
      <c r="B20" s="45" t="s">
        <v>42</v>
      </c>
      <c r="E20" s="2" t="s">
        <v>1164</v>
      </c>
      <c r="F20" s="45" t="s">
        <v>1165</v>
      </c>
      <c r="I20" s="2" t="s">
        <v>1235</v>
      </c>
      <c r="J20" s="45" t="s">
        <v>1260</v>
      </c>
    </row>
    <row r="21" spans="1:10" x14ac:dyDescent="0.3">
      <c r="A21" s="2" t="s">
        <v>141</v>
      </c>
      <c r="B21" s="45" t="s">
        <v>140</v>
      </c>
      <c r="E21" s="2" t="s">
        <v>582</v>
      </c>
      <c r="F21" s="45" t="s">
        <v>583</v>
      </c>
      <c r="I21" s="2" t="s">
        <v>1243</v>
      </c>
      <c r="J21" s="45" t="s">
        <v>1268</v>
      </c>
    </row>
    <row r="22" spans="1:10" x14ac:dyDescent="0.3">
      <c r="A22" s="2" t="s">
        <v>121</v>
      </c>
      <c r="B22" s="45" t="s">
        <v>120</v>
      </c>
      <c r="E22" s="2" t="s">
        <v>612</v>
      </c>
      <c r="F22" s="45" t="s">
        <v>613</v>
      </c>
      <c r="I22" s="2" t="s">
        <v>1257</v>
      </c>
      <c r="J22" s="45" t="s">
        <v>1282</v>
      </c>
    </row>
    <row r="23" spans="1:10" x14ac:dyDescent="0.3">
      <c r="A23" s="2" t="s">
        <v>73</v>
      </c>
      <c r="B23" s="45" t="s">
        <v>72</v>
      </c>
      <c r="E23" s="2" t="s">
        <v>1138</v>
      </c>
      <c r="F23" s="45" t="s">
        <v>1139</v>
      </c>
      <c r="I23" s="2" t="s">
        <v>1238</v>
      </c>
      <c r="J23" s="45" t="s">
        <v>1263</v>
      </c>
    </row>
    <row r="24" spans="1:10" x14ac:dyDescent="0.3">
      <c r="A24" s="2" t="s">
        <v>131</v>
      </c>
      <c r="B24" s="45" t="s">
        <v>130</v>
      </c>
      <c r="E24" s="2" t="s">
        <v>532</v>
      </c>
      <c r="F24" s="45" t="s">
        <v>533</v>
      </c>
      <c r="I24" s="2" t="s">
        <v>1244</v>
      </c>
      <c r="J24" s="45" t="s">
        <v>1269</v>
      </c>
    </row>
    <row r="25" spans="1:10" x14ac:dyDescent="0.3">
      <c r="A25" s="2" t="s">
        <v>19</v>
      </c>
      <c r="B25" s="45" t="s">
        <v>18</v>
      </c>
      <c r="E25" s="2" t="s">
        <v>1060</v>
      </c>
      <c r="F25" s="45" t="s">
        <v>1061</v>
      </c>
      <c r="I25" s="2" t="s">
        <v>1256</v>
      </c>
      <c r="J25" s="45" t="s">
        <v>1281</v>
      </c>
    </row>
    <row r="26" spans="1:10" x14ac:dyDescent="0.3">
      <c r="A26" s="2" t="s">
        <v>37</v>
      </c>
      <c r="B26" s="45" t="s">
        <v>36</v>
      </c>
      <c r="E26" s="2" t="s">
        <v>1112</v>
      </c>
      <c r="F26" s="45" t="s">
        <v>1113</v>
      </c>
      <c r="I26" s="2" t="s">
        <v>1247</v>
      </c>
      <c r="J26" s="45" t="s">
        <v>1272</v>
      </c>
    </row>
    <row r="27" spans="1:10" x14ac:dyDescent="0.3">
      <c r="A27" s="2" t="s">
        <v>181</v>
      </c>
      <c r="B27" s="45" t="s">
        <v>180</v>
      </c>
      <c r="E27" s="2" t="s">
        <v>1026</v>
      </c>
      <c r="F27" s="45" t="s">
        <v>1027</v>
      </c>
      <c r="I27" s="2" t="s">
        <v>1252</v>
      </c>
      <c r="J27" s="45" t="s">
        <v>1277</v>
      </c>
    </row>
    <row r="28" spans="1:10" x14ac:dyDescent="0.3">
      <c r="A28" s="2" t="s">
        <v>25</v>
      </c>
      <c r="B28" s="45" t="s">
        <v>24</v>
      </c>
      <c r="E28" s="2" t="s">
        <v>594</v>
      </c>
      <c r="F28" s="45" t="s">
        <v>595</v>
      </c>
      <c r="I28" s="2" t="s">
        <v>1242</v>
      </c>
      <c r="J28" s="45" t="s">
        <v>1267</v>
      </c>
    </row>
    <row r="29" spans="1:10" x14ac:dyDescent="0.3">
      <c r="A29" s="2" t="s">
        <v>27</v>
      </c>
      <c r="B29" s="45" t="s">
        <v>26</v>
      </c>
      <c r="E29" s="2" t="s">
        <v>1110</v>
      </c>
      <c r="F29" s="45" t="s">
        <v>1111</v>
      </c>
      <c r="I29" s="2" t="s">
        <v>1233</v>
      </c>
      <c r="J29" s="45" t="s">
        <v>1258</v>
      </c>
    </row>
    <row r="30" spans="1:10" x14ac:dyDescent="0.3">
      <c r="A30" s="2" t="s">
        <v>53</v>
      </c>
      <c r="B30" s="45" t="s">
        <v>52</v>
      </c>
      <c r="E30" s="2" t="s">
        <v>360</v>
      </c>
      <c r="F30" s="45" t="s">
        <v>361</v>
      </c>
      <c r="I30" s="2" t="s">
        <v>1236</v>
      </c>
      <c r="J30" s="45" t="s">
        <v>1261</v>
      </c>
    </row>
    <row r="31" spans="1:10" x14ac:dyDescent="0.3">
      <c r="A31" s="2" t="s">
        <v>135</v>
      </c>
      <c r="B31" s="45" t="s">
        <v>134</v>
      </c>
      <c r="E31" s="2" t="s">
        <v>1070</v>
      </c>
      <c r="F31" s="45" t="s">
        <v>1071</v>
      </c>
    </row>
    <row r="32" spans="1:10" x14ac:dyDescent="0.3">
      <c r="A32" s="2" t="s">
        <v>171</v>
      </c>
      <c r="B32" s="45" t="s">
        <v>170</v>
      </c>
      <c r="E32" s="2" t="s">
        <v>296</v>
      </c>
      <c r="F32" s="45" t="s">
        <v>297</v>
      </c>
    </row>
    <row r="33" spans="1:6" x14ac:dyDescent="0.3">
      <c r="A33" s="2" t="s">
        <v>193</v>
      </c>
      <c r="B33" s="45" t="s">
        <v>192</v>
      </c>
      <c r="E33" s="2" t="s">
        <v>640</v>
      </c>
      <c r="F33" s="45" t="s">
        <v>641</v>
      </c>
    </row>
    <row r="34" spans="1:6" x14ac:dyDescent="0.3">
      <c r="A34" s="2" t="s">
        <v>107</v>
      </c>
      <c r="B34" s="45" t="s">
        <v>106</v>
      </c>
      <c r="E34" s="2" t="s">
        <v>346</v>
      </c>
      <c r="F34" s="45" t="s">
        <v>347</v>
      </c>
    </row>
    <row r="35" spans="1:6" x14ac:dyDescent="0.3">
      <c r="A35" s="2" t="s">
        <v>8</v>
      </c>
      <c r="B35" s="45" t="s">
        <v>2</v>
      </c>
      <c r="E35" s="2" t="s">
        <v>576</v>
      </c>
      <c r="F35" s="45" t="s">
        <v>577</v>
      </c>
    </row>
    <row r="36" spans="1:6" x14ac:dyDescent="0.3">
      <c r="A36" s="2" t="s">
        <v>61</v>
      </c>
      <c r="B36" s="45" t="s">
        <v>60</v>
      </c>
      <c r="E36" s="2" t="s">
        <v>424</v>
      </c>
      <c r="F36" s="45" t="s">
        <v>425</v>
      </c>
    </row>
    <row r="37" spans="1:6" x14ac:dyDescent="0.3">
      <c r="A37" s="2" t="s">
        <v>89</v>
      </c>
      <c r="B37" s="45" t="s">
        <v>88</v>
      </c>
      <c r="E37" s="2" t="s">
        <v>1224</v>
      </c>
      <c r="F37" s="45" t="s">
        <v>1225</v>
      </c>
    </row>
    <row r="38" spans="1:6" x14ac:dyDescent="0.3">
      <c r="A38" s="2" t="s">
        <v>57</v>
      </c>
      <c r="B38" s="45" t="s">
        <v>56</v>
      </c>
      <c r="E38" s="2" t="s">
        <v>226</v>
      </c>
      <c r="F38" s="45" t="s">
        <v>227</v>
      </c>
    </row>
    <row r="39" spans="1:6" x14ac:dyDescent="0.3">
      <c r="A39" s="2" t="s">
        <v>23</v>
      </c>
      <c r="B39" s="45" t="s">
        <v>22</v>
      </c>
      <c r="E39" s="2" t="s">
        <v>398</v>
      </c>
      <c r="F39" s="45" t="s">
        <v>399</v>
      </c>
    </row>
    <row r="40" spans="1:6" x14ac:dyDescent="0.3">
      <c r="A40" s="2" t="s">
        <v>35</v>
      </c>
      <c r="B40" s="45" t="s">
        <v>34</v>
      </c>
      <c r="E40" s="2" t="s">
        <v>794</v>
      </c>
      <c r="F40" s="45" t="s">
        <v>795</v>
      </c>
    </row>
    <row r="41" spans="1:6" x14ac:dyDescent="0.3">
      <c r="A41" s="2" t="s">
        <v>85</v>
      </c>
      <c r="B41" s="45" t="s">
        <v>84</v>
      </c>
      <c r="E41" s="2" t="s">
        <v>472</v>
      </c>
      <c r="F41" s="45" t="s">
        <v>473</v>
      </c>
    </row>
    <row r="42" spans="1:6" x14ac:dyDescent="0.3">
      <c r="A42" s="2" t="s">
        <v>95</v>
      </c>
      <c r="B42" s="45" t="s">
        <v>94</v>
      </c>
      <c r="E42" s="2" t="s">
        <v>1176</v>
      </c>
      <c r="F42" s="45" t="s">
        <v>1177</v>
      </c>
    </row>
    <row r="43" spans="1:6" x14ac:dyDescent="0.3">
      <c r="A43" s="2" t="s">
        <v>195</v>
      </c>
      <c r="B43" s="45" t="s">
        <v>194</v>
      </c>
      <c r="E43" s="2" t="s">
        <v>1192</v>
      </c>
      <c r="F43" s="45" t="s">
        <v>1193</v>
      </c>
    </row>
    <row r="44" spans="1:6" x14ac:dyDescent="0.3">
      <c r="A44" s="2" t="s">
        <v>101</v>
      </c>
      <c r="B44" s="45" t="s">
        <v>100</v>
      </c>
      <c r="E44" s="2" t="s">
        <v>504</v>
      </c>
      <c r="F44" s="45" t="s">
        <v>505</v>
      </c>
    </row>
    <row r="45" spans="1:6" x14ac:dyDescent="0.3">
      <c r="A45" s="2" t="s">
        <v>191</v>
      </c>
      <c r="B45" s="45" t="s">
        <v>190</v>
      </c>
      <c r="E45" s="2" t="s">
        <v>440</v>
      </c>
      <c r="F45" s="45" t="s">
        <v>441</v>
      </c>
    </row>
    <row r="46" spans="1:6" x14ac:dyDescent="0.3">
      <c r="A46" s="2" t="s">
        <v>145</v>
      </c>
      <c r="B46" s="45" t="s">
        <v>144</v>
      </c>
      <c r="E46" s="2" t="s">
        <v>1048</v>
      </c>
      <c r="F46" s="45" t="s">
        <v>1049</v>
      </c>
    </row>
    <row r="47" spans="1:6" x14ac:dyDescent="0.3">
      <c r="A47" s="2" t="s">
        <v>133</v>
      </c>
      <c r="B47" s="45" t="s">
        <v>132</v>
      </c>
      <c r="E47" s="2" t="s">
        <v>1038</v>
      </c>
      <c r="F47" s="45" t="s">
        <v>1039</v>
      </c>
    </row>
    <row r="48" spans="1:6" x14ac:dyDescent="0.3">
      <c r="A48" s="2" t="s">
        <v>109</v>
      </c>
      <c r="B48" s="45" t="s">
        <v>108</v>
      </c>
      <c r="E48" s="2" t="s">
        <v>912</v>
      </c>
      <c r="F48" s="45" t="s">
        <v>913</v>
      </c>
    </row>
    <row r="49" spans="1:6" x14ac:dyDescent="0.3">
      <c r="A49" s="2" t="s">
        <v>151</v>
      </c>
      <c r="B49" s="45" t="s">
        <v>150</v>
      </c>
      <c r="E49" s="2" t="s">
        <v>766</v>
      </c>
      <c r="F49" s="45" t="s">
        <v>767</v>
      </c>
    </row>
    <row r="50" spans="1:6" x14ac:dyDescent="0.3">
      <c r="A50" s="2" t="s">
        <v>155</v>
      </c>
      <c r="B50" s="45" t="s">
        <v>154</v>
      </c>
      <c r="E50" s="2" t="s">
        <v>236</v>
      </c>
      <c r="F50" s="45" t="s">
        <v>237</v>
      </c>
    </row>
    <row r="51" spans="1:6" x14ac:dyDescent="0.3">
      <c r="A51" s="2" t="s">
        <v>81</v>
      </c>
      <c r="B51" s="45" t="s">
        <v>80</v>
      </c>
      <c r="E51" s="2" t="s">
        <v>1042</v>
      </c>
      <c r="F51" s="45" t="s">
        <v>1043</v>
      </c>
    </row>
    <row r="52" spans="1:6" x14ac:dyDescent="0.3">
      <c r="A52" s="2" t="s">
        <v>10</v>
      </c>
      <c r="B52" s="45" t="s">
        <v>4</v>
      </c>
      <c r="E52" s="2" t="s">
        <v>852</v>
      </c>
      <c r="F52" s="45" t="s">
        <v>853</v>
      </c>
    </row>
    <row r="53" spans="1:6" x14ac:dyDescent="0.3">
      <c r="A53" s="2" t="s">
        <v>97</v>
      </c>
      <c r="B53" s="45" t="s">
        <v>96</v>
      </c>
      <c r="E53" s="2" t="s">
        <v>620</v>
      </c>
      <c r="F53" s="45" t="s">
        <v>621</v>
      </c>
    </row>
    <row r="54" spans="1:6" x14ac:dyDescent="0.3">
      <c r="A54" s="2" t="s">
        <v>71</v>
      </c>
      <c r="B54" s="45" t="s">
        <v>70</v>
      </c>
      <c r="E54" s="2" t="s">
        <v>324</v>
      </c>
      <c r="F54" s="45" t="s">
        <v>325</v>
      </c>
    </row>
    <row r="55" spans="1:6" x14ac:dyDescent="0.3">
      <c r="A55" s="2" t="s">
        <v>45</v>
      </c>
      <c r="B55" s="45" t="s">
        <v>44</v>
      </c>
      <c r="E55" s="2" t="s">
        <v>560</v>
      </c>
      <c r="F55" s="45" t="s">
        <v>561</v>
      </c>
    </row>
    <row r="56" spans="1:6" x14ac:dyDescent="0.3">
      <c r="A56" s="2" t="s">
        <v>125</v>
      </c>
      <c r="B56" s="45" t="s">
        <v>124</v>
      </c>
      <c r="E56" s="2" t="s">
        <v>380</v>
      </c>
      <c r="F56" s="45" t="s">
        <v>381</v>
      </c>
    </row>
    <row r="57" spans="1:6" x14ac:dyDescent="0.3">
      <c r="A57" s="2" t="s">
        <v>49</v>
      </c>
      <c r="B57" s="45" t="s">
        <v>48</v>
      </c>
      <c r="E57" s="2" t="s">
        <v>266</v>
      </c>
      <c r="F57" s="45" t="s">
        <v>267</v>
      </c>
    </row>
    <row r="58" spans="1:6" x14ac:dyDescent="0.3">
      <c r="A58" s="2" t="s">
        <v>83</v>
      </c>
      <c r="B58" s="45" t="s">
        <v>82</v>
      </c>
      <c r="E58" s="2" t="s">
        <v>1006</v>
      </c>
      <c r="F58" s="45" t="s">
        <v>1007</v>
      </c>
    </row>
    <row r="59" spans="1:6" x14ac:dyDescent="0.3">
      <c r="A59" s="2" t="s">
        <v>103</v>
      </c>
      <c r="B59" s="45" t="s">
        <v>102</v>
      </c>
      <c r="E59" s="2" t="s">
        <v>1044</v>
      </c>
      <c r="F59" s="45" t="s">
        <v>1045</v>
      </c>
    </row>
    <row r="60" spans="1:6" x14ac:dyDescent="0.3">
      <c r="A60" s="2" t="s">
        <v>69</v>
      </c>
      <c r="B60" s="45" t="s">
        <v>68</v>
      </c>
      <c r="E60" s="2" t="s">
        <v>1016</v>
      </c>
      <c r="F60" s="45" t="s">
        <v>1017</v>
      </c>
    </row>
    <row r="61" spans="1:6" x14ac:dyDescent="0.3">
      <c r="A61" s="2" t="s">
        <v>173</v>
      </c>
      <c r="B61" s="45" t="s">
        <v>172</v>
      </c>
      <c r="E61" s="2" t="s">
        <v>520</v>
      </c>
      <c r="F61" s="45" t="s">
        <v>521</v>
      </c>
    </row>
    <row r="62" spans="1:6" x14ac:dyDescent="0.3">
      <c r="A62" s="2" t="s">
        <v>143</v>
      </c>
      <c r="B62" s="45" t="s">
        <v>142</v>
      </c>
      <c r="E62" s="2" t="s">
        <v>1212</v>
      </c>
      <c r="F62" s="45" t="s">
        <v>1213</v>
      </c>
    </row>
    <row r="63" spans="1:6" x14ac:dyDescent="0.3">
      <c r="A63" s="2" t="s">
        <v>165</v>
      </c>
      <c r="B63" s="45" t="s">
        <v>164</v>
      </c>
      <c r="E63" s="2" t="s">
        <v>1194</v>
      </c>
      <c r="F63" s="45" t="s">
        <v>1195</v>
      </c>
    </row>
    <row r="64" spans="1:6" x14ac:dyDescent="0.3">
      <c r="A64" s="2" t="s">
        <v>163</v>
      </c>
      <c r="B64" s="45" t="s">
        <v>162</v>
      </c>
      <c r="E64" s="2" t="s">
        <v>1122</v>
      </c>
      <c r="F64" s="45" t="s">
        <v>1123</v>
      </c>
    </row>
    <row r="65" spans="1:6" x14ac:dyDescent="0.3">
      <c r="A65" s="2" t="s">
        <v>177</v>
      </c>
      <c r="B65" s="45" t="s">
        <v>176</v>
      </c>
      <c r="E65" s="2" t="s">
        <v>894</v>
      </c>
      <c r="F65" s="45" t="s">
        <v>895</v>
      </c>
    </row>
    <row r="66" spans="1:6" x14ac:dyDescent="0.3">
      <c r="A66" s="2" t="s">
        <v>67</v>
      </c>
      <c r="B66" s="45" t="s">
        <v>66</v>
      </c>
      <c r="E66" s="2" t="s">
        <v>550</v>
      </c>
      <c r="F66" s="45" t="s">
        <v>551</v>
      </c>
    </row>
    <row r="67" spans="1:6" x14ac:dyDescent="0.3">
      <c r="A67" s="2" t="s">
        <v>6</v>
      </c>
      <c r="B67" s="45" t="s">
        <v>0</v>
      </c>
      <c r="E67" s="2" t="s">
        <v>318</v>
      </c>
      <c r="F67" s="45" t="s">
        <v>319</v>
      </c>
    </row>
    <row r="68" spans="1:6" x14ac:dyDescent="0.3">
      <c r="A68" s="2" t="s">
        <v>119</v>
      </c>
      <c r="B68" s="45" t="s">
        <v>118</v>
      </c>
      <c r="E68" s="2" t="s">
        <v>658</v>
      </c>
      <c r="F68" s="45" t="s">
        <v>659</v>
      </c>
    </row>
    <row r="69" spans="1:6" x14ac:dyDescent="0.3">
      <c r="A69" s="2" t="s">
        <v>153</v>
      </c>
      <c r="B69" s="45" t="s">
        <v>152</v>
      </c>
      <c r="E69" s="2" t="s">
        <v>950</v>
      </c>
      <c r="F69" s="45" t="s">
        <v>951</v>
      </c>
    </row>
    <row r="70" spans="1:6" x14ac:dyDescent="0.3">
      <c r="A70" s="2" t="s">
        <v>63</v>
      </c>
      <c r="B70" s="45" t="s">
        <v>62</v>
      </c>
      <c r="E70" s="2" t="s">
        <v>344</v>
      </c>
      <c r="F70" s="45" t="s">
        <v>345</v>
      </c>
    </row>
    <row r="71" spans="1:6" x14ac:dyDescent="0.3">
      <c r="A71" s="2" t="s">
        <v>149</v>
      </c>
      <c r="B71" s="45" t="s">
        <v>148</v>
      </c>
      <c r="E71" s="2" t="s">
        <v>388</v>
      </c>
      <c r="F71" s="45" t="s">
        <v>389</v>
      </c>
    </row>
    <row r="72" spans="1:6" x14ac:dyDescent="0.3">
      <c r="A72" s="2" t="s">
        <v>189</v>
      </c>
      <c r="B72" s="45" t="s">
        <v>188</v>
      </c>
      <c r="E72" s="2" t="s">
        <v>824</v>
      </c>
      <c r="F72" s="45" t="s">
        <v>825</v>
      </c>
    </row>
    <row r="73" spans="1:6" x14ac:dyDescent="0.3">
      <c r="A73" s="2" t="s">
        <v>161</v>
      </c>
      <c r="B73" s="45" t="s">
        <v>160</v>
      </c>
      <c r="E73" s="2" t="s">
        <v>238</v>
      </c>
      <c r="F73" s="45" t="s">
        <v>239</v>
      </c>
    </row>
    <row r="74" spans="1:6" x14ac:dyDescent="0.3">
      <c r="A74" s="2" t="s">
        <v>51</v>
      </c>
      <c r="B74" s="45" t="s">
        <v>50</v>
      </c>
      <c r="E74" s="2" t="s">
        <v>870</v>
      </c>
      <c r="F74" s="45" t="s">
        <v>871</v>
      </c>
    </row>
    <row r="75" spans="1:6" x14ac:dyDescent="0.3">
      <c r="A75" s="2" t="s">
        <v>185</v>
      </c>
      <c r="B75" s="45" t="s">
        <v>184</v>
      </c>
      <c r="E75" s="2" t="s">
        <v>366</v>
      </c>
      <c r="F75" s="45" t="s">
        <v>367</v>
      </c>
    </row>
    <row r="76" spans="1:6" x14ac:dyDescent="0.3">
      <c r="A76" s="2" t="s">
        <v>129</v>
      </c>
      <c r="B76" s="45" t="s">
        <v>128</v>
      </c>
      <c r="E76" s="2" t="s">
        <v>1200</v>
      </c>
      <c r="F76" s="45" t="s">
        <v>1201</v>
      </c>
    </row>
    <row r="77" spans="1:6" x14ac:dyDescent="0.3">
      <c r="A77" s="2" t="s">
        <v>77</v>
      </c>
      <c r="B77" s="45" t="s">
        <v>76</v>
      </c>
      <c r="E77" s="2" t="s">
        <v>362</v>
      </c>
      <c r="F77" s="45" t="s">
        <v>363</v>
      </c>
    </row>
    <row r="78" spans="1:6" x14ac:dyDescent="0.3">
      <c r="A78" s="2" t="s">
        <v>115</v>
      </c>
      <c r="B78" s="45" t="s">
        <v>114</v>
      </c>
      <c r="E78" s="2" t="s">
        <v>1126</v>
      </c>
      <c r="F78" s="45" t="s">
        <v>1127</v>
      </c>
    </row>
    <row r="79" spans="1:6" x14ac:dyDescent="0.3">
      <c r="A79" s="2" t="s">
        <v>13</v>
      </c>
      <c r="B79" s="45" t="s">
        <v>12</v>
      </c>
      <c r="E79" s="2" t="s">
        <v>364</v>
      </c>
      <c r="F79" s="45" t="s">
        <v>365</v>
      </c>
    </row>
    <row r="80" spans="1:6" x14ac:dyDescent="0.3">
      <c r="A80" s="2" t="s">
        <v>91</v>
      </c>
      <c r="B80" s="45" t="s">
        <v>90</v>
      </c>
      <c r="E80" s="2" t="s">
        <v>1096</v>
      </c>
      <c r="F80" s="45" t="s">
        <v>1097</v>
      </c>
    </row>
    <row r="81" spans="1:6" x14ac:dyDescent="0.3">
      <c r="A81" s="2" t="s">
        <v>137</v>
      </c>
      <c r="B81" s="45" t="s">
        <v>136</v>
      </c>
      <c r="E81" s="2" t="s">
        <v>814</v>
      </c>
      <c r="F81" s="45" t="s">
        <v>815</v>
      </c>
    </row>
    <row r="82" spans="1:6" x14ac:dyDescent="0.3">
      <c r="A82" s="2" t="s">
        <v>199</v>
      </c>
      <c r="B82" s="45" t="s">
        <v>198</v>
      </c>
      <c r="E82" s="2" t="s">
        <v>534</v>
      </c>
      <c r="F82" s="45" t="s">
        <v>535</v>
      </c>
    </row>
    <row r="83" spans="1:6" x14ac:dyDescent="0.3">
      <c r="A83" s="2" t="s">
        <v>31</v>
      </c>
      <c r="B83" s="45" t="s">
        <v>30</v>
      </c>
      <c r="E83" s="2" t="s">
        <v>308</v>
      </c>
      <c r="F83" s="45" t="s">
        <v>309</v>
      </c>
    </row>
    <row r="84" spans="1:6" x14ac:dyDescent="0.3">
      <c r="A84" s="2" t="s">
        <v>29</v>
      </c>
      <c r="B84" s="45" t="s">
        <v>28</v>
      </c>
      <c r="E84" s="2" t="s">
        <v>410</v>
      </c>
      <c r="F84" s="45" t="s">
        <v>411</v>
      </c>
    </row>
    <row r="85" spans="1:6" x14ac:dyDescent="0.3">
      <c r="A85" s="2" t="s">
        <v>111</v>
      </c>
      <c r="B85" s="45" t="s">
        <v>110</v>
      </c>
      <c r="E85" s="2" t="s">
        <v>922</v>
      </c>
      <c r="F85" s="45" t="s">
        <v>923</v>
      </c>
    </row>
    <row r="86" spans="1:6" x14ac:dyDescent="0.3">
      <c r="A86" s="2" t="s">
        <v>41</v>
      </c>
      <c r="B86" s="45" t="s">
        <v>40</v>
      </c>
      <c r="E86" s="2" t="s">
        <v>660</v>
      </c>
      <c r="F86" s="45" t="s">
        <v>661</v>
      </c>
    </row>
    <row r="87" spans="1:6" x14ac:dyDescent="0.3">
      <c r="A87" s="2" t="s">
        <v>157</v>
      </c>
      <c r="B87" s="45" t="s">
        <v>156</v>
      </c>
      <c r="E87" s="2" t="s">
        <v>646</v>
      </c>
      <c r="F87" s="45" t="s">
        <v>647</v>
      </c>
    </row>
    <row r="88" spans="1:6" x14ac:dyDescent="0.3">
      <c r="A88" s="2" t="s">
        <v>7</v>
      </c>
      <c r="B88" s="45" t="s">
        <v>1</v>
      </c>
      <c r="E88" s="2" t="s">
        <v>836</v>
      </c>
      <c r="F88" s="45" t="s">
        <v>837</v>
      </c>
    </row>
    <row r="89" spans="1:6" x14ac:dyDescent="0.3">
      <c r="A89" s="2" t="s">
        <v>79</v>
      </c>
      <c r="B89" s="45" t="s">
        <v>78</v>
      </c>
      <c r="E89" s="2" t="s">
        <v>452</v>
      </c>
      <c r="F89" s="45" t="s">
        <v>453</v>
      </c>
    </row>
    <row r="90" spans="1:6" x14ac:dyDescent="0.3">
      <c r="A90" s="2" t="s">
        <v>105</v>
      </c>
      <c r="B90" s="45" t="s">
        <v>104</v>
      </c>
      <c r="E90" s="2" t="s">
        <v>882</v>
      </c>
      <c r="F90" s="45" t="s">
        <v>883</v>
      </c>
    </row>
    <row r="91" spans="1:6" x14ac:dyDescent="0.3">
      <c r="A91" s="2" t="s">
        <v>9</v>
      </c>
      <c r="B91" s="45" t="s">
        <v>3</v>
      </c>
      <c r="E91" s="2" t="s">
        <v>1204</v>
      </c>
      <c r="F91" s="45" t="s">
        <v>1205</v>
      </c>
    </row>
    <row r="92" spans="1:6" x14ac:dyDescent="0.3">
      <c r="A92" s="2" t="s">
        <v>15</v>
      </c>
      <c r="B92" s="45" t="s">
        <v>14</v>
      </c>
      <c r="E92" s="2" t="s">
        <v>488</v>
      </c>
      <c r="F92" s="45" t="s">
        <v>489</v>
      </c>
    </row>
    <row r="93" spans="1:6" x14ac:dyDescent="0.3">
      <c r="A93" s="2" t="s">
        <v>11</v>
      </c>
      <c r="B93" s="45" t="s">
        <v>5</v>
      </c>
      <c r="E93" s="2" t="s">
        <v>1036</v>
      </c>
      <c r="F93" s="45" t="s">
        <v>1037</v>
      </c>
    </row>
    <row r="94" spans="1:6" x14ac:dyDescent="0.3">
      <c r="A94" s="2" t="s">
        <v>87</v>
      </c>
      <c r="B94" s="45" t="s">
        <v>86</v>
      </c>
      <c r="E94" s="2" t="s">
        <v>930</v>
      </c>
      <c r="F94" s="45" t="s">
        <v>931</v>
      </c>
    </row>
    <row r="95" spans="1:6" x14ac:dyDescent="0.3">
      <c r="A95" s="2" t="s">
        <v>33</v>
      </c>
      <c r="B95" s="45" t="s">
        <v>32</v>
      </c>
      <c r="E95" s="2" t="s">
        <v>848</v>
      </c>
      <c r="F95" s="45" t="s">
        <v>849</v>
      </c>
    </row>
    <row r="96" spans="1:6" x14ac:dyDescent="0.3">
      <c r="A96" s="2" t="s">
        <v>167</v>
      </c>
      <c r="B96" s="45" t="s">
        <v>166</v>
      </c>
      <c r="E96" s="2" t="s">
        <v>1104</v>
      </c>
      <c r="F96" s="45" t="s">
        <v>1105</v>
      </c>
    </row>
    <row r="97" spans="1:6" x14ac:dyDescent="0.3">
      <c r="A97" s="2" t="s">
        <v>39</v>
      </c>
      <c r="B97" s="45" t="s">
        <v>38</v>
      </c>
      <c r="E97" s="2" t="s">
        <v>712</v>
      </c>
      <c r="F97" s="45" t="s">
        <v>713</v>
      </c>
    </row>
    <row r="98" spans="1:6" x14ac:dyDescent="0.3">
      <c r="A98" s="2" t="s">
        <v>59</v>
      </c>
      <c r="B98" s="45" t="s">
        <v>58</v>
      </c>
      <c r="E98" s="2" t="s">
        <v>460</v>
      </c>
      <c r="F98" s="45" t="s">
        <v>461</v>
      </c>
    </row>
    <row r="99" spans="1:6" x14ac:dyDescent="0.3">
      <c r="A99" s="2" t="s">
        <v>175</v>
      </c>
      <c r="B99" s="45" t="s">
        <v>174</v>
      </c>
      <c r="E99" s="2" t="s">
        <v>886</v>
      </c>
      <c r="F99" s="45" t="s">
        <v>887</v>
      </c>
    </row>
    <row r="100" spans="1:6" x14ac:dyDescent="0.3">
      <c r="A100" s="2" t="s">
        <v>113</v>
      </c>
      <c r="B100" s="45" t="s">
        <v>112</v>
      </c>
      <c r="E100" s="2" t="s">
        <v>480</v>
      </c>
      <c r="F100" s="45" t="s">
        <v>481</v>
      </c>
    </row>
    <row r="101" spans="1:6" x14ac:dyDescent="0.3">
      <c r="A101" s="2" t="s">
        <v>75</v>
      </c>
      <c r="B101" s="45" t="s">
        <v>74</v>
      </c>
      <c r="E101" s="2" t="s">
        <v>946</v>
      </c>
      <c r="F101" s="45" t="s">
        <v>947</v>
      </c>
    </row>
    <row r="102" spans="1:6" x14ac:dyDescent="0.3">
      <c r="A102" s="2" t="s">
        <v>169</v>
      </c>
      <c r="B102" s="45" t="s">
        <v>168</v>
      </c>
      <c r="E102" s="2" t="s">
        <v>334</v>
      </c>
      <c r="F102" s="45" t="s">
        <v>335</v>
      </c>
    </row>
    <row r="103" spans="1:6" x14ac:dyDescent="0.3">
      <c r="A103" s="2" t="s">
        <v>47</v>
      </c>
      <c r="B103" s="45" t="s">
        <v>46</v>
      </c>
      <c r="E103" s="2" t="s">
        <v>454</v>
      </c>
      <c r="F103" s="45" t="s">
        <v>455</v>
      </c>
    </row>
    <row r="104" spans="1:6" x14ac:dyDescent="0.3">
      <c r="A104" s="2" t="s">
        <v>99</v>
      </c>
      <c r="B104" s="45" t="s">
        <v>98</v>
      </c>
      <c r="E104" s="2" t="s">
        <v>436</v>
      </c>
      <c r="F104" s="45" t="s">
        <v>437</v>
      </c>
    </row>
    <row r="105" spans="1:6" x14ac:dyDescent="0.3">
      <c r="A105" s="2" t="s">
        <v>159</v>
      </c>
      <c r="B105" s="45" t="s">
        <v>158</v>
      </c>
      <c r="E105" s="2" t="s">
        <v>598</v>
      </c>
      <c r="F105" s="45" t="s">
        <v>599</v>
      </c>
    </row>
    <row r="106" spans="1:6" x14ac:dyDescent="0.3">
      <c r="E106" s="2" t="s">
        <v>952</v>
      </c>
      <c r="F106" s="45" t="s">
        <v>953</v>
      </c>
    </row>
    <row r="107" spans="1:6" x14ac:dyDescent="0.3">
      <c r="E107" s="2" t="s">
        <v>800</v>
      </c>
      <c r="F107" s="45" t="s">
        <v>801</v>
      </c>
    </row>
    <row r="108" spans="1:6" x14ac:dyDescent="0.3">
      <c r="E108" s="2" t="s">
        <v>944</v>
      </c>
      <c r="F108" s="45" t="s">
        <v>945</v>
      </c>
    </row>
    <row r="109" spans="1:6" x14ac:dyDescent="0.3">
      <c r="E109" s="2" t="s">
        <v>500</v>
      </c>
      <c r="F109" s="45" t="s">
        <v>501</v>
      </c>
    </row>
    <row r="110" spans="1:6" x14ac:dyDescent="0.3">
      <c r="E110" s="2" t="s">
        <v>958</v>
      </c>
      <c r="F110" s="45" t="s">
        <v>959</v>
      </c>
    </row>
    <row r="111" spans="1:6" x14ac:dyDescent="0.3">
      <c r="E111" s="2" t="s">
        <v>368</v>
      </c>
      <c r="F111" s="45" t="s">
        <v>369</v>
      </c>
    </row>
    <row r="112" spans="1:6" x14ac:dyDescent="0.3">
      <c r="E112" s="2" t="s">
        <v>678</v>
      </c>
      <c r="F112" s="45" t="s">
        <v>679</v>
      </c>
    </row>
    <row r="113" spans="5:6" x14ac:dyDescent="0.3">
      <c r="E113" s="2" t="s">
        <v>250</v>
      </c>
      <c r="F113" s="45" t="s">
        <v>251</v>
      </c>
    </row>
    <row r="114" spans="5:6" x14ac:dyDescent="0.3">
      <c r="E114" s="2" t="s">
        <v>854</v>
      </c>
      <c r="F114" s="45" t="s">
        <v>855</v>
      </c>
    </row>
    <row r="115" spans="5:6" x14ac:dyDescent="0.3">
      <c r="E115" s="2" t="s">
        <v>1184</v>
      </c>
      <c r="F115" s="45" t="s">
        <v>1185</v>
      </c>
    </row>
    <row r="116" spans="5:6" x14ac:dyDescent="0.3">
      <c r="E116" s="2" t="s">
        <v>572</v>
      </c>
      <c r="F116" s="45" t="s">
        <v>573</v>
      </c>
    </row>
    <row r="117" spans="5:6" x14ac:dyDescent="0.3">
      <c r="E117" s="2" t="s">
        <v>1102</v>
      </c>
      <c r="F117" s="45" t="s">
        <v>1103</v>
      </c>
    </row>
    <row r="118" spans="5:6" x14ac:dyDescent="0.3">
      <c r="E118" s="2" t="s">
        <v>1158</v>
      </c>
      <c r="F118" s="45" t="s">
        <v>1159</v>
      </c>
    </row>
    <row r="119" spans="5:6" x14ac:dyDescent="0.3">
      <c r="E119" s="2" t="s">
        <v>264</v>
      </c>
      <c r="F119" s="45" t="s">
        <v>265</v>
      </c>
    </row>
    <row r="120" spans="5:6" x14ac:dyDescent="0.3">
      <c r="E120" s="2" t="s">
        <v>458</v>
      </c>
      <c r="F120" s="45" t="s">
        <v>459</v>
      </c>
    </row>
    <row r="121" spans="5:6" x14ac:dyDescent="0.3">
      <c r="E121" s="2" t="s">
        <v>284</v>
      </c>
      <c r="F121" s="45" t="s">
        <v>285</v>
      </c>
    </row>
    <row r="122" spans="5:6" x14ac:dyDescent="0.3">
      <c r="E122" s="2" t="s">
        <v>770</v>
      </c>
      <c r="F122" s="45" t="s">
        <v>771</v>
      </c>
    </row>
    <row r="123" spans="5:6" x14ac:dyDescent="0.3">
      <c r="E123" s="2" t="s">
        <v>516</v>
      </c>
      <c r="F123" s="45" t="s">
        <v>517</v>
      </c>
    </row>
    <row r="124" spans="5:6" x14ac:dyDescent="0.3">
      <c r="E124" s="2" t="s">
        <v>496</v>
      </c>
      <c r="F124" s="45" t="s">
        <v>497</v>
      </c>
    </row>
    <row r="125" spans="5:6" x14ac:dyDescent="0.3">
      <c r="E125" s="2" t="s">
        <v>1132</v>
      </c>
      <c r="F125" s="45" t="s">
        <v>1133</v>
      </c>
    </row>
    <row r="126" spans="5:6" x14ac:dyDescent="0.3">
      <c r="E126" s="2" t="s">
        <v>984</v>
      </c>
      <c r="F126" s="45" t="s">
        <v>985</v>
      </c>
    </row>
    <row r="127" spans="5:6" x14ac:dyDescent="0.3">
      <c r="E127" s="2" t="s">
        <v>680</v>
      </c>
      <c r="F127" s="45" t="s">
        <v>681</v>
      </c>
    </row>
    <row r="128" spans="5:6" x14ac:dyDescent="0.3">
      <c r="E128" s="2" t="s">
        <v>662</v>
      </c>
      <c r="F128" s="45" t="s">
        <v>663</v>
      </c>
    </row>
    <row r="129" spans="5:6" x14ac:dyDescent="0.3">
      <c r="E129" s="2" t="s">
        <v>518</v>
      </c>
      <c r="F129" s="45" t="s">
        <v>519</v>
      </c>
    </row>
    <row r="130" spans="5:6" x14ac:dyDescent="0.3">
      <c r="E130" s="2" t="s">
        <v>272</v>
      </c>
      <c r="F130" s="45" t="s">
        <v>273</v>
      </c>
    </row>
    <row r="131" spans="5:6" x14ac:dyDescent="0.3">
      <c r="E131" s="2" t="s">
        <v>1198</v>
      </c>
      <c r="F131" s="45" t="s">
        <v>1199</v>
      </c>
    </row>
    <row r="132" spans="5:6" x14ac:dyDescent="0.3">
      <c r="E132" s="2" t="s">
        <v>626</v>
      </c>
      <c r="F132" s="45" t="s">
        <v>627</v>
      </c>
    </row>
    <row r="133" spans="5:6" x14ac:dyDescent="0.3">
      <c r="E133" s="2" t="s">
        <v>672</v>
      </c>
      <c r="F133" s="45" t="s">
        <v>673</v>
      </c>
    </row>
    <row r="134" spans="5:6" x14ac:dyDescent="0.3">
      <c r="E134" s="2" t="s">
        <v>1106</v>
      </c>
      <c r="F134" s="45" t="s">
        <v>1107</v>
      </c>
    </row>
    <row r="135" spans="5:6" x14ac:dyDescent="0.3">
      <c r="E135" s="2" t="s">
        <v>730</v>
      </c>
      <c r="F135" s="45" t="s">
        <v>731</v>
      </c>
    </row>
    <row r="136" spans="5:6" x14ac:dyDescent="0.3">
      <c r="E136" s="2" t="s">
        <v>392</v>
      </c>
      <c r="F136" s="45" t="s">
        <v>393</v>
      </c>
    </row>
    <row r="137" spans="5:6" x14ac:dyDescent="0.3">
      <c r="E137" s="2" t="s">
        <v>778</v>
      </c>
      <c r="F137" s="45" t="s">
        <v>779</v>
      </c>
    </row>
    <row r="138" spans="5:6" x14ac:dyDescent="0.3">
      <c r="E138" s="2" t="s">
        <v>732</v>
      </c>
      <c r="F138" s="45" t="s">
        <v>733</v>
      </c>
    </row>
    <row r="139" spans="5:6" x14ac:dyDescent="0.3">
      <c r="E139" s="2" t="s">
        <v>634</v>
      </c>
      <c r="F139" s="45" t="s">
        <v>635</v>
      </c>
    </row>
    <row r="140" spans="5:6" x14ac:dyDescent="0.3">
      <c r="E140" s="2" t="s">
        <v>1002</v>
      </c>
      <c r="F140" s="45" t="s">
        <v>1003</v>
      </c>
    </row>
    <row r="141" spans="5:6" x14ac:dyDescent="0.3">
      <c r="E141" s="2" t="s">
        <v>1008</v>
      </c>
      <c r="F141" s="45" t="s">
        <v>1009</v>
      </c>
    </row>
    <row r="142" spans="5:6" x14ac:dyDescent="0.3">
      <c r="E142" s="2" t="s">
        <v>632</v>
      </c>
      <c r="F142" s="45" t="s">
        <v>633</v>
      </c>
    </row>
    <row r="143" spans="5:6" x14ac:dyDescent="0.3">
      <c r="E143" s="2" t="s">
        <v>340</v>
      </c>
      <c r="F143" s="45" t="s">
        <v>341</v>
      </c>
    </row>
    <row r="144" spans="5:6" x14ac:dyDescent="0.3">
      <c r="E144" s="2" t="s">
        <v>298</v>
      </c>
      <c r="F144" s="45" t="s">
        <v>299</v>
      </c>
    </row>
    <row r="145" spans="5:6" x14ac:dyDescent="0.3">
      <c r="E145" s="2" t="s">
        <v>558</v>
      </c>
      <c r="F145" s="45" t="s">
        <v>559</v>
      </c>
    </row>
    <row r="146" spans="5:6" x14ac:dyDescent="0.3">
      <c r="E146" s="2" t="s">
        <v>1072</v>
      </c>
      <c r="F146" s="45" t="s">
        <v>1073</v>
      </c>
    </row>
    <row r="147" spans="5:6" x14ac:dyDescent="0.3">
      <c r="E147" s="2" t="s">
        <v>1064</v>
      </c>
      <c r="F147" s="45" t="s">
        <v>1065</v>
      </c>
    </row>
    <row r="148" spans="5:6" x14ac:dyDescent="0.3">
      <c r="E148" s="2" t="s">
        <v>820</v>
      </c>
      <c r="F148" s="45" t="s">
        <v>821</v>
      </c>
    </row>
    <row r="149" spans="5:6" x14ac:dyDescent="0.3">
      <c r="E149" s="2" t="s">
        <v>812</v>
      </c>
      <c r="F149" s="45" t="s">
        <v>813</v>
      </c>
    </row>
    <row r="150" spans="5:6" x14ac:dyDescent="0.3">
      <c r="E150" s="2" t="s">
        <v>1040</v>
      </c>
      <c r="F150" s="45" t="s">
        <v>1041</v>
      </c>
    </row>
    <row r="151" spans="5:6" x14ac:dyDescent="0.3">
      <c r="E151" s="2" t="s">
        <v>954</v>
      </c>
      <c r="F151" s="45" t="s">
        <v>955</v>
      </c>
    </row>
    <row r="152" spans="5:6" x14ac:dyDescent="0.3">
      <c r="E152" s="2" t="s">
        <v>866</v>
      </c>
      <c r="F152" s="45" t="s">
        <v>867</v>
      </c>
    </row>
    <row r="153" spans="5:6" x14ac:dyDescent="0.3">
      <c r="E153" s="2" t="s">
        <v>450</v>
      </c>
      <c r="F153" s="45" t="s">
        <v>451</v>
      </c>
    </row>
    <row r="154" spans="5:6" x14ac:dyDescent="0.3">
      <c r="E154" s="2" t="s">
        <v>1206</v>
      </c>
      <c r="F154" s="45" t="s">
        <v>1207</v>
      </c>
    </row>
    <row r="155" spans="5:6" x14ac:dyDescent="0.3">
      <c r="E155" s="2" t="s">
        <v>910</v>
      </c>
      <c r="F155" s="45" t="s">
        <v>911</v>
      </c>
    </row>
    <row r="156" spans="5:6" x14ac:dyDescent="0.3">
      <c r="E156" s="2" t="s">
        <v>764</v>
      </c>
      <c r="F156" s="45" t="s">
        <v>765</v>
      </c>
    </row>
    <row r="157" spans="5:6" x14ac:dyDescent="0.3">
      <c r="E157" s="2" t="s">
        <v>688</v>
      </c>
      <c r="F157" s="45" t="s">
        <v>689</v>
      </c>
    </row>
    <row r="158" spans="5:6" x14ac:dyDescent="0.3">
      <c r="E158" s="2" t="s">
        <v>784</v>
      </c>
      <c r="F158" s="45" t="s">
        <v>785</v>
      </c>
    </row>
    <row r="159" spans="5:6" x14ac:dyDescent="0.3">
      <c r="E159" s="2" t="s">
        <v>530</v>
      </c>
      <c r="F159" s="45" t="s">
        <v>531</v>
      </c>
    </row>
    <row r="160" spans="5:6" x14ac:dyDescent="0.3">
      <c r="E160" s="2" t="s">
        <v>768</v>
      </c>
      <c r="F160" s="45" t="s">
        <v>769</v>
      </c>
    </row>
    <row r="161" spans="5:6" x14ac:dyDescent="0.3">
      <c r="E161" s="2" t="s">
        <v>762</v>
      </c>
      <c r="F161" s="45" t="s">
        <v>763</v>
      </c>
    </row>
    <row r="162" spans="5:6" x14ac:dyDescent="0.3">
      <c r="E162" s="2" t="s">
        <v>1046</v>
      </c>
      <c r="F162" s="45" t="s">
        <v>1047</v>
      </c>
    </row>
    <row r="163" spans="5:6" x14ac:dyDescent="0.3">
      <c r="E163" s="2" t="s">
        <v>774</v>
      </c>
      <c r="F163" s="45" t="s">
        <v>775</v>
      </c>
    </row>
    <row r="164" spans="5:6" x14ac:dyDescent="0.3">
      <c r="E164" s="2" t="s">
        <v>980</v>
      </c>
      <c r="F164" s="45" t="s">
        <v>981</v>
      </c>
    </row>
    <row r="165" spans="5:6" x14ac:dyDescent="0.3">
      <c r="E165" s="2" t="s">
        <v>438</v>
      </c>
      <c r="F165" s="45" t="s">
        <v>439</v>
      </c>
    </row>
    <row r="166" spans="5:6" x14ac:dyDescent="0.3">
      <c r="E166" s="2" t="s">
        <v>1128</v>
      </c>
      <c r="F166" s="45" t="s">
        <v>1129</v>
      </c>
    </row>
    <row r="167" spans="5:6" x14ac:dyDescent="0.3">
      <c r="E167" s="2" t="s">
        <v>482</v>
      </c>
      <c r="F167" s="45" t="s">
        <v>483</v>
      </c>
    </row>
    <row r="168" spans="5:6" x14ac:dyDescent="0.3">
      <c r="E168" s="2" t="s">
        <v>1156</v>
      </c>
      <c r="F168" s="45" t="s">
        <v>1157</v>
      </c>
    </row>
    <row r="169" spans="5:6" x14ac:dyDescent="0.3">
      <c r="E169" s="2" t="s">
        <v>494</v>
      </c>
      <c r="F169" s="45" t="s">
        <v>495</v>
      </c>
    </row>
    <row r="170" spans="5:6" x14ac:dyDescent="0.3">
      <c r="E170" s="2" t="s">
        <v>1074</v>
      </c>
      <c r="F170" s="45" t="s">
        <v>1075</v>
      </c>
    </row>
    <row r="171" spans="5:6" x14ac:dyDescent="0.3">
      <c r="E171" s="2" t="s">
        <v>428</v>
      </c>
      <c r="F171" s="45" t="s">
        <v>429</v>
      </c>
    </row>
    <row r="172" spans="5:6" x14ac:dyDescent="0.3">
      <c r="E172" s="2" t="s">
        <v>868</v>
      </c>
      <c r="F172" s="45" t="s">
        <v>869</v>
      </c>
    </row>
    <row r="173" spans="5:6" x14ac:dyDescent="0.3">
      <c r="E173" s="2" t="s">
        <v>834</v>
      </c>
      <c r="F173" s="45" t="s">
        <v>835</v>
      </c>
    </row>
    <row r="174" spans="5:6" x14ac:dyDescent="0.3">
      <c r="E174" s="2" t="s">
        <v>1150</v>
      </c>
      <c r="F174" s="45" t="s">
        <v>1151</v>
      </c>
    </row>
    <row r="175" spans="5:6" x14ac:dyDescent="0.3">
      <c r="E175" s="2" t="s">
        <v>918</v>
      </c>
      <c r="F175" s="45" t="s">
        <v>919</v>
      </c>
    </row>
    <row r="176" spans="5:6" x14ac:dyDescent="0.3">
      <c r="E176" s="2" t="s">
        <v>974</v>
      </c>
      <c r="F176" s="45" t="s">
        <v>975</v>
      </c>
    </row>
    <row r="177" spans="5:6" x14ac:dyDescent="0.3">
      <c r="E177" s="2" t="s">
        <v>350</v>
      </c>
      <c r="F177" s="45" t="s">
        <v>351</v>
      </c>
    </row>
    <row r="178" spans="5:6" x14ac:dyDescent="0.3">
      <c r="E178" s="2" t="s">
        <v>772</v>
      </c>
      <c r="F178" s="45" t="s">
        <v>773</v>
      </c>
    </row>
    <row r="179" spans="5:6" x14ac:dyDescent="0.3">
      <c r="E179" s="2" t="s">
        <v>1082</v>
      </c>
      <c r="F179" s="45" t="s">
        <v>1083</v>
      </c>
    </row>
    <row r="180" spans="5:6" x14ac:dyDescent="0.3">
      <c r="E180" s="2" t="s">
        <v>636</v>
      </c>
      <c r="F180" s="45" t="s">
        <v>637</v>
      </c>
    </row>
    <row r="181" spans="5:6" x14ac:dyDescent="0.3">
      <c r="E181" s="2" t="s">
        <v>708</v>
      </c>
      <c r="F181" s="45" t="s">
        <v>709</v>
      </c>
    </row>
    <row r="182" spans="5:6" x14ac:dyDescent="0.3">
      <c r="E182" s="2" t="s">
        <v>1022</v>
      </c>
      <c r="F182" s="45" t="s">
        <v>1023</v>
      </c>
    </row>
    <row r="183" spans="5:6" x14ac:dyDescent="0.3">
      <c r="E183" s="2" t="s">
        <v>884</v>
      </c>
      <c r="F183" s="45" t="s">
        <v>885</v>
      </c>
    </row>
    <row r="184" spans="5:6" x14ac:dyDescent="0.3">
      <c r="E184" s="2" t="s">
        <v>736</v>
      </c>
      <c r="F184" s="45" t="s">
        <v>737</v>
      </c>
    </row>
    <row r="185" spans="5:6" x14ac:dyDescent="0.3">
      <c r="E185" s="2" t="s">
        <v>674</v>
      </c>
      <c r="F185" s="45" t="s">
        <v>675</v>
      </c>
    </row>
    <row r="186" spans="5:6" x14ac:dyDescent="0.3">
      <c r="E186" s="2" t="s">
        <v>788</v>
      </c>
      <c r="F186" s="45" t="s">
        <v>789</v>
      </c>
    </row>
    <row r="187" spans="5:6" x14ac:dyDescent="0.3">
      <c r="E187" s="2" t="s">
        <v>628</v>
      </c>
      <c r="F187" s="45" t="s">
        <v>629</v>
      </c>
    </row>
    <row r="188" spans="5:6" x14ac:dyDescent="0.3">
      <c r="E188" s="2" t="s">
        <v>536</v>
      </c>
      <c r="F188" s="45" t="s">
        <v>537</v>
      </c>
    </row>
    <row r="189" spans="5:6" x14ac:dyDescent="0.3">
      <c r="E189" s="2" t="s">
        <v>986</v>
      </c>
      <c r="F189" s="45" t="s">
        <v>987</v>
      </c>
    </row>
    <row r="190" spans="5:6" x14ac:dyDescent="0.3">
      <c r="E190" s="2" t="s">
        <v>522</v>
      </c>
      <c r="F190" s="45" t="s">
        <v>523</v>
      </c>
    </row>
    <row r="191" spans="5:6" x14ac:dyDescent="0.3">
      <c r="E191" s="2" t="s">
        <v>938</v>
      </c>
      <c r="F191" s="45" t="s">
        <v>939</v>
      </c>
    </row>
    <row r="192" spans="5:6" x14ac:dyDescent="0.3">
      <c r="E192" s="2" t="s">
        <v>1062</v>
      </c>
      <c r="F192" s="45" t="s">
        <v>1063</v>
      </c>
    </row>
    <row r="193" spans="5:6" x14ac:dyDescent="0.3">
      <c r="E193" s="2" t="s">
        <v>384</v>
      </c>
      <c r="F193" s="45" t="s">
        <v>385</v>
      </c>
    </row>
    <row r="194" spans="5:6" x14ac:dyDescent="0.3">
      <c r="E194" s="2" t="s">
        <v>578</v>
      </c>
      <c r="F194" s="45" t="s">
        <v>579</v>
      </c>
    </row>
    <row r="195" spans="5:6" x14ac:dyDescent="0.3">
      <c r="E195" s="2" t="s">
        <v>618</v>
      </c>
      <c r="F195" s="45" t="s">
        <v>619</v>
      </c>
    </row>
    <row r="196" spans="5:6" x14ac:dyDescent="0.3">
      <c r="E196" s="2" t="s">
        <v>782</v>
      </c>
      <c r="F196" s="45" t="s">
        <v>783</v>
      </c>
    </row>
    <row r="197" spans="5:6" x14ac:dyDescent="0.3">
      <c r="E197" s="2" t="s">
        <v>1210</v>
      </c>
      <c r="F197" s="45" t="s">
        <v>1211</v>
      </c>
    </row>
    <row r="198" spans="5:6" x14ac:dyDescent="0.3">
      <c r="E198" s="2" t="s">
        <v>1220</v>
      </c>
      <c r="F198" s="45" t="s">
        <v>1221</v>
      </c>
    </row>
    <row r="199" spans="5:6" x14ac:dyDescent="0.3">
      <c r="E199" s="2" t="s">
        <v>1146</v>
      </c>
      <c r="F199" s="45" t="s">
        <v>1147</v>
      </c>
    </row>
    <row r="200" spans="5:6" x14ac:dyDescent="0.3">
      <c r="E200" s="2" t="s">
        <v>1186</v>
      </c>
      <c r="F200" s="45" t="s">
        <v>1187</v>
      </c>
    </row>
    <row r="201" spans="5:6" x14ac:dyDescent="0.3">
      <c r="E201" s="2" t="s">
        <v>916</v>
      </c>
      <c r="F201" s="45" t="s">
        <v>917</v>
      </c>
    </row>
    <row r="202" spans="5:6" x14ac:dyDescent="0.3">
      <c r="E202" s="2" t="s">
        <v>528</v>
      </c>
      <c r="F202" s="45" t="s">
        <v>529</v>
      </c>
    </row>
    <row r="203" spans="5:6" x14ac:dyDescent="0.3">
      <c r="E203" s="2" t="s">
        <v>826</v>
      </c>
      <c r="F203" s="45" t="s">
        <v>827</v>
      </c>
    </row>
    <row r="204" spans="5:6" x14ac:dyDescent="0.3">
      <c r="E204" s="2" t="s">
        <v>506</v>
      </c>
      <c r="F204" s="45" t="s">
        <v>507</v>
      </c>
    </row>
    <row r="205" spans="5:6" x14ac:dyDescent="0.3">
      <c r="E205" s="2" t="s">
        <v>806</v>
      </c>
      <c r="F205" s="45" t="s">
        <v>807</v>
      </c>
    </row>
    <row r="206" spans="5:6" x14ac:dyDescent="0.3">
      <c r="E206" s="2" t="s">
        <v>314</v>
      </c>
      <c r="F206" s="45" t="s">
        <v>315</v>
      </c>
    </row>
    <row r="207" spans="5:6" x14ac:dyDescent="0.3">
      <c r="E207" s="2" t="s">
        <v>700</v>
      </c>
      <c r="F207" s="45" t="s">
        <v>701</v>
      </c>
    </row>
    <row r="208" spans="5:6" x14ac:dyDescent="0.3">
      <c r="E208" s="2" t="s">
        <v>1034</v>
      </c>
      <c r="F208" s="45" t="s">
        <v>1035</v>
      </c>
    </row>
    <row r="209" spans="5:6" x14ac:dyDescent="0.3">
      <c r="E209" s="2" t="s">
        <v>420</v>
      </c>
      <c r="F209" s="45" t="s">
        <v>421</v>
      </c>
    </row>
    <row r="210" spans="5:6" x14ac:dyDescent="0.3">
      <c r="E210" s="2" t="s">
        <v>386</v>
      </c>
      <c r="F210" s="45" t="s">
        <v>387</v>
      </c>
    </row>
    <row r="211" spans="5:6" x14ac:dyDescent="0.3">
      <c r="E211" s="2" t="s">
        <v>716</v>
      </c>
      <c r="F211" s="45" t="s">
        <v>717</v>
      </c>
    </row>
    <row r="212" spans="5:6" x14ac:dyDescent="0.3">
      <c r="E212" s="2" t="s">
        <v>1168</v>
      </c>
      <c r="F212" s="45" t="s">
        <v>1169</v>
      </c>
    </row>
    <row r="213" spans="5:6" x14ac:dyDescent="0.3">
      <c r="E213" s="2" t="s">
        <v>714</v>
      </c>
      <c r="F213" s="45" t="s">
        <v>715</v>
      </c>
    </row>
    <row r="214" spans="5:6" x14ac:dyDescent="0.3">
      <c r="E214" s="2" t="s">
        <v>554</v>
      </c>
      <c r="F214" s="45" t="s">
        <v>555</v>
      </c>
    </row>
    <row r="215" spans="5:6" x14ac:dyDescent="0.3">
      <c r="E215" s="2" t="s">
        <v>1148</v>
      </c>
      <c r="F215" s="45" t="s">
        <v>1149</v>
      </c>
    </row>
    <row r="216" spans="5:6" x14ac:dyDescent="0.3">
      <c r="E216" s="2" t="s">
        <v>234</v>
      </c>
      <c r="F216" s="45" t="s">
        <v>235</v>
      </c>
    </row>
    <row r="217" spans="5:6" x14ac:dyDescent="0.3">
      <c r="E217" s="2" t="s">
        <v>232</v>
      </c>
      <c r="F217" s="45" t="s">
        <v>233</v>
      </c>
    </row>
    <row r="218" spans="5:6" x14ac:dyDescent="0.3">
      <c r="E218" s="2" t="s">
        <v>1014</v>
      </c>
      <c r="F218" s="45" t="s">
        <v>1015</v>
      </c>
    </row>
    <row r="219" spans="5:6" x14ac:dyDescent="0.3">
      <c r="E219" s="2" t="s">
        <v>802</v>
      </c>
      <c r="F219" s="45" t="s">
        <v>803</v>
      </c>
    </row>
    <row r="220" spans="5:6" x14ac:dyDescent="0.3">
      <c r="E220" s="2" t="s">
        <v>734</v>
      </c>
      <c r="F220" s="45" t="s">
        <v>735</v>
      </c>
    </row>
    <row r="221" spans="5:6" x14ac:dyDescent="0.3">
      <c r="E221" s="2" t="s">
        <v>312</v>
      </c>
      <c r="F221" s="45" t="s">
        <v>313</v>
      </c>
    </row>
    <row r="222" spans="5:6" x14ac:dyDescent="0.3">
      <c r="E222" s="2" t="s">
        <v>590</v>
      </c>
      <c r="F222" s="45" t="s">
        <v>591</v>
      </c>
    </row>
    <row r="223" spans="5:6" x14ac:dyDescent="0.3">
      <c r="E223" s="2" t="s">
        <v>850</v>
      </c>
      <c r="F223" s="45" t="s">
        <v>851</v>
      </c>
    </row>
    <row r="224" spans="5:6" x14ac:dyDescent="0.3">
      <c r="E224" s="2" t="s">
        <v>1188</v>
      </c>
      <c r="F224" s="45" t="s">
        <v>1189</v>
      </c>
    </row>
    <row r="225" spans="5:6" x14ac:dyDescent="0.3">
      <c r="E225" s="2" t="s">
        <v>860</v>
      </c>
      <c r="F225" s="45" t="s">
        <v>861</v>
      </c>
    </row>
    <row r="226" spans="5:6" x14ac:dyDescent="0.3">
      <c r="E226" s="2" t="s">
        <v>552</v>
      </c>
      <c r="F226" s="45" t="s">
        <v>553</v>
      </c>
    </row>
    <row r="227" spans="5:6" x14ac:dyDescent="0.3">
      <c r="E227" s="2" t="s">
        <v>254</v>
      </c>
      <c r="F227" s="45" t="s">
        <v>255</v>
      </c>
    </row>
    <row r="228" spans="5:6" x14ac:dyDescent="0.3">
      <c r="E228" s="2" t="s">
        <v>690</v>
      </c>
      <c r="F228" s="45" t="s">
        <v>691</v>
      </c>
    </row>
    <row r="229" spans="5:6" x14ac:dyDescent="0.3">
      <c r="E229" s="2" t="s">
        <v>750</v>
      </c>
      <c r="F229" s="45" t="s">
        <v>751</v>
      </c>
    </row>
    <row r="230" spans="5:6" x14ac:dyDescent="0.3">
      <c r="E230" s="2" t="s">
        <v>1202</v>
      </c>
      <c r="F230" s="45" t="s">
        <v>1203</v>
      </c>
    </row>
    <row r="231" spans="5:6" x14ac:dyDescent="0.3">
      <c r="E231" s="2" t="s">
        <v>524</v>
      </c>
      <c r="F231" s="45" t="s">
        <v>525</v>
      </c>
    </row>
    <row r="232" spans="5:6" x14ac:dyDescent="0.3">
      <c r="E232" s="2" t="s">
        <v>1004</v>
      </c>
      <c r="F232" s="45" t="s">
        <v>1005</v>
      </c>
    </row>
    <row r="233" spans="5:6" x14ac:dyDescent="0.3">
      <c r="E233" s="2" t="s">
        <v>342</v>
      </c>
      <c r="F233" s="45" t="s">
        <v>343</v>
      </c>
    </row>
    <row r="234" spans="5:6" x14ac:dyDescent="0.3">
      <c r="E234" s="2" t="s">
        <v>818</v>
      </c>
      <c r="F234" s="45" t="s">
        <v>819</v>
      </c>
    </row>
    <row r="235" spans="5:6" x14ac:dyDescent="0.3">
      <c r="E235" s="2" t="s">
        <v>738</v>
      </c>
      <c r="F235" s="45" t="s">
        <v>739</v>
      </c>
    </row>
    <row r="236" spans="5:6" x14ac:dyDescent="0.3">
      <c r="E236" s="2" t="s">
        <v>1166</v>
      </c>
      <c r="F236" s="45" t="s">
        <v>1167</v>
      </c>
    </row>
    <row r="237" spans="5:6" x14ac:dyDescent="0.3">
      <c r="E237" s="2" t="s">
        <v>1160</v>
      </c>
      <c r="F237" s="45" t="s">
        <v>1161</v>
      </c>
    </row>
    <row r="238" spans="5:6" x14ac:dyDescent="0.3">
      <c r="E238" s="2" t="s">
        <v>1094</v>
      </c>
      <c r="F238" s="45" t="s">
        <v>1095</v>
      </c>
    </row>
    <row r="239" spans="5:6" x14ac:dyDescent="0.3">
      <c r="E239" s="2" t="s">
        <v>844</v>
      </c>
      <c r="F239" s="45" t="s">
        <v>845</v>
      </c>
    </row>
    <row r="240" spans="5:6" x14ac:dyDescent="0.3">
      <c r="E240" s="2" t="s">
        <v>872</v>
      </c>
      <c r="F240" s="45" t="s">
        <v>873</v>
      </c>
    </row>
    <row r="241" spans="5:6" x14ac:dyDescent="0.3">
      <c r="E241" s="2" t="s">
        <v>746</v>
      </c>
      <c r="F241" s="45" t="s">
        <v>747</v>
      </c>
    </row>
    <row r="242" spans="5:6" x14ac:dyDescent="0.3">
      <c r="E242" s="2" t="s">
        <v>614</v>
      </c>
      <c r="F242" s="45" t="s">
        <v>615</v>
      </c>
    </row>
    <row r="243" spans="5:6" x14ac:dyDescent="0.3">
      <c r="E243" s="2" t="s">
        <v>292</v>
      </c>
      <c r="F243" s="45" t="s">
        <v>293</v>
      </c>
    </row>
    <row r="244" spans="5:6" x14ac:dyDescent="0.3">
      <c r="E244" s="2" t="s">
        <v>432</v>
      </c>
      <c r="F244" s="45" t="s">
        <v>433</v>
      </c>
    </row>
    <row r="245" spans="5:6" x14ac:dyDescent="0.3">
      <c r="E245" s="2" t="s">
        <v>720</v>
      </c>
      <c r="F245" s="45" t="s">
        <v>721</v>
      </c>
    </row>
    <row r="246" spans="5:6" x14ac:dyDescent="0.3">
      <c r="E246" s="2" t="s">
        <v>1012</v>
      </c>
      <c r="F246" s="45" t="s">
        <v>1013</v>
      </c>
    </row>
    <row r="247" spans="5:6" x14ac:dyDescent="0.3">
      <c r="E247" s="2" t="s">
        <v>904</v>
      </c>
      <c r="F247" s="45" t="s">
        <v>905</v>
      </c>
    </row>
    <row r="248" spans="5:6" x14ac:dyDescent="0.3">
      <c r="E248" s="2" t="s">
        <v>1130</v>
      </c>
      <c r="F248" s="45" t="s">
        <v>1131</v>
      </c>
    </row>
    <row r="249" spans="5:6" x14ac:dyDescent="0.3">
      <c r="E249" s="2" t="s">
        <v>448</v>
      </c>
      <c r="F249" s="45" t="s">
        <v>449</v>
      </c>
    </row>
    <row r="250" spans="5:6" x14ac:dyDescent="0.3">
      <c r="E250" s="2" t="s">
        <v>310</v>
      </c>
      <c r="F250" s="45" t="s">
        <v>311</v>
      </c>
    </row>
    <row r="251" spans="5:6" x14ac:dyDescent="0.3">
      <c r="E251" s="2" t="s">
        <v>976</v>
      </c>
      <c r="F251" s="45" t="s">
        <v>977</v>
      </c>
    </row>
    <row r="252" spans="5:6" x14ac:dyDescent="0.3">
      <c r="E252" s="2" t="s">
        <v>978</v>
      </c>
      <c r="F252" s="45" t="s">
        <v>979</v>
      </c>
    </row>
    <row r="253" spans="5:6" x14ac:dyDescent="0.3">
      <c r="E253" s="2" t="s">
        <v>1136</v>
      </c>
      <c r="F253" s="45" t="s">
        <v>1137</v>
      </c>
    </row>
    <row r="254" spans="5:6" x14ac:dyDescent="0.3">
      <c r="E254" s="2" t="s">
        <v>726</v>
      </c>
      <c r="F254" s="45" t="s">
        <v>727</v>
      </c>
    </row>
    <row r="255" spans="5:6" x14ac:dyDescent="0.3">
      <c r="E255" s="2" t="s">
        <v>666</v>
      </c>
      <c r="F255" s="45" t="s">
        <v>667</v>
      </c>
    </row>
    <row r="256" spans="5:6" x14ac:dyDescent="0.3">
      <c r="E256" s="2" t="s">
        <v>748</v>
      </c>
      <c r="F256" s="45" t="s">
        <v>749</v>
      </c>
    </row>
    <row r="257" spans="5:6" x14ac:dyDescent="0.3">
      <c r="E257" s="2" t="s">
        <v>306</v>
      </c>
      <c r="F257" s="45" t="s">
        <v>307</v>
      </c>
    </row>
    <row r="258" spans="5:6" x14ac:dyDescent="0.3">
      <c r="E258" s="2" t="s">
        <v>682</v>
      </c>
      <c r="F258" s="45" t="s">
        <v>683</v>
      </c>
    </row>
    <row r="259" spans="5:6" x14ac:dyDescent="0.3">
      <c r="E259" s="2" t="s">
        <v>490</v>
      </c>
      <c r="F259" s="45" t="s">
        <v>491</v>
      </c>
    </row>
    <row r="260" spans="5:6" x14ac:dyDescent="0.3">
      <c r="E260" s="2" t="s">
        <v>1190</v>
      </c>
      <c r="F260" s="45" t="s">
        <v>1191</v>
      </c>
    </row>
    <row r="261" spans="5:6" x14ac:dyDescent="0.3">
      <c r="E261" s="2" t="s">
        <v>1024</v>
      </c>
      <c r="F261" s="45" t="s">
        <v>1025</v>
      </c>
    </row>
    <row r="262" spans="5:6" x14ac:dyDescent="0.3">
      <c r="E262" s="2" t="s">
        <v>1066</v>
      </c>
      <c r="F262" s="45" t="s">
        <v>1067</v>
      </c>
    </row>
    <row r="263" spans="5:6" x14ac:dyDescent="0.3">
      <c r="E263" s="2" t="s">
        <v>1058</v>
      </c>
      <c r="F263" s="45" t="s">
        <v>1059</v>
      </c>
    </row>
    <row r="264" spans="5:6" x14ac:dyDescent="0.3">
      <c r="E264" s="2" t="s">
        <v>562</v>
      </c>
      <c r="F264" s="45" t="s">
        <v>563</v>
      </c>
    </row>
    <row r="265" spans="5:6" x14ac:dyDescent="0.3">
      <c r="E265" s="2" t="s">
        <v>1098</v>
      </c>
      <c r="F265" s="45" t="s">
        <v>1099</v>
      </c>
    </row>
    <row r="266" spans="5:6" x14ac:dyDescent="0.3">
      <c r="E266" s="2" t="s">
        <v>262</v>
      </c>
      <c r="F266" s="45" t="s">
        <v>263</v>
      </c>
    </row>
    <row r="267" spans="5:6" x14ac:dyDescent="0.3">
      <c r="E267" s="2" t="s">
        <v>1108</v>
      </c>
      <c r="F267" s="45" t="s">
        <v>1109</v>
      </c>
    </row>
    <row r="268" spans="5:6" x14ac:dyDescent="0.3">
      <c r="E268" s="2" t="s">
        <v>240</v>
      </c>
      <c r="F268" s="45" t="s">
        <v>241</v>
      </c>
    </row>
    <row r="269" spans="5:6" x14ac:dyDescent="0.3">
      <c r="E269" s="2" t="s">
        <v>914</v>
      </c>
      <c r="F269" s="45" t="s">
        <v>915</v>
      </c>
    </row>
    <row r="270" spans="5:6" x14ac:dyDescent="0.3">
      <c r="E270" s="2" t="s">
        <v>704</v>
      </c>
      <c r="F270" s="45" t="s">
        <v>705</v>
      </c>
    </row>
    <row r="271" spans="5:6" x14ac:dyDescent="0.3">
      <c r="E271" s="2" t="s">
        <v>1020</v>
      </c>
      <c r="F271" s="45" t="s">
        <v>1021</v>
      </c>
    </row>
    <row r="272" spans="5:6" x14ac:dyDescent="0.3">
      <c r="E272" s="2" t="s">
        <v>808</v>
      </c>
      <c r="F272" s="45" t="s">
        <v>809</v>
      </c>
    </row>
    <row r="273" spans="5:6" x14ac:dyDescent="0.3">
      <c r="E273" s="2" t="s">
        <v>822</v>
      </c>
      <c r="F273" s="45" t="s">
        <v>823</v>
      </c>
    </row>
    <row r="274" spans="5:6" x14ac:dyDescent="0.3">
      <c r="E274" s="2" t="s">
        <v>1032</v>
      </c>
      <c r="F274" s="45" t="s">
        <v>1033</v>
      </c>
    </row>
    <row r="275" spans="5:6" x14ac:dyDescent="0.3">
      <c r="E275" s="2" t="s">
        <v>406</v>
      </c>
      <c r="F275" s="45" t="s">
        <v>407</v>
      </c>
    </row>
    <row r="276" spans="5:6" x14ac:dyDescent="0.3">
      <c r="E276" s="2" t="s">
        <v>444</v>
      </c>
      <c r="F276" s="45" t="s">
        <v>445</v>
      </c>
    </row>
    <row r="277" spans="5:6" x14ac:dyDescent="0.3">
      <c r="E277" s="2" t="s">
        <v>638</v>
      </c>
      <c r="F277" s="45" t="s">
        <v>639</v>
      </c>
    </row>
    <row r="278" spans="5:6" x14ac:dyDescent="0.3">
      <c r="E278" s="2" t="s">
        <v>586</v>
      </c>
      <c r="F278" s="45" t="s">
        <v>587</v>
      </c>
    </row>
    <row r="279" spans="5:6" x14ac:dyDescent="0.3">
      <c r="E279" s="2" t="s">
        <v>1088</v>
      </c>
      <c r="F279" s="45" t="s">
        <v>1089</v>
      </c>
    </row>
    <row r="280" spans="5:6" x14ac:dyDescent="0.3">
      <c r="E280" s="2" t="s">
        <v>280</v>
      </c>
      <c r="F280" s="45" t="s">
        <v>281</v>
      </c>
    </row>
    <row r="281" spans="5:6" x14ac:dyDescent="0.3">
      <c r="E281" s="2" t="s">
        <v>670</v>
      </c>
      <c r="F281" s="45" t="s">
        <v>671</v>
      </c>
    </row>
    <row r="282" spans="5:6" x14ac:dyDescent="0.3">
      <c r="E282" s="2" t="s">
        <v>656</v>
      </c>
      <c r="F282" s="45" t="s">
        <v>657</v>
      </c>
    </row>
    <row r="283" spans="5:6" x14ac:dyDescent="0.3">
      <c r="E283" s="2" t="s">
        <v>1052</v>
      </c>
      <c r="F283" s="45" t="s">
        <v>1053</v>
      </c>
    </row>
    <row r="284" spans="5:6" x14ac:dyDescent="0.3">
      <c r="E284" s="2" t="s">
        <v>932</v>
      </c>
      <c r="F284" s="45" t="s">
        <v>933</v>
      </c>
    </row>
    <row r="285" spans="5:6" x14ac:dyDescent="0.3">
      <c r="E285" s="2" t="s">
        <v>696</v>
      </c>
      <c r="F285" s="45" t="s">
        <v>697</v>
      </c>
    </row>
    <row r="286" spans="5:6" x14ac:dyDescent="0.3">
      <c r="E286" s="2" t="s">
        <v>966</v>
      </c>
      <c r="F286" s="45" t="s">
        <v>967</v>
      </c>
    </row>
    <row r="287" spans="5:6" x14ac:dyDescent="0.3">
      <c r="E287" s="2" t="s">
        <v>642</v>
      </c>
      <c r="F287" s="45" t="s">
        <v>643</v>
      </c>
    </row>
    <row r="288" spans="5:6" x14ac:dyDescent="0.3">
      <c r="E288" s="2" t="s">
        <v>294</v>
      </c>
      <c r="F288" s="45" t="s">
        <v>295</v>
      </c>
    </row>
    <row r="289" spans="5:6" x14ac:dyDescent="0.3">
      <c r="E289" s="2" t="s">
        <v>1152</v>
      </c>
      <c r="F289" s="45" t="s">
        <v>1153</v>
      </c>
    </row>
    <row r="290" spans="5:6" x14ac:dyDescent="0.3">
      <c r="E290" s="2" t="s">
        <v>242</v>
      </c>
      <c r="F290" s="45" t="s">
        <v>243</v>
      </c>
    </row>
    <row r="291" spans="5:6" x14ac:dyDescent="0.3">
      <c r="E291" s="2" t="s">
        <v>402</v>
      </c>
      <c r="F291" s="45" t="s">
        <v>403</v>
      </c>
    </row>
    <row r="292" spans="5:6" x14ac:dyDescent="0.3">
      <c r="E292" s="2" t="s">
        <v>1050</v>
      </c>
      <c r="F292" s="45" t="s">
        <v>1051</v>
      </c>
    </row>
    <row r="293" spans="5:6" x14ac:dyDescent="0.3">
      <c r="E293" s="2" t="s">
        <v>336</v>
      </c>
      <c r="F293" s="45" t="s">
        <v>337</v>
      </c>
    </row>
    <row r="294" spans="5:6" x14ac:dyDescent="0.3">
      <c r="E294" s="2" t="s">
        <v>414</v>
      </c>
      <c r="F294" s="45" t="s">
        <v>415</v>
      </c>
    </row>
    <row r="295" spans="5:6" x14ac:dyDescent="0.3">
      <c r="E295" s="2" t="s">
        <v>622</v>
      </c>
      <c r="F295" s="45" t="s">
        <v>623</v>
      </c>
    </row>
    <row r="296" spans="5:6" x14ac:dyDescent="0.3">
      <c r="E296" s="2" t="s">
        <v>948</v>
      </c>
      <c r="F296" s="45" t="s">
        <v>949</v>
      </c>
    </row>
    <row r="297" spans="5:6" x14ac:dyDescent="0.3">
      <c r="E297" s="2" t="s">
        <v>968</v>
      </c>
      <c r="F297" s="45" t="s">
        <v>969</v>
      </c>
    </row>
    <row r="298" spans="5:6" x14ac:dyDescent="0.3">
      <c r="E298" s="2" t="s">
        <v>1144</v>
      </c>
      <c r="F298" s="45" t="s">
        <v>1145</v>
      </c>
    </row>
    <row r="299" spans="5:6" x14ac:dyDescent="0.3">
      <c r="E299" s="2" t="s">
        <v>956</v>
      </c>
      <c r="F299" s="45" t="s">
        <v>957</v>
      </c>
    </row>
    <row r="300" spans="5:6" x14ac:dyDescent="0.3">
      <c r="E300" s="2" t="s">
        <v>926</v>
      </c>
      <c r="F300" s="45" t="s">
        <v>927</v>
      </c>
    </row>
    <row r="301" spans="5:6" x14ac:dyDescent="0.3">
      <c r="E301" s="2" t="s">
        <v>252</v>
      </c>
      <c r="F301" s="45" t="s">
        <v>253</v>
      </c>
    </row>
    <row r="302" spans="5:6" x14ac:dyDescent="0.3">
      <c r="E302" s="2" t="s">
        <v>988</v>
      </c>
      <c r="F302" s="45" t="s">
        <v>989</v>
      </c>
    </row>
    <row r="303" spans="5:6" x14ac:dyDescent="0.3">
      <c r="E303" s="2" t="s">
        <v>508</v>
      </c>
      <c r="F303" s="45" t="s">
        <v>509</v>
      </c>
    </row>
    <row r="304" spans="5:6" x14ac:dyDescent="0.3">
      <c r="E304" s="2" t="s">
        <v>1010</v>
      </c>
      <c r="F304" s="45" t="s">
        <v>1011</v>
      </c>
    </row>
    <row r="305" spans="5:6" x14ac:dyDescent="0.3">
      <c r="E305" s="2" t="s">
        <v>290</v>
      </c>
      <c r="F305" s="45" t="s">
        <v>291</v>
      </c>
    </row>
    <row r="306" spans="5:6" x14ac:dyDescent="0.3">
      <c r="E306" s="2" t="s">
        <v>752</v>
      </c>
      <c r="F306" s="45" t="s">
        <v>753</v>
      </c>
    </row>
    <row r="307" spans="5:6" x14ac:dyDescent="0.3">
      <c r="E307" s="2" t="s">
        <v>484</v>
      </c>
      <c r="F307" s="45" t="s">
        <v>485</v>
      </c>
    </row>
    <row r="308" spans="5:6" x14ac:dyDescent="0.3">
      <c r="E308" s="2" t="s">
        <v>478</v>
      </c>
      <c r="F308" s="45" t="s">
        <v>479</v>
      </c>
    </row>
    <row r="309" spans="5:6" x14ac:dyDescent="0.3">
      <c r="E309" s="2" t="s">
        <v>456</v>
      </c>
      <c r="F309" s="45" t="s">
        <v>457</v>
      </c>
    </row>
    <row r="310" spans="5:6" x14ac:dyDescent="0.3">
      <c r="E310" s="2" t="s">
        <v>404</v>
      </c>
      <c r="F310" s="45" t="s">
        <v>405</v>
      </c>
    </row>
    <row r="311" spans="5:6" x14ac:dyDescent="0.3">
      <c r="E311" s="2" t="s">
        <v>616</v>
      </c>
      <c r="F311" s="45" t="s">
        <v>617</v>
      </c>
    </row>
    <row r="312" spans="5:6" x14ac:dyDescent="0.3">
      <c r="E312" s="2" t="s">
        <v>228</v>
      </c>
      <c r="F312" s="45" t="s">
        <v>229</v>
      </c>
    </row>
    <row r="313" spans="5:6" x14ac:dyDescent="0.3">
      <c r="E313" s="2" t="s">
        <v>1182</v>
      </c>
      <c r="F313" s="45" t="s">
        <v>1183</v>
      </c>
    </row>
    <row r="314" spans="5:6" x14ac:dyDescent="0.3">
      <c r="E314" s="2" t="s">
        <v>1214</v>
      </c>
      <c r="F314" s="45" t="s">
        <v>1215</v>
      </c>
    </row>
    <row r="315" spans="5:6" x14ac:dyDescent="0.3">
      <c r="E315" s="2" t="s">
        <v>942</v>
      </c>
      <c r="F315" s="45" t="s">
        <v>943</v>
      </c>
    </row>
    <row r="316" spans="5:6" x14ac:dyDescent="0.3">
      <c r="E316" s="2" t="s">
        <v>1174</v>
      </c>
      <c r="F316" s="45" t="s">
        <v>1175</v>
      </c>
    </row>
    <row r="317" spans="5:6" x14ac:dyDescent="0.3">
      <c r="E317" s="2" t="s">
        <v>728</v>
      </c>
      <c r="F317" s="45" t="s">
        <v>729</v>
      </c>
    </row>
    <row r="318" spans="5:6" x14ac:dyDescent="0.3">
      <c r="E318" s="2" t="s">
        <v>408</v>
      </c>
      <c r="F318" s="45" t="s">
        <v>409</v>
      </c>
    </row>
    <row r="319" spans="5:6" x14ac:dyDescent="0.3">
      <c r="E319" s="2" t="s">
        <v>498</v>
      </c>
      <c r="F319" s="45" t="s">
        <v>499</v>
      </c>
    </row>
    <row r="320" spans="5:6" x14ac:dyDescent="0.3">
      <c r="E320" s="2" t="s">
        <v>710</v>
      </c>
      <c r="F320" s="45" t="s">
        <v>711</v>
      </c>
    </row>
    <row r="321" spans="5:6" x14ac:dyDescent="0.3">
      <c r="E321" s="2" t="s">
        <v>422</v>
      </c>
      <c r="F321" s="45" t="s">
        <v>423</v>
      </c>
    </row>
    <row r="322" spans="5:6" x14ac:dyDescent="0.3">
      <c r="E322" s="2" t="s">
        <v>1000</v>
      </c>
      <c r="F322" s="45" t="s">
        <v>1001</v>
      </c>
    </row>
    <row r="323" spans="5:6" x14ac:dyDescent="0.3">
      <c r="E323" s="2" t="s">
        <v>1180</v>
      </c>
      <c r="F323" s="45" t="s">
        <v>1181</v>
      </c>
    </row>
    <row r="324" spans="5:6" x14ac:dyDescent="0.3">
      <c r="E324" s="2" t="s">
        <v>596</v>
      </c>
      <c r="F324" s="45" t="s">
        <v>597</v>
      </c>
    </row>
    <row r="325" spans="5:6" x14ac:dyDescent="0.3">
      <c r="E325" s="2" t="s">
        <v>790</v>
      </c>
      <c r="F325" s="45" t="s">
        <v>791</v>
      </c>
    </row>
    <row r="326" spans="5:6" x14ac:dyDescent="0.3">
      <c r="E326" s="2" t="s">
        <v>274</v>
      </c>
      <c r="F326" s="45" t="s">
        <v>275</v>
      </c>
    </row>
    <row r="327" spans="5:6" x14ac:dyDescent="0.3">
      <c r="E327" s="2" t="s">
        <v>1068</v>
      </c>
      <c r="F327" s="45" t="s">
        <v>1069</v>
      </c>
    </row>
    <row r="328" spans="5:6" x14ac:dyDescent="0.3">
      <c r="E328" s="2" t="s">
        <v>330</v>
      </c>
      <c r="F328" s="45" t="s">
        <v>331</v>
      </c>
    </row>
    <row r="329" spans="5:6" x14ac:dyDescent="0.3">
      <c r="E329" s="2" t="s">
        <v>604</v>
      </c>
      <c r="F329" s="45" t="s">
        <v>605</v>
      </c>
    </row>
    <row r="330" spans="5:6" x14ac:dyDescent="0.3">
      <c r="E330" s="2" t="s">
        <v>224</v>
      </c>
      <c r="F330" s="45" t="s">
        <v>225</v>
      </c>
    </row>
    <row r="331" spans="5:6" x14ac:dyDescent="0.3">
      <c r="E331" s="2" t="s">
        <v>470</v>
      </c>
      <c r="F331" s="45" t="s">
        <v>471</v>
      </c>
    </row>
    <row r="332" spans="5:6" x14ac:dyDescent="0.3">
      <c r="E332" s="2" t="s">
        <v>742</v>
      </c>
      <c r="F332" s="45" t="s">
        <v>743</v>
      </c>
    </row>
    <row r="333" spans="5:6" x14ac:dyDescent="0.3">
      <c r="E333" s="2" t="s">
        <v>1196</v>
      </c>
      <c r="F333" s="45" t="s">
        <v>1197</v>
      </c>
    </row>
    <row r="334" spans="5:6" x14ac:dyDescent="0.3">
      <c r="E334" s="2" t="s">
        <v>838</v>
      </c>
      <c r="F334" s="45" t="s">
        <v>839</v>
      </c>
    </row>
    <row r="335" spans="5:6" x14ac:dyDescent="0.3">
      <c r="E335" s="2" t="s">
        <v>394</v>
      </c>
      <c r="F335" s="45" t="s">
        <v>395</v>
      </c>
    </row>
    <row r="336" spans="5:6" x14ac:dyDescent="0.3">
      <c r="E336" s="2" t="s">
        <v>1118</v>
      </c>
      <c r="F336" s="45" t="s">
        <v>1119</v>
      </c>
    </row>
    <row r="337" spans="5:6" x14ac:dyDescent="0.3">
      <c r="E337" s="2" t="s">
        <v>744</v>
      </c>
      <c r="F337" s="45" t="s">
        <v>745</v>
      </c>
    </row>
    <row r="338" spans="5:6" x14ac:dyDescent="0.3">
      <c r="E338" s="2" t="s">
        <v>1090</v>
      </c>
      <c r="F338" s="45" t="s">
        <v>1091</v>
      </c>
    </row>
    <row r="339" spans="5:6" x14ac:dyDescent="0.3">
      <c r="E339" s="2" t="s">
        <v>338</v>
      </c>
      <c r="F339" s="45" t="s">
        <v>339</v>
      </c>
    </row>
    <row r="340" spans="5:6" x14ac:dyDescent="0.3">
      <c r="E340" s="2" t="s">
        <v>608</v>
      </c>
      <c r="F340" s="45" t="s">
        <v>609</v>
      </c>
    </row>
    <row r="341" spans="5:6" x14ac:dyDescent="0.3">
      <c r="E341" s="2" t="s">
        <v>258</v>
      </c>
      <c r="F341" s="45" t="s">
        <v>259</v>
      </c>
    </row>
    <row r="342" spans="5:6" x14ac:dyDescent="0.3">
      <c r="E342" s="2" t="s">
        <v>1030</v>
      </c>
      <c r="F342" s="45" t="s">
        <v>1031</v>
      </c>
    </row>
    <row r="343" spans="5:6" x14ac:dyDescent="0.3">
      <c r="E343" s="2" t="s">
        <v>416</v>
      </c>
      <c r="F343" s="45" t="s">
        <v>417</v>
      </c>
    </row>
    <row r="344" spans="5:6" x14ac:dyDescent="0.3">
      <c r="E344" s="2" t="s">
        <v>514</v>
      </c>
      <c r="F344" s="45" t="s">
        <v>515</v>
      </c>
    </row>
    <row r="345" spans="5:6" x14ac:dyDescent="0.3">
      <c r="E345" s="2" t="s">
        <v>282</v>
      </c>
      <c r="F345" s="45" t="s">
        <v>283</v>
      </c>
    </row>
    <row r="346" spans="5:6" x14ac:dyDescent="0.3">
      <c r="E346" s="2" t="s">
        <v>960</v>
      </c>
      <c r="F346" s="45" t="s">
        <v>961</v>
      </c>
    </row>
    <row r="347" spans="5:6" x14ac:dyDescent="0.3">
      <c r="E347" s="2" t="s">
        <v>566</v>
      </c>
      <c r="F347" s="45" t="s">
        <v>567</v>
      </c>
    </row>
    <row r="348" spans="5:6" x14ac:dyDescent="0.3">
      <c r="E348" s="2" t="s">
        <v>862</v>
      </c>
      <c r="F348" s="45" t="s">
        <v>863</v>
      </c>
    </row>
    <row r="349" spans="5:6" x14ac:dyDescent="0.3">
      <c r="E349" s="2" t="s">
        <v>924</v>
      </c>
      <c r="F349" s="45" t="s">
        <v>925</v>
      </c>
    </row>
    <row r="350" spans="5:6" x14ac:dyDescent="0.3">
      <c r="E350" s="2" t="s">
        <v>754</v>
      </c>
      <c r="F350" s="45" t="s">
        <v>755</v>
      </c>
    </row>
    <row r="351" spans="5:6" x14ac:dyDescent="0.3">
      <c r="E351" s="2" t="s">
        <v>222</v>
      </c>
      <c r="F351" s="45" t="s">
        <v>223</v>
      </c>
    </row>
    <row r="352" spans="5:6" x14ac:dyDescent="0.3">
      <c r="E352" s="2" t="s">
        <v>828</v>
      </c>
      <c r="F352" s="45" t="s">
        <v>829</v>
      </c>
    </row>
    <row r="353" spans="5:6" x14ac:dyDescent="0.3">
      <c r="E353" s="2" t="s">
        <v>1222</v>
      </c>
      <c r="F353" s="45" t="s">
        <v>1223</v>
      </c>
    </row>
    <row r="354" spans="5:6" x14ac:dyDescent="0.3">
      <c r="E354" s="2" t="s">
        <v>1140</v>
      </c>
      <c r="F354" s="45" t="s">
        <v>1141</v>
      </c>
    </row>
    <row r="355" spans="5:6" x14ac:dyDescent="0.3">
      <c r="E355" s="2" t="s">
        <v>564</v>
      </c>
      <c r="F355" s="45" t="s">
        <v>565</v>
      </c>
    </row>
    <row r="356" spans="5:6" x14ac:dyDescent="0.3">
      <c r="E356" s="2" t="s">
        <v>610</v>
      </c>
      <c r="F356" s="45" t="s">
        <v>611</v>
      </c>
    </row>
    <row r="357" spans="5:6" x14ac:dyDescent="0.3">
      <c r="E357" s="2" t="s">
        <v>694</v>
      </c>
      <c r="F357" s="45" t="s">
        <v>695</v>
      </c>
    </row>
    <row r="358" spans="5:6" x14ac:dyDescent="0.3">
      <c r="E358" s="2" t="s">
        <v>542</v>
      </c>
      <c r="F358" s="45" t="s">
        <v>543</v>
      </c>
    </row>
    <row r="359" spans="5:6" x14ac:dyDescent="0.3">
      <c r="E359" s="2" t="s">
        <v>996</v>
      </c>
      <c r="F359" s="45" t="s">
        <v>997</v>
      </c>
    </row>
    <row r="360" spans="5:6" x14ac:dyDescent="0.3">
      <c r="E360" s="2" t="s">
        <v>810</v>
      </c>
      <c r="F360" s="45" t="s">
        <v>811</v>
      </c>
    </row>
    <row r="361" spans="5:6" x14ac:dyDescent="0.3">
      <c r="E361" s="2" t="s">
        <v>270</v>
      </c>
      <c r="F361" s="45" t="s">
        <v>271</v>
      </c>
    </row>
    <row r="362" spans="5:6" x14ac:dyDescent="0.3">
      <c r="E362" s="2" t="s">
        <v>492</v>
      </c>
      <c r="F362" s="45" t="s">
        <v>493</v>
      </c>
    </row>
    <row r="363" spans="5:6" x14ac:dyDescent="0.3">
      <c r="E363" s="2" t="s">
        <v>684</v>
      </c>
      <c r="F363" s="45" t="s">
        <v>685</v>
      </c>
    </row>
    <row r="364" spans="5:6" x14ac:dyDescent="0.3">
      <c r="E364" s="2" t="s">
        <v>758</v>
      </c>
      <c r="F364" s="45" t="s">
        <v>759</v>
      </c>
    </row>
    <row r="365" spans="5:6" x14ac:dyDescent="0.3">
      <c r="E365" s="2" t="s">
        <v>370</v>
      </c>
      <c r="F365" s="45" t="s">
        <v>371</v>
      </c>
    </row>
    <row r="366" spans="5:6" x14ac:dyDescent="0.3">
      <c r="E366" s="2" t="s">
        <v>1216</v>
      </c>
      <c r="F366" s="45" t="s">
        <v>1217</v>
      </c>
    </row>
    <row r="367" spans="5:6" x14ac:dyDescent="0.3">
      <c r="E367" s="2" t="s">
        <v>1124</v>
      </c>
      <c r="F367" s="45" t="s">
        <v>1125</v>
      </c>
    </row>
    <row r="368" spans="5:6" x14ac:dyDescent="0.3">
      <c r="E368" s="2" t="s">
        <v>630</v>
      </c>
      <c r="F368" s="45" t="s">
        <v>631</v>
      </c>
    </row>
    <row r="369" spans="5:6" x14ac:dyDescent="0.3">
      <c r="E369" s="2" t="s">
        <v>544</v>
      </c>
      <c r="F369" s="45" t="s">
        <v>545</v>
      </c>
    </row>
    <row r="370" spans="5:6" x14ac:dyDescent="0.3">
      <c r="E370" s="2" t="s">
        <v>644</v>
      </c>
      <c r="F370" s="45" t="s">
        <v>645</v>
      </c>
    </row>
    <row r="371" spans="5:6" x14ac:dyDescent="0.3">
      <c r="E371" s="2" t="s">
        <v>654</v>
      </c>
      <c r="F371" s="45" t="s">
        <v>655</v>
      </c>
    </row>
    <row r="372" spans="5:6" x14ac:dyDescent="0.3">
      <c r="E372" s="2" t="s">
        <v>288</v>
      </c>
      <c r="F372" s="45" t="s">
        <v>289</v>
      </c>
    </row>
    <row r="373" spans="5:6" x14ac:dyDescent="0.3">
      <c r="E373" s="2" t="s">
        <v>354</v>
      </c>
      <c r="F373" s="45" t="s">
        <v>355</v>
      </c>
    </row>
    <row r="374" spans="5:6" x14ac:dyDescent="0.3">
      <c r="E374" s="2" t="s">
        <v>1018</v>
      </c>
      <c r="F374" s="45" t="s">
        <v>1019</v>
      </c>
    </row>
    <row r="375" spans="5:6" x14ac:dyDescent="0.3">
      <c r="E375" s="2" t="s">
        <v>260</v>
      </c>
      <c r="F375" s="45" t="s">
        <v>261</v>
      </c>
    </row>
    <row r="376" spans="5:6" x14ac:dyDescent="0.3">
      <c r="E376" s="2" t="s">
        <v>356</v>
      </c>
      <c r="F376" s="45" t="s">
        <v>357</v>
      </c>
    </row>
    <row r="377" spans="5:6" x14ac:dyDescent="0.3">
      <c r="E377" s="2" t="s">
        <v>442</v>
      </c>
      <c r="F377" s="45" t="s">
        <v>443</v>
      </c>
    </row>
    <row r="378" spans="5:6" x14ac:dyDescent="0.3">
      <c r="E378" s="2" t="s">
        <v>858</v>
      </c>
      <c r="F378" s="45" t="s">
        <v>859</v>
      </c>
    </row>
    <row r="379" spans="5:6" x14ac:dyDescent="0.3">
      <c r="E379" s="2" t="s">
        <v>920</v>
      </c>
      <c r="F379" s="45" t="s">
        <v>921</v>
      </c>
    </row>
    <row r="380" spans="5:6" x14ac:dyDescent="0.3">
      <c r="E380" s="2" t="s">
        <v>412</v>
      </c>
      <c r="F380" s="45" t="s">
        <v>413</v>
      </c>
    </row>
    <row r="381" spans="5:6" x14ac:dyDescent="0.3">
      <c r="E381" s="2" t="s">
        <v>348</v>
      </c>
      <c r="F381" s="45" t="s">
        <v>349</v>
      </c>
    </row>
    <row r="382" spans="5:6" x14ac:dyDescent="0.3">
      <c r="E382" s="2" t="s">
        <v>304</v>
      </c>
      <c r="F382" s="45" t="s">
        <v>305</v>
      </c>
    </row>
    <row r="383" spans="5:6" x14ac:dyDescent="0.3">
      <c r="E383" s="2" t="s">
        <v>464</v>
      </c>
      <c r="F383" s="45" t="s">
        <v>465</v>
      </c>
    </row>
    <row r="384" spans="5:6" x14ac:dyDescent="0.3">
      <c r="E384" s="2" t="s">
        <v>992</v>
      </c>
      <c r="F384" s="45" t="s">
        <v>993</v>
      </c>
    </row>
    <row r="385" spans="5:6" x14ac:dyDescent="0.3">
      <c r="E385" s="2" t="s">
        <v>1154</v>
      </c>
      <c r="F385" s="45" t="s">
        <v>1155</v>
      </c>
    </row>
    <row r="386" spans="5:6" x14ac:dyDescent="0.3">
      <c r="E386" s="2" t="s">
        <v>972</v>
      </c>
      <c r="F386" s="45" t="s">
        <v>973</v>
      </c>
    </row>
    <row r="387" spans="5:6" x14ac:dyDescent="0.3">
      <c r="E387" s="2" t="s">
        <v>1076</v>
      </c>
      <c r="F387" s="45" t="s">
        <v>1077</v>
      </c>
    </row>
    <row r="388" spans="5:6" x14ac:dyDescent="0.3">
      <c r="E388" s="2" t="s">
        <v>816</v>
      </c>
      <c r="F388" s="45" t="s">
        <v>817</v>
      </c>
    </row>
    <row r="389" spans="5:6" x14ac:dyDescent="0.3">
      <c r="E389" s="2" t="s">
        <v>876</v>
      </c>
      <c r="F389" s="45" t="s">
        <v>877</v>
      </c>
    </row>
    <row r="390" spans="5:6" x14ac:dyDescent="0.3">
      <c r="E390" s="2" t="s">
        <v>650</v>
      </c>
      <c r="F390" s="45" t="s">
        <v>651</v>
      </c>
    </row>
    <row r="391" spans="5:6" x14ac:dyDescent="0.3">
      <c r="E391" s="2" t="s">
        <v>592</v>
      </c>
      <c r="F391" s="45" t="s">
        <v>593</v>
      </c>
    </row>
    <row r="392" spans="5:6" x14ac:dyDescent="0.3">
      <c r="E392" s="2" t="s">
        <v>584</v>
      </c>
      <c r="F392" s="45" t="s">
        <v>585</v>
      </c>
    </row>
    <row r="393" spans="5:6" x14ac:dyDescent="0.3">
      <c r="E393" s="2" t="s">
        <v>874</v>
      </c>
      <c r="F393" s="45" t="s">
        <v>875</v>
      </c>
    </row>
    <row r="394" spans="5:6" x14ac:dyDescent="0.3">
      <c r="E394" s="2" t="s">
        <v>606</v>
      </c>
      <c r="F394" s="45" t="s">
        <v>607</v>
      </c>
    </row>
    <row r="395" spans="5:6" x14ac:dyDescent="0.3">
      <c r="E395" s="2" t="s">
        <v>426</v>
      </c>
      <c r="F395" s="45" t="s">
        <v>427</v>
      </c>
    </row>
    <row r="396" spans="5:6" x14ac:dyDescent="0.3">
      <c r="E396" s="2" t="s">
        <v>316</v>
      </c>
      <c r="F396" s="45" t="s">
        <v>317</v>
      </c>
    </row>
    <row r="397" spans="5:6" x14ac:dyDescent="0.3">
      <c r="E397" s="2" t="s">
        <v>1218</v>
      </c>
      <c r="F397" s="45" t="s">
        <v>1219</v>
      </c>
    </row>
    <row r="398" spans="5:6" x14ac:dyDescent="0.3">
      <c r="E398" s="2" t="s">
        <v>556</v>
      </c>
      <c r="F398" s="45" t="s">
        <v>557</v>
      </c>
    </row>
    <row r="399" spans="5:6" x14ac:dyDescent="0.3">
      <c r="E399" s="2" t="s">
        <v>1114</v>
      </c>
      <c r="F399" s="45" t="s">
        <v>1115</v>
      </c>
    </row>
    <row r="400" spans="5:6" x14ac:dyDescent="0.3">
      <c r="E400" s="2" t="s">
        <v>462</v>
      </c>
      <c r="F400" s="45" t="s">
        <v>463</v>
      </c>
    </row>
    <row r="401" spans="5:6" x14ac:dyDescent="0.3">
      <c r="E401" s="2" t="s">
        <v>888</v>
      </c>
      <c r="F401" s="45" t="s">
        <v>889</v>
      </c>
    </row>
    <row r="402" spans="5:6" x14ac:dyDescent="0.3">
      <c r="E402" s="2" t="s">
        <v>798</v>
      </c>
      <c r="F402" s="45" t="s">
        <v>799</v>
      </c>
    </row>
    <row r="403" spans="5:6" x14ac:dyDescent="0.3">
      <c r="E403" s="2" t="s">
        <v>1170</v>
      </c>
      <c r="F403" s="45" t="s">
        <v>1171</v>
      </c>
    </row>
    <row r="404" spans="5:6" x14ac:dyDescent="0.3">
      <c r="E404" s="2" t="s">
        <v>718</v>
      </c>
      <c r="F404" s="45" t="s">
        <v>719</v>
      </c>
    </row>
    <row r="405" spans="5:6" x14ac:dyDescent="0.3">
      <c r="E405" s="2" t="s">
        <v>740</v>
      </c>
      <c r="F405" s="45" t="s">
        <v>741</v>
      </c>
    </row>
    <row r="406" spans="5:6" x14ac:dyDescent="0.3">
      <c r="E406" s="2" t="s">
        <v>1086</v>
      </c>
      <c r="F406" s="45" t="s">
        <v>1087</v>
      </c>
    </row>
    <row r="407" spans="5:6" x14ac:dyDescent="0.3">
      <c r="E407" s="2" t="s">
        <v>546</v>
      </c>
      <c r="F407" s="45" t="s">
        <v>547</v>
      </c>
    </row>
    <row r="408" spans="5:6" x14ac:dyDescent="0.3">
      <c r="E408" s="2" t="s">
        <v>588</v>
      </c>
      <c r="F408" s="45" t="s">
        <v>589</v>
      </c>
    </row>
    <row r="409" spans="5:6" x14ac:dyDescent="0.3">
      <c r="E409" s="2" t="s">
        <v>648</v>
      </c>
      <c r="F409" s="45" t="s">
        <v>649</v>
      </c>
    </row>
    <row r="410" spans="5:6" x14ac:dyDescent="0.3">
      <c r="E410" s="2" t="s">
        <v>332</v>
      </c>
      <c r="F410" s="45" t="s">
        <v>333</v>
      </c>
    </row>
    <row r="411" spans="5:6" x14ac:dyDescent="0.3">
      <c r="E411" s="2" t="s">
        <v>1078</v>
      </c>
      <c r="F411" s="45" t="s">
        <v>1079</v>
      </c>
    </row>
    <row r="412" spans="5:6" x14ac:dyDescent="0.3">
      <c r="E412" s="2" t="s">
        <v>890</v>
      </c>
      <c r="F412" s="45" t="s">
        <v>891</v>
      </c>
    </row>
    <row r="413" spans="5:6" x14ac:dyDescent="0.3">
      <c r="E413" s="2" t="s">
        <v>396</v>
      </c>
      <c r="F413" s="45" t="s">
        <v>397</v>
      </c>
    </row>
    <row r="414" spans="5:6" x14ac:dyDescent="0.3">
      <c r="E414" s="2" t="s">
        <v>376</v>
      </c>
      <c r="F414" s="45" t="s">
        <v>377</v>
      </c>
    </row>
    <row r="415" spans="5:6" x14ac:dyDescent="0.3">
      <c r="E415" s="2" t="s">
        <v>446</v>
      </c>
      <c r="F415" s="45" t="s">
        <v>447</v>
      </c>
    </row>
    <row r="416" spans="5:6" x14ac:dyDescent="0.3">
      <c r="E416" s="2" t="s">
        <v>1120</v>
      </c>
      <c r="F416" s="45" t="s">
        <v>1121</v>
      </c>
    </row>
    <row r="417" spans="5:6" x14ac:dyDescent="0.3">
      <c r="E417" s="2" t="s">
        <v>548</v>
      </c>
      <c r="F417" s="45" t="s">
        <v>549</v>
      </c>
    </row>
    <row r="418" spans="5:6" x14ac:dyDescent="0.3">
      <c r="E418" s="2" t="s">
        <v>964</v>
      </c>
      <c r="F418" s="45" t="s">
        <v>965</v>
      </c>
    </row>
    <row r="419" spans="5:6" x14ac:dyDescent="0.3">
      <c r="E419" s="2" t="s">
        <v>982</v>
      </c>
      <c r="F419" s="45" t="s">
        <v>983</v>
      </c>
    </row>
    <row r="420" spans="5:6" x14ac:dyDescent="0.3">
      <c r="E420" s="2" t="s">
        <v>474</v>
      </c>
      <c r="F420" s="45" t="s">
        <v>475</v>
      </c>
    </row>
    <row r="421" spans="5:6" x14ac:dyDescent="0.3">
      <c r="E421" s="2" t="s">
        <v>430</v>
      </c>
      <c r="F421" s="45" t="s">
        <v>431</v>
      </c>
    </row>
    <row r="422" spans="5:6" x14ac:dyDescent="0.3">
      <c r="E422" s="2" t="s">
        <v>1162</v>
      </c>
      <c r="F422" s="45" t="s">
        <v>1163</v>
      </c>
    </row>
    <row r="423" spans="5:6" x14ac:dyDescent="0.3">
      <c r="E423" s="2" t="s">
        <v>574</v>
      </c>
      <c r="F423" s="45" t="s">
        <v>575</v>
      </c>
    </row>
    <row r="424" spans="5:6" x14ac:dyDescent="0.3">
      <c r="E424" s="2" t="s">
        <v>328</v>
      </c>
      <c r="F424" s="45" t="s">
        <v>329</v>
      </c>
    </row>
    <row r="425" spans="5:6" x14ac:dyDescent="0.3">
      <c r="E425" s="2" t="s">
        <v>570</v>
      </c>
      <c r="F425" s="45" t="s">
        <v>571</v>
      </c>
    </row>
    <row r="426" spans="5:6" x14ac:dyDescent="0.3">
      <c r="E426" s="2" t="s">
        <v>934</v>
      </c>
      <c r="F426" s="45" t="s">
        <v>935</v>
      </c>
    </row>
    <row r="427" spans="5:6" x14ac:dyDescent="0.3">
      <c r="E427" s="2" t="s">
        <v>970</v>
      </c>
      <c r="F427" s="45" t="s">
        <v>971</v>
      </c>
    </row>
    <row r="428" spans="5:6" x14ac:dyDescent="0.3">
      <c r="E428" s="2" t="s">
        <v>804</v>
      </c>
      <c r="F428" s="45" t="s">
        <v>805</v>
      </c>
    </row>
    <row r="429" spans="5:6" x14ac:dyDescent="0.3">
      <c r="E429" s="2" t="s">
        <v>936</v>
      </c>
      <c r="F429" s="45" t="s">
        <v>937</v>
      </c>
    </row>
    <row r="430" spans="5:6" x14ac:dyDescent="0.3">
      <c r="E430" s="2" t="s">
        <v>702</v>
      </c>
      <c r="F430" s="45" t="s">
        <v>703</v>
      </c>
    </row>
    <row r="431" spans="5:6" x14ac:dyDescent="0.3">
      <c r="E431" s="2" t="s">
        <v>842</v>
      </c>
      <c r="F431" s="45" t="s">
        <v>843</v>
      </c>
    </row>
    <row r="432" spans="5:6" x14ac:dyDescent="0.3">
      <c r="E432" s="2" t="s">
        <v>1100</v>
      </c>
      <c r="F432" s="45" t="s">
        <v>1101</v>
      </c>
    </row>
    <row r="433" spans="5:6" x14ac:dyDescent="0.3">
      <c r="E433" s="2" t="s">
        <v>1084</v>
      </c>
      <c r="F433" s="45" t="s">
        <v>1085</v>
      </c>
    </row>
    <row r="434" spans="5:6" x14ac:dyDescent="0.3">
      <c r="E434" s="2" t="s">
        <v>832</v>
      </c>
      <c r="F434" s="45" t="s">
        <v>833</v>
      </c>
    </row>
    <row r="435" spans="5:6" x14ac:dyDescent="0.3">
      <c r="E435" s="2" t="s">
        <v>372</v>
      </c>
      <c r="F435" s="45" t="s">
        <v>373</v>
      </c>
    </row>
    <row r="436" spans="5:6" x14ac:dyDescent="0.3">
      <c r="E436" s="2" t="s">
        <v>686</v>
      </c>
      <c r="F436" s="45" t="s">
        <v>687</v>
      </c>
    </row>
    <row r="437" spans="5:6" x14ac:dyDescent="0.3">
      <c r="E437" s="2" t="s">
        <v>326</v>
      </c>
      <c r="F437" s="45" t="s">
        <v>327</v>
      </c>
    </row>
    <row r="438" spans="5:6" x14ac:dyDescent="0.3">
      <c r="E438" s="2" t="s">
        <v>1142</v>
      </c>
      <c r="F438" s="45" t="s">
        <v>1143</v>
      </c>
    </row>
    <row r="439" spans="5:6" x14ac:dyDescent="0.3">
      <c r="E439" s="2" t="s">
        <v>502</v>
      </c>
      <c r="F439" s="45" t="s">
        <v>503</v>
      </c>
    </row>
    <row r="440" spans="5:6" x14ac:dyDescent="0.3">
      <c r="E440" s="2" t="s">
        <v>906</v>
      </c>
      <c r="F440" s="45" t="s">
        <v>907</v>
      </c>
    </row>
    <row r="441" spans="5:6" x14ac:dyDescent="0.3">
      <c r="E441" s="2" t="s">
        <v>1116</v>
      </c>
      <c r="F441" s="45" t="s">
        <v>1117</v>
      </c>
    </row>
    <row r="442" spans="5:6" x14ac:dyDescent="0.3">
      <c r="E442" s="2" t="s">
        <v>624</v>
      </c>
      <c r="F442" s="45" t="s">
        <v>625</v>
      </c>
    </row>
    <row r="443" spans="5:6" x14ac:dyDescent="0.3">
      <c r="E443" s="2" t="s">
        <v>962</v>
      </c>
      <c r="F443" s="45" t="s">
        <v>963</v>
      </c>
    </row>
    <row r="444" spans="5:6" x14ac:dyDescent="0.3">
      <c r="E444" s="2" t="s">
        <v>538</v>
      </c>
      <c r="F444" s="45" t="s">
        <v>539</v>
      </c>
    </row>
    <row r="445" spans="5:6" x14ac:dyDescent="0.3">
      <c r="E445" s="2" t="s">
        <v>1178</v>
      </c>
      <c r="F445" s="45" t="s">
        <v>1179</v>
      </c>
    </row>
    <row r="446" spans="5:6" x14ac:dyDescent="0.3">
      <c r="E446" s="2" t="s">
        <v>526</v>
      </c>
      <c r="F446" s="45" t="s">
        <v>527</v>
      </c>
    </row>
    <row r="447" spans="5:6" x14ac:dyDescent="0.3">
      <c r="E447" s="2" t="s">
        <v>352</v>
      </c>
      <c r="F447" s="45" t="s">
        <v>353</v>
      </c>
    </row>
    <row r="448" spans="5:6" x14ac:dyDescent="0.3">
      <c r="E448" s="2" t="s">
        <v>300</v>
      </c>
      <c r="F448" s="45" t="s">
        <v>301</v>
      </c>
    </row>
    <row r="449" spans="5:6" x14ac:dyDescent="0.3">
      <c r="E449" s="2" t="s">
        <v>390</v>
      </c>
      <c r="F449" s="45" t="s">
        <v>391</v>
      </c>
    </row>
    <row r="450" spans="5:6" x14ac:dyDescent="0.3">
      <c r="E450" s="2" t="s">
        <v>900</v>
      </c>
      <c r="F450" s="45" t="s">
        <v>901</v>
      </c>
    </row>
    <row r="451" spans="5:6" x14ac:dyDescent="0.3">
      <c r="E451" s="2" t="s">
        <v>1080</v>
      </c>
      <c r="F451" s="45" t="s">
        <v>1081</v>
      </c>
    </row>
    <row r="452" spans="5:6" x14ac:dyDescent="0.3">
      <c r="E452" s="2" t="s">
        <v>668</v>
      </c>
      <c r="F452" s="45" t="s">
        <v>669</v>
      </c>
    </row>
    <row r="453" spans="5:6" x14ac:dyDescent="0.3">
      <c r="E453" s="2" t="s">
        <v>994</v>
      </c>
      <c r="F453" s="45" t="s">
        <v>995</v>
      </c>
    </row>
    <row r="454" spans="5:6" x14ac:dyDescent="0.3">
      <c r="E454" s="2" t="s">
        <v>830</v>
      </c>
      <c r="F454" s="45" t="s">
        <v>831</v>
      </c>
    </row>
    <row r="455" spans="5:6" x14ac:dyDescent="0.3">
      <c r="E455" s="2" t="s">
        <v>568</v>
      </c>
      <c r="F455" s="45" t="s">
        <v>569</v>
      </c>
    </row>
    <row r="456" spans="5:6" x14ac:dyDescent="0.3">
      <c r="E456" s="2" t="s">
        <v>786</v>
      </c>
      <c r="F456" s="45" t="s">
        <v>787</v>
      </c>
    </row>
    <row r="457" spans="5:6" x14ac:dyDescent="0.3">
      <c r="E457" s="2" t="s">
        <v>230</v>
      </c>
      <c r="F457" s="45" t="s">
        <v>231</v>
      </c>
    </row>
    <row r="458" spans="5:6" x14ac:dyDescent="0.3">
      <c r="E458" s="2" t="s">
        <v>998</v>
      </c>
      <c r="F458" s="45" t="s">
        <v>999</v>
      </c>
    </row>
    <row r="459" spans="5:6" x14ac:dyDescent="0.3">
      <c r="E459" s="2" t="s">
        <v>434</v>
      </c>
      <c r="F459" s="45" t="s">
        <v>435</v>
      </c>
    </row>
    <row r="460" spans="5:6" x14ac:dyDescent="0.3">
      <c r="E460" s="2" t="s">
        <v>780</v>
      </c>
      <c r="F460" s="45" t="s">
        <v>781</v>
      </c>
    </row>
    <row r="461" spans="5:6" x14ac:dyDescent="0.3">
      <c r="E461" s="2" t="s">
        <v>322</v>
      </c>
      <c r="F461" s="45" t="s">
        <v>323</v>
      </c>
    </row>
    <row r="462" spans="5:6" x14ac:dyDescent="0.3">
      <c r="E462" s="2" t="s">
        <v>1054</v>
      </c>
      <c r="F462" s="45" t="s">
        <v>1055</v>
      </c>
    </row>
    <row r="463" spans="5:6" x14ac:dyDescent="0.3">
      <c r="E463" s="2" t="s">
        <v>840</v>
      </c>
      <c r="F463" s="45" t="s">
        <v>841</v>
      </c>
    </row>
    <row r="464" spans="5:6" x14ac:dyDescent="0.3">
      <c r="E464" s="2" t="s">
        <v>760</v>
      </c>
      <c r="F464" s="45" t="s">
        <v>761</v>
      </c>
    </row>
    <row r="465" spans="5:6" x14ac:dyDescent="0.3">
      <c r="E465" s="2" t="s">
        <v>374</v>
      </c>
      <c r="F465" s="45" t="s">
        <v>375</v>
      </c>
    </row>
    <row r="466" spans="5:6" x14ac:dyDescent="0.3">
      <c r="E466" s="2" t="s">
        <v>1092</v>
      </c>
      <c r="F466" s="45" t="s">
        <v>1093</v>
      </c>
    </row>
    <row r="467" spans="5:6" x14ac:dyDescent="0.3">
      <c r="E467" s="2" t="s">
        <v>1134</v>
      </c>
      <c r="F467" s="45" t="s">
        <v>1135</v>
      </c>
    </row>
    <row r="468" spans="5:6" x14ac:dyDescent="0.3">
      <c r="E468" s="2" t="s">
        <v>940</v>
      </c>
      <c r="F468" s="45" t="s">
        <v>941</v>
      </c>
    </row>
    <row r="469" spans="5:6" x14ac:dyDescent="0.3">
      <c r="E469" s="2" t="s">
        <v>248</v>
      </c>
      <c r="F469" s="45" t="s">
        <v>249</v>
      </c>
    </row>
    <row r="470" spans="5:6" x14ac:dyDescent="0.3">
      <c r="E470" s="2" t="s">
        <v>358</v>
      </c>
      <c r="F470" s="45" t="s">
        <v>359</v>
      </c>
    </row>
    <row r="471" spans="5:6" x14ac:dyDescent="0.3">
      <c r="E471" s="2" t="s">
        <v>418</v>
      </c>
      <c r="F471" s="45" t="s">
        <v>419</v>
      </c>
    </row>
    <row r="472" spans="5:6" x14ac:dyDescent="0.3">
      <c r="E472" s="2" t="s">
        <v>580</v>
      </c>
      <c r="F472" s="45" t="s">
        <v>581</v>
      </c>
    </row>
    <row r="473" spans="5:6" x14ac:dyDescent="0.3">
      <c r="E473" s="2" t="s">
        <v>468</v>
      </c>
      <c r="F473" s="45" t="s">
        <v>469</v>
      </c>
    </row>
    <row r="474" spans="5:6" x14ac:dyDescent="0.3">
      <c r="E474" s="2" t="s">
        <v>244</v>
      </c>
      <c r="F474" s="45" t="s">
        <v>245</v>
      </c>
    </row>
    <row r="475" spans="5:6" x14ac:dyDescent="0.3">
      <c r="E475" s="2" t="s">
        <v>756</v>
      </c>
      <c r="F475" s="45" t="s">
        <v>757</v>
      </c>
    </row>
    <row r="476" spans="5:6" x14ac:dyDescent="0.3">
      <c r="E476" s="2" t="s">
        <v>652</v>
      </c>
      <c r="F476" s="45" t="s">
        <v>653</v>
      </c>
    </row>
    <row r="477" spans="5:6" x14ac:dyDescent="0.3">
      <c r="E477" s="2" t="s">
        <v>846</v>
      </c>
      <c r="F477" s="45" t="s">
        <v>847</v>
      </c>
    </row>
    <row r="478" spans="5:6" x14ac:dyDescent="0.3">
      <c r="E478" s="2" t="s">
        <v>706</v>
      </c>
      <c r="F478" s="45" t="s">
        <v>707</v>
      </c>
    </row>
    <row r="479" spans="5:6" x14ac:dyDescent="0.3">
      <c r="E479" s="2" t="s">
        <v>676</v>
      </c>
      <c r="F479" s="45" t="s">
        <v>677</v>
      </c>
    </row>
    <row r="480" spans="5:6" x14ac:dyDescent="0.3">
      <c r="E480" s="2" t="s">
        <v>1028</v>
      </c>
      <c r="F480" s="45" t="s">
        <v>1029</v>
      </c>
    </row>
    <row r="481" spans="5:6" x14ac:dyDescent="0.3">
      <c r="E481" s="2" t="s">
        <v>382</v>
      </c>
      <c r="F481" s="45" t="s">
        <v>383</v>
      </c>
    </row>
    <row r="482" spans="5:6" x14ac:dyDescent="0.3">
      <c r="E482" s="2" t="s">
        <v>600</v>
      </c>
      <c r="F482" s="45" t="s">
        <v>601</v>
      </c>
    </row>
    <row r="483" spans="5:6" x14ac:dyDescent="0.3">
      <c r="E483" s="2" t="s">
        <v>864</v>
      </c>
      <c r="F483" s="45" t="s">
        <v>865</v>
      </c>
    </row>
    <row r="484" spans="5:6" x14ac:dyDescent="0.3">
      <c r="E484" s="2" t="s">
        <v>1056</v>
      </c>
      <c r="F484" s="45" t="s">
        <v>1057</v>
      </c>
    </row>
    <row r="485" spans="5:6" x14ac:dyDescent="0.3">
      <c r="E485" s="2" t="s">
        <v>320</v>
      </c>
      <c r="F485" s="45" t="s">
        <v>321</v>
      </c>
    </row>
    <row r="486" spans="5:6" x14ac:dyDescent="0.3">
      <c r="E486" s="2" t="s">
        <v>722</v>
      </c>
      <c r="F486" s="45" t="s">
        <v>723</v>
      </c>
    </row>
    <row r="487" spans="5:6" x14ac:dyDescent="0.3">
      <c r="E487" s="2" t="s">
        <v>896</v>
      </c>
      <c r="F487" s="45" t="s">
        <v>897</v>
      </c>
    </row>
    <row r="488" spans="5:6" x14ac:dyDescent="0.3">
      <c r="E488" s="2" t="s">
        <v>1208</v>
      </c>
      <c r="F488" s="45" t="s">
        <v>1209</v>
      </c>
    </row>
    <row r="489" spans="5:6" x14ac:dyDescent="0.3">
      <c r="E489" s="2" t="s">
        <v>878</v>
      </c>
      <c r="F489" s="45" t="s">
        <v>879</v>
      </c>
    </row>
    <row r="490" spans="5:6" x14ac:dyDescent="0.3">
      <c r="E490" s="2" t="s">
        <v>898</v>
      </c>
      <c r="F490" s="45" t="s">
        <v>899</v>
      </c>
    </row>
    <row r="491" spans="5:6" x14ac:dyDescent="0.3">
      <c r="E491" s="2" t="s">
        <v>792</v>
      </c>
      <c r="F491" s="45" t="s">
        <v>793</v>
      </c>
    </row>
    <row r="492" spans="5:6" x14ac:dyDescent="0.3">
      <c r="E492" s="2" t="s">
        <v>486</v>
      </c>
      <c r="F492" s="45" t="s">
        <v>487</v>
      </c>
    </row>
    <row r="493" spans="5:6" x14ac:dyDescent="0.3">
      <c r="E493" s="2" t="s">
        <v>278</v>
      </c>
      <c r="F493" s="45" t="s">
        <v>279</v>
      </c>
    </row>
    <row r="494" spans="5:6" x14ac:dyDescent="0.3">
      <c r="E494" s="2" t="s">
        <v>476</v>
      </c>
      <c r="F494" s="45" t="s">
        <v>477</v>
      </c>
    </row>
    <row r="495" spans="5:6" x14ac:dyDescent="0.3">
      <c r="E495" s="2" t="s">
        <v>510</v>
      </c>
      <c r="F495" s="45" t="s">
        <v>511</v>
      </c>
    </row>
    <row r="496" spans="5:6" x14ac:dyDescent="0.3">
      <c r="E496" s="2" t="s">
        <v>256</v>
      </c>
      <c r="F496" s="45" t="s">
        <v>257</v>
      </c>
    </row>
    <row r="497" spans="5:6" x14ac:dyDescent="0.3">
      <c r="E497" s="2" t="s">
        <v>990</v>
      </c>
      <c r="F497" s="45" t="s">
        <v>991</v>
      </c>
    </row>
    <row r="498" spans="5:6" x14ac:dyDescent="0.3">
      <c r="E498" s="2" t="s">
        <v>892</v>
      </c>
      <c r="F498" s="45" t="s">
        <v>893</v>
      </c>
    </row>
    <row r="499" spans="5:6" x14ac:dyDescent="0.3">
      <c r="E499" s="2" t="s">
        <v>776</v>
      </c>
      <c r="F499" s="45" t="s">
        <v>777</v>
      </c>
    </row>
    <row r="500" spans="5:6" x14ac:dyDescent="0.3">
      <c r="E500" s="2" t="s">
        <v>902</v>
      </c>
      <c r="F500" s="45" t="s">
        <v>903</v>
      </c>
    </row>
    <row r="501" spans="5:6" x14ac:dyDescent="0.3">
      <c r="E501" s="2" t="s">
        <v>1172</v>
      </c>
      <c r="F501" s="45" t="s">
        <v>1173</v>
      </c>
    </row>
    <row r="502" spans="5:6" x14ac:dyDescent="0.3">
      <c r="E502" s="2" t="s">
        <v>698</v>
      </c>
      <c r="F502" s="45" t="s">
        <v>699</v>
      </c>
    </row>
    <row r="503" spans="5:6" x14ac:dyDescent="0.3">
      <c r="E503" s="2" t="s">
        <v>246</v>
      </c>
      <c r="F503" s="45" t="s">
        <v>247</v>
      </c>
    </row>
    <row r="504" spans="5:6" x14ac:dyDescent="0.3">
      <c r="E504" s="2" t="s">
        <v>796</v>
      </c>
      <c r="F504" s="45" t="s">
        <v>797</v>
      </c>
    </row>
    <row r="505" spans="5:6" x14ac:dyDescent="0.3">
      <c r="E505" s="2" t="s">
        <v>692</v>
      </c>
      <c r="F505" s="45" t="s">
        <v>693</v>
      </c>
    </row>
    <row r="506" spans="5:6" x14ac:dyDescent="0.3">
      <c r="E506" s="2" t="s">
        <v>908</v>
      </c>
      <c r="F506" s="45" t="s">
        <v>909</v>
      </c>
    </row>
    <row r="507" spans="5:6" x14ac:dyDescent="0.3">
      <c r="E507" s="2" t="s">
        <v>928</v>
      </c>
      <c r="F507" s="45" t="s">
        <v>929</v>
      </c>
    </row>
    <row r="508" spans="5:6" x14ac:dyDescent="0.3">
      <c r="E508" s="2" t="s">
        <v>466</v>
      </c>
      <c r="F508" s="45" t="s">
        <v>467</v>
      </c>
    </row>
  </sheetData>
  <sortState xmlns:xlrd2="http://schemas.microsoft.com/office/spreadsheetml/2017/richdata2" ref="L6:M10">
    <sortCondition ref="L6:L10"/>
  </sortState>
  <mergeCells count="1">
    <mergeCell ref="B1:C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SearchBox">
          <controlPr defaultSize="0" autoLine="0" linkedCell="B3" r:id="rId4">
            <anchor moveWithCells="1">
              <from>
                <xdr:col>1</xdr:col>
                <xdr:colOff>0</xdr:colOff>
                <xdr:row>1</xdr:row>
                <xdr:rowOff>137160</xdr:rowOff>
              </from>
              <to>
                <xdr:col>1</xdr:col>
                <xdr:colOff>2171700</xdr:colOff>
                <xdr:row>2</xdr:row>
                <xdr:rowOff>175260</xdr:rowOff>
              </to>
            </anchor>
          </controlPr>
        </control>
      </mc:Choice>
      <mc:Fallback>
        <control shapeId="5121" r:id="rId3" name="SearchBox"/>
      </mc:Fallback>
    </mc:AlternateContent>
    <mc:AlternateContent xmlns:mc="http://schemas.openxmlformats.org/markup-compatibility/2006">
      <mc:Choice Requires="x14">
        <control shapeId="5122" r:id="rId5" name="Button 2">
          <controlPr defaultSize="0" print="0" autoFill="0" autoPict="0" macro="[0]!SearchForTicker">
            <anchor moveWithCells="1" sizeWithCells="1">
              <from>
                <xdr:col>2</xdr:col>
                <xdr:colOff>106680</xdr:colOff>
                <xdr:row>1</xdr:row>
                <xdr:rowOff>121920</xdr:rowOff>
              </from>
              <to>
                <xdr:col>3</xdr:col>
                <xdr:colOff>236220</xdr:colOff>
                <xdr:row>2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92F50-6CBA-4F55-9B29-C2DDBAF38536}">
  <sheetPr codeName="Sheet2">
    <tabColor theme="9" tint="-0.249977111117893"/>
  </sheetPr>
  <dimension ref="A1:Q793"/>
  <sheetViews>
    <sheetView showRowColHeaders="0" tabSelected="1" topLeftCell="A3" zoomScaleNormal="100" workbookViewId="0">
      <selection activeCell="A11" sqref="A11"/>
    </sheetView>
  </sheetViews>
  <sheetFormatPr defaultColWidth="9.109375" defaultRowHeight="14.4" x14ac:dyDescent="0.3"/>
  <cols>
    <col min="1" max="1" width="21.44140625" style="2" customWidth="1"/>
    <col min="2" max="2" width="14.44140625" style="2" customWidth="1"/>
    <col min="3" max="3" width="5" style="2" bestFit="1" customWidth="1"/>
    <col min="4" max="4" width="11" style="14" bestFit="1" customWidth="1"/>
    <col min="5" max="5" width="6.88671875" style="15" bestFit="1" customWidth="1"/>
    <col min="6" max="6" width="10.6640625" style="2" bestFit="1" customWidth="1"/>
    <col min="7" max="7" width="12.5546875" style="2" customWidth="1"/>
    <col min="8" max="8" width="10" style="2" bestFit="1" customWidth="1"/>
    <col min="9" max="9" width="8.88671875" style="2" customWidth="1"/>
    <col min="10" max="10" width="18.88671875" style="2" customWidth="1"/>
    <col min="11" max="13" width="9.109375" style="2"/>
    <col min="14" max="14" width="25" style="2" bestFit="1" customWidth="1"/>
    <col min="15" max="15" width="13.88671875" style="2" bestFit="1" customWidth="1"/>
    <col min="16" max="16" width="2.6640625" style="2" bestFit="1" customWidth="1"/>
    <col min="17" max="17" width="11.77734375" style="2" bestFit="1" customWidth="1"/>
    <col min="18" max="18" width="9.109375" style="2"/>
    <col min="19" max="20" width="9.33203125" style="2" customWidth="1"/>
    <col min="21" max="21" width="11.109375" style="2" customWidth="1"/>
    <col min="22" max="43" width="9.109375" style="2"/>
    <col min="44" max="44" width="11.109375" style="2" bestFit="1" customWidth="1"/>
    <col min="45" max="47" width="9.109375" style="2"/>
    <col min="48" max="48" width="11.44140625" style="2" bestFit="1" customWidth="1"/>
    <col min="49" max="16384" width="9.109375" style="2"/>
  </cols>
  <sheetData>
    <row r="1" spans="1:17" ht="34.799999999999997" customHeight="1" x14ac:dyDescent="0.5">
      <c r="A1" s="21" t="s">
        <v>1336</v>
      </c>
      <c r="B1" s="13"/>
      <c r="C1" s="13"/>
      <c r="D1" s="72" t="s">
        <v>1338</v>
      </c>
      <c r="E1" s="72"/>
      <c r="F1" s="72"/>
      <c r="G1" s="72"/>
    </row>
    <row r="2" spans="1:17" ht="21.6" customHeight="1" x14ac:dyDescent="0.3"/>
    <row r="3" spans="1:17" ht="23.4" customHeight="1" x14ac:dyDescent="0.3">
      <c r="A3" s="47" t="s">
        <v>200</v>
      </c>
      <c r="B3" s="52">
        <f ca="1">TODAY()</f>
        <v>45721</v>
      </c>
      <c r="C3" s="19"/>
      <c r="D3" s="1"/>
      <c r="E3" s="2"/>
      <c r="F3" s="3"/>
      <c r="G3" s="4"/>
    </row>
    <row r="4" spans="1:17" ht="21.6" customHeight="1" x14ac:dyDescent="0.3">
      <c r="A4" s="47" t="s">
        <v>201</v>
      </c>
      <c r="B4" s="48" t="s">
        <v>213</v>
      </c>
      <c r="C4" s="46" t="s">
        <v>1337</v>
      </c>
      <c r="D4" s="20">
        <f ca="1">_xlfn.XLOOKUP(B4,Backdoor!DH5:DH16,Backdoor!DJ5:DJ16)</f>
        <v>40242</v>
      </c>
      <c r="E4" s="2"/>
      <c r="F4" s="3"/>
      <c r="G4" s="5"/>
    </row>
    <row r="5" spans="1:17" x14ac:dyDescent="0.3">
      <c r="A5" s="47" t="s">
        <v>216</v>
      </c>
      <c r="B5" s="48" t="s">
        <v>217</v>
      </c>
      <c r="C5" s="8"/>
      <c r="D5" s="2"/>
      <c r="E5" s="2"/>
      <c r="F5" s="3"/>
      <c r="G5" s="5"/>
    </row>
    <row r="6" spans="1:17" x14ac:dyDescent="0.3">
      <c r="A6" s="47" t="s">
        <v>1230</v>
      </c>
      <c r="B6" s="48" t="s">
        <v>227</v>
      </c>
      <c r="C6" s="8"/>
      <c r="E6" s="2"/>
      <c r="F6" s="3"/>
      <c r="G6" s="5"/>
    </row>
    <row r="7" spans="1:17" x14ac:dyDescent="0.3">
      <c r="B7" s="17" t="str" cm="1">
        <f t="array" ref="B7">_xlfn.IFS(
    B5="Stock", _xlfn.XLOOKUP(B6, 'Assets List'!F6:F508, 'Assets List'!E6:E508, "Loading..."),
    B5="ETF", _xlfn.XLOOKUP(B6, 'Assets List'!B6:B105, 'Assets List'!A6:A105, "Loading..."),B5="Mutual Fund", _xlfn.XLOOKUP(B6,'Assets List'!J6:J30, 'Assets List'!I6:I30, "Loading..."), B5="Crypto", _xlfn.XLOOKUP(B6,'Assets List'!N6:N10, 'Assets List'!L6:L10, "Loading...")
)</f>
        <v>Amazon.com Inc</v>
      </c>
      <c r="D7" s="2"/>
      <c r="E7" s="2"/>
      <c r="F7" s="3"/>
      <c r="G7" s="5"/>
    </row>
    <row r="8" spans="1:17" x14ac:dyDescent="0.3">
      <c r="D8" s="2"/>
      <c r="E8" s="2"/>
    </row>
    <row r="9" spans="1:17" ht="15.6" x14ac:dyDescent="0.3">
      <c r="A9" s="83" t="str" cm="1">
        <f t="array" aca="1" ref="A9:B793" ca="1">_xlfn.IFS(B4="1 Week", _xlfn.STOCKHISTORY(B6,Backdoor!DJ5,B3,0),B4="1 Month",_xlfn.STOCKHISTORY(B6,VLOOKUP(B4,Backdoor!DH5:DJ16,3,FALSE),B3,0),AND(B4&lt;&gt;"1 Week",B4&lt;&gt;"1 Month"),_xlfn.STOCKHISTORY(B6,VLOOKUP(B4,Backdoor!DH5:DJ16,3,FALSE),B3,1))</f>
        <v>Date</v>
      </c>
      <c r="B9" s="83" t="str">
        <f ca="1"/>
        <v>Close</v>
      </c>
      <c r="C9" s="81"/>
      <c r="D9" s="83" t="s">
        <v>1322</v>
      </c>
      <c r="E9" s="81" t="s">
        <v>1231</v>
      </c>
      <c r="G9" s="79" t="str" cm="1">
        <f t="array" ref="G9">_xlfn.IFS(B5="ETF","ETF Historical Closures", B5="Stock","Stock Historical Closures",B5="Mutual Fund","Mutual Fund Historical Closures",B5="Crypto","Cryptocurrency Historical Closures")</f>
        <v>Stock Historical Closures</v>
      </c>
      <c r="H9" s="6"/>
      <c r="I9" s="13"/>
      <c r="N9" s="79" t="s">
        <v>1354</v>
      </c>
      <c r="O9" s="6"/>
      <c r="P9" s="6"/>
      <c r="Q9" s="6"/>
    </row>
    <row r="10" spans="1:17" hidden="1" x14ac:dyDescent="0.3">
      <c r="A10" s="80" vm="3">
        <f ca="1"/>
        <v>40238</v>
      </c>
      <c r="B10" s="80" vm="1034">
        <f ca="1"/>
        <v>6.4455</v>
      </c>
      <c r="C10" s="39"/>
      <c r="D10" s="40" cm="1" vm="1035">
        <f t="array" aca="1" ref="D10:D793" ca="1">_xlfn.IFS(B4="1 Week", _xlfn.STOCKHISTORY("DJI",Backdoor!DJ5,B3,0,0,1),B4="1 Month",_xlfn.STOCKHISTORY("DJI",VLOOKUP(B4,Backdoor!DH5:DJ16,3,FALSE),B3,0,0,1),AND(B4&lt;&gt;"1 Week",B4&lt;&gt;"1 Month"),_xlfn.STOCKHISTORY("DJI",VLOOKUP(B4,Backdoor!DH5:DJ16,3,FALSE),B3,1,0,1))</f>
        <v>10566.197399999999</v>
      </c>
      <c r="E10" s="18"/>
      <c r="F10" s="10"/>
    </row>
    <row r="11" spans="1:17" x14ac:dyDescent="0.3">
      <c r="A11" s="82" vm="5">
        <f ca="1"/>
        <v>40245</v>
      </c>
      <c r="B11" s="17" vm="1036">
        <f ca="1"/>
        <v>6.5910000000000002</v>
      </c>
      <c r="C11" s="10"/>
      <c r="D11" s="9" vm="1037">
        <f ca="1"/>
        <v>10624.6924</v>
      </c>
      <c r="E11" s="11">
        <f t="shared" ref="E11:E36" ca="1" si="0">IF(B11&gt;0,B11/B10-1,"")</f>
        <v>2.2573888759599647E-2</v>
      </c>
      <c r="F11" s="12"/>
      <c r="N11" s="17" t="s">
        <v>1329</v>
      </c>
      <c r="O11" s="74" cm="1" vm="1038">
        <f t="array" aca="1" ref="O11" ca="1">LOOKUP(2, 1/(B11:B792&lt;&gt;""), B11:B792)</f>
        <v>212.28</v>
      </c>
      <c r="P11" s="35"/>
      <c r="Q11" s="35"/>
    </row>
    <row r="12" spans="1:17" x14ac:dyDescent="0.3">
      <c r="A12" s="82" vm="7">
        <f ca="1"/>
        <v>40252</v>
      </c>
      <c r="B12" s="17" vm="1039">
        <f ca="1"/>
        <v>6.5175000000000001</v>
      </c>
      <c r="C12" s="10"/>
      <c r="D12" s="9" vm="1040">
        <f ca="1"/>
        <v>10741.9846</v>
      </c>
      <c r="E12" s="11">
        <f t="shared" ca="1" si="0"/>
        <v>-1.1151570323167936E-2</v>
      </c>
      <c r="N12" s="17" t="s">
        <v>1226</v>
      </c>
      <c r="O12" s="63" cm="1">
        <f t="array" aca="1" ref="O12" ca="1">(INDEX(B10:B792,COUNTA(B10:B792)))/$B$10-1</f>
        <v>31.934605538747967</v>
      </c>
      <c r="P12" s="35"/>
      <c r="Q12" s="35"/>
    </row>
    <row r="13" spans="1:17" x14ac:dyDescent="0.3">
      <c r="A13" s="82" vm="9">
        <f ca="1"/>
        <v>40259</v>
      </c>
      <c r="B13" s="17" vm="1041">
        <f ca="1"/>
        <v>6.7530000000000001</v>
      </c>
      <c r="C13" s="10"/>
      <c r="D13" s="9" vm="1042">
        <f ca="1"/>
        <v>10850.358899999999</v>
      </c>
      <c r="E13" s="11">
        <f t="shared" ca="1" si="0"/>
        <v>3.6133486766398271E-2</v>
      </c>
      <c r="N13" s="17" t="s">
        <v>1228</v>
      </c>
      <c r="O13" s="58">
        <f ca="1">_xlfn.MAXIFS(B10:B793,B10:B793,"&lt;&gt;0")</f>
        <v>237.68</v>
      </c>
      <c r="P13" s="17" t="s">
        <v>1227</v>
      </c>
      <c r="Q13" s="17" vm="1033">
        <f ca="1">INDEX(A10:A792, MATCH(MAX(B10:B792), B10:B792, 0))</f>
        <v>45684</v>
      </c>
    </row>
    <row r="14" spans="1:17" x14ac:dyDescent="0.3">
      <c r="A14" s="82" vm="11">
        <f ca="1"/>
        <v>40266</v>
      </c>
      <c r="B14" s="17" vm="1043">
        <f ca="1"/>
        <v>6.5904999999999996</v>
      </c>
      <c r="C14" s="10"/>
      <c r="D14" s="9" vm="1044">
        <f ca="1"/>
        <v>10927.0674</v>
      </c>
      <c r="E14" s="11">
        <f t="shared" ca="1" si="0"/>
        <v>-2.406337923885693E-2</v>
      </c>
      <c r="N14" s="17" t="s">
        <v>1229</v>
      </c>
      <c r="O14" s="58">
        <f ca="1">_xlfn.MINIFS(B10:B793,B10:B793,"&lt;&gt;0")</f>
        <v>5.4569999999999999</v>
      </c>
      <c r="P14" s="17" t="s">
        <v>1227</v>
      </c>
      <c r="Q14" s="17" vm="37">
        <f ca="1">INDEX(A10:A792, MATCH(MIN(B10:B792), B10:B792, 0))</f>
        <v>40357</v>
      </c>
    </row>
    <row r="15" spans="1:17" x14ac:dyDescent="0.3">
      <c r="A15" s="82" vm="13">
        <f ca="1"/>
        <v>40273</v>
      </c>
      <c r="B15" s="17" vm="1045">
        <f ca="1"/>
        <v>7.0030000000000001</v>
      </c>
      <c r="C15" s="10"/>
      <c r="D15" s="9" vm="1046">
        <f ca="1"/>
        <v>10997.3521</v>
      </c>
      <c r="E15" s="11">
        <f t="shared" ca="1" si="0"/>
        <v>6.2590091798801373E-2</v>
      </c>
      <c r="N15" s="17" t="s">
        <v>1285</v>
      </c>
      <c r="O15" s="75">
        <f ca="1">O13-O14</f>
        <v>232.22300000000001</v>
      </c>
      <c r="P15" s="35"/>
      <c r="Q15" s="35"/>
    </row>
    <row r="16" spans="1:17" x14ac:dyDescent="0.3">
      <c r="A16" s="82" vm="15">
        <f ca="1"/>
        <v>40280</v>
      </c>
      <c r="B16" s="17" vm="1047">
        <f ca="1"/>
        <v>7.1086</v>
      </c>
      <c r="C16" s="10"/>
      <c r="D16" s="9" vm="1048">
        <f ca="1"/>
        <v>11018.664199999999</v>
      </c>
      <c r="E16" s="11">
        <f t="shared" ca="1" si="0"/>
        <v>1.50792517492504E-2</v>
      </c>
      <c r="N16" s="17" t="s">
        <v>1284</v>
      </c>
      <c r="O16" s="76">
        <f ca="1">IFERROR(AVERAGEIF(E11:E793,"&lt;&gt;0"),"Error!")</f>
        <v>5.368181840693949E-3</v>
      </c>
      <c r="P16" s="35"/>
      <c r="Q16" s="35"/>
    </row>
    <row r="17" spans="1:17" x14ac:dyDescent="0.3">
      <c r="A17" s="82" vm="17">
        <f ca="1"/>
        <v>40287</v>
      </c>
      <c r="B17" s="17" vm="1049">
        <f ca="1"/>
        <v>7.1814999999999998</v>
      </c>
      <c r="C17" s="10"/>
      <c r="D17" s="9" vm="1050">
        <f ca="1"/>
        <v>11204.276</v>
      </c>
      <c r="E17" s="11">
        <f t="shared" ca="1" si="0"/>
        <v>1.0255183861801243E-2</v>
      </c>
      <c r="N17" s="35"/>
      <c r="O17" s="35"/>
      <c r="P17" s="35"/>
      <c r="Q17" s="35"/>
    </row>
    <row r="18" spans="1:17" x14ac:dyDescent="0.3">
      <c r="A18" s="82" vm="19">
        <f ca="1"/>
        <v>40294</v>
      </c>
      <c r="B18" s="17" vm="1051">
        <f ca="1"/>
        <v>6.8550000000000004</v>
      </c>
      <c r="C18" s="10"/>
      <c r="D18" s="9" vm="1052">
        <f ca="1"/>
        <v>11008.6127</v>
      </c>
      <c r="E18" s="11">
        <f t="shared" ca="1" si="0"/>
        <v>-4.5464039546055712E-2</v>
      </c>
    </row>
    <row r="19" spans="1:17" ht="15.6" x14ac:dyDescent="0.3">
      <c r="A19" s="82" vm="21">
        <f ca="1"/>
        <v>40301</v>
      </c>
      <c r="B19" s="17" vm="1053">
        <f ca="1"/>
        <v>6.2489999999999997</v>
      </c>
      <c r="C19" s="10"/>
      <c r="D19" s="9" vm="1054">
        <f ca="1"/>
        <v>10380.4344</v>
      </c>
      <c r="E19" s="11">
        <f t="shared" ca="1" si="0"/>
        <v>-8.8402625820569014E-2</v>
      </c>
      <c r="N19" s="79" t="s">
        <v>1346</v>
      </c>
      <c r="O19" s="7"/>
      <c r="P19" s="7"/>
      <c r="Q19" s="7"/>
    </row>
    <row r="20" spans="1:17" x14ac:dyDescent="0.3">
      <c r="A20" s="82" vm="23">
        <f ca="1"/>
        <v>40308</v>
      </c>
      <c r="B20" s="17" vm="1055">
        <f ca="1"/>
        <v>6.4265999999999996</v>
      </c>
      <c r="C20" s="10"/>
      <c r="D20" s="9" vm="1056">
        <f ca="1"/>
        <v>10620.1579</v>
      </c>
      <c r="E20" s="11">
        <f t="shared" ca="1" si="0"/>
        <v>2.8420547287566045E-2</v>
      </c>
      <c r="N20" s="17" t="s">
        <v>1350</v>
      </c>
      <c r="O20" s="77">
        <f ca="1">IFERROR(_xlfn.COVARIANCE.S(Backdoor!DC6:INDEX(Backdoor!DC6:DC780, COUNTA(Backdoor!DC6:DC780)), Backdoor!DD6:INDEX(Backdoor!DD6:DD780, COUNTA(Backdoor!DD6:DD780))), "Error!")</f>
        <v>1.5489442977993425E-4</v>
      </c>
    </row>
    <row r="21" spans="1:17" x14ac:dyDescent="0.3">
      <c r="A21" s="82" vm="25">
        <f ca="1"/>
        <v>40315</v>
      </c>
      <c r="B21" s="17" vm="1057">
        <f ca="1"/>
        <v>6.1360000000000001</v>
      </c>
      <c r="C21" s="10"/>
      <c r="D21" s="9" vm="1058">
        <f ca="1"/>
        <v>10193.3866</v>
      </c>
      <c r="E21" s="11">
        <f t="shared" ca="1" si="0"/>
        <v>-4.5218311393271593E-2</v>
      </c>
      <c r="N21" s="17" t="s">
        <v>1351</v>
      </c>
      <c r="O21" s="77">
        <f ca="1">IFERROR(_xlfn.VAR.S(Backdoor!DC6:INDEX(Backdoor!DC6:DC780, COUNTA(Backdoor!DC6:DC780))), "Error!")</f>
        <v>1.8031671233869338E-3</v>
      </c>
    </row>
    <row r="22" spans="1:17" x14ac:dyDescent="0.3">
      <c r="A22" s="82" vm="27">
        <f ca="1"/>
        <v>40322</v>
      </c>
      <c r="B22" s="17" vm="1059">
        <f ca="1"/>
        <v>6.2729999999999997</v>
      </c>
      <c r="C22" s="10"/>
      <c r="D22" s="9" vm="1060">
        <f ca="1"/>
        <v>10136.6299</v>
      </c>
      <c r="E22" s="11">
        <f t="shared" ca="1" si="0"/>
        <v>2.2327249022164208E-2</v>
      </c>
      <c r="N22" s="17" t="s">
        <v>1352</v>
      </c>
      <c r="O22" s="78">
        <f ca="1">IFERROR(_xlfn.STDEV.S(Backdoor!DC6:INDEX(Backdoor!DC6:DC780, COUNTA(Backdoor!DC6:DC780))), "Error!")</f>
        <v>4.2463715374269052E-2</v>
      </c>
    </row>
    <row r="23" spans="1:17" x14ac:dyDescent="0.3">
      <c r="A23" s="82" vm="29">
        <f ca="1"/>
        <v>40330</v>
      </c>
      <c r="B23" s="17" vm="1061">
        <f ca="1"/>
        <v>6.1384999999999996</v>
      </c>
      <c r="C23" s="10"/>
      <c r="D23" s="9" vm="1062">
        <f ca="1"/>
        <v>9931.9732000000004</v>
      </c>
      <c r="E23" s="11">
        <f t="shared" ca="1" si="0"/>
        <v>-2.1441096763908818E-2</v>
      </c>
      <c r="N23" s="17" t="s">
        <v>1348</v>
      </c>
      <c r="O23" s="78">
        <f ca="1">SLOPE(Backdoor!DC6:DC784, Backdoor!DD6:DD784)</f>
        <v>0.31055434664315318</v>
      </c>
    </row>
    <row r="24" spans="1:17" x14ac:dyDescent="0.3">
      <c r="A24" s="82" vm="31">
        <f ca="1"/>
        <v>40336</v>
      </c>
      <c r="B24" s="17" vm="1063">
        <f ca="1"/>
        <v>6.1515000000000004</v>
      </c>
      <c r="C24" s="10"/>
      <c r="D24" s="9" vm="1064">
        <f ca="1"/>
        <v>10211.0712</v>
      </c>
      <c r="E24" s="11">
        <f t="shared" ca="1" si="0"/>
        <v>2.1177812169097532E-3</v>
      </c>
      <c r="N24" s="17" t="s">
        <v>1349</v>
      </c>
      <c r="O24" s="78">
        <f ca="1">IFERROR((AVERAGE(Backdoor!DC6:INDEX(Backdoor!DC6:DC780, COUNTA(Backdoor!DC6:DC780))) - Backdoor!C545) / O22, "Error!")</f>
        <v>-0.88901365163559254</v>
      </c>
    </row>
    <row r="25" spans="1:17" x14ac:dyDescent="0.3">
      <c r="A25" s="82" vm="33">
        <f ca="1"/>
        <v>40343</v>
      </c>
      <c r="B25" s="17" vm="1065">
        <f ca="1"/>
        <v>6.2915000000000001</v>
      </c>
      <c r="C25" s="10"/>
      <c r="D25" s="9" vm="1066">
        <f ca="1"/>
        <v>10450.6435</v>
      </c>
      <c r="E25" s="11">
        <f t="shared" ca="1" si="0"/>
        <v>2.2758676745509243E-2</v>
      </c>
      <c r="N25" s="17" t="s">
        <v>1347</v>
      </c>
      <c r="O25" s="78">
        <f ca="1">IFERROR((AVERAGE(Backdoor!DC6:INDEX(Backdoor!DC6:DC780, COUNTA(Backdoor!DC6:DC780))) - Backdoor!C545) / O23, "Error!")</f>
        <v>-0.12155947284251505</v>
      </c>
    </row>
    <row r="26" spans="1:17" ht="15.6" x14ac:dyDescent="0.3">
      <c r="A26" s="82" vm="35">
        <f ca="1"/>
        <v>40350</v>
      </c>
      <c r="B26" s="17" vm="1067">
        <f ca="1"/>
        <v>6.05</v>
      </c>
      <c r="C26" s="10"/>
      <c r="D26" s="9" vm="1068">
        <f ca="1"/>
        <v>10143.809499999999</v>
      </c>
      <c r="E26" s="11">
        <f t="shared" ca="1" si="0"/>
        <v>-3.8385122784709624E-2</v>
      </c>
      <c r="G26" s="79" t="s">
        <v>1341</v>
      </c>
      <c r="H26" s="13"/>
      <c r="I26" s="13"/>
      <c r="J26" s="13"/>
    </row>
    <row r="27" spans="1:17" x14ac:dyDescent="0.3">
      <c r="A27" s="82" vm="37">
        <f ca="1"/>
        <v>40357</v>
      </c>
      <c r="B27" s="17" vm="1069">
        <f ca="1"/>
        <v>5.4569999999999999</v>
      </c>
      <c r="C27" s="10"/>
      <c r="D27" s="9" vm="1070">
        <f ca="1"/>
        <v>9686.4822999999997</v>
      </c>
      <c r="E27" s="11">
        <f t="shared" ca="1" si="0"/>
        <v>-9.801652892561985E-2</v>
      </c>
    </row>
    <row r="28" spans="1:17" x14ac:dyDescent="0.3">
      <c r="A28" s="82" vm="39">
        <f ca="1"/>
        <v>40365</v>
      </c>
      <c r="B28" s="17" vm="1071">
        <f ca="1"/>
        <v>5.8630000000000004</v>
      </c>
      <c r="C28" s="10"/>
      <c r="D28" s="9" vm="1072">
        <f ca="1"/>
        <v>10198.026</v>
      </c>
      <c r="E28" s="11">
        <f t="shared" ca="1" si="0"/>
        <v>7.4399853399303773E-2</v>
      </c>
    </row>
    <row r="29" spans="1:17" x14ac:dyDescent="0.3">
      <c r="A29" s="82" vm="41">
        <f ca="1"/>
        <v>40371</v>
      </c>
      <c r="B29" s="17" vm="1073">
        <f ca="1"/>
        <v>5.9245000000000001</v>
      </c>
      <c r="C29" s="10"/>
      <c r="D29" s="9" vm="1074">
        <f ca="1"/>
        <v>10097.8969</v>
      </c>
      <c r="E29" s="11">
        <f t="shared" ca="1" si="0"/>
        <v>1.0489510489510412E-2</v>
      </c>
    </row>
    <row r="30" spans="1:17" x14ac:dyDescent="0.3">
      <c r="A30" s="82" vm="43">
        <f ca="1"/>
        <v>40378</v>
      </c>
      <c r="B30" s="17" vm="1075">
        <f ca="1"/>
        <v>5.9435000000000002</v>
      </c>
      <c r="C30" s="10"/>
      <c r="D30" s="9" vm="1076">
        <f ca="1"/>
        <v>10424.6219</v>
      </c>
      <c r="E30" s="11">
        <f t="shared" ca="1" si="0"/>
        <v>3.2070216895940806E-3</v>
      </c>
    </row>
    <row r="31" spans="1:17" x14ac:dyDescent="0.3">
      <c r="A31" s="82" vm="45">
        <f ca="1"/>
        <v>40385</v>
      </c>
      <c r="B31" s="17" vm="1077">
        <f ca="1"/>
        <v>5.8944999999999999</v>
      </c>
      <c r="C31" s="10"/>
      <c r="D31" s="9" vm="1078">
        <f ca="1"/>
        <v>10465.9449</v>
      </c>
      <c r="E31" s="11">
        <f t="shared" ca="1" si="0"/>
        <v>-8.2443004963406175E-3</v>
      </c>
    </row>
    <row r="32" spans="1:17" x14ac:dyDescent="0.3">
      <c r="A32" s="82" vm="47">
        <f ca="1"/>
        <v>40392</v>
      </c>
      <c r="B32" s="17" vm="1079">
        <f ca="1"/>
        <v>6.4160000000000004</v>
      </c>
      <c r="C32" s="10"/>
      <c r="D32" s="9" vm="1080">
        <f ca="1"/>
        <v>10653.563899999999</v>
      </c>
      <c r="E32" s="11">
        <f t="shared" ca="1" si="0"/>
        <v>8.8472304690813575E-2</v>
      </c>
    </row>
    <row r="33" spans="1:5" x14ac:dyDescent="0.3">
      <c r="A33" s="82" vm="49">
        <f ca="1"/>
        <v>40399</v>
      </c>
      <c r="B33" s="17" vm="1081">
        <f ca="1"/>
        <v>6.2344999999999997</v>
      </c>
      <c r="C33" s="10"/>
      <c r="D33" s="9" vm="1082">
        <f ca="1"/>
        <v>10303.150100000001</v>
      </c>
      <c r="E33" s="11">
        <f t="shared" ca="1" si="0"/>
        <v>-2.8288653366583594E-2</v>
      </c>
    </row>
    <row r="34" spans="1:5" x14ac:dyDescent="0.3">
      <c r="A34" s="82" vm="51">
        <f ca="1"/>
        <v>40406</v>
      </c>
      <c r="B34" s="17" vm="1083">
        <f ca="1"/>
        <v>6.3879999999999999</v>
      </c>
      <c r="C34" s="10"/>
      <c r="D34" s="9" vm="1084">
        <f ca="1"/>
        <v>10213.6167</v>
      </c>
      <c r="E34" s="11">
        <f t="shared" ca="1" si="0"/>
        <v>2.462106022936883E-2</v>
      </c>
    </row>
    <row r="35" spans="1:5" x14ac:dyDescent="0.3">
      <c r="A35" s="82" vm="53">
        <f ca="1"/>
        <v>40413</v>
      </c>
      <c r="B35" s="17" vm="1085">
        <f ca="1"/>
        <v>6.3319999999999999</v>
      </c>
      <c r="C35" s="10"/>
      <c r="D35" s="9" vm="1086">
        <f ca="1"/>
        <v>10150.6482</v>
      </c>
      <c r="E35" s="11">
        <f t="shared" ca="1" si="0"/>
        <v>-8.7664370695053062E-3</v>
      </c>
    </row>
    <row r="36" spans="1:5" x14ac:dyDescent="0.3">
      <c r="A36" s="82" vm="55">
        <f ca="1"/>
        <v>40420</v>
      </c>
      <c r="B36" s="17" vm="1087">
        <f ca="1"/>
        <v>6.9394999999999998</v>
      </c>
      <c r="C36" s="10"/>
      <c r="D36" s="9" vm="1088">
        <f ca="1"/>
        <v>10447.9323</v>
      </c>
      <c r="E36" s="11">
        <f t="shared" ca="1" si="0"/>
        <v>9.5941250789639998E-2</v>
      </c>
    </row>
    <row r="37" spans="1:5" x14ac:dyDescent="0.3">
      <c r="A37" s="82" vm="57">
        <f ca="1"/>
        <v>40428</v>
      </c>
      <c r="B37" s="17" vm="1089">
        <f ca="1"/>
        <v>7.1219999999999999</v>
      </c>
      <c r="C37" s="10"/>
      <c r="D37" s="9" vm="1090">
        <f ca="1"/>
        <v>10462.766299999999</v>
      </c>
      <c r="E37" s="11">
        <f t="shared" ref="E37:E74" ca="1" si="1">IF(B37&gt;0,B37/B36-1,"")</f>
        <v>2.6298724691980802E-2</v>
      </c>
    </row>
    <row r="38" spans="1:5" x14ac:dyDescent="0.3">
      <c r="A38" s="82" vm="59">
        <f ca="1"/>
        <v>40434</v>
      </c>
      <c r="B38" s="17" vm="1091">
        <f ca="1"/>
        <v>7.4162999999999997</v>
      </c>
      <c r="C38" s="10"/>
      <c r="D38" s="9" vm="1092">
        <f ca="1"/>
        <v>10607.851199999999</v>
      </c>
      <c r="E38" s="11">
        <f t="shared" ca="1" si="1"/>
        <v>4.1322662173546743E-2</v>
      </c>
    </row>
    <row r="39" spans="1:5" x14ac:dyDescent="0.3">
      <c r="A39" s="82" vm="61">
        <f ca="1"/>
        <v>40441</v>
      </c>
      <c r="B39" s="17" vm="1093">
        <f ca="1"/>
        <v>8.0365000000000002</v>
      </c>
      <c r="C39" s="10"/>
      <c r="D39" s="9" vm="1094">
        <f ca="1"/>
        <v>10860.2551</v>
      </c>
      <c r="E39" s="11">
        <f t="shared" ca="1" si="1"/>
        <v>8.3626606259185943E-2</v>
      </c>
    </row>
    <row r="40" spans="1:5" x14ac:dyDescent="0.3">
      <c r="A40" s="82" vm="63">
        <f ca="1"/>
        <v>40448</v>
      </c>
      <c r="B40" s="17" vm="1095">
        <f ca="1"/>
        <v>7.6855000000000002</v>
      </c>
      <c r="C40" s="10"/>
      <c r="D40" s="9" vm="1096">
        <f ca="1"/>
        <v>10829.679</v>
      </c>
      <c r="E40" s="11">
        <f t="shared" ca="1" si="1"/>
        <v>-4.3675729484228154E-2</v>
      </c>
    </row>
    <row r="41" spans="1:5" x14ac:dyDescent="0.3">
      <c r="A41" s="82" vm="65">
        <f ca="1"/>
        <v>40455</v>
      </c>
      <c r="B41" s="17" vm="1097">
        <f ca="1"/>
        <v>7.7774999999999999</v>
      </c>
      <c r="C41" s="10"/>
      <c r="D41" s="9" vm="1098">
        <f ca="1"/>
        <v>11006.4753</v>
      </c>
      <c r="E41" s="11">
        <f t="shared" ca="1" si="1"/>
        <v>1.1970593975668464E-2</v>
      </c>
    </row>
    <row r="42" spans="1:5" x14ac:dyDescent="0.3">
      <c r="A42" s="82" vm="67">
        <f ca="1"/>
        <v>40462</v>
      </c>
      <c r="B42" s="17" vm="1099">
        <f ca="1"/>
        <v>8.2319999999999993</v>
      </c>
      <c r="C42" s="10"/>
      <c r="D42" s="9" vm="1100">
        <f ca="1"/>
        <v>11062.7837</v>
      </c>
      <c r="E42" s="11">
        <f t="shared" ca="1" si="1"/>
        <v>5.8437801350048169E-2</v>
      </c>
    </row>
    <row r="43" spans="1:5" x14ac:dyDescent="0.3">
      <c r="A43" s="82" vm="69">
        <f ca="1"/>
        <v>40469</v>
      </c>
      <c r="B43" s="17" vm="1101">
        <f ca="1"/>
        <v>8.4565000000000001</v>
      </c>
      <c r="C43" s="10"/>
      <c r="D43" s="9" vm="1102">
        <f ca="1"/>
        <v>11132.563700000001</v>
      </c>
      <c r="E43" s="11">
        <f t="shared" ca="1" si="1"/>
        <v>2.7271622934888384E-2</v>
      </c>
    </row>
    <row r="44" spans="1:5" x14ac:dyDescent="0.3">
      <c r="A44" s="82" vm="71">
        <f ca="1"/>
        <v>40476</v>
      </c>
      <c r="B44" s="17" vm="1103">
        <f ca="1"/>
        <v>8.2614999999999998</v>
      </c>
      <c r="C44" s="10"/>
      <c r="D44" s="9" vm="1104">
        <f ca="1"/>
        <v>11118.4866</v>
      </c>
      <c r="E44" s="11">
        <f t="shared" ca="1" si="1"/>
        <v>-2.3059185242121472E-2</v>
      </c>
    </row>
    <row r="45" spans="1:5" x14ac:dyDescent="0.3">
      <c r="A45" s="82" vm="73">
        <f ca="1"/>
        <v>40483</v>
      </c>
      <c r="B45" s="17" vm="1105">
        <f ca="1"/>
        <v>8.5385000000000009</v>
      </c>
      <c r="C45" s="10"/>
      <c r="D45" s="9" vm="1106">
        <f ca="1"/>
        <v>11444.076300000001</v>
      </c>
      <c r="E45" s="11">
        <f t="shared" ca="1" si="1"/>
        <v>3.3529020153725275E-2</v>
      </c>
    </row>
    <row r="46" spans="1:5" x14ac:dyDescent="0.3">
      <c r="A46" s="82" vm="75">
        <f ca="1"/>
        <v>40490</v>
      </c>
      <c r="B46" s="17" vm="1107">
        <f ca="1"/>
        <v>8.2840000000000007</v>
      </c>
      <c r="C46" s="10"/>
      <c r="D46" s="9" vm="1108">
        <f ca="1"/>
        <v>11192.580599999999</v>
      </c>
      <c r="E46" s="11">
        <f t="shared" ca="1" si="1"/>
        <v>-2.9806172044270052E-2</v>
      </c>
    </row>
    <row r="47" spans="1:5" x14ac:dyDescent="0.3">
      <c r="A47" s="82" vm="77">
        <f ca="1"/>
        <v>40497</v>
      </c>
      <c r="B47" s="17" vm="1109">
        <f ca="1"/>
        <v>8.2409999999999997</v>
      </c>
      <c r="C47" s="10"/>
      <c r="D47" s="9" vm="1110">
        <f ca="1"/>
        <v>11203.554700000001</v>
      </c>
      <c r="E47" s="11">
        <f t="shared" ca="1" si="1"/>
        <v>-5.190729116368975E-3</v>
      </c>
    </row>
    <row r="48" spans="1:5" x14ac:dyDescent="0.3">
      <c r="A48" s="82" vm="79">
        <f ca="1"/>
        <v>40504</v>
      </c>
      <c r="B48" s="17" vm="1111">
        <f ca="1"/>
        <v>8.875</v>
      </c>
      <c r="C48" s="10"/>
      <c r="D48" s="9" vm="1112">
        <f ca="1"/>
        <v>11091.997499999999</v>
      </c>
      <c r="E48" s="11">
        <f t="shared" ca="1" si="1"/>
        <v>7.6932411115155919E-2</v>
      </c>
    </row>
    <row r="49" spans="1:5" x14ac:dyDescent="0.3">
      <c r="A49" s="82" vm="81">
        <f ca="1"/>
        <v>40511</v>
      </c>
      <c r="B49" s="17" vm="1113">
        <f ca="1"/>
        <v>8.7840000000000007</v>
      </c>
      <c r="C49" s="10"/>
      <c r="D49" s="9" vm="1114">
        <f ca="1"/>
        <v>11382.091700000001</v>
      </c>
      <c r="E49" s="11">
        <f t="shared" ca="1" si="1"/>
        <v>-1.0253521126760479E-2</v>
      </c>
    </row>
    <row r="50" spans="1:5" x14ac:dyDescent="0.3">
      <c r="A50" s="82" vm="83">
        <f ca="1"/>
        <v>40518</v>
      </c>
      <c r="B50" s="17" vm="1115">
        <f ca="1"/>
        <v>8.7810000000000006</v>
      </c>
      <c r="C50" s="10"/>
      <c r="D50" s="9" vm="1116">
        <f ca="1"/>
        <v>11410.3215</v>
      </c>
      <c r="E50" s="11">
        <f t="shared" ca="1" si="1"/>
        <v>-3.4153005464476749E-4</v>
      </c>
    </row>
    <row r="51" spans="1:5" x14ac:dyDescent="0.3">
      <c r="A51" s="82" vm="85">
        <f ca="1"/>
        <v>40525</v>
      </c>
      <c r="B51" s="17" vm="1117">
        <f ca="1"/>
        <v>8.8789999999999996</v>
      </c>
      <c r="C51" s="10"/>
      <c r="D51" s="9" vm="1118">
        <f ca="1"/>
        <v>11491.9082</v>
      </c>
      <c r="E51" s="11">
        <f t="shared" ca="1" si="1"/>
        <v>1.1160460084272739E-2</v>
      </c>
    </row>
    <row r="52" spans="1:5" x14ac:dyDescent="0.3">
      <c r="A52" s="82" vm="87">
        <f ca="1"/>
        <v>40532</v>
      </c>
      <c r="B52" s="17" vm="1119">
        <f ca="1"/>
        <v>9.1295000000000002</v>
      </c>
      <c r="C52" s="10"/>
      <c r="D52" s="9" vm="1120">
        <f ca="1"/>
        <v>11573.4948</v>
      </c>
      <c r="E52" s="11">
        <f t="shared" ca="1" si="1"/>
        <v>2.8212636558170967E-2</v>
      </c>
    </row>
    <row r="53" spans="1:5" x14ac:dyDescent="0.3">
      <c r="A53" s="82" vm="89">
        <f ca="1"/>
        <v>40539</v>
      </c>
      <c r="B53" s="17" vm="1121">
        <f ca="1"/>
        <v>9</v>
      </c>
      <c r="C53" s="10"/>
      <c r="D53" s="9" vm="1122">
        <f ca="1"/>
        <v>11577.505999999999</v>
      </c>
      <c r="E53" s="11">
        <f t="shared" ca="1" si="1"/>
        <v>-1.4184785585190873E-2</v>
      </c>
    </row>
    <row r="54" spans="1:5" x14ac:dyDescent="0.3">
      <c r="A54" s="82" vm="91">
        <f ca="1"/>
        <v>40546</v>
      </c>
      <c r="B54" s="17" vm="1123">
        <f ca="1"/>
        <v>9.2744999999999997</v>
      </c>
      <c r="C54" s="10"/>
      <c r="D54" s="9" vm="1124">
        <f ca="1"/>
        <v>11674.759099999999</v>
      </c>
      <c r="E54" s="11">
        <f t="shared" ca="1" si="1"/>
        <v>3.0499999999999972E-2</v>
      </c>
    </row>
    <row r="55" spans="1:5" x14ac:dyDescent="0.3">
      <c r="A55" s="82" vm="93">
        <f ca="1"/>
        <v>40553</v>
      </c>
      <c r="B55" s="17" vm="1125">
        <f ca="1"/>
        <v>9.4375</v>
      </c>
      <c r="C55" s="10"/>
      <c r="D55" s="9" vm="1126">
        <f ca="1"/>
        <v>11787.375899999999</v>
      </c>
      <c r="E55" s="11">
        <f t="shared" ca="1" si="1"/>
        <v>1.7575071432422318E-2</v>
      </c>
    </row>
    <row r="56" spans="1:5" x14ac:dyDescent="0.3">
      <c r="A56" s="82" vm="95">
        <f ca="1"/>
        <v>40561</v>
      </c>
      <c r="B56" s="17" vm="1127">
        <f ca="1"/>
        <v>8.8710000000000004</v>
      </c>
      <c r="C56" s="10"/>
      <c r="D56" s="9" vm="1128">
        <f ca="1"/>
        <v>11871.8385</v>
      </c>
      <c r="E56" s="11">
        <f t="shared" ca="1" si="1"/>
        <v>-6.0026490066225069E-2</v>
      </c>
    </row>
    <row r="57" spans="1:5" x14ac:dyDescent="0.3">
      <c r="A57" s="82" vm="97">
        <f ca="1"/>
        <v>40567</v>
      </c>
      <c r="B57" s="17" vm="1129">
        <f ca="1"/>
        <v>8.5570000000000004</v>
      </c>
      <c r="C57" s="10"/>
      <c r="D57" s="9" vm="1130">
        <f ca="1"/>
        <v>11823.7039</v>
      </c>
      <c r="E57" s="11">
        <f t="shared" ca="1" si="1"/>
        <v>-3.5396234922782099E-2</v>
      </c>
    </row>
    <row r="58" spans="1:5" x14ac:dyDescent="0.3">
      <c r="A58" s="82" vm="99">
        <f ca="1"/>
        <v>40574</v>
      </c>
      <c r="B58" s="17" vm="1131">
        <f ca="1"/>
        <v>8.7965</v>
      </c>
      <c r="C58" s="10"/>
      <c r="D58" s="9" vm="1132">
        <f ca="1"/>
        <v>12092.152700000001</v>
      </c>
      <c r="E58" s="11">
        <f t="shared" ca="1" si="1"/>
        <v>2.7988781114876682E-2</v>
      </c>
    </row>
    <row r="59" spans="1:5" x14ac:dyDescent="0.3">
      <c r="A59" s="82" vm="101">
        <f ca="1"/>
        <v>40581</v>
      </c>
      <c r="B59" s="17" vm="1133">
        <f ca="1"/>
        <v>9.4625000000000004</v>
      </c>
      <c r="C59" s="10"/>
      <c r="D59" s="9" vm="1134">
        <f ca="1"/>
        <v>12273.2629</v>
      </c>
      <c r="E59" s="11">
        <f t="shared" ca="1" si="1"/>
        <v>7.5711930881600775E-2</v>
      </c>
    </row>
    <row r="60" spans="1:5" x14ac:dyDescent="0.3">
      <c r="A60" s="82" vm="103">
        <f ca="1"/>
        <v>40588</v>
      </c>
      <c r="B60" s="17" vm="1135">
        <f ca="1"/>
        <v>9.3249999999999993</v>
      </c>
      <c r="C60" s="10"/>
      <c r="D60" s="9" vm="1136">
        <f ca="1"/>
        <v>12391.253199999999</v>
      </c>
      <c r="E60" s="11">
        <f t="shared" ca="1" si="1"/>
        <v>-1.4531043593130843E-2</v>
      </c>
    </row>
    <row r="61" spans="1:5" x14ac:dyDescent="0.3">
      <c r="A61" s="82" vm="105">
        <f ca="1"/>
        <v>40596</v>
      </c>
      <c r="B61" s="17" vm="1137">
        <f ca="1"/>
        <v>8.8620000000000001</v>
      </c>
      <c r="C61" s="10"/>
      <c r="D61" s="9" vm="1138">
        <f ca="1"/>
        <v>12130.448399999999</v>
      </c>
      <c r="E61" s="11">
        <f t="shared" ca="1" si="1"/>
        <v>-4.9651474530830964E-2</v>
      </c>
    </row>
    <row r="62" spans="1:5" x14ac:dyDescent="0.3">
      <c r="A62" s="82" vm="107">
        <f ca="1"/>
        <v>40602</v>
      </c>
      <c r="B62" s="17" vm="1139">
        <f ca="1"/>
        <v>8.5835000000000008</v>
      </c>
      <c r="C62" s="10"/>
      <c r="D62" s="9" vm="1140">
        <f ca="1"/>
        <v>12169.8794</v>
      </c>
      <c r="E62" s="11">
        <f t="shared" ca="1" si="1"/>
        <v>-3.1426314601670002E-2</v>
      </c>
    </row>
    <row r="63" spans="1:5" x14ac:dyDescent="0.3">
      <c r="A63" s="82" vm="109">
        <f ca="1"/>
        <v>40609</v>
      </c>
      <c r="B63" s="17" vm="1141">
        <f ca="1"/>
        <v>8.4034999999999993</v>
      </c>
      <c r="C63" s="10"/>
      <c r="D63" s="9" vm="1142">
        <f ca="1"/>
        <v>12044.396500000001</v>
      </c>
      <c r="E63" s="11">
        <f t="shared" ca="1" si="1"/>
        <v>-2.097046659288182E-2</v>
      </c>
    </row>
    <row r="64" spans="1:5" x14ac:dyDescent="0.3">
      <c r="A64" s="82" vm="111">
        <f ca="1"/>
        <v>40616</v>
      </c>
      <c r="B64" s="17" vm="1143">
        <f ca="1"/>
        <v>8.0909999999999993</v>
      </c>
      <c r="C64" s="10"/>
      <c r="D64" s="9" vm="1144">
        <f ca="1"/>
        <v>11858.5182</v>
      </c>
      <c r="E64" s="11">
        <f t="shared" ca="1" si="1"/>
        <v>-3.7186886416374132E-2</v>
      </c>
    </row>
    <row r="65" spans="1:5" x14ac:dyDescent="0.3">
      <c r="A65" s="82" vm="113">
        <f ca="1"/>
        <v>40623</v>
      </c>
      <c r="B65" s="17" vm="1145">
        <f ca="1"/>
        <v>8.5489999999999995</v>
      </c>
      <c r="C65" s="10"/>
      <c r="D65" s="9" vm="1146">
        <f ca="1"/>
        <v>12220.587299999999</v>
      </c>
      <c r="E65" s="11">
        <f t="shared" ca="1" si="1"/>
        <v>5.660610554937584E-2</v>
      </c>
    </row>
    <row r="66" spans="1:5" x14ac:dyDescent="0.3">
      <c r="A66" s="82" vm="115">
        <f ca="1"/>
        <v>40630</v>
      </c>
      <c r="B66" s="17" vm="1147">
        <f ca="1"/>
        <v>9.0065000000000008</v>
      </c>
      <c r="C66" s="10"/>
      <c r="D66" s="9" vm="1148">
        <f ca="1"/>
        <v>12376.722</v>
      </c>
      <c r="E66" s="11">
        <f t="shared" ca="1" si="1"/>
        <v>5.3515030997777657E-2</v>
      </c>
    </row>
    <row r="67" spans="1:5" x14ac:dyDescent="0.3">
      <c r="A67" s="82" vm="117">
        <f ca="1"/>
        <v>40637</v>
      </c>
      <c r="B67" s="17" vm="1149">
        <f ca="1"/>
        <v>9.2355</v>
      </c>
      <c r="C67" s="10"/>
      <c r="D67" s="9" vm="1150">
        <f ca="1"/>
        <v>12380.052</v>
      </c>
      <c r="E67" s="11">
        <f t="shared" ca="1" si="1"/>
        <v>2.5426081163604008E-2</v>
      </c>
    </row>
    <row r="68" spans="1:5" x14ac:dyDescent="0.3">
      <c r="A68" s="82" vm="119">
        <f ca="1"/>
        <v>40644</v>
      </c>
      <c r="B68" s="17" vm="1151">
        <f ca="1"/>
        <v>9.0005000000000006</v>
      </c>
      <c r="C68" s="10"/>
      <c r="D68" s="9" vm="1152">
        <f ca="1"/>
        <v>12341.832</v>
      </c>
      <c r="E68" s="11">
        <f t="shared" ca="1" si="1"/>
        <v>-2.5445292620865034E-2</v>
      </c>
    </row>
    <row r="69" spans="1:5" x14ac:dyDescent="0.3">
      <c r="A69" s="82" vm="121">
        <f ca="1"/>
        <v>40651</v>
      </c>
      <c r="B69" s="17" vm="1153">
        <f ca="1"/>
        <v>9.2944999999999993</v>
      </c>
      <c r="C69" s="10"/>
      <c r="D69" s="9" vm="1154">
        <f ca="1"/>
        <v>12505.989100000001</v>
      </c>
      <c r="E69" s="11">
        <f t="shared" ca="1" si="1"/>
        <v>3.2664851952669105E-2</v>
      </c>
    </row>
    <row r="70" spans="1:5" x14ac:dyDescent="0.3">
      <c r="A70" s="82" vm="123">
        <f ca="1"/>
        <v>40658</v>
      </c>
      <c r="B70" s="17" vm="1155">
        <f ca="1"/>
        <v>9.7904999999999998</v>
      </c>
      <c r="C70" s="10"/>
      <c r="D70" s="9" vm="1156">
        <f ca="1"/>
        <v>12810.5388</v>
      </c>
      <c r="E70" s="11">
        <f t="shared" ca="1" si="1"/>
        <v>5.3364893216418352E-2</v>
      </c>
    </row>
    <row r="71" spans="1:5" x14ac:dyDescent="0.3">
      <c r="A71" s="82" vm="125">
        <f ca="1"/>
        <v>40665</v>
      </c>
      <c r="B71" s="17" vm="1157">
        <f ca="1"/>
        <v>9.8800000000000008</v>
      </c>
      <c r="C71" s="10"/>
      <c r="D71" s="9" vm="1158">
        <f ca="1"/>
        <v>12638.7377</v>
      </c>
      <c r="E71" s="11">
        <f t="shared" ca="1" si="1"/>
        <v>9.1415147336704194E-3</v>
      </c>
    </row>
    <row r="72" spans="1:5" x14ac:dyDescent="0.3">
      <c r="A72" s="82" vm="127">
        <f ca="1"/>
        <v>40672</v>
      </c>
      <c r="B72" s="17" vm="1159">
        <f ca="1"/>
        <v>10.128</v>
      </c>
      <c r="C72" s="10"/>
      <c r="D72" s="9" vm="1160">
        <f ca="1"/>
        <v>12595.7495</v>
      </c>
      <c r="E72" s="11">
        <f t="shared" ca="1" si="1"/>
        <v>2.5101214574898778E-2</v>
      </c>
    </row>
    <row r="73" spans="1:5" x14ac:dyDescent="0.3">
      <c r="A73" s="82" vm="129">
        <f ca="1"/>
        <v>40679</v>
      </c>
      <c r="B73" s="17" vm="1161">
        <f ca="1"/>
        <v>9.9324999999999992</v>
      </c>
      <c r="C73" s="10"/>
      <c r="D73" s="9" vm="1162">
        <f ca="1"/>
        <v>12512.043799999999</v>
      </c>
      <c r="E73" s="11">
        <f t="shared" ca="1" si="1"/>
        <v>-1.9302922590837324E-2</v>
      </c>
    </row>
    <row r="74" spans="1:5" x14ac:dyDescent="0.3">
      <c r="A74" s="82" vm="131">
        <f ca="1"/>
        <v>40686</v>
      </c>
      <c r="B74" s="17" vm="1163">
        <f ca="1"/>
        <v>9.7065000000000001</v>
      </c>
      <c r="C74" s="10"/>
      <c r="D74" s="9" vm="1164">
        <f ca="1"/>
        <v>12441.5826</v>
      </c>
      <c r="E74" s="11">
        <f t="shared" ca="1" si="1"/>
        <v>-2.2753586710294371E-2</v>
      </c>
    </row>
    <row r="75" spans="1:5" x14ac:dyDescent="0.3">
      <c r="A75" s="82" vm="133">
        <f ca="1"/>
        <v>40694</v>
      </c>
      <c r="B75" s="17" vm="1165">
        <f ca="1"/>
        <v>9.4160000000000004</v>
      </c>
      <c r="C75" s="10"/>
      <c r="D75" s="9" vm="1166">
        <f ca="1"/>
        <v>12151.2613</v>
      </c>
      <c r="E75" s="11">
        <f t="shared" ref="E75:E138" ca="1" si="2">IF(B75&gt;0,B75/B74-1,"")</f>
        <v>-2.992839849585327E-2</v>
      </c>
    </row>
    <row r="76" spans="1:5" x14ac:dyDescent="0.3">
      <c r="A76" s="82" vm="135">
        <f ca="1"/>
        <v>40700</v>
      </c>
      <c r="B76" s="17" vm="1167">
        <f ca="1"/>
        <v>9.3264999999999993</v>
      </c>
      <c r="C76" s="10"/>
      <c r="D76" s="9" vm="1168">
        <f ca="1"/>
        <v>11951.9115</v>
      </c>
      <c r="E76" s="11">
        <f t="shared" ca="1" si="2"/>
        <v>-9.5050977060323616E-3</v>
      </c>
    </row>
    <row r="77" spans="1:5" x14ac:dyDescent="0.3">
      <c r="A77" s="82" vm="137">
        <f ca="1"/>
        <v>40707</v>
      </c>
      <c r="B77" s="17" vm="1169">
        <f ca="1"/>
        <v>9.3185000000000002</v>
      </c>
      <c r="C77" s="10"/>
      <c r="D77" s="9" vm="1170">
        <f ca="1"/>
        <v>12004.36</v>
      </c>
      <c r="E77" s="11">
        <f t="shared" ca="1" si="2"/>
        <v>-8.5777086795679747E-4</v>
      </c>
    </row>
    <row r="78" spans="1:5" x14ac:dyDescent="0.3">
      <c r="A78" s="82" vm="139">
        <f ca="1"/>
        <v>40714</v>
      </c>
      <c r="B78" s="17" vm="1171">
        <f ca="1"/>
        <v>9.6274999999999995</v>
      </c>
      <c r="C78" s="10"/>
      <c r="D78" s="9" vm="1172">
        <f ca="1"/>
        <v>11934.58</v>
      </c>
      <c r="E78" s="11">
        <f t="shared" ca="1" si="2"/>
        <v>3.3159843322423166E-2</v>
      </c>
    </row>
    <row r="79" spans="1:5" x14ac:dyDescent="0.3">
      <c r="A79" s="82" vm="141">
        <f ca="1"/>
        <v>40721</v>
      </c>
      <c r="B79" s="17" vm="1173">
        <f ca="1"/>
        <v>10.474500000000001</v>
      </c>
      <c r="C79" s="10"/>
      <c r="D79" s="9" vm="1174">
        <f ca="1"/>
        <v>12582.7698</v>
      </c>
      <c r="E79" s="11">
        <f t="shared" ca="1" si="2"/>
        <v>8.7977148792521609E-2</v>
      </c>
    </row>
    <row r="80" spans="1:5" x14ac:dyDescent="0.3">
      <c r="A80" s="82" vm="143">
        <f ca="1"/>
        <v>40729</v>
      </c>
      <c r="B80" s="17" vm="1175">
        <f ca="1"/>
        <v>10.914</v>
      </c>
      <c r="C80" s="10"/>
      <c r="D80" s="9" vm="1176">
        <f ca="1"/>
        <v>12657.204400000001</v>
      </c>
      <c r="E80" s="11">
        <f t="shared" ca="1" si="2"/>
        <v>4.1959043391092576E-2</v>
      </c>
    </row>
    <row r="81" spans="1:5" x14ac:dyDescent="0.3">
      <c r="A81" s="82" vm="145">
        <f ca="1"/>
        <v>40735</v>
      </c>
      <c r="B81" s="17" vm="1177">
        <f ca="1"/>
        <v>10.6435</v>
      </c>
      <c r="C81" s="10"/>
      <c r="D81" s="9" vm="1178">
        <f ca="1"/>
        <v>12479.727000000001</v>
      </c>
      <c r="E81" s="11">
        <f t="shared" ca="1" si="2"/>
        <v>-2.4784680227231126E-2</v>
      </c>
    </row>
    <row r="82" spans="1:5" x14ac:dyDescent="0.3">
      <c r="A82" s="82" vm="147">
        <f ca="1"/>
        <v>40742</v>
      </c>
      <c r="B82" s="17" vm="1179">
        <f ca="1"/>
        <v>10.826000000000001</v>
      </c>
      <c r="C82" s="10"/>
      <c r="D82" s="9" vm="1180">
        <f ca="1"/>
        <v>12681.1582</v>
      </c>
      <c r="E82" s="11">
        <f t="shared" ca="1" si="2"/>
        <v>1.7146615305115853E-2</v>
      </c>
    </row>
    <row r="83" spans="1:5" x14ac:dyDescent="0.3">
      <c r="A83" s="82" vm="149">
        <f ca="1"/>
        <v>40749</v>
      </c>
      <c r="B83" s="17" vm="1181">
        <f ca="1"/>
        <v>11.125999999999999</v>
      </c>
      <c r="C83" s="10"/>
      <c r="D83" s="9" vm="1182">
        <f ca="1"/>
        <v>12143.2389</v>
      </c>
      <c r="E83" s="11">
        <f t="shared" ca="1" si="2"/>
        <v>2.7711065952336966E-2</v>
      </c>
    </row>
    <row r="84" spans="1:5" x14ac:dyDescent="0.3">
      <c r="A84" s="82" vm="151">
        <f ca="1"/>
        <v>40756</v>
      </c>
      <c r="B84" s="17" vm="1183">
        <f ca="1"/>
        <v>10.135</v>
      </c>
      <c r="C84" s="10"/>
      <c r="D84" s="9" vm="1184">
        <f ca="1"/>
        <v>11444.606100000001</v>
      </c>
      <c r="E84" s="11">
        <f t="shared" ca="1" si="2"/>
        <v>-8.9070645335250775E-2</v>
      </c>
    </row>
    <row r="85" spans="1:5" x14ac:dyDescent="0.3">
      <c r="A85" s="82" vm="153">
        <f ca="1"/>
        <v>40763</v>
      </c>
      <c r="B85" s="17" vm="1185">
        <f ca="1"/>
        <v>10.115</v>
      </c>
      <c r="C85" s="10"/>
      <c r="D85" s="9" vm="1186">
        <f ca="1"/>
        <v>11269.0208</v>
      </c>
      <c r="E85" s="11">
        <f t="shared" ca="1" si="2"/>
        <v>-1.9733596447951696E-3</v>
      </c>
    </row>
    <row r="86" spans="1:5" x14ac:dyDescent="0.3">
      <c r="A86" s="82" vm="155">
        <f ca="1"/>
        <v>40770</v>
      </c>
      <c r="B86" s="17" vm="1187">
        <f ca="1"/>
        <v>8.9465000000000003</v>
      </c>
      <c r="C86" s="10"/>
      <c r="D86" s="9" vm="1188">
        <f ca="1"/>
        <v>10817.645399999999</v>
      </c>
      <c r="E86" s="11">
        <f t="shared" ca="1" si="2"/>
        <v>-0.11552150271873451</v>
      </c>
    </row>
    <row r="87" spans="1:5" x14ac:dyDescent="0.3">
      <c r="A87" s="82" vm="157">
        <f ca="1"/>
        <v>40777</v>
      </c>
      <c r="B87" s="17" vm="1189">
        <f ca="1"/>
        <v>9.9634999999999998</v>
      </c>
      <c r="C87" s="10"/>
      <c r="D87" s="9" vm="1190">
        <f ca="1"/>
        <v>11284.535900000001</v>
      </c>
      <c r="E87" s="11">
        <f t="shared" ca="1" si="2"/>
        <v>0.11367573911585538</v>
      </c>
    </row>
    <row r="88" spans="1:5" x14ac:dyDescent="0.3">
      <c r="A88" s="82" vm="159">
        <f ca="1"/>
        <v>40784</v>
      </c>
      <c r="B88" s="17" vm="1191">
        <f ca="1"/>
        <v>10.5</v>
      </c>
      <c r="C88" s="10"/>
      <c r="D88" s="9" vm="1192">
        <f ca="1"/>
        <v>11240.2611</v>
      </c>
      <c r="E88" s="11">
        <f t="shared" ca="1" si="2"/>
        <v>5.3846539870527454E-2</v>
      </c>
    </row>
    <row r="89" spans="1:5" x14ac:dyDescent="0.3">
      <c r="A89" s="82" vm="161">
        <f ca="1"/>
        <v>40792</v>
      </c>
      <c r="B89" s="17" vm="1193">
        <f ca="1"/>
        <v>10.5695</v>
      </c>
      <c r="C89" s="10"/>
      <c r="D89" s="9" vm="1194">
        <f ca="1"/>
        <v>10992.1333</v>
      </c>
      <c r="E89" s="11">
        <f t="shared" ca="1" si="2"/>
        <v>6.6190476190475245E-3</v>
      </c>
    </row>
    <row r="90" spans="1:5" x14ac:dyDescent="0.3">
      <c r="A90" s="82" vm="163">
        <f ca="1"/>
        <v>40798</v>
      </c>
      <c r="B90" s="17" vm="1195">
        <f ca="1"/>
        <v>11.965</v>
      </c>
      <c r="C90" s="10"/>
      <c r="D90" s="9" vm="1196">
        <f ca="1"/>
        <v>11509.088299999999</v>
      </c>
      <c r="E90" s="11">
        <f t="shared" ca="1" si="2"/>
        <v>0.13203084346468619</v>
      </c>
    </row>
    <row r="91" spans="1:5" x14ac:dyDescent="0.3">
      <c r="A91" s="82" vm="165">
        <f ca="1"/>
        <v>40805</v>
      </c>
      <c r="B91" s="17" vm="1197">
        <f ca="1"/>
        <v>11.1805</v>
      </c>
      <c r="C91" s="10"/>
      <c r="D91" s="9" vm="1198">
        <f ca="1"/>
        <v>10771.4786</v>
      </c>
      <c r="E91" s="11">
        <f t="shared" ca="1" si="2"/>
        <v>-6.5566234851650584E-2</v>
      </c>
    </row>
    <row r="92" spans="1:5" x14ac:dyDescent="0.3">
      <c r="A92" s="82" vm="167">
        <f ca="1"/>
        <v>40812</v>
      </c>
      <c r="B92" s="17" vm="1199">
        <f ca="1"/>
        <v>10.811500000000001</v>
      </c>
      <c r="C92" s="10"/>
      <c r="D92" s="9" vm="1200">
        <f ca="1"/>
        <v>10913.3848</v>
      </c>
      <c r="E92" s="11">
        <f t="shared" ca="1" si="2"/>
        <v>-3.3003890702562488E-2</v>
      </c>
    </row>
    <row r="93" spans="1:5" x14ac:dyDescent="0.3">
      <c r="A93" s="82" vm="169">
        <f ca="1"/>
        <v>40819</v>
      </c>
      <c r="B93" s="17" vm="1201">
        <f ca="1"/>
        <v>11.237</v>
      </c>
      <c r="C93" s="10"/>
      <c r="D93" s="9" vm="1202">
        <f ca="1"/>
        <v>11103.1229</v>
      </c>
      <c r="E93" s="11">
        <f t="shared" ca="1" si="2"/>
        <v>3.9356241039633755E-2</v>
      </c>
    </row>
    <row r="94" spans="1:5" x14ac:dyDescent="0.3">
      <c r="A94" s="82" vm="171">
        <f ca="1"/>
        <v>40826</v>
      </c>
      <c r="B94" s="17" vm="1203">
        <f ca="1"/>
        <v>12.3355</v>
      </c>
      <c r="C94" s="10"/>
      <c r="D94" s="9" vm="1204">
        <f ca="1"/>
        <v>11644.4858</v>
      </c>
      <c r="E94" s="11">
        <f t="shared" ca="1" si="2"/>
        <v>9.7757408561003789E-2</v>
      </c>
    </row>
    <row r="95" spans="1:5" x14ac:dyDescent="0.3">
      <c r="A95" s="82" vm="173">
        <f ca="1"/>
        <v>40833</v>
      </c>
      <c r="B95" s="17" vm="1205">
        <f ca="1"/>
        <v>11.739000000000001</v>
      </c>
      <c r="C95" s="10"/>
      <c r="D95" s="9" vm="1206">
        <f ca="1"/>
        <v>11808.7943</v>
      </c>
      <c r="E95" s="11">
        <f t="shared" ca="1" si="2"/>
        <v>-4.8356369826922263E-2</v>
      </c>
    </row>
    <row r="96" spans="1:5" x14ac:dyDescent="0.3">
      <c r="A96" s="82" vm="175">
        <f ca="1"/>
        <v>40840</v>
      </c>
      <c r="B96" s="17" vm="1207">
        <f ca="1"/>
        <v>10.866</v>
      </c>
      <c r="C96" s="10"/>
      <c r="D96" s="9" vm="1208">
        <f ca="1"/>
        <v>12231.1072</v>
      </c>
      <c r="E96" s="11">
        <f t="shared" ca="1" si="2"/>
        <v>-7.4367492972144178E-2</v>
      </c>
    </row>
    <row r="97" spans="1:5" x14ac:dyDescent="0.3">
      <c r="A97" s="82" vm="177">
        <f ca="1"/>
        <v>40847</v>
      </c>
      <c r="B97" s="17" vm="1209">
        <f ca="1"/>
        <v>10.824</v>
      </c>
      <c r="C97" s="10"/>
      <c r="D97" s="9" vm="1210">
        <f ca="1"/>
        <v>11983.2444</v>
      </c>
      <c r="E97" s="11">
        <f t="shared" ca="1" si="2"/>
        <v>-3.8652678078409108E-3</v>
      </c>
    </row>
    <row r="98" spans="1:5" x14ac:dyDescent="0.3">
      <c r="A98" s="82" vm="179">
        <f ca="1"/>
        <v>40854</v>
      </c>
      <c r="B98" s="17" vm="1211">
        <f ca="1"/>
        <v>10.8695</v>
      </c>
      <c r="C98" s="10"/>
      <c r="D98" s="9" vm="1212">
        <f ca="1"/>
        <v>12153.683199999999</v>
      </c>
      <c r="E98" s="11">
        <f t="shared" ca="1" si="2"/>
        <v>4.2036215816703137E-3</v>
      </c>
    </row>
    <row r="99" spans="1:5" x14ac:dyDescent="0.3">
      <c r="A99" s="82" vm="181">
        <f ca="1"/>
        <v>40861</v>
      </c>
      <c r="B99" s="17" vm="1213">
        <f ca="1"/>
        <v>9.8569999999999993</v>
      </c>
      <c r="C99" s="10"/>
      <c r="D99" s="9" vm="1214">
        <f ca="1"/>
        <v>11796.155199999999</v>
      </c>
      <c r="E99" s="11">
        <f t="shared" ca="1" si="2"/>
        <v>-9.3150558903353553E-2</v>
      </c>
    </row>
    <row r="100" spans="1:5" x14ac:dyDescent="0.3">
      <c r="A100" s="82" vm="183">
        <f ca="1"/>
        <v>40868</v>
      </c>
      <c r="B100" s="17" vm="1215">
        <f ca="1"/>
        <v>9.1199999999999992</v>
      </c>
      <c r="C100" s="10"/>
      <c r="D100" s="9" vm="1216">
        <f ca="1"/>
        <v>11231.784600000001</v>
      </c>
      <c r="E100" s="11">
        <f t="shared" ca="1" si="2"/>
        <v>-7.4769199553616716E-2</v>
      </c>
    </row>
    <row r="101" spans="1:5" x14ac:dyDescent="0.3">
      <c r="A101" s="82" vm="185">
        <f ca="1"/>
        <v>40875</v>
      </c>
      <c r="B101" s="17" vm="1217">
        <f ca="1"/>
        <v>9.8015000000000008</v>
      </c>
      <c r="C101" s="10"/>
      <c r="D101" s="9" vm="1218">
        <f ca="1"/>
        <v>12019.421</v>
      </c>
      <c r="E101" s="11">
        <f t="shared" ca="1" si="2"/>
        <v>7.4725877192982626E-2</v>
      </c>
    </row>
    <row r="102" spans="1:5" x14ac:dyDescent="0.3">
      <c r="A102" s="82" vm="187">
        <f ca="1"/>
        <v>40882</v>
      </c>
      <c r="B102" s="17" vm="1219">
        <f ca="1"/>
        <v>9.6515000000000004</v>
      </c>
      <c r="C102" s="10"/>
      <c r="D102" s="9" vm="1220">
        <f ca="1"/>
        <v>12184.2593</v>
      </c>
      <c r="E102" s="11">
        <f t="shared" ca="1" si="2"/>
        <v>-1.530378003366839E-2</v>
      </c>
    </row>
    <row r="103" spans="1:5" x14ac:dyDescent="0.3">
      <c r="A103" s="82" vm="189">
        <f ca="1"/>
        <v>40889</v>
      </c>
      <c r="B103" s="17" vm="1221">
        <f ca="1"/>
        <v>9.0630000000000006</v>
      </c>
      <c r="C103" s="10"/>
      <c r="D103" s="9" vm="1222">
        <f ca="1"/>
        <v>11866.389300000001</v>
      </c>
      <c r="E103" s="11">
        <f t="shared" ca="1" si="2"/>
        <v>-6.0974977982697021E-2</v>
      </c>
    </row>
    <row r="104" spans="1:5" x14ac:dyDescent="0.3">
      <c r="A104" s="82" vm="191">
        <f ca="1"/>
        <v>40896</v>
      </c>
      <c r="B104" s="17" vm="1223">
        <f ca="1"/>
        <v>8.8640000000000008</v>
      </c>
      <c r="C104" s="10"/>
      <c r="D104" s="9" vm="1224">
        <f ca="1"/>
        <v>12294.000099999999</v>
      </c>
      <c r="E104" s="11">
        <f t="shared" ca="1" si="2"/>
        <v>-2.1957409246386339E-2</v>
      </c>
    </row>
    <row r="105" spans="1:5" x14ac:dyDescent="0.3">
      <c r="A105" s="82" vm="193">
        <f ca="1"/>
        <v>40904</v>
      </c>
      <c r="B105" s="17" vm="1225">
        <f ca="1"/>
        <v>8.6549999999999994</v>
      </c>
      <c r="C105" s="10"/>
      <c r="D105" s="9" vm="1226">
        <f ca="1"/>
        <v>12217.5599</v>
      </c>
      <c r="E105" s="11">
        <f t="shared" ca="1" si="2"/>
        <v>-2.3578519855595781E-2</v>
      </c>
    </row>
    <row r="106" spans="1:5" x14ac:dyDescent="0.3">
      <c r="A106" s="82" vm="195">
        <f ca="1"/>
        <v>40911</v>
      </c>
      <c r="B106" s="17" vm="1227">
        <f ca="1"/>
        <v>9.1304999999999996</v>
      </c>
      <c r="C106" s="10"/>
      <c r="D106" s="9" vm="1228">
        <f ca="1"/>
        <v>12359.9203</v>
      </c>
      <c r="E106" s="11">
        <f t="shared" ca="1" si="2"/>
        <v>5.4939341421143872E-2</v>
      </c>
    </row>
    <row r="107" spans="1:5" x14ac:dyDescent="0.3">
      <c r="A107" s="82" vm="197">
        <f ca="1"/>
        <v>40917</v>
      </c>
      <c r="B107" s="17" vm="1229">
        <f ca="1"/>
        <v>8.9209999999999994</v>
      </c>
      <c r="C107" s="10"/>
      <c r="D107" s="9" vm="1230">
        <f ca="1"/>
        <v>12422.0563</v>
      </c>
      <c r="E107" s="11">
        <f t="shared" ca="1" si="2"/>
        <v>-2.294507420185099E-2</v>
      </c>
    </row>
    <row r="108" spans="1:5" x14ac:dyDescent="0.3">
      <c r="A108" s="82" vm="199">
        <f ca="1"/>
        <v>40925</v>
      </c>
      <c r="B108" s="17" vm="1231">
        <f ca="1"/>
        <v>9.5465</v>
      </c>
      <c r="C108" s="10"/>
      <c r="D108" s="9" vm="1232">
        <f ca="1"/>
        <v>12720.475700000001</v>
      </c>
      <c r="E108" s="11">
        <f t="shared" ca="1" si="2"/>
        <v>7.0115457908306311E-2</v>
      </c>
    </row>
    <row r="109" spans="1:5" x14ac:dyDescent="0.3">
      <c r="A109" s="82" vm="201">
        <f ca="1"/>
        <v>40931</v>
      </c>
      <c r="B109" s="17" vm="1233">
        <f ca="1"/>
        <v>9.7684999999999995</v>
      </c>
      <c r="C109" s="10"/>
      <c r="D109" s="9" vm="1234">
        <f ca="1"/>
        <v>12660.4588</v>
      </c>
      <c r="E109" s="11">
        <f t="shared" ca="1" si="2"/>
        <v>2.3254595925208177E-2</v>
      </c>
    </row>
    <row r="110" spans="1:5" x14ac:dyDescent="0.3">
      <c r="A110" s="82" vm="203">
        <f ca="1"/>
        <v>40938</v>
      </c>
      <c r="B110" s="17" vm="1235">
        <f ca="1"/>
        <v>9.3840000000000003</v>
      </c>
      <c r="C110" s="10"/>
      <c r="D110" s="9" vm="1236">
        <f ca="1"/>
        <v>12862.2305</v>
      </c>
      <c r="E110" s="11">
        <f t="shared" ca="1" si="2"/>
        <v>-3.9361212059169648E-2</v>
      </c>
    </row>
    <row r="111" spans="1:5" x14ac:dyDescent="0.3">
      <c r="A111" s="82" vm="205">
        <f ca="1"/>
        <v>40945</v>
      </c>
      <c r="B111" s="17" vm="1237">
        <f ca="1"/>
        <v>9.2769999999999992</v>
      </c>
      <c r="C111" s="10"/>
      <c r="D111" s="9" vm="1238">
        <f ca="1"/>
        <v>12801.229799999999</v>
      </c>
      <c r="E111" s="11">
        <f t="shared" ca="1" si="2"/>
        <v>-1.1402387041773321E-2</v>
      </c>
    </row>
    <row r="112" spans="1:5" x14ac:dyDescent="0.3">
      <c r="A112" s="82" vm="207">
        <f ca="1"/>
        <v>40952</v>
      </c>
      <c r="B112" s="17" vm="1239">
        <f ca="1"/>
        <v>9.125</v>
      </c>
      <c r="C112" s="10"/>
      <c r="D112" s="9" vm="1240">
        <f ca="1"/>
        <v>12949.871800000001</v>
      </c>
      <c r="E112" s="11">
        <f t="shared" ca="1" si="2"/>
        <v>-1.6384607092810088E-2</v>
      </c>
    </row>
    <row r="113" spans="1:5" x14ac:dyDescent="0.3">
      <c r="A113" s="82" vm="209">
        <f ca="1"/>
        <v>40960</v>
      </c>
      <c r="B113" s="17" vm="1241">
        <f ca="1"/>
        <v>8.9565000000000001</v>
      </c>
      <c r="C113" s="10"/>
      <c r="D113" s="9" vm="1242">
        <f ca="1"/>
        <v>12982.9455</v>
      </c>
      <c r="E113" s="11">
        <f t="shared" ca="1" si="2"/>
        <v>-1.8465753424657505E-2</v>
      </c>
    </row>
    <row r="114" spans="1:5" x14ac:dyDescent="0.3">
      <c r="A114" s="82" vm="211">
        <f ca="1"/>
        <v>40966</v>
      </c>
      <c r="B114" s="17" vm="1243">
        <f ca="1"/>
        <v>8.9649999999999999</v>
      </c>
      <c r="C114" s="10"/>
      <c r="D114" s="9" vm="1244">
        <f ca="1"/>
        <v>12977.571900000001</v>
      </c>
      <c r="E114" s="11">
        <f t="shared" ca="1" si="2"/>
        <v>9.4903142968782994E-4</v>
      </c>
    </row>
    <row r="115" spans="1:5" x14ac:dyDescent="0.3">
      <c r="A115" s="82" vm="213">
        <f ca="1"/>
        <v>40973</v>
      </c>
      <c r="B115" s="17" vm="1245">
        <f ca="1"/>
        <v>9.2159999999999993</v>
      </c>
      <c r="C115" s="10"/>
      <c r="D115" s="9" vm="1246">
        <f ca="1"/>
        <v>12922.020399999999</v>
      </c>
      <c r="E115" s="11">
        <f t="shared" ca="1" si="2"/>
        <v>2.7997769102063419E-2</v>
      </c>
    </row>
    <row r="116" spans="1:5" x14ac:dyDescent="0.3">
      <c r="A116" s="82" vm="215">
        <f ca="1"/>
        <v>40980</v>
      </c>
      <c r="B116" s="17" vm="1247">
        <f ca="1"/>
        <v>9.2524999999999995</v>
      </c>
      <c r="C116" s="10"/>
      <c r="D116" s="9" vm="1248">
        <f ca="1"/>
        <v>13232.6248</v>
      </c>
      <c r="E116" s="11">
        <f t="shared" ca="1" si="2"/>
        <v>3.9605034722223209E-3</v>
      </c>
    </row>
    <row r="117" spans="1:5" x14ac:dyDescent="0.3">
      <c r="A117" s="82" vm="217">
        <f ca="1"/>
        <v>40987</v>
      </c>
      <c r="B117" s="17" vm="1249">
        <f ca="1"/>
        <v>9.7520000000000007</v>
      </c>
      <c r="C117" s="10"/>
      <c r="D117" s="9" vm="1250">
        <f ca="1"/>
        <v>13080.728300000001</v>
      </c>
      <c r="E117" s="11">
        <f t="shared" ca="1" si="2"/>
        <v>5.3985409348824787E-2</v>
      </c>
    </row>
    <row r="118" spans="1:5" x14ac:dyDescent="0.3">
      <c r="A118" s="82" vm="219">
        <f ca="1"/>
        <v>40994</v>
      </c>
      <c r="B118" s="17" vm="1251">
        <f ca="1"/>
        <v>10.125500000000001</v>
      </c>
      <c r="C118" s="10"/>
      <c r="D118" s="9" vm="1252">
        <f ca="1"/>
        <v>13212.0389</v>
      </c>
      <c r="E118" s="11">
        <f t="shared" ca="1" si="2"/>
        <v>3.8299835931091097E-2</v>
      </c>
    </row>
    <row r="119" spans="1:5" x14ac:dyDescent="0.3">
      <c r="A119" s="82" vm="221">
        <f ca="1"/>
        <v>41001</v>
      </c>
      <c r="B119" s="17" vm="1253">
        <f ca="1"/>
        <v>9.7195</v>
      </c>
      <c r="C119" s="10"/>
      <c r="D119" s="9" vm="1254">
        <f ca="1"/>
        <v>13060.1425</v>
      </c>
      <c r="E119" s="11">
        <f t="shared" ca="1" si="2"/>
        <v>-4.0096785343933683E-2</v>
      </c>
    </row>
    <row r="120" spans="1:5" x14ac:dyDescent="0.3">
      <c r="A120" s="82" vm="223">
        <f ca="1"/>
        <v>41008</v>
      </c>
      <c r="B120" s="17" vm="1255">
        <f ca="1"/>
        <v>9.423</v>
      </c>
      <c r="C120" s="10"/>
      <c r="D120" s="9" vm="1256">
        <f ca="1"/>
        <v>12849.591399999999</v>
      </c>
      <c r="E120" s="11">
        <f t="shared" ca="1" si="2"/>
        <v>-3.0505684448788539E-2</v>
      </c>
    </row>
    <row r="121" spans="1:5" x14ac:dyDescent="0.3">
      <c r="A121" s="82" vm="225">
        <f ca="1"/>
        <v>41015</v>
      </c>
      <c r="B121" s="17" vm="1257">
        <f ca="1"/>
        <v>9.4990000000000006</v>
      </c>
      <c r="C121" s="10"/>
      <c r="D121" s="9" vm="1258">
        <f ca="1"/>
        <v>13029.2637</v>
      </c>
      <c r="E121" s="11">
        <f t="shared" ca="1" si="2"/>
        <v>8.0653719622201248E-3</v>
      </c>
    </row>
    <row r="122" spans="1:5" x14ac:dyDescent="0.3">
      <c r="A122" s="82" vm="227">
        <f ca="1"/>
        <v>41022</v>
      </c>
      <c r="B122" s="17" vm="1259">
        <f ca="1"/>
        <v>11.342499999999999</v>
      </c>
      <c r="C122" s="10"/>
      <c r="D122" s="9" vm="1260">
        <f ca="1"/>
        <v>13228.310799999999</v>
      </c>
      <c r="E122" s="11">
        <f t="shared" ca="1" si="2"/>
        <v>0.194073060322139</v>
      </c>
    </row>
    <row r="123" spans="1:5" x14ac:dyDescent="0.3">
      <c r="A123" s="82" vm="229">
        <f ca="1"/>
        <v>41029</v>
      </c>
      <c r="B123" s="17" vm="1261">
        <f ca="1"/>
        <v>11.1995</v>
      </c>
      <c r="C123" s="10"/>
      <c r="D123" s="9" vm="1262">
        <f ca="1"/>
        <v>13038.27</v>
      </c>
      <c r="E123" s="11">
        <f t="shared" ca="1" si="2"/>
        <v>-1.2607449856733455E-2</v>
      </c>
    </row>
    <row r="124" spans="1:5" x14ac:dyDescent="0.3">
      <c r="A124" s="82" vm="231">
        <f ca="1"/>
        <v>41036</v>
      </c>
      <c r="B124" s="17" vm="1263">
        <f ca="1"/>
        <v>11.384</v>
      </c>
      <c r="C124" s="10"/>
      <c r="D124" s="9" vm="1264">
        <f ca="1"/>
        <v>12820.6047</v>
      </c>
      <c r="E124" s="11">
        <f t="shared" ca="1" si="2"/>
        <v>1.6473949729898685E-2</v>
      </c>
    </row>
    <row r="125" spans="1:5" x14ac:dyDescent="0.3">
      <c r="A125" s="82" vm="233">
        <f ca="1"/>
        <v>41043</v>
      </c>
      <c r="B125" s="17" vm="1265">
        <f ca="1"/>
        <v>10.692500000000001</v>
      </c>
      <c r="C125" s="10"/>
      <c r="D125" s="9" vm="1266">
        <f ca="1"/>
        <v>12369.3807</v>
      </c>
      <c r="E125" s="11">
        <f t="shared" ca="1" si="2"/>
        <v>-6.0743148278285308E-2</v>
      </c>
    </row>
    <row r="126" spans="1:5" x14ac:dyDescent="0.3">
      <c r="A126" s="82" vm="235">
        <f ca="1"/>
        <v>41050</v>
      </c>
      <c r="B126" s="17" vm="1267">
        <f ca="1"/>
        <v>10.644500000000001</v>
      </c>
      <c r="C126" s="10"/>
      <c r="D126" s="9" vm="1268">
        <f ca="1"/>
        <v>12454.8272</v>
      </c>
      <c r="E126" s="11">
        <f t="shared" ca="1" si="2"/>
        <v>-4.4891278933831824E-3</v>
      </c>
    </row>
    <row r="127" spans="1:5" x14ac:dyDescent="0.3">
      <c r="A127" s="82" vm="237">
        <f ca="1"/>
        <v>41058</v>
      </c>
      <c r="B127" s="17" vm="1269">
        <f ca="1"/>
        <v>10.411</v>
      </c>
      <c r="C127" s="10"/>
      <c r="D127" s="9" vm="1270">
        <f ca="1"/>
        <v>12118.5661</v>
      </c>
      <c r="E127" s="11">
        <f t="shared" ca="1" si="2"/>
        <v>-2.1936211188877008E-2</v>
      </c>
    </row>
    <row r="128" spans="1:5" x14ac:dyDescent="0.3">
      <c r="A128" s="82" vm="239">
        <f ca="1"/>
        <v>41064</v>
      </c>
      <c r="B128" s="17" vm="1271">
        <f ca="1"/>
        <v>10.923999999999999</v>
      </c>
      <c r="C128" s="10"/>
      <c r="D128" s="9" vm="1272">
        <f ca="1"/>
        <v>12554.1994</v>
      </c>
      <c r="E128" s="11">
        <f t="shared" ca="1" si="2"/>
        <v>4.9274805494188723E-2</v>
      </c>
    </row>
    <row r="129" spans="1:5" x14ac:dyDescent="0.3">
      <c r="A129" s="82" vm="241">
        <f ca="1"/>
        <v>41071</v>
      </c>
      <c r="B129" s="17" vm="1273">
        <f ca="1"/>
        <v>10.9175</v>
      </c>
      <c r="C129" s="10"/>
      <c r="D129" s="9" vm="1274">
        <f ca="1"/>
        <v>12767.1723</v>
      </c>
      <c r="E129" s="11">
        <f t="shared" ca="1" si="2"/>
        <v>-5.9502013914303209E-4</v>
      </c>
    </row>
    <row r="130" spans="1:5" x14ac:dyDescent="0.3">
      <c r="A130" s="82" vm="243">
        <f ca="1"/>
        <v>41078</v>
      </c>
      <c r="B130" s="17" vm="1275">
        <f ca="1"/>
        <v>11.108000000000001</v>
      </c>
      <c r="C130" s="10"/>
      <c r="D130" s="9" vm="1276">
        <f ca="1"/>
        <v>12640.7811</v>
      </c>
      <c r="E130" s="11">
        <f t="shared" ca="1" si="2"/>
        <v>1.744904969086325E-2</v>
      </c>
    </row>
    <row r="131" spans="1:5" x14ac:dyDescent="0.3">
      <c r="A131" s="82" vm="245">
        <f ca="1"/>
        <v>41085</v>
      </c>
      <c r="B131" s="17" vm="1277">
        <f ca="1"/>
        <v>11.4175</v>
      </c>
      <c r="C131" s="10"/>
      <c r="D131" s="9" vm="1278">
        <f ca="1"/>
        <v>12880.0918</v>
      </c>
      <c r="E131" s="11">
        <f t="shared" ca="1" si="2"/>
        <v>2.7862801584443542E-2</v>
      </c>
    </row>
    <row r="132" spans="1:5" x14ac:dyDescent="0.3">
      <c r="A132" s="82" vm="247">
        <f ca="1"/>
        <v>41092</v>
      </c>
      <c r="B132" s="17" vm="1279">
        <f ca="1"/>
        <v>11.2525</v>
      </c>
      <c r="C132" s="10"/>
      <c r="D132" s="9" vm="1280">
        <f ca="1"/>
        <v>12772.4701</v>
      </c>
      <c r="E132" s="11">
        <f t="shared" ca="1" si="2"/>
        <v>-1.4451499890518971E-2</v>
      </c>
    </row>
    <row r="133" spans="1:5" x14ac:dyDescent="0.3">
      <c r="A133" s="82" vm="249">
        <f ca="1"/>
        <v>41099</v>
      </c>
      <c r="B133" s="17" vm="1281">
        <f ca="1"/>
        <v>10.919499999999999</v>
      </c>
      <c r="C133" s="10"/>
      <c r="D133" s="9" vm="1282">
        <f ca="1"/>
        <v>12777.086799999999</v>
      </c>
      <c r="E133" s="11">
        <f t="shared" ca="1" si="2"/>
        <v>-2.959342368362583E-2</v>
      </c>
    </row>
    <row r="134" spans="1:5" x14ac:dyDescent="0.3">
      <c r="A134" s="82" vm="251">
        <f ca="1"/>
        <v>41106</v>
      </c>
      <c r="B134" s="17" vm="1283">
        <f ca="1"/>
        <v>11.4145</v>
      </c>
      <c r="C134" s="10"/>
      <c r="D134" s="9" vm="1284">
        <f ca="1"/>
        <v>12822.5725</v>
      </c>
      <c r="E134" s="11">
        <f t="shared" ca="1" si="2"/>
        <v>4.5331745959064085E-2</v>
      </c>
    </row>
    <row r="135" spans="1:5" x14ac:dyDescent="0.3">
      <c r="A135" s="82" vm="253">
        <f ca="1"/>
        <v>41113</v>
      </c>
      <c r="B135" s="17" vm="1285">
        <f ca="1"/>
        <v>11.866</v>
      </c>
      <c r="C135" s="10"/>
      <c r="D135" s="9" vm="1286">
        <f ca="1"/>
        <v>13075.657499999999</v>
      </c>
      <c r="E135" s="11">
        <f t="shared" ca="1" si="2"/>
        <v>3.9554952034692725E-2</v>
      </c>
    </row>
    <row r="136" spans="1:5" x14ac:dyDescent="0.3">
      <c r="A136" s="82" vm="255">
        <f ca="1"/>
        <v>41120</v>
      </c>
      <c r="B136" s="17" vm="1287">
        <f ca="1"/>
        <v>11.7485</v>
      </c>
      <c r="C136" s="10"/>
      <c r="D136" s="9" vm="1288">
        <f ca="1"/>
        <v>13096.1677</v>
      </c>
      <c r="E136" s="11">
        <f t="shared" ca="1" si="2"/>
        <v>-9.9022416989718032E-3</v>
      </c>
    </row>
    <row r="137" spans="1:5" x14ac:dyDescent="0.3">
      <c r="A137" s="82" vm="257">
        <f ca="1"/>
        <v>41127</v>
      </c>
      <c r="B137" s="17" vm="1289">
        <f ca="1"/>
        <v>11.637499999999999</v>
      </c>
      <c r="C137" s="10"/>
      <c r="D137" s="9" vm="1290">
        <f ca="1"/>
        <v>13207.951999999999</v>
      </c>
      <c r="E137" s="11">
        <f t="shared" ca="1" si="2"/>
        <v>-9.4480146401668685E-3</v>
      </c>
    </row>
    <row r="138" spans="1:5" x14ac:dyDescent="0.3">
      <c r="A138" s="82" vm="259">
        <f ca="1"/>
        <v>41134</v>
      </c>
      <c r="B138" s="17" vm="1291">
        <f ca="1"/>
        <v>12.0585</v>
      </c>
      <c r="C138" s="10"/>
      <c r="D138" s="9" vm="1292">
        <f ca="1"/>
        <v>13275.2011</v>
      </c>
      <c r="E138" s="11">
        <f t="shared" ca="1" si="2"/>
        <v>3.6176154672395322E-2</v>
      </c>
    </row>
    <row r="139" spans="1:5" x14ac:dyDescent="0.3">
      <c r="A139" s="82" vm="261">
        <f ca="1"/>
        <v>41141</v>
      </c>
      <c r="B139" s="17" vm="1293">
        <f ca="1"/>
        <v>12.287000000000001</v>
      </c>
      <c r="C139" s="10"/>
      <c r="D139" s="9" vm="1294">
        <f ca="1"/>
        <v>13157.9701</v>
      </c>
      <c r="E139" s="11">
        <f t="shared" ref="E139:E202" ca="1" si="3">IF(B139&gt;0,B139/B138-1,"")</f>
        <v>1.8949288883360227E-2</v>
      </c>
    </row>
    <row r="140" spans="1:5" x14ac:dyDescent="0.3">
      <c r="A140" s="82" vm="263">
        <f ca="1"/>
        <v>41148</v>
      </c>
      <c r="B140" s="17" vm="1295">
        <f ca="1"/>
        <v>12.413500000000001</v>
      </c>
      <c r="C140" s="10"/>
      <c r="D140" s="9" vm="1296">
        <f ca="1"/>
        <v>13090.8372</v>
      </c>
      <c r="E140" s="11">
        <f t="shared" ca="1" si="3"/>
        <v>1.0295434198746678E-2</v>
      </c>
    </row>
    <row r="141" spans="1:5" x14ac:dyDescent="0.3">
      <c r="A141" s="82" vm="265">
        <f ca="1"/>
        <v>41156</v>
      </c>
      <c r="B141" s="17" vm="1297">
        <f ca="1"/>
        <v>12.957000000000001</v>
      </c>
      <c r="C141" s="10"/>
      <c r="D141" s="9" vm="1298">
        <f ca="1"/>
        <v>13306.6381</v>
      </c>
      <c r="E141" s="11">
        <f t="shared" ca="1" si="3"/>
        <v>4.3782978209207624E-2</v>
      </c>
    </row>
    <row r="142" spans="1:5" x14ac:dyDescent="0.3">
      <c r="A142" s="82" vm="267">
        <f ca="1"/>
        <v>41162</v>
      </c>
      <c r="B142" s="17" vm="1299">
        <f ca="1"/>
        <v>13.063499999999999</v>
      </c>
      <c r="C142" s="10"/>
      <c r="D142" s="9" vm="1300">
        <f ca="1"/>
        <v>13593.366099999999</v>
      </c>
      <c r="E142" s="11">
        <f t="shared" ca="1" si="3"/>
        <v>8.2194952535308285E-3</v>
      </c>
    </row>
    <row r="143" spans="1:5" x14ac:dyDescent="0.3">
      <c r="A143" s="82" vm="269">
        <f ca="1"/>
        <v>41169</v>
      </c>
      <c r="B143" s="17" vm="1301">
        <f ca="1"/>
        <v>12.8735</v>
      </c>
      <c r="C143" s="10"/>
      <c r="D143" s="9" vm="1302">
        <f ca="1"/>
        <v>13579.467199999999</v>
      </c>
      <c r="E143" s="11">
        <f t="shared" ca="1" si="3"/>
        <v>-1.4544341103073455E-2</v>
      </c>
    </row>
    <row r="144" spans="1:5" x14ac:dyDescent="0.3">
      <c r="A144" s="82" vm="271">
        <f ca="1"/>
        <v>41176</v>
      </c>
      <c r="B144" s="17" vm="1303">
        <f ca="1"/>
        <v>12.715999999999999</v>
      </c>
      <c r="C144" s="10"/>
      <c r="D144" s="9" vm="1304">
        <f ca="1"/>
        <v>13437.126899999999</v>
      </c>
      <c r="E144" s="11">
        <f t="shared" ca="1" si="3"/>
        <v>-1.2234435079815142E-2</v>
      </c>
    </row>
    <row r="145" spans="1:5" x14ac:dyDescent="0.3">
      <c r="A145" s="82" vm="273">
        <f ca="1"/>
        <v>41183</v>
      </c>
      <c r="B145" s="17" vm="1305">
        <f ca="1"/>
        <v>12.9255</v>
      </c>
      <c r="C145" s="10"/>
      <c r="D145" s="9" vm="1306">
        <f ca="1"/>
        <v>13610.147000000001</v>
      </c>
      <c r="E145" s="11">
        <f t="shared" ca="1" si="3"/>
        <v>1.6475306700220127E-2</v>
      </c>
    </row>
    <row r="146" spans="1:5" x14ac:dyDescent="0.3">
      <c r="A146" s="82" vm="275">
        <f ca="1"/>
        <v>41190</v>
      </c>
      <c r="B146" s="17" vm="1307">
        <f ca="1"/>
        <v>12.118</v>
      </c>
      <c r="C146" s="10"/>
      <c r="D146" s="9" vm="1308">
        <f ca="1"/>
        <v>13328.845300000001</v>
      </c>
      <c r="E146" s="11">
        <f t="shared" ca="1" si="3"/>
        <v>-6.2473405284128258E-2</v>
      </c>
    </row>
    <row r="147" spans="1:5" x14ac:dyDescent="0.3">
      <c r="A147" s="82" vm="277">
        <f ca="1"/>
        <v>41197</v>
      </c>
      <c r="B147" s="17" vm="1309">
        <f ca="1"/>
        <v>12</v>
      </c>
      <c r="C147" s="10"/>
      <c r="D147" s="9" vm="1310">
        <f ca="1"/>
        <v>13343.513199999999</v>
      </c>
      <c r="E147" s="11">
        <f t="shared" ca="1" si="3"/>
        <v>-9.7375804588215598E-3</v>
      </c>
    </row>
    <row r="148" spans="1:5" x14ac:dyDescent="0.3">
      <c r="A148" s="82" vm="279">
        <f ca="1"/>
        <v>41204</v>
      </c>
      <c r="B148" s="17" vm="1311">
        <f ca="1"/>
        <v>11.912000000000001</v>
      </c>
      <c r="C148" s="10"/>
      <c r="D148" s="9" vm="1312">
        <f ca="1"/>
        <v>13107.2137</v>
      </c>
      <c r="E148" s="11">
        <f t="shared" ca="1" si="3"/>
        <v>-7.3333333333333028E-3</v>
      </c>
    </row>
    <row r="149" spans="1:5" x14ac:dyDescent="0.3">
      <c r="A149" s="82" vm="281">
        <f ca="1"/>
        <v>41213</v>
      </c>
      <c r="B149" s="17" vm="1313">
        <f ca="1"/>
        <v>11.6211</v>
      </c>
      <c r="C149" s="10"/>
      <c r="D149" s="9" vm="1314">
        <f ca="1"/>
        <v>13093.160099999999</v>
      </c>
      <c r="E149" s="11">
        <f t="shared" ca="1" si="3"/>
        <v>-2.4420752182673033E-2</v>
      </c>
    </row>
    <row r="150" spans="1:5" x14ac:dyDescent="0.3">
      <c r="A150" s="82" vm="283">
        <f ca="1"/>
        <v>41218</v>
      </c>
      <c r="B150" s="17" vm="1315">
        <f ca="1"/>
        <v>11.3155</v>
      </c>
      <c r="C150" s="10"/>
      <c r="D150" s="9" vm="1316">
        <f ca="1"/>
        <v>12815.391100000001</v>
      </c>
      <c r="E150" s="11">
        <f t="shared" ca="1" si="3"/>
        <v>-2.6296994260440076E-2</v>
      </c>
    </row>
    <row r="151" spans="1:5" x14ac:dyDescent="0.3">
      <c r="A151" s="82" vm="285">
        <f ca="1"/>
        <v>41225</v>
      </c>
      <c r="B151" s="17" vm="1317">
        <f ca="1"/>
        <v>11.2615</v>
      </c>
      <c r="C151" s="10"/>
      <c r="D151" s="9" vm="1318">
        <f ca="1"/>
        <v>12588.307000000001</v>
      </c>
      <c r="E151" s="11">
        <f t="shared" ca="1" si="3"/>
        <v>-4.7722151031770466E-3</v>
      </c>
    </row>
    <row r="152" spans="1:5" x14ac:dyDescent="0.3">
      <c r="A152" s="82" vm="287">
        <f ca="1"/>
        <v>41232</v>
      </c>
      <c r="B152" s="17" vm="1319">
        <f ca="1"/>
        <v>11.994</v>
      </c>
      <c r="C152" s="10"/>
      <c r="D152" s="9" vm="1320">
        <f ca="1"/>
        <v>13009.683499999999</v>
      </c>
      <c r="E152" s="11">
        <f t="shared" ca="1" si="3"/>
        <v>6.5044621054033636E-2</v>
      </c>
    </row>
    <row r="153" spans="1:5" x14ac:dyDescent="0.3">
      <c r="A153" s="82" vm="289">
        <f ca="1"/>
        <v>41239</v>
      </c>
      <c r="B153" s="17" vm="1321">
        <f ca="1"/>
        <v>12.602499999999999</v>
      </c>
      <c r="C153" s="10"/>
      <c r="D153" s="9" vm="1322">
        <f ca="1"/>
        <v>13025.5802</v>
      </c>
      <c r="E153" s="11">
        <f t="shared" ca="1" si="3"/>
        <v>5.0733700183424935E-2</v>
      </c>
    </row>
    <row r="154" spans="1:5" x14ac:dyDescent="0.3">
      <c r="A154" s="82" vm="291">
        <f ca="1"/>
        <v>41246</v>
      </c>
      <c r="B154" s="17" vm="1323">
        <f ca="1"/>
        <v>12.663399999999999</v>
      </c>
      <c r="C154" s="10"/>
      <c r="D154" s="9" vm="1324">
        <f ca="1"/>
        <v>13155.134</v>
      </c>
      <c r="E154" s="11">
        <f t="shared" ca="1" si="3"/>
        <v>4.8323745288634257E-3</v>
      </c>
    </row>
    <row r="155" spans="1:5" x14ac:dyDescent="0.3">
      <c r="A155" s="82" vm="293">
        <f ca="1"/>
        <v>41253</v>
      </c>
      <c r="B155" s="17" vm="1325">
        <f ca="1"/>
        <v>12.4595</v>
      </c>
      <c r="C155" s="10"/>
      <c r="D155" s="9" vm="1326">
        <f ca="1"/>
        <v>13135.0136</v>
      </c>
      <c r="E155" s="11">
        <f t="shared" ca="1" si="3"/>
        <v>-1.6101520918552659E-2</v>
      </c>
    </row>
    <row r="156" spans="1:5" x14ac:dyDescent="0.3">
      <c r="A156" s="82" vm="295">
        <f ca="1"/>
        <v>41260</v>
      </c>
      <c r="B156" s="17" vm="1327">
        <f ca="1"/>
        <v>12.846</v>
      </c>
      <c r="C156" s="10"/>
      <c r="D156" s="9" vm="1328">
        <f ca="1"/>
        <v>13190.8439</v>
      </c>
      <c r="E156" s="11">
        <f t="shared" ca="1" si="3"/>
        <v>3.1020506440868401E-2</v>
      </c>
    </row>
    <row r="157" spans="1:5" x14ac:dyDescent="0.3">
      <c r="A157" s="82" vm="297">
        <f ca="1"/>
        <v>41267</v>
      </c>
      <c r="B157" s="17" vm="1329">
        <f ca="1"/>
        <v>12.259</v>
      </c>
      <c r="C157" s="10"/>
      <c r="D157" s="9" vm="1330">
        <f ca="1"/>
        <v>12938.110199999999</v>
      </c>
      <c r="E157" s="11">
        <f t="shared" ca="1" si="3"/>
        <v>-4.5695158025844562E-2</v>
      </c>
    </row>
    <row r="158" spans="1:5" x14ac:dyDescent="0.3">
      <c r="A158" s="82" vm="299">
        <f ca="1"/>
        <v>41274</v>
      </c>
      <c r="B158" s="17" vm="1331">
        <f ca="1"/>
        <v>12.9575</v>
      </c>
      <c r="C158" s="10"/>
      <c r="D158" s="9" vm="1332">
        <f ca="1"/>
        <v>13435.207</v>
      </c>
      <c r="E158" s="11">
        <f t="shared" ca="1" si="3"/>
        <v>5.6978546374092387E-2</v>
      </c>
    </row>
    <row r="159" spans="1:5" x14ac:dyDescent="0.3">
      <c r="A159" s="82" vm="301">
        <f ca="1"/>
        <v>41281</v>
      </c>
      <c r="B159" s="17" vm="1333">
        <f ca="1"/>
        <v>13.397</v>
      </c>
      <c r="C159" s="10"/>
      <c r="D159" s="9" vm="1334">
        <f ca="1"/>
        <v>13488.4262</v>
      </c>
      <c r="E159" s="11">
        <f t="shared" ca="1" si="3"/>
        <v>3.3918579972988638E-2</v>
      </c>
    </row>
    <row r="160" spans="1:5" x14ac:dyDescent="0.3">
      <c r="A160" s="82" vm="303">
        <f ca="1"/>
        <v>41288</v>
      </c>
      <c r="B160" s="17" vm="1335">
        <f ca="1"/>
        <v>13.606</v>
      </c>
      <c r="C160" s="10"/>
      <c r="D160" s="9" vm="1336">
        <f ca="1"/>
        <v>13649.696599999999</v>
      </c>
      <c r="E160" s="11">
        <f t="shared" ca="1" si="3"/>
        <v>1.5600507576323031E-2</v>
      </c>
    </row>
    <row r="161" spans="1:5" x14ac:dyDescent="0.3">
      <c r="A161" s="82" vm="305">
        <f ca="1"/>
        <v>41296</v>
      </c>
      <c r="B161" s="17" vm="1337">
        <f ca="1"/>
        <v>14.1995</v>
      </c>
      <c r="C161" s="10"/>
      <c r="D161" s="9" vm="1338">
        <f ca="1"/>
        <v>13895.979600000001</v>
      </c>
      <c r="E161" s="11">
        <f t="shared" ca="1" si="3"/>
        <v>4.3620461561076018E-2</v>
      </c>
    </row>
    <row r="162" spans="1:5" x14ac:dyDescent="0.3">
      <c r="A162" s="82" vm="307">
        <f ca="1"/>
        <v>41302</v>
      </c>
      <c r="B162" s="17" vm="1339">
        <f ca="1"/>
        <v>13.25</v>
      </c>
      <c r="C162" s="10"/>
      <c r="D162" s="9" vm="1340">
        <f ca="1"/>
        <v>14009.7904</v>
      </c>
      <c r="E162" s="11">
        <f t="shared" ca="1" si="3"/>
        <v>-6.6868551709567292E-2</v>
      </c>
    </row>
    <row r="163" spans="1:5" x14ac:dyDescent="0.3">
      <c r="A163" s="82" vm="309">
        <f ca="1"/>
        <v>41309</v>
      </c>
      <c r="B163" s="17" vm="1341">
        <f ca="1"/>
        <v>13.0975</v>
      </c>
      <c r="C163" s="10"/>
      <c r="D163" s="9" vm="1342">
        <f ca="1"/>
        <v>13992.9722</v>
      </c>
      <c r="E163" s="11">
        <f t="shared" ca="1" si="3"/>
        <v>-1.1509433962264115E-2</v>
      </c>
    </row>
    <row r="164" spans="1:5" x14ac:dyDescent="0.3">
      <c r="A164" s="82" vm="311">
        <f ca="1"/>
        <v>41316</v>
      </c>
      <c r="B164" s="17" vm="1343">
        <f ca="1"/>
        <v>13.2545</v>
      </c>
      <c r="C164" s="10"/>
      <c r="D164" s="9" vm="1344">
        <f ca="1"/>
        <v>13981.7601</v>
      </c>
      <c r="E164" s="11">
        <f t="shared" ca="1" si="3"/>
        <v>1.1987020423744887E-2</v>
      </c>
    </row>
    <row r="165" spans="1:5" x14ac:dyDescent="0.3">
      <c r="A165" s="82" vm="313">
        <f ca="1"/>
        <v>41324</v>
      </c>
      <c r="B165" s="17" vm="1345">
        <f ca="1"/>
        <v>13.271000000000001</v>
      </c>
      <c r="C165" s="10"/>
      <c r="D165" s="9" vm="1346">
        <f ca="1"/>
        <v>14000.5749</v>
      </c>
      <c r="E165" s="11">
        <f t="shared" ca="1" si="3"/>
        <v>1.244860236146339E-3</v>
      </c>
    </row>
    <row r="166" spans="1:5" x14ac:dyDescent="0.3">
      <c r="A166" s="82" vm="315">
        <f ca="1"/>
        <v>41330</v>
      </c>
      <c r="B166" s="17" vm="1347">
        <f ca="1"/>
        <v>13.287000000000001</v>
      </c>
      <c r="C166" s="10"/>
      <c r="D166" s="9" vm="1348">
        <f ca="1"/>
        <v>14089.6576</v>
      </c>
      <c r="E166" s="11">
        <f t="shared" ca="1" si="3"/>
        <v>1.205636349935979E-3</v>
      </c>
    </row>
    <row r="167" spans="1:5" x14ac:dyDescent="0.3">
      <c r="A167" s="82" vm="317">
        <f ca="1"/>
        <v>41337</v>
      </c>
      <c r="B167" s="17" vm="1349">
        <f ca="1"/>
        <v>13.7095</v>
      </c>
      <c r="D167" s="9" vm="1350">
        <f ca="1"/>
        <v>14397.0697</v>
      </c>
      <c r="E167" s="11">
        <f t="shared" ca="1" si="3"/>
        <v>3.179799804320016E-2</v>
      </c>
    </row>
    <row r="168" spans="1:5" x14ac:dyDescent="0.3">
      <c r="A168" s="82" vm="319">
        <f ca="1"/>
        <v>41344</v>
      </c>
      <c r="B168" s="17" vm="1351">
        <f ca="1"/>
        <v>13.090999999999999</v>
      </c>
      <c r="D168" s="9" vm="1352">
        <f ca="1"/>
        <v>14514.106</v>
      </c>
      <c r="E168" s="11">
        <f t="shared" ca="1" si="3"/>
        <v>-4.5114701484372244E-2</v>
      </c>
    </row>
    <row r="169" spans="1:5" x14ac:dyDescent="0.3">
      <c r="A169" s="82" vm="321">
        <f ca="1"/>
        <v>41351</v>
      </c>
      <c r="B169" s="17" vm="1353">
        <f ca="1"/>
        <v>12.887499999999999</v>
      </c>
      <c r="D169" s="9" vm="1354">
        <f ca="1"/>
        <v>14512.032499999999</v>
      </c>
      <c r="E169" s="11">
        <f t="shared" ca="1" si="3"/>
        <v>-1.5545030937285209E-2</v>
      </c>
    </row>
    <row r="170" spans="1:5" x14ac:dyDescent="0.3">
      <c r="A170" s="82" vm="323">
        <f ca="1"/>
        <v>41358</v>
      </c>
      <c r="B170" s="17" vm="1355">
        <f ca="1"/>
        <v>13.3245</v>
      </c>
      <c r="D170" s="9" vm="1356">
        <f ca="1"/>
        <v>14578.537399999999</v>
      </c>
      <c r="E170" s="11">
        <f t="shared" ca="1" si="3"/>
        <v>3.3908826382153423E-2</v>
      </c>
    </row>
    <row r="171" spans="1:5" x14ac:dyDescent="0.3">
      <c r="A171" s="82" vm="325">
        <f ca="1"/>
        <v>41365</v>
      </c>
      <c r="B171" s="17" vm="1357">
        <f ca="1"/>
        <v>12.773999999999999</v>
      </c>
      <c r="D171" s="9" vm="1358">
        <f ca="1"/>
        <v>14565.251700000001</v>
      </c>
      <c r="E171" s="11">
        <f t="shared" ca="1" si="3"/>
        <v>-4.1314871102105188E-2</v>
      </c>
    </row>
    <row r="172" spans="1:5" x14ac:dyDescent="0.3">
      <c r="A172" s="82" vm="327">
        <f ca="1"/>
        <v>41372</v>
      </c>
      <c r="B172" s="17" vm="1359">
        <f ca="1"/>
        <v>13.6435</v>
      </c>
      <c r="D172" s="9" vm="1360">
        <f ca="1"/>
        <v>14865.061100000001</v>
      </c>
      <c r="E172" s="11">
        <f t="shared" ca="1" si="3"/>
        <v>6.8067950524502985E-2</v>
      </c>
    </row>
    <row r="173" spans="1:5" x14ac:dyDescent="0.3">
      <c r="A173" s="82" vm="329">
        <f ca="1"/>
        <v>41379</v>
      </c>
      <c r="B173" s="17" vm="1361">
        <f ca="1"/>
        <v>13.016</v>
      </c>
      <c r="D173" s="9" vm="1362">
        <f ca="1"/>
        <v>14547.512000000001</v>
      </c>
      <c r="E173" s="11">
        <f t="shared" ca="1" si="3"/>
        <v>-4.5992597207461405E-2</v>
      </c>
    </row>
    <row r="174" spans="1:5" x14ac:dyDescent="0.3">
      <c r="A174" s="82" vm="331">
        <f ca="1"/>
        <v>41386</v>
      </c>
      <c r="B174" s="17" vm="1363">
        <f ca="1"/>
        <v>12.740500000000001</v>
      </c>
      <c r="D174" s="9" vm="1364">
        <f ca="1"/>
        <v>14712.545400000001</v>
      </c>
      <c r="E174" s="11">
        <f t="shared" ca="1" si="3"/>
        <v>-2.1166256914566639E-2</v>
      </c>
    </row>
    <row r="175" spans="1:5" x14ac:dyDescent="0.3">
      <c r="A175" s="82" vm="333">
        <f ca="1"/>
        <v>41393</v>
      </c>
      <c r="B175" s="17" vm="1365">
        <f ca="1"/>
        <v>12.9025</v>
      </c>
      <c r="D175" s="9" vm="1366">
        <f ca="1"/>
        <v>14973.957</v>
      </c>
      <c r="E175" s="11">
        <f t="shared" ca="1" si="3"/>
        <v>1.27153565401672E-2</v>
      </c>
    </row>
    <row r="176" spans="1:5" x14ac:dyDescent="0.3">
      <c r="A176" s="82" vm="335">
        <f ca="1"/>
        <v>41400</v>
      </c>
      <c r="B176" s="17" vm="1367">
        <f ca="1"/>
        <v>13.1815</v>
      </c>
      <c r="D176" s="9" vm="1368">
        <f ca="1"/>
        <v>15118.486000000001</v>
      </c>
      <c r="E176" s="11">
        <f t="shared" ca="1" si="3"/>
        <v>2.1623716334043808E-2</v>
      </c>
    </row>
    <row r="177" spans="1:5" x14ac:dyDescent="0.3">
      <c r="A177" s="82" vm="337">
        <f ca="1"/>
        <v>41407</v>
      </c>
      <c r="B177" s="17" vm="1369">
        <f ca="1"/>
        <v>13.494999999999999</v>
      </c>
      <c r="D177" s="9" vm="1370">
        <f ca="1"/>
        <v>15354.401599999999</v>
      </c>
      <c r="E177" s="11">
        <f t="shared" ca="1" si="3"/>
        <v>2.3783332701134086E-2</v>
      </c>
    </row>
    <row r="178" spans="1:5" x14ac:dyDescent="0.3">
      <c r="A178" s="82" vm="339">
        <f ca="1"/>
        <v>41414</v>
      </c>
      <c r="B178" s="17" vm="1371">
        <f ca="1"/>
        <v>13.087</v>
      </c>
      <c r="D178" s="9" vm="1372">
        <f ca="1"/>
        <v>15303.102199999999</v>
      </c>
      <c r="E178" s="11">
        <f t="shared" ca="1" si="3"/>
        <v>-3.023341978510552E-2</v>
      </c>
    </row>
    <row r="179" spans="1:5" x14ac:dyDescent="0.3">
      <c r="A179" s="82" vm="341">
        <f ca="1"/>
        <v>41422</v>
      </c>
      <c r="B179" s="17" vm="1373">
        <f ca="1"/>
        <v>13.46</v>
      </c>
      <c r="D179" s="9" vm="1374">
        <f ca="1"/>
        <v>15115.567800000001</v>
      </c>
      <c r="E179" s="11">
        <f t="shared" ca="1" si="3"/>
        <v>2.8501566439978587E-2</v>
      </c>
    </row>
    <row r="180" spans="1:5" x14ac:dyDescent="0.3">
      <c r="A180" s="82" vm="343">
        <f ca="1"/>
        <v>41428</v>
      </c>
      <c r="B180" s="17" vm="1375">
        <f ca="1"/>
        <v>13.843500000000001</v>
      </c>
      <c r="D180" s="9" vm="1376">
        <f ca="1"/>
        <v>15248.1167</v>
      </c>
      <c r="E180" s="11">
        <f t="shared" ca="1" si="3"/>
        <v>2.8491827637444178E-2</v>
      </c>
    </row>
    <row r="181" spans="1:5" x14ac:dyDescent="0.3">
      <c r="A181" s="82" vm="345">
        <f ca="1"/>
        <v>41435</v>
      </c>
      <c r="B181" s="17" vm="1377">
        <f ca="1"/>
        <v>13.6995</v>
      </c>
      <c r="D181" s="9" vm="1378">
        <f ca="1"/>
        <v>15070.181699999999</v>
      </c>
      <c r="E181" s="11">
        <f t="shared" ca="1" si="3"/>
        <v>-1.0401993715462132E-2</v>
      </c>
    </row>
    <row r="182" spans="1:5" x14ac:dyDescent="0.3">
      <c r="A182" s="82" vm="347">
        <f ca="1"/>
        <v>41442</v>
      </c>
      <c r="B182" s="17" vm="1379">
        <f ca="1"/>
        <v>13.667999999999999</v>
      </c>
      <c r="D182" s="9" vm="1380">
        <f ca="1"/>
        <v>14799.401</v>
      </c>
      <c r="E182" s="11">
        <f t="shared" ca="1" si="3"/>
        <v>-2.2993539910216576E-3</v>
      </c>
    </row>
    <row r="183" spans="1:5" x14ac:dyDescent="0.3">
      <c r="A183" s="82" vm="349">
        <f ca="1"/>
        <v>41449</v>
      </c>
      <c r="B183" s="17" vm="1381">
        <f ca="1"/>
        <v>13.884499999999999</v>
      </c>
      <c r="D183" s="9" vm="1382">
        <f ca="1"/>
        <v>14909.602500000001</v>
      </c>
      <c r="E183" s="11">
        <f t="shared" ca="1" si="3"/>
        <v>1.5839918056774982E-2</v>
      </c>
    </row>
    <row r="184" spans="1:5" x14ac:dyDescent="0.3">
      <c r="A184" s="82" vm="351">
        <f ca="1"/>
        <v>41456</v>
      </c>
      <c r="B184" s="17" vm="1383">
        <f ca="1"/>
        <v>14.294</v>
      </c>
      <c r="D184" s="9" vm="1384">
        <f ca="1"/>
        <v>15135.8418</v>
      </c>
      <c r="E184" s="11">
        <f t="shared" ca="1" si="3"/>
        <v>2.949331988908499E-2</v>
      </c>
    </row>
    <row r="185" spans="1:5" x14ac:dyDescent="0.3">
      <c r="A185" s="82" vm="353">
        <f ca="1"/>
        <v>41463</v>
      </c>
      <c r="B185" s="17" vm="1385">
        <f ca="1"/>
        <v>15.3775</v>
      </c>
      <c r="D185" s="9" vm="1386">
        <f ca="1"/>
        <v>15464.2958</v>
      </c>
      <c r="E185" s="11">
        <f t="shared" ca="1" si="3"/>
        <v>7.5801035399468253E-2</v>
      </c>
    </row>
    <row r="186" spans="1:5" x14ac:dyDescent="0.3">
      <c r="A186" s="82" vm="355">
        <f ca="1"/>
        <v>41470</v>
      </c>
      <c r="B186" s="17" vm="1387">
        <f ca="1"/>
        <v>15.2615</v>
      </c>
      <c r="D186" s="9" vm="1388">
        <f ca="1"/>
        <v>15543.7407</v>
      </c>
      <c r="E186" s="11">
        <f t="shared" ca="1" si="3"/>
        <v>-7.5434888635993458E-3</v>
      </c>
    </row>
    <row r="187" spans="1:5" x14ac:dyDescent="0.3">
      <c r="A187" s="82" vm="357">
        <f ca="1"/>
        <v>41477</v>
      </c>
      <c r="B187" s="17" vm="1389">
        <f ca="1"/>
        <v>15.6005</v>
      </c>
      <c r="D187" s="9" vm="1390">
        <f ca="1"/>
        <v>15558.831</v>
      </c>
      <c r="E187" s="11">
        <f t="shared" ca="1" si="3"/>
        <v>2.2212757592635191E-2</v>
      </c>
    </row>
    <row r="188" spans="1:5" x14ac:dyDescent="0.3">
      <c r="A188" s="82" vm="359">
        <f ca="1"/>
        <v>41484</v>
      </c>
      <c r="B188" s="17" vm="1391">
        <f ca="1"/>
        <v>15.2105</v>
      </c>
      <c r="D188" s="9" vm="1392">
        <f ca="1"/>
        <v>15658.357900000001</v>
      </c>
      <c r="E188" s="11">
        <f t="shared" ca="1" si="3"/>
        <v>-2.4999198743630102E-2</v>
      </c>
    </row>
    <row r="189" spans="1:5" x14ac:dyDescent="0.3">
      <c r="A189" s="82" vm="361">
        <f ca="1"/>
        <v>41491</v>
      </c>
      <c r="B189" s="17" vm="1393">
        <f ca="1"/>
        <v>14.863</v>
      </c>
      <c r="D189" s="9" vm="1394">
        <f ca="1"/>
        <v>15425.5142</v>
      </c>
      <c r="E189" s="11">
        <f t="shared" ca="1" si="3"/>
        <v>-2.2846060287301517E-2</v>
      </c>
    </row>
    <row r="190" spans="1:5" x14ac:dyDescent="0.3">
      <c r="A190" s="82" vm="363">
        <f ca="1"/>
        <v>41498</v>
      </c>
      <c r="B190" s="17" vm="1395">
        <f ca="1"/>
        <v>14.241</v>
      </c>
      <c r="D190" s="9" vm="1396">
        <f ca="1"/>
        <v>15081.470600000001</v>
      </c>
      <c r="E190" s="11">
        <f t="shared" ca="1" si="3"/>
        <v>-4.1848886496669624E-2</v>
      </c>
    </row>
    <row r="191" spans="1:5" x14ac:dyDescent="0.3">
      <c r="A191" s="82" vm="365">
        <f ca="1"/>
        <v>41505</v>
      </c>
      <c r="B191" s="17" vm="1397">
        <f ca="1"/>
        <v>14.500500000000001</v>
      </c>
      <c r="D191" s="9" vm="1398">
        <f ca="1"/>
        <v>15010.5116</v>
      </c>
      <c r="E191" s="11">
        <f t="shared" ca="1" si="3"/>
        <v>1.8222034969454404E-2</v>
      </c>
    </row>
    <row r="192" spans="1:5" x14ac:dyDescent="0.3">
      <c r="A192" s="82" vm="367">
        <f ca="1"/>
        <v>41512</v>
      </c>
      <c r="B192" s="17" vm="1399">
        <f ca="1"/>
        <v>14.048999999999999</v>
      </c>
      <c r="D192" s="9" vm="1400">
        <f ca="1"/>
        <v>14810.306</v>
      </c>
      <c r="E192" s="11">
        <f t="shared" ca="1" si="3"/>
        <v>-3.1136857349746583E-2</v>
      </c>
    </row>
    <row r="193" spans="1:5" x14ac:dyDescent="0.3">
      <c r="A193" s="82" vm="369">
        <f ca="1"/>
        <v>41520</v>
      </c>
      <c r="B193" s="17" vm="1401">
        <f ca="1"/>
        <v>14.792999999999999</v>
      </c>
      <c r="D193" s="9" vm="1402">
        <f ca="1"/>
        <v>14922.5041</v>
      </c>
      <c r="E193" s="11">
        <f t="shared" ca="1" si="3"/>
        <v>5.2957505872303967E-2</v>
      </c>
    </row>
    <row r="194" spans="1:5" x14ac:dyDescent="0.3">
      <c r="A194" s="82" vm="371">
        <f ca="1"/>
        <v>41526</v>
      </c>
      <c r="B194" s="17" vm="1403">
        <f ca="1"/>
        <v>14.896000000000001</v>
      </c>
      <c r="D194" s="9" vm="1404">
        <f ca="1"/>
        <v>15376.0579</v>
      </c>
      <c r="E194" s="11">
        <f t="shared" ca="1" si="3"/>
        <v>6.9627526532820561E-3</v>
      </c>
    </row>
    <row r="195" spans="1:5" x14ac:dyDescent="0.3">
      <c r="A195" s="82" vm="373">
        <f ca="1"/>
        <v>41533</v>
      </c>
      <c r="B195" s="17" vm="1405">
        <f ca="1"/>
        <v>15.817</v>
      </c>
      <c r="D195" s="9" vm="1406">
        <f ca="1"/>
        <v>15451.087</v>
      </c>
      <c r="E195" s="11">
        <f t="shared" ca="1" si="3"/>
        <v>6.1828678839956908E-2</v>
      </c>
    </row>
    <row r="196" spans="1:5" x14ac:dyDescent="0.3">
      <c r="A196" s="82" vm="375">
        <f ca="1"/>
        <v>41540</v>
      </c>
      <c r="B196" s="17" vm="1407">
        <f ca="1"/>
        <v>15.8005</v>
      </c>
      <c r="D196" s="9" vm="1408">
        <f ca="1"/>
        <v>15258.2358</v>
      </c>
      <c r="E196" s="11">
        <f t="shared" ca="1" si="3"/>
        <v>-1.0431813871151219E-3</v>
      </c>
    </row>
    <row r="197" spans="1:5" x14ac:dyDescent="0.3">
      <c r="A197" s="82" vm="377">
        <f ca="1"/>
        <v>41547</v>
      </c>
      <c r="B197" s="17" vm="1409">
        <f ca="1"/>
        <v>15.952</v>
      </c>
      <c r="D197" s="9" vm="1410">
        <f ca="1"/>
        <v>15072.5772</v>
      </c>
      <c r="E197" s="11">
        <f t="shared" ca="1" si="3"/>
        <v>9.5883041675897118E-3</v>
      </c>
    </row>
    <row r="198" spans="1:5" x14ac:dyDescent="0.3">
      <c r="A198" s="82" vm="379">
        <f ca="1"/>
        <v>41554</v>
      </c>
      <c r="B198" s="17" vm="1411">
        <f ca="1"/>
        <v>15.544499999999999</v>
      </c>
      <c r="D198" s="9" vm="1412">
        <f ca="1"/>
        <v>15237.107599999999</v>
      </c>
      <c r="E198" s="11">
        <f t="shared" ca="1" si="3"/>
        <v>-2.5545386158475458E-2</v>
      </c>
    </row>
    <row r="199" spans="1:5" x14ac:dyDescent="0.3">
      <c r="A199" s="82" vm="381">
        <f ca="1"/>
        <v>41561</v>
      </c>
      <c r="B199" s="17" vm="1413">
        <f ca="1"/>
        <v>16.4465</v>
      </c>
      <c r="D199" s="9" vm="1414">
        <f ca="1"/>
        <v>15399.647199999999</v>
      </c>
      <c r="E199" s="11">
        <f t="shared" ca="1" si="3"/>
        <v>5.8026954871498004E-2</v>
      </c>
    </row>
    <row r="200" spans="1:5" x14ac:dyDescent="0.3">
      <c r="A200" s="82" vm="383">
        <f ca="1"/>
        <v>41568</v>
      </c>
      <c r="B200" s="17" vm="1415">
        <f ca="1"/>
        <v>18.169499999999999</v>
      </c>
      <c r="D200" s="9" vm="1416">
        <f ca="1"/>
        <v>15570.2785</v>
      </c>
      <c r="E200" s="11">
        <f t="shared" ca="1" si="3"/>
        <v>0.10476393153558505</v>
      </c>
    </row>
    <row r="201" spans="1:5" x14ac:dyDescent="0.3">
      <c r="A201" s="82" vm="385">
        <f ca="1"/>
        <v>41575</v>
      </c>
      <c r="B201" s="17" vm="1417">
        <f ca="1"/>
        <v>17.950099999999999</v>
      </c>
      <c r="D201" s="9" vm="1418">
        <f ca="1"/>
        <v>15615.5532</v>
      </c>
      <c r="E201" s="11">
        <f t="shared" ca="1" si="3"/>
        <v>-1.2075180935083529E-2</v>
      </c>
    </row>
    <row r="202" spans="1:5" x14ac:dyDescent="0.3">
      <c r="A202" s="82" vm="387">
        <f ca="1"/>
        <v>41582</v>
      </c>
      <c r="B202" s="17" vm="1419">
        <f ca="1"/>
        <v>17.515499999999999</v>
      </c>
      <c r="D202" s="9" vm="1420">
        <f ca="1"/>
        <v>15761.781000000001</v>
      </c>
      <c r="E202" s="11">
        <f t="shared" ca="1" si="3"/>
        <v>-2.4211564280978926E-2</v>
      </c>
    </row>
    <row r="203" spans="1:5" x14ac:dyDescent="0.3">
      <c r="A203" s="82" vm="389">
        <f ca="1"/>
        <v>41589</v>
      </c>
      <c r="B203" s="17" vm="1421">
        <f ca="1"/>
        <v>18.458500000000001</v>
      </c>
      <c r="D203" s="9" vm="1422">
        <f ca="1"/>
        <v>15961.696400000001</v>
      </c>
      <c r="E203" s="11">
        <f t="shared" ref="E203:E266" ca="1" si="4">IF(B203&gt;0,B203/B202-1,"")</f>
        <v>5.3838029174160029E-2</v>
      </c>
    </row>
    <row r="204" spans="1:5" x14ac:dyDescent="0.3">
      <c r="A204" s="82" vm="391">
        <f ca="1"/>
        <v>41596</v>
      </c>
      <c r="B204" s="17" vm="1423">
        <f ca="1"/>
        <v>18.615500000000001</v>
      </c>
      <c r="D204" s="9" vm="1424">
        <f ca="1"/>
        <v>16064.768700000001</v>
      </c>
      <c r="E204" s="11">
        <f t="shared" ca="1" si="4"/>
        <v>8.5055665411599701E-3</v>
      </c>
    </row>
    <row r="205" spans="1:5" x14ac:dyDescent="0.3">
      <c r="A205" s="82" vm="393">
        <f ca="1"/>
        <v>41603</v>
      </c>
      <c r="B205" s="17" vm="1425">
        <f ca="1"/>
        <v>19.681000000000001</v>
      </c>
      <c r="D205" s="9" vm="1426">
        <f ca="1"/>
        <v>16086.4107</v>
      </c>
      <c r="E205" s="11">
        <f t="shared" ca="1" si="4"/>
        <v>5.7237248529451223E-2</v>
      </c>
    </row>
    <row r="206" spans="1:5" x14ac:dyDescent="0.3">
      <c r="A206" s="82" vm="395">
        <f ca="1"/>
        <v>41610</v>
      </c>
      <c r="B206" s="17" vm="1427">
        <f ca="1"/>
        <v>19.3475</v>
      </c>
      <c r="D206" s="9" vm="1428">
        <f ca="1"/>
        <v>16020.2004</v>
      </c>
      <c r="E206" s="11">
        <f t="shared" ca="1" si="4"/>
        <v>-1.6945277170875461E-2</v>
      </c>
    </row>
    <row r="207" spans="1:5" x14ac:dyDescent="0.3">
      <c r="A207" s="82" vm="397">
        <f ca="1"/>
        <v>41617</v>
      </c>
      <c r="B207" s="17" vm="1429">
        <f ca="1"/>
        <v>19.212</v>
      </c>
      <c r="D207" s="9" vm="1430">
        <f ca="1"/>
        <v>15755.3591</v>
      </c>
      <c r="E207" s="11">
        <f t="shared" ca="1" si="4"/>
        <v>-7.0034888228452941E-3</v>
      </c>
    </row>
    <row r="208" spans="1:5" x14ac:dyDescent="0.3">
      <c r="A208" s="82" vm="399">
        <f ca="1"/>
        <v>41624</v>
      </c>
      <c r="B208" s="17" vm="1431">
        <f ca="1"/>
        <v>20.11</v>
      </c>
      <c r="D208" s="9" vm="1432">
        <f ca="1"/>
        <v>16221.1432</v>
      </c>
      <c r="E208" s="11">
        <f t="shared" ca="1" si="4"/>
        <v>4.6741619820945157E-2</v>
      </c>
    </row>
    <row r="209" spans="1:5" x14ac:dyDescent="0.3">
      <c r="A209" s="82" vm="401">
        <f ca="1"/>
        <v>41631</v>
      </c>
      <c r="B209" s="17" vm="1433">
        <f ca="1"/>
        <v>19.904</v>
      </c>
      <c r="D209" s="9" vm="1434">
        <f ca="1"/>
        <v>16478.406599999998</v>
      </c>
      <c r="E209" s="11">
        <f t="shared" ca="1" si="4"/>
        <v>-1.0243659870711075E-2</v>
      </c>
    </row>
    <row r="210" spans="1:5" x14ac:dyDescent="0.3">
      <c r="A210" s="82" vm="403">
        <f ca="1"/>
        <v>41638</v>
      </c>
      <c r="B210" s="17" vm="1435">
        <f ca="1"/>
        <v>19.821999999999999</v>
      </c>
      <c r="D210" s="9" vm="1436">
        <f ca="1"/>
        <v>16469.993900000001</v>
      </c>
      <c r="E210" s="11">
        <f t="shared" ca="1" si="4"/>
        <v>-4.1197749196142386E-3</v>
      </c>
    </row>
    <row r="211" spans="1:5" x14ac:dyDescent="0.3">
      <c r="A211" s="82" vm="405">
        <f ca="1"/>
        <v>41645</v>
      </c>
      <c r="B211" s="17" vm="1437">
        <f ca="1"/>
        <v>19.882999999999999</v>
      </c>
      <c r="D211" s="9" vm="1438">
        <f ca="1"/>
        <v>16437.049299999999</v>
      </c>
      <c r="E211" s="11">
        <f t="shared" ca="1" si="4"/>
        <v>3.0773887599637728E-3</v>
      </c>
    </row>
    <row r="212" spans="1:5" x14ac:dyDescent="0.3">
      <c r="A212" s="82" vm="407">
        <f ca="1"/>
        <v>41652</v>
      </c>
      <c r="B212" s="17" vm="1439">
        <f ca="1"/>
        <v>19.980499999999999</v>
      </c>
      <c r="D212" s="9" vm="1440">
        <f ca="1"/>
        <v>16458.5628</v>
      </c>
      <c r="E212" s="11">
        <f t="shared" ca="1" si="4"/>
        <v>4.9036865664136009E-3</v>
      </c>
    </row>
    <row r="213" spans="1:5" x14ac:dyDescent="0.3">
      <c r="A213" s="82" vm="409">
        <f ca="1"/>
        <v>41660</v>
      </c>
      <c r="B213" s="17" vm="1441">
        <f ca="1"/>
        <v>19.38</v>
      </c>
      <c r="D213" s="9" vm="1442">
        <f ca="1"/>
        <v>15879.1101</v>
      </c>
      <c r="E213" s="11">
        <f t="shared" ca="1" si="4"/>
        <v>-3.0054302945371703E-2</v>
      </c>
    </row>
    <row r="214" spans="1:5" x14ac:dyDescent="0.3">
      <c r="A214" s="82" vm="411">
        <f ca="1"/>
        <v>41666</v>
      </c>
      <c r="B214" s="17" vm="1443">
        <f ca="1"/>
        <v>17.9345</v>
      </c>
      <c r="D214" s="9" vm="1444">
        <f ca="1"/>
        <v>15698.8459</v>
      </c>
      <c r="E214" s="11">
        <f t="shared" ca="1" si="4"/>
        <v>-7.4587203302373561E-2</v>
      </c>
    </row>
    <row r="215" spans="1:5" x14ac:dyDescent="0.3">
      <c r="A215" s="82" vm="413">
        <f ca="1"/>
        <v>41673</v>
      </c>
      <c r="B215" s="17" vm="1445">
        <f ca="1"/>
        <v>18.053999999999998</v>
      </c>
      <c r="D215" s="9" vm="1446">
        <f ca="1"/>
        <v>15794.083500000001</v>
      </c>
      <c r="E215" s="11">
        <f t="shared" ca="1" si="4"/>
        <v>6.663135297889422E-3</v>
      </c>
    </row>
    <row r="216" spans="1:5" x14ac:dyDescent="0.3">
      <c r="A216" s="82" vm="415">
        <f ca="1"/>
        <v>41680</v>
      </c>
      <c r="B216" s="17" vm="1447">
        <f ca="1"/>
        <v>17.8675</v>
      </c>
      <c r="D216" s="9" vm="1448">
        <f ca="1"/>
        <v>16154.3871</v>
      </c>
      <c r="E216" s="11">
        <f t="shared" ca="1" si="4"/>
        <v>-1.0330120748864413E-2</v>
      </c>
    </row>
    <row r="217" spans="1:5" x14ac:dyDescent="0.3">
      <c r="A217" s="82" vm="417">
        <f ca="1"/>
        <v>41688</v>
      </c>
      <c r="B217" s="17" vm="1449">
        <f ca="1"/>
        <v>17.338000000000001</v>
      </c>
      <c r="D217" s="9" vm="1450">
        <f ca="1"/>
        <v>16103.3004</v>
      </c>
      <c r="E217" s="11">
        <f t="shared" ca="1" si="4"/>
        <v>-2.9634811809150619E-2</v>
      </c>
    </row>
    <row r="218" spans="1:5" x14ac:dyDescent="0.3">
      <c r="A218" s="82" vm="419">
        <f ca="1"/>
        <v>41694</v>
      </c>
      <c r="B218" s="17" vm="1451">
        <f ca="1"/>
        <v>18.105</v>
      </c>
      <c r="D218" s="9" vm="1452">
        <f ca="1"/>
        <v>16321.710999999999</v>
      </c>
      <c r="E218" s="11">
        <f t="shared" ca="1" si="4"/>
        <v>4.4238089745068709E-2</v>
      </c>
    </row>
    <row r="219" spans="1:5" x14ac:dyDescent="0.3">
      <c r="A219" s="82" vm="421">
        <f ca="1"/>
        <v>41701</v>
      </c>
      <c r="B219" s="17" vm="1453">
        <f ca="1"/>
        <v>18.603000000000002</v>
      </c>
      <c r="D219" s="9" vm="1454">
        <f ca="1"/>
        <v>16452.718799999999</v>
      </c>
      <c r="E219" s="11">
        <f t="shared" ca="1" si="4"/>
        <v>2.7506213753107023E-2</v>
      </c>
    </row>
    <row r="220" spans="1:5" x14ac:dyDescent="0.3">
      <c r="A220" s="82" vm="423">
        <f ca="1"/>
        <v>41708</v>
      </c>
      <c r="B220" s="17" vm="1455">
        <f ca="1"/>
        <v>18.687000000000001</v>
      </c>
      <c r="D220" s="9" vm="1456">
        <f ca="1"/>
        <v>16065.667799999999</v>
      </c>
      <c r="E220" s="11">
        <f t="shared" ca="1" si="4"/>
        <v>4.5154007418157782E-3</v>
      </c>
    </row>
    <row r="221" spans="1:5" x14ac:dyDescent="0.3">
      <c r="A221" s="82" vm="425">
        <f ca="1"/>
        <v>41715</v>
      </c>
      <c r="B221" s="17" vm="1457">
        <f ca="1"/>
        <v>18.030999999999999</v>
      </c>
      <c r="D221" s="9" vm="1458">
        <f ca="1"/>
        <v>16302.7662</v>
      </c>
      <c r="E221" s="11">
        <f t="shared" ca="1" si="4"/>
        <v>-3.5104618183764202E-2</v>
      </c>
    </row>
    <row r="222" spans="1:5" x14ac:dyDescent="0.3">
      <c r="A222" s="82" vm="427">
        <f ca="1"/>
        <v>41722</v>
      </c>
      <c r="B222" s="17" vm="1459">
        <f ca="1"/>
        <v>16.9145</v>
      </c>
      <c r="D222" s="9" vm="1460">
        <f ca="1"/>
        <v>16323.059600000001</v>
      </c>
      <c r="E222" s="11">
        <f t="shared" ca="1" si="4"/>
        <v>-6.1921135821640383E-2</v>
      </c>
    </row>
    <row r="223" spans="1:5" x14ac:dyDescent="0.3">
      <c r="A223" s="82" vm="429">
        <f ca="1"/>
        <v>41729</v>
      </c>
      <c r="B223" s="17" vm="1461">
        <f ca="1"/>
        <v>16.149999999999999</v>
      </c>
      <c r="D223" s="9" vm="1462">
        <f ca="1"/>
        <v>16412.7101</v>
      </c>
      <c r="E223" s="11">
        <f t="shared" ca="1" si="4"/>
        <v>-4.519790712110916E-2</v>
      </c>
    </row>
    <row r="224" spans="1:5" x14ac:dyDescent="0.3">
      <c r="A224" s="82" vm="431">
        <f ca="1"/>
        <v>41736</v>
      </c>
      <c r="B224" s="17" vm="1463">
        <f ca="1"/>
        <v>15.586499999999999</v>
      </c>
      <c r="D224" s="9" vm="1464">
        <f ca="1"/>
        <v>16026.7508</v>
      </c>
      <c r="E224" s="11">
        <f t="shared" ca="1" si="4"/>
        <v>-3.4891640866873019E-2</v>
      </c>
    </row>
    <row r="225" spans="1:5" x14ac:dyDescent="0.3">
      <c r="A225" s="82" vm="433">
        <f ca="1"/>
        <v>41743</v>
      </c>
      <c r="B225" s="17" vm="1465">
        <f ca="1"/>
        <v>16.2455</v>
      </c>
      <c r="D225" s="9" vm="1466">
        <f ca="1"/>
        <v>16408.535800000001</v>
      </c>
      <c r="E225" s="11">
        <f t="shared" ca="1" si="4"/>
        <v>4.2280178359477727E-2</v>
      </c>
    </row>
    <row r="226" spans="1:5" x14ac:dyDescent="0.3">
      <c r="A226" s="82" vm="435">
        <f ca="1"/>
        <v>41750</v>
      </c>
      <c r="B226" s="17" vm="1467">
        <f ca="1"/>
        <v>15.1915</v>
      </c>
      <c r="D226" s="9" vm="1468">
        <f ca="1"/>
        <v>16361.4629</v>
      </c>
      <c r="E226" s="11">
        <f t="shared" ca="1" si="4"/>
        <v>-6.4879505093718315E-2</v>
      </c>
    </row>
    <row r="227" spans="1:5" x14ac:dyDescent="0.3">
      <c r="A227" s="82" vm="437">
        <f ca="1"/>
        <v>41757</v>
      </c>
      <c r="B227" s="17" vm="1469">
        <f ca="1"/>
        <v>15.400499999999999</v>
      </c>
      <c r="D227" s="9" vm="1470">
        <f ca="1"/>
        <v>16512.892500000002</v>
      </c>
      <c r="E227" s="11">
        <f t="shared" ca="1" si="4"/>
        <v>1.3757693446993402E-2</v>
      </c>
    </row>
    <row r="228" spans="1:5" x14ac:dyDescent="0.3">
      <c r="A228" s="82" vm="439">
        <f ca="1"/>
        <v>41764</v>
      </c>
      <c r="B228" s="17" vm="1471">
        <f ca="1"/>
        <v>14.612</v>
      </c>
      <c r="D228" s="9" vm="1472">
        <f ca="1"/>
        <v>16583.3413</v>
      </c>
      <c r="E228" s="11">
        <f t="shared" ca="1" si="4"/>
        <v>-5.1199636375442337E-2</v>
      </c>
    </row>
    <row r="229" spans="1:5" x14ac:dyDescent="0.3">
      <c r="A229" s="82" vm="441">
        <f ca="1"/>
        <v>41771</v>
      </c>
      <c r="B229" s="17" vm="1473">
        <f ca="1"/>
        <v>14.885</v>
      </c>
      <c r="D229" s="9" vm="1474">
        <f ca="1"/>
        <v>16491.314699999999</v>
      </c>
      <c r="E229" s="11">
        <f t="shared" ca="1" si="4"/>
        <v>1.8683274021352281E-2</v>
      </c>
    </row>
    <row r="230" spans="1:5" x14ac:dyDescent="0.3">
      <c r="A230" s="82" vm="443">
        <f ca="1"/>
        <v>41778</v>
      </c>
      <c r="B230" s="17" vm="1475">
        <f ca="1"/>
        <v>15.612</v>
      </c>
      <c r="D230" s="9" vm="1476">
        <f ca="1"/>
        <v>16606.2677</v>
      </c>
      <c r="E230" s="11">
        <f t="shared" ca="1" si="4"/>
        <v>4.8841115216661013E-2</v>
      </c>
    </row>
    <row r="231" spans="1:5" x14ac:dyDescent="0.3">
      <c r="A231" s="82" vm="445">
        <f ca="1"/>
        <v>41786</v>
      </c>
      <c r="B231" s="17" vm="1477">
        <f ca="1"/>
        <v>15.6275</v>
      </c>
      <c r="D231" s="9" vm="1478">
        <f ca="1"/>
        <v>16717.174800000001</v>
      </c>
      <c r="E231" s="11">
        <f t="shared" ca="1" si="4"/>
        <v>9.9282603125794289E-4</v>
      </c>
    </row>
    <row r="232" spans="1:5" x14ac:dyDescent="0.3">
      <c r="A232" s="82" vm="447">
        <f ca="1"/>
        <v>41792</v>
      </c>
      <c r="B232" s="17" vm="1479">
        <f ca="1"/>
        <v>16.483499999999999</v>
      </c>
      <c r="D232" s="9" vm="1480">
        <f ca="1"/>
        <v>16924.2827</v>
      </c>
      <c r="E232" s="11">
        <f t="shared" ca="1" si="4"/>
        <v>5.4775235962245983E-2</v>
      </c>
    </row>
    <row r="233" spans="1:5" x14ac:dyDescent="0.3">
      <c r="A233" s="82" vm="449">
        <f ca="1"/>
        <v>41799</v>
      </c>
      <c r="B233" s="17" vm="1481">
        <f ca="1"/>
        <v>16.313500000000001</v>
      </c>
      <c r="D233" s="9" vm="1482">
        <f ca="1"/>
        <v>16775.742999999999</v>
      </c>
      <c r="E233" s="11">
        <f t="shared" ca="1" si="4"/>
        <v>-1.0313343646676909E-2</v>
      </c>
    </row>
    <row r="234" spans="1:5" x14ac:dyDescent="0.3">
      <c r="A234" s="82" vm="451">
        <f ca="1"/>
        <v>41806</v>
      </c>
      <c r="B234" s="17" vm="1483">
        <f ca="1"/>
        <v>16.21</v>
      </c>
      <c r="D234" s="9" vm="1484">
        <f ca="1"/>
        <v>16947.080699999999</v>
      </c>
      <c r="E234" s="11">
        <f t="shared" ca="1" si="4"/>
        <v>-6.3444386551015919E-3</v>
      </c>
    </row>
    <row r="235" spans="1:5" x14ac:dyDescent="0.3">
      <c r="A235" s="82" vm="453">
        <f ca="1"/>
        <v>41813</v>
      </c>
      <c r="B235" s="17" vm="1485">
        <f ca="1"/>
        <v>16.2285</v>
      </c>
      <c r="D235" s="9" vm="1486">
        <f ca="1"/>
        <v>16851.843099999998</v>
      </c>
      <c r="E235" s="11">
        <f t="shared" ca="1" si="4"/>
        <v>1.1412708204812105E-3</v>
      </c>
    </row>
    <row r="236" spans="1:5" x14ac:dyDescent="0.3">
      <c r="A236" s="82" vm="455">
        <f ca="1"/>
        <v>41820</v>
      </c>
      <c r="B236" s="17" vm="1487">
        <f ca="1"/>
        <v>16.874600000000001</v>
      </c>
      <c r="D236" s="9" vm="1488">
        <f ca="1"/>
        <v>17068.262900000002</v>
      </c>
      <c r="E236" s="11">
        <f t="shared" ca="1" si="4"/>
        <v>3.9812675231845285E-2</v>
      </c>
    </row>
    <row r="237" spans="1:5" x14ac:dyDescent="0.3">
      <c r="A237" s="82" vm="457">
        <f ca="1"/>
        <v>41827</v>
      </c>
      <c r="B237" s="17" vm="1489">
        <f ca="1"/>
        <v>17.309999999999999</v>
      </c>
      <c r="D237" s="9" vm="1490">
        <f ca="1"/>
        <v>16943.805499999999</v>
      </c>
      <c r="E237" s="11">
        <f t="shared" ca="1" si="4"/>
        <v>2.5802093086650713E-2</v>
      </c>
    </row>
    <row r="238" spans="1:5" x14ac:dyDescent="0.3">
      <c r="A238" s="82" vm="459">
        <f ca="1"/>
        <v>41834</v>
      </c>
      <c r="B238" s="17" vm="1491">
        <f ca="1"/>
        <v>17.933</v>
      </c>
      <c r="D238" s="9" vm="1492">
        <f ca="1"/>
        <v>17100.18</v>
      </c>
      <c r="E238" s="11">
        <f t="shared" ca="1" si="4"/>
        <v>3.5990756787983802E-2</v>
      </c>
    </row>
    <row r="239" spans="1:5" x14ac:dyDescent="0.3">
      <c r="A239" s="82" vm="461">
        <f ca="1"/>
        <v>41841</v>
      </c>
      <c r="B239" s="17" vm="1493">
        <f ca="1"/>
        <v>16.200500000000002</v>
      </c>
      <c r="D239" s="9" vm="1494">
        <f ca="1"/>
        <v>16960.566699999999</v>
      </c>
      <c r="E239" s="11">
        <f t="shared" ca="1" si="4"/>
        <v>-9.6609602408966655E-2</v>
      </c>
    </row>
    <row r="240" spans="1:5" x14ac:dyDescent="0.3">
      <c r="A240" s="82" vm="463">
        <f ca="1"/>
        <v>41848</v>
      </c>
      <c r="B240" s="17" vm="1495">
        <f ca="1"/>
        <v>15.353</v>
      </c>
      <c r="D240" s="9" vm="1496">
        <f ca="1"/>
        <v>16493.3698</v>
      </c>
      <c r="E240" s="11">
        <f t="shared" ca="1" si="4"/>
        <v>-5.2313200209870181E-2</v>
      </c>
    </row>
    <row r="241" spans="1:5" x14ac:dyDescent="0.3">
      <c r="A241" s="82" vm="465">
        <f ca="1"/>
        <v>41855</v>
      </c>
      <c r="B241" s="17" vm="1497">
        <f ca="1"/>
        <v>15.84</v>
      </c>
      <c r="D241" s="9" vm="1498">
        <f ca="1"/>
        <v>16553.928800000002</v>
      </c>
      <c r="E241" s="11">
        <f t="shared" ca="1" si="4"/>
        <v>3.1720184980134292E-2</v>
      </c>
    </row>
    <row r="242" spans="1:5" x14ac:dyDescent="0.3">
      <c r="A242" s="82" vm="467">
        <f ca="1"/>
        <v>41862</v>
      </c>
      <c r="B242" s="17" vm="1499">
        <f ca="1"/>
        <v>16.6815</v>
      </c>
      <c r="D242" s="9" vm="1500">
        <f ca="1"/>
        <v>16662.909299999999</v>
      </c>
      <c r="E242" s="11">
        <f t="shared" ca="1" si="4"/>
        <v>5.3125000000000089E-2</v>
      </c>
    </row>
    <row r="243" spans="1:5" x14ac:dyDescent="0.3">
      <c r="A243" s="82" vm="469">
        <f ca="1"/>
        <v>41869</v>
      </c>
      <c r="B243" s="17" vm="1501">
        <f ca="1"/>
        <v>16.579499999999999</v>
      </c>
      <c r="D243" s="9" vm="1502">
        <f ca="1"/>
        <v>17001.217700000001</v>
      </c>
      <c r="E243" s="11">
        <f t="shared" ca="1" si="4"/>
        <v>-6.1145580433414892E-3</v>
      </c>
    </row>
    <row r="244" spans="1:5" x14ac:dyDescent="0.3">
      <c r="A244" s="82" vm="471">
        <f ca="1"/>
        <v>41876</v>
      </c>
      <c r="B244" s="17" vm="1503">
        <f ca="1"/>
        <v>16.952000000000002</v>
      </c>
      <c r="D244" s="9" vm="1504">
        <f ca="1"/>
        <v>17098.446</v>
      </c>
      <c r="E244" s="11">
        <f t="shared" ca="1" si="4"/>
        <v>2.2467505051419145E-2</v>
      </c>
    </row>
    <row r="245" spans="1:5" x14ac:dyDescent="0.3">
      <c r="A245" s="82" vm="473">
        <f ca="1"/>
        <v>41884</v>
      </c>
      <c r="B245" s="17" vm="1505">
        <f ca="1"/>
        <v>17.318999999999999</v>
      </c>
      <c r="D245" s="9" vm="1506">
        <f ca="1"/>
        <v>17137.363099999999</v>
      </c>
      <c r="E245" s="11">
        <f t="shared" ca="1" si="4"/>
        <v>2.1649362907031566E-2</v>
      </c>
    </row>
    <row r="246" spans="1:5" x14ac:dyDescent="0.3">
      <c r="A246" s="82" vm="475">
        <f ca="1"/>
        <v>41890</v>
      </c>
      <c r="B246" s="17" vm="1507">
        <f ca="1"/>
        <v>16.5595</v>
      </c>
      <c r="D246" s="9" vm="1508">
        <f ca="1"/>
        <v>16987.506799999999</v>
      </c>
      <c r="E246" s="11">
        <f t="shared" ca="1" si="4"/>
        <v>-4.3853571222356891E-2</v>
      </c>
    </row>
    <row r="247" spans="1:5" x14ac:dyDescent="0.3">
      <c r="A247" s="82" vm="477">
        <f ca="1"/>
        <v>41897</v>
      </c>
      <c r="B247" s="17" vm="1509">
        <f ca="1"/>
        <v>16.565999999999999</v>
      </c>
      <c r="D247" s="9" vm="1510">
        <f ca="1"/>
        <v>17279.737700000001</v>
      </c>
      <c r="E247" s="11">
        <f t="shared" ca="1" si="4"/>
        <v>3.925239288624649E-4</v>
      </c>
    </row>
    <row r="248" spans="1:5" x14ac:dyDescent="0.3">
      <c r="A248" s="82" vm="479">
        <f ca="1"/>
        <v>41904</v>
      </c>
      <c r="B248" s="17" vm="1511">
        <f ca="1"/>
        <v>16.160499999999999</v>
      </c>
      <c r="D248" s="9" vm="1512">
        <f ca="1"/>
        <v>17113.152300000002</v>
      </c>
      <c r="E248" s="11">
        <f t="shared" ca="1" si="4"/>
        <v>-2.447784619099358E-2</v>
      </c>
    </row>
    <row r="249" spans="1:5" x14ac:dyDescent="0.3">
      <c r="A249" s="82" vm="481">
        <f ca="1"/>
        <v>41911</v>
      </c>
      <c r="B249" s="17" vm="1513">
        <f ca="1"/>
        <v>16.137</v>
      </c>
      <c r="D249" s="9" vm="1514">
        <f ca="1"/>
        <v>17009.6947</v>
      </c>
      <c r="E249" s="11">
        <f t="shared" ca="1" si="4"/>
        <v>-1.4541629281271673E-3</v>
      </c>
    </row>
    <row r="250" spans="1:5" x14ac:dyDescent="0.3">
      <c r="A250" s="82" vm="483">
        <f ca="1"/>
        <v>41918</v>
      </c>
      <c r="B250" s="17" vm="1515">
        <f ca="1"/>
        <v>15.5695</v>
      </c>
      <c r="D250" s="9" vm="1516">
        <f ca="1"/>
        <v>16544.103200000001</v>
      </c>
      <c r="E250" s="11">
        <f t="shared" ca="1" si="4"/>
        <v>-3.516762719216715E-2</v>
      </c>
    </row>
    <row r="251" spans="1:5" x14ac:dyDescent="0.3">
      <c r="A251" s="82" vm="485">
        <f ca="1"/>
        <v>41925</v>
      </c>
      <c r="B251" s="17" vm="1517">
        <f ca="1"/>
        <v>15.182</v>
      </c>
      <c r="D251" s="9" vm="1518">
        <f ca="1"/>
        <v>16380.4076</v>
      </c>
      <c r="E251" s="11">
        <f t="shared" ca="1" si="4"/>
        <v>-2.4888403609621301E-2</v>
      </c>
    </row>
    <row r="252" spans="1:5" x14ac:dyDescent="0.3">
      <c r="A252" s="82" vm="487">
        <f ca="1"/>
        <v>41932</v>
      </c>
      <c r="B252" s="17" vm="1519">
        <f ca="1"/>
        <v>14.353</v>
      </c>
      <c r="D252" s="9" vm="1520">
        <f ca="1"/>
        <v>16805.412400000001</v>
      </c>
      <c r="E252" s="11">
        <f t="shared" ca="1" si="4"/>
        <v>-5.4604136477407472E-2</v>
      </c>
    </row>
    <row r="253" spans="1:5" x14ac:dyDescent="0.3">
      <c r="A253" s="82" vm="489">
        <f ca="1"/>
        <v>41939</v>
      </c>
      <c r="B253" s="17" vm="1521">
        <f ca="1"/>
        <v>15.273</v>
      </c>
      <c r="D253" s="9" vm="1522">
        <f ca="1"/>
        <v>17390.5164</v>
      </c>
      <c r="E253" s="11">
        <f t="shared" ca="1" si="4"/>
        <v>6.4098097958614986E-2</v>
      </c>
    </row>
    <row r="254" spans="1:5" x14ac:dyDescent="0.3">
      <c r="A254" s="82" vm="491">
        <f ca="1"/>
        <v>41946</v>
      </c>
      <c r="B254" s="17" vm="1523">
        <f ca="1"/>
        <v>14.993</v>
      </c>
      <c r="D254" s="9" vm="1524">
        <f ca="1"/>
        <v>17573.927299999999</v>
      </c>
      <c r="E254" s="11">
        <f t="shared" ca="1" si="4"/>
        <v>-1.8333005958226845E-2</v>
      </c>
    </row>
    <row r="255" spans="1:5" x14ac:dyDescent="0.3">
      <c r="A255" s="82" vm="493">
        <f ca="1"/>
        <v>41953</v>
      </c>
      <c r="B255" s="17" vm="1525">
        <f ca="1"/>
        <v>16.390999999999998</v>
      </c>
      <c r="D255" s="9" vm="1526">
        <f ca="1"/>
        <v>17634.743200000001</v>
      </c>
      <c r="E255" s="11">
        <f t="shared" ca="1" si="4"/>
        <v>9.3243513639698294E-2</v>
      </c>
    </row>
    <row r="256" spans="1:5" x14ac:dyDescent="0.3">
      <c r="A256" s="82" vm="495">
        <f ca="1"/>
        <v>41960</v>
      </c>
      <c r="B256" s="17" vm="1527">
        <f ca="1"/>
        <v>16.631499999999999</v>
      </c>
      <c r="D256" s="9" vm="1528">
        <f ca="1"/>
        <v>17810.0625</v>
      </c>
      <c r="E256" s="11">
        <f t="shared" ca="1" si="4"/>
        <v>1.4672686230248422E-2</v>
      </c>
    </row>
    <row r="257" spans="1:5" x14ac:dyDescent="0.3">
      <c r="A257" s="82" vm="497">
        <f ca="1"/>
        <v>41967</v>
      </c>
      <c r="B257" s="17" vm="1529">
        <f ca="1"/>
        <v>16.931999999999999</v>
      </c>
      <c r="D257" s="9" vm="1530">
        <f ca="1"/>
        <v>17828.2366</v>
      </c>
      <c r="E257" s="11">
        <f t="shared" ca="1" si="4"/>
        <v>1.8068123741093789E-2</v>
      </c>
    </row>
    <row r="258" spans="1:5" x14ac:dyDescent="0.3">
      <c r="A258" s="82" vm="499">
        <f ca="1"/>
        <v>41974</v>
      </c>
      <c r="B258" s="17" vm="1531">
        <f ca="1"/>
        <v>15.631500000000001</v>
      </c>
      <c r="D258" s="9" vm="1532">
        <f ca="1"/>
        <v>17958.794900000001</v>
      </c>
      <c r="E258" s="11">
        <f t="shared" ca="1" si="4"/>
        <v>-7.6807228915662495E-2</v>
      </c>
    </row>
    <row r="259" spans="1:5" x14ac:dyDescent="0.3">
      <c r="A259" s="82" vm="501">
        <f ca="1"/>
        <v>41981</v>
      </c>
      <c r="B259" s="17" vm="1533">
        <f ca="1"/>
        <v>15.366</v>
      </c>
      <c r="D259" s="9" vm="1534">
        <f ca="1"/>
        <v>17280.8295</v>
      </c>
      <c r="E259" s="11">
        <f t="shared" ca="1" si="4"/>
        <v>-1.698493426734482E-2</v>
      </c>
    </row>
    <row r="260" spans="1:5" x14ac:dyDescent="0.3">
      <c r="A260" s="82" vm="503">
        <f ca="1"/>
        <v>41988</v>
      </c>
      <c r="B260" s="17" vm="1535">
        <f ca="1"/>
        <v>14.994999999999999</v>
      </c>
      <c r="D260" s="9" vm="1536">
        <f ca="1"/>
        <v>17804.7965</v>
      </c>
      <c r="E260" s="11">
        <f t="shared" ca="1" si="4"/>
        <v>-2.4144214499544514E-2</v>
      </c>
    </row>
    <row r="261" spans="1:5" x14ac:dyDescent="0.3">
      <c r="A261" s="82" vm="505">
        <f ca="1"/>
        <v>41995</v>
      </c>
      <c r="B261" s="17" vm="1537">
        <f ca="1"/>
        <v>15.454499999999999</v>
      </c>
      <c r="D261" s="9" vm="1538">
        <f ca="1"/>
        <v>18053.711299999999</v>
      </c>
      <c r="E261" s="11">
        <f t="shared" ca="1" si="4"/>
        <v>3.0643547849283026E-2</v>
      </c>
    </row>
    <row r="262" spans="1:5" x14ac:dyDescent="0.3">
      <c r="A262" s="82" vm="507">
        <f ca="1"/>
        <v>42002</v>
      </c>
      <c r="B262" s="17" vm="1539">
        <f ca="1"/>
        <v>15.426</v>
      </c>
      <c r="D262" s="9" vm="1540">
        <f ca="1"/>
        <v>17832.9889</v>
      </c>
      <c r="E262" s="11">
        <f t="shared" ca="1" si="4"/>
        <v>-1.8441230709501655E-3</v>
      </c>
    </row>
    <row r="263" spans="1:5" x14ac:dyDescent="0.3">
      <c r="A263" s="82" vm="508">
        <f ca="1"/>
        <v>42009</v>
      </c>
      <c r="B263" s="17" vm="1541">
        <f ca="1"/>
        <v>14.846500000000001</v>
      </c>
      <c r="D263" s="9" vm="1542">
        <f ca="1"/>
        <v>17737.366000000002</v>
      </c>
      <c r="E263" s="11">
        <f t="shared" ca="1" si="4"/>
        <v>-3.7566446259561737E-2</v>
      </c>
    </row>
    <row r="264" spans="1:5" x14ac:dyDescent="0.3">
      <c r="A264" s="82" vm="509">
        <f ca="1"/>
        <v>42016</v>
      </c>
      <c r="B264" s="17" vm="1543">
        <f ca="1"/>
        <v>14.537000000000001</v>
      </c>
      <c r="D264" s="9" vm="1544">
        <f ca="1"/>
        <v>17511.570199999998</v>
      </c>
      <c r="E264" s="11">
        <f t="shared" ca="1" si="4"/>
        <v>-2.0846664196948805E-2</v>
      </c>
    </row>
    <row r="265" spans="1:5" x14ac:dyDescent="0.3">
      <c r="A265" s="82" vm="510">
        <f ca="1"/>
        <v>42024</v>
      </c>
      <c r="B265" s="17" vm="1545">
        <f ca="1"/>
        <v>15.6195</v>
      </c>
      <c r="D265" s="9" vm="1546">
        <f ca="1"/>
        <v>17672.600600000002</v>
      </c>
      <c r="E265" s="11">
        <f t="shared" ca="1" si="4"/>
        <v>7.4465157873013554E-2</v>
      </c>
    </row>
    <row r="266" spans="1:5" x14ac:dyDescent="0.3">
      <c r="A266" s="82" vm="511">
        <f ca="1"/>
        <v>42030</v>
      </c>
      <c r="B266" s="17" vm="1547">
        <f ca="1"/>
        <v>17.726500000000001</v>
      </c>
      <c r="D266" s="9" vm="1548">
        <f ca="1"/>
        <v>17164.945400000001</v>
      </c>
      <c r="E266" s="11">
        <f t="shared" ca="1" si="4"/>
        <v>0.13489548321008993</v>
      </c>
    </row>
    <row r="267" spans="1:5" x14ac:dyDescent="0.3">
      <c r="A267" s="82" vm="512">
        <f ca="1"/>
        <v>42037</v>
      </c>
      <c r="B267" s="17" vm="1549">
        <f ca="1"/>
        <v>18.713999999999999</v>
      </c>
      <c r="D267" s="9" vm="1550">
        <f ca="1"/>
        <v>17824.287100000001</v>
      </c>
      <c r="E267" s="11">
        <f t="shared" ref="E267:E330" ca="1" si="5">IF(B267&gt;0,B267/B266-1,"")</f>
        <v>5.5707556483231224E-2</v>
      </c>
    </row>
    <row r="268" spans="1:5" x14ac:dyDescent="0.3">
      <c r="A268" s="82" vm="513">
        <f ca="1"/>
        <v>42044</v>
      </c>
      <c r="B268" s="17" vm="1551">
        <f ca="1"/>
        <v>19.0915</v>
      </c>
      <c r="D268" s="9" vm="1552">
        <f ca="1"/>
        <v>18019.353899999998</v>
      </c>
      <c r="E268" s="11">
        <f t="shared" ca="1" si="5"/>
        <v>2.0172063695629072E-2</v>
      </c>
    </row>
    <row r="269" spans="1:5" x14ac:dyDescent="0.3">
      <c r="A269" s="82" vm="514">
        <f ca="1"/>
        <v>42052</v>
      </c>
      <c r="B269" s="17" vm="1553">
        <f ca="1"/>
        <v>19.183</v>
      </c>
      <c r="D269" s="9" vm="1554">
        <f ca="1"/>
        <v>18140.4398</v>
      </c>
      <c r="E269" s="11">
        <f t="shared" ca="1" si="5"/>
        <v>4.7927087971086912E-3</v>
      </c>
    </row>
    <row r="270" spans="1:5" x14ac:dyDescent="0.3">
      <c r="A270" s="82" vm="515">
        <f ca="1"/>
        <v>42058</v>
      </c>
      <c r="B270" s="17" vm="1555">
        <f ca="1"/>
        <v>19.007999999999999</v>
      </c>
      <c r="D270" s="9" vm="1556">
        <f ca="1"/>
        <v>18132.701300000001</v>
      </c>
      <c r="E270" s="11">
        <f t="shared" ca="1" si="5"/>
        <v>-9.1226606891519069E-3</v>
      </c>
    </row>
    <row r="271" spans="1:5" x14ac:dyDescent="0.3">
      <c r="A271" s="82" vm="516">
        <f ca="1"/>
        <v>42065</v>
      </c>
      <c r="B271" s="17" vm="1557">
        <f ca="1"/>
        <v>19.0045</v>
      </c>
      <c r="D271" s="9" vm="1558">
        <f ca="1"/>
        <v>17856.782200000001</v>
      </c>
      <c r="E271" s="11">
        <f t="shared" ca="1" si="5"/>
        <v>-1.8413299663289084E-4</v>
      </c>
    </row>
    <row r="272" spans="1:5" x14ac:dyDescent="0.3">
      <c r="A272" s="82" vm="517">
        <f ca="1"/>
        <v>42072</v>
      </c>
      <c r="B272" s="17" vm="1559">
        <f ca="1"/>
        <v>18.529</v>
      </c>
      <c r="D272" s="9" vm="1560">
        <f ca="1"/>
        <v>17749.310799999999</v>
      </c>
      <c r="E272" s="11">
        <f t="shared" ca="1" si="5"/>
        <v>-2.5020389907653429E-2</v>
      </c>
    </row>
    <row r="273" spans="1:5" x14ac:dyDescent="0.3">
      <c r="A273" s="82" vm="518">
        <f ca="1"/>
        <v>42079</v>
      </c>
      <c r="B273" s="17" vm="1561">
        <f ca="1"/>
        <v>18.924499999999998</v>
      </c>
      <c r="D273" s="9" vm="1562">
        <f ca="1"/>
        <v>18127.653300000002</v>
      </c>
      <c r="E273" s="11">
        <f t="shared" ca="1" si="5"/>
        <v>2.1344918775972666E-2</v>
      </c>
    </row>
    <row r="274" spans="1:5" x14ac:dyDescent="0.3">
      <c r="A274" s="82" vm="519">
        <f ca="1"/>
        <v>42086</v>
      </c>
      <c r="B274" s="17" vm="1563">
        <f ca="1"/>
        <v>18.527999999999999</v>
      </c>
      <c r="D274" s="9" vm="1564">
        <f ca="1"/>
        <v>17712.662899999999</v>
      </c>
      <c r="E274" s="11">
        <f t="shared" ca="1" si="5"/>
        <v>-2.095167639831963E-2</v>
      </c>
    </row>
    <row r="275" spans="1:5" x14ac:dyDescent="0.3">
      <c r="A275" s="82" vm="520">
        <f ca="1"/>
        <v>42093</v>
      </c>
      <c r="B275" s="17" vm="1565">
        <f ca="1"/>
        <v>18.612500000000001</v>
      </c>
      <c r="D275" s="9" vm="1566">
        <f ca="1"/>
        <v>17763.2438</v>
      </c>
      <c r="E275" s="11">
        <f t="shared" ca="1" si="5"/>
        <v>4.5606649395510956E-3</v>
      </c>
    </row>
    <row r="276" spans="1:5" x14ac:dyDescent="0.3">
      <c r="A276" s="82" vm="521">
        <f ca="1"/>
        <v>42100</v>
      </c>
      <c r="B276" s="17" vm="1567">
        <f ca="1"/>
        <v>19.1325</v>
      </c>
      <c r="D276" s="9" vm="1568">
        <f ca="1"/>
        <v>18057.6541</v>
      </c>
      <c r="E276" s="11">
        <f t="shared" ca="1" si="5"/>
        <v>2.7938213566151671E-2</v>
      </c>
    </row>
    <row r="277" spans="1:5" x14ac:dyDescent="0.3">
      <c r="A277" s="82" vm="522">
        <f ca="1"/>
        <v>42107</v>
      </c>
      <c r="B277" s="17" vm="1569">
        <f ca="1"/>
        <v>18.777999999999999</v>
      </c>
      <c r="D277" s="9" vm="1570">
        <f ca="1"/>
        <v>17826.303100000001</v>
      </c>
      <c r="E277" s="11">
        <f t="shared" ca="1" si="5"/>
        <v>-1.8528681562785865E-2</v>
      </c>
    </row>
    <row r="278" spans="1:5" x14ac:dyDescent="0.3">
      <c r="A278" s="82" vm="523">
        <f ca="1"/>
        <v>42114</v>
      </c>
      <c r="B278" s="17" vm="1571">
        <f ca="1"/>
        <v>22.254999999999999</v>
      </c>
      <c r="D278" s="9" vm="1572">
        <f ca="1"/>
        <v>18080.141899999999</v>
      </c>
      <c r="E278" s="11">
        <f t="shared" ca="1" si="5"/>
        <v>0.18516348918947712</v>
      </c>
    </row>
    <row r="279" spans="1:5" x14ac:dyDescent="0.3">
      <c r="A279" s="82" vm="524">
        <f ca="1"/>
        <v>42121</v>
      </c>
      <c r="B279" s="17" vm="1573">
        <f ca="1"/>
        <v>21.1435</v>
      </c>
      <c r="D279" s="9" vm="1574">
        <f ca="1"/>
        <v>18024.055799999998</v>
      </c>
      <c r="E279" s="11">
        <f t="shared" ca="1" si="5"/>
        <v>-4.994383284655135E-2</v>
      </c>
    </row>
    <row r="280" spans="1:5" x14ac:dyDescent="0.3">
      <c r="A280" s="82" vm="525">
        <f ca="1"/>
        <v>42128</v>
      </c>
      <c r="B280" s="17" vm="1575">
        <f ca="1"/>
        <v>21.6845</v>
      </c>
      <c r="D280" s="9" vm="1576">
        <f ca="1"/>
        <v>18191.113000000001</v>
      </c>
      <c r="E280" s="11">
        <f t="shared" ca="1" si="5"/>
        <v>2.5587059852909988E-2</v>
      </c>
    </row>
    <row r="281" spans="1:5" x14ac:dyDescent="0.3">
      <c r="A281" s="82" vm="526">
        <f ca="1"/>
        <v>42135</v>
      </c>
      <c r="B281" s="17" vm="1577">
        <f ca="1"/>
        <v>21.3</v>
      </c>
      <c r="D281" s="9" vm="1578">
        <f ca="1"/>
        <v>18272.556199999999</v>
      </c>
      <c r="E281" s="11">
        <f t="shared" ca="1" si="5"/>
        <v>-1.7731559408794229E-2</v>
      </c>
    </row>
    <row r="282" spans="1:5" x14ac:dyDescent="0.3">
      <c r="A282" s="82" vm="527">
        <f ca="1"/>
        <v>42142</v>
      </c>
      <c r="B282" s="17" vm="1579">
        <f ca="1"/>
        <v>21.381499999999999</v>
      </c>
      <c r="D282" s="9" vm="1580">
        <f ca="1"/>
        <v>18232.018100000001</v>
      </c>
      <c r="E282" s="11">
        <f t="shared" ca="1" si="5"/>
        <v>3.8262910798121386E-3</v>
      </c>
    </row>
    <row r="283" spans="1:5" x14ac:dyDescent="0.3">
      <c r="A283" s="82" vm="528">
        <f ca="1"/>
        <v>42150</v>
      </c>
      <c r="B283" s="17" vm="1581">
        <f ca="1"/>
        <v>21.461500000000001</v>
      </c>
      <c r="D283" s="9" vm="1582">
        <f ca="1"/>
        <v>18010.676500000001</v>
      </c>
      <c r="E283" s="11">
        <f t="shared" ca="1" si="5"/>
        <v>3.7415522765007481E-3</v>
      </c>
    </row>
    <row r="284" spans="1:5" x14ac:dyDescent="0.3">
      <c r="A284" s="82" vm="529">
        <f ca="1"/>
        <v>42156</v>
      </c>
      <c r="B284" s="17" vm="1583">
        <f ca="1"/>
        <v>21.3475</v>
      </c>
      <c r="D284" s="9" vm="1584">
        <f ca="1"/>
        <v>17849.458200000001</v>
      </c>
      <c r="E284" s="11">
        <f t="shared" ca="1" si="5"/>
        <v>-5.3118374764112852E-3</v>
      </c>
    </row>
    <row r="285" spans="1:5" x14ac:dyDescent="0.3">
      <c r="A285" s="82" vm="530">
        <f ca="1"/>
        <v>42163</v>
      </c>
      <c r="B285" s="17" vm="1585">
        <f ca="1"/>
        <v>21.495999999999999</v>
      </c>
      <c r="D285" s="9" vm="1586">
        <f ca="1"/>
        <v>17898.838</v>
      </c>
      <c r="E285" s="11">
        <f t="shared" ca="1" si="5"/>
        <v>6.9563180700316085E-3</v>
      </c>
    </row>
    <row r="286" spans="1:5" x14ac:dyDescent="0.3">
      <c r="A286" s="82" vm="531">
        <f ca="1"/>
        <v>42170</v>
      </c>
      <c r="B286" s="17" vm="1587">
        <f ca="1"/>
        <v>21.745999999999999</v>
      </c>
      <c r="D286" s="9" vm="1588">
        <f ca="1"/>
        <v>18015.948199999999</v>
      </c>
      <c r="E286" s="11">
        <f t="shared" ca="1" si="5"/>
        <v>1.1630070710829887E-2</v>
      </c>
    </row>
    <row r="287" spans="1:5" x14ac:dyDescent="0.3">
      <c r="A287" s="82" vm="532">
        <f ca="1"/>
        <v>42177</v>
      </c>
      <c r="B287" s="17" vm="1589">
        <f ca="1"/>
        <v>21.905000000000001</v>
      </c>
      <c r="D287" s="9" vm="1590">
        <f ca="1"/>
        <v>17946.683000000001</v>
      </c>
      <c r="E287" s="11">
        <f t="shared" ca="1" si="5"/>
        <v>7.3116895061162701E-3</v>
      </c>
    </row>
    <row r="288" spans="1:5" x14ac:dyDescent="0.3">
      <c r="A288" s="82" vm="533">
        <f ca="1"/>
        <v>42184</v>
      </c>
      <c r="B288" s="17" vm="1591">
        <f ca="1"/>
        <v>21.8855</v>
      </c>
      <c r="D288" s="9" vm="1592">
        <f ca="1"/>
        <v>17730.1132</v>
      </c>
      <c r="E288" s="11">
        <f t="shared" ca="1" si="5"/>
        <v>-8.902077151335952E-4</v>
      </c>
    </row>
    <row r="289" spans="1:5" x14ac:dyDescent="0.3">
      <c r="A289" s="82" vm="534">
        <f ca="1"/>
        <v>42191</v>
      </c>
      <c r="B289" s="17" vm="1593">
        <f ca="1"/>
        <v>22.1755</v>
      </c>
      <c r="D289" s="9" vm="1594">
        <f ca="1"/>
        <v>17760.411700000001</v>
      </c>
      <c r="E289" s="11">
        <f t="shared" ca="1" si="5"/>
        <v>1.3250782481551759E-2</v>
      </c>
    </row>
    <row r="290" spans="1:5" x14ac:dyDescent="0.3">
      <c r="A290" s="82" vm="535">
        <f ca="1"/>
        <v>42198</v>
      </c>
      <c r="B290" s="17" vm="1595">
        <f ca="1"/>
        <v>24.150500000000001</v>
      </c>
      <c r="D290" s="9" vm="1596">
        <f ca="1"/>
        <v>18086.446499999998</v>
      </c>
      <c r="E290" s="11">
        <f t="shared" ca="1" si="5"/>
        <v>8.9062253387747869E-2</v>
      </c>
    </row>
    <row r="291" spans="1:5" x14ac:dyDescent="0.3">
      <c r="A291" s="82" vm="536">
        <f ca="1"/>
        <v>42205</v>
      </c>
      <c r="B291" s="17" vm="1597">
        <f ca="1"/>
        <v>26.471</v>
      </c>
      <c r="D291" s="9" vm="1598">
        <f ca="1"/>
        <v>17568.532200000001</v>
      </c>
      <c r="E291" s="11">
        <f t="shared" ca="1" si="5"/>
        <v>9.6084967184944414E-2</v>
      </c>
    </row>
    <row r="292" spans="1:5" x14ac:dyDescent="0.3">
      <c r="A292" s="82" vm="537">
        <f ca="1"/>
        <v>42212</v>
      </c>
      <c r="B292" s="17" vm="1599">
        <f ca="1"/>
        <v>26.807500000000001</v>
      </c>
      <c r="D292" s="9" vm="1600">
        <f ca="1"/>
        <v>17689.859899999999</v>
      </c>
      <c r="E292" s="11">
        <f t="shared" ca="1" si="5"/>
        <v>1.2712024479619277E-2</v>
      </c>
    </row>
    <row r="293" spans="1:5" x14ac:dyDescent="0.3">
      <c r="A293" s="82" vm="538">
        <f ca="1"/>
        <v>42219</v>
      </c>
      <c r="B293" s="17" vm="1601">
        <f ca="1"/>
        <v>26.131</v>
      </c>
      <c r="D293" s="9" vm="1602">
        <f ca="1"/>
        <v>17373.379000000001</v>
      </c>
      <c r="E293" s="11">
        <f t="shared" ca="1" si="5"/>
        <v>-2.5235475146880515E-2</v>
      </c>
    </row>
    <row r="294" spans="1:5" x14ac:dyDescent="0.3">
      <c r="A294" s="82" vm="539">
        <f ca="1"/>
        <v>42226</v>
      </c>
      <c r="B294" s="17" vm="1603">
        <f ca="1"/>
        <v>26.576000000000001</v>
      </c>
      <c r="D294" s="9" vm="1604">
        <f ca="1"/>
        <v>17477.4028</v>
      </c>
      <c r="E294" s="11">
        <f t="shared" ca="1" si="5"/>
        <v>1.7029581722857845E-2</v>
      </c>
    </row>
    <row r="295" spans="1:5" x14ac:dyDescent="0.3">
      <c r="A295" s="82" vm="540">
        <f ca="1"/>
        <v>42233</v>
      </c>
      <c r="B295" s="17" vm="1605">
        <f ca="1"/>
        <v>24.723500000000001</v>
      </c>
      <c r="D295" s="9" vm="1606">
        <f ca="1"/>
        <v>16459.7467</v>
      </c>
      <c r="E295" s="11">
        <f t="shared" ca="1" si="5"/>
        <v>-6.9705749548464757E-2</v>
      </c>
    </row>
    <row r="296" spans="1:5" x14ac:dyDescent="0.3">
      <c r="A296" s="82" vm="541">
        <f ca="1"/>
        <v>42240</v>
      </c>
      <c r="B296" s="17" vm="1607">
        <f ca="1"/>
        <v>25.900500000000001</v>
      </c>
      <c r="D296" s="9" vm="1608">
        <f ca="1"/>
        <v>16643.007600000001</v>
      </c>
      <c r="E296" s="11">
        <f t="shared" ca="1" si="5"/>
        <v>4.7606528201913134E-2</v>
      </c>
    </row>
    <row r="297" spans="1:5" x14ac:dyDescent="0.3">
      <c r="A297" s="82" vm="542">
        <f ca="1"/>
        <v>42247</v>
      </c>
      <c r="B297" s="17" vm="1609">
        <f ca="1"/>
        <v>24.95</v>
      </c>
      <c r="D297" s="9" vm="1610">
        <f ca="1"/>
        <v>16102.3778</v>
      </c>
      <c r="E297" s="11">
        <f t="shared" ca="1" si="5"/>
        <v>-3.669813324067106E-2</v>
      </c>
    </row>
    <row r="298" spans="1:5" x14ac:dyDescent="0.3">
      <c r="A298" s="82" vm="543">
        <f ca="1"/>
        <v>42255</v>
      </c>
      <c r="B298" s="17" vm="1611">
        <f ca="1"/>
        <v>26.472000000000001</v>
      </c>
      <c r="D298" s="9" vm="1612">
        <f ca="1"/>
        <v>16433.0893</v>
      </c>
      <c r="E298" s="11">
        <f t="shared" ca="1" si="5"/>
        <v>6.1002004008016142E-2</v>
      </c>
    </row>
    <row r="299" spans="1:5" x14ac:dyDescent="0.3">
      <c r="A299" s="82" vm="544">
        <f ca="1"/>
        <v>42261</v>
      </c>
      <c r="B299" s="17" vm="1613">
        <f ca="1"/>
        <v>27.013000000000002</v>
      </c>
      <c r="D299" s="9" vm="1614">
        <f ca="1"/>
        <v>16384.584900000002</v>
      </c>
      <c r="E299" s="11">
        <f t="shared" ca="1" si="5"/>
        <v>2.043668782109398E-2</v>
      </c>
    </row>
    <row r="300" spans="1:5" x14ac:dyDescent="0.3">
      <c r="A300" s="82" vm="545">
        <f ca="1"/>
        <v>42268</v>
      </c>
      <c r="B300" s="17" vm="1615">
        <f ca="1"/>
        <v>26.212499999999999</v>
      </c>
      <c r="D300" s="9" vm="1616">
        <f ca="1"/>
        <v>16314.6679</v>
      </c>
      <c r="E300" s="11">
        <f t="shared" ca="1" si="5"/>
        <v>-2.9633879983711697E-2</v>
      </c>
    </row>
    <row r="301" spans="1:5" x14ac:dyDescent="0.3">
      <c r="A301" s="82" vm="546">
        <f ca="1"/>
        <v>42275</v>
      </c>
      <c r="B301" s="17" vm="1617">
        <f ca="1"/>
        <v>26.626999999999999</v>
      </c>
      <c r="D301" s="9" vm="1618">
        <f ca="1"/>
        <v>16472.373800000001</v>
      </c>
      <c r="E301" s="11">
        <f t="shared" ca="1" si="5"/>
        <v>1.5813066285169208E-2</v>
      </c>
    </row>
    <row r="302" spans="1:5" x14ac:dyDescent="0.3">
      <c r="A302" s="82" vm="547">
        <f ca="1"/>
        <v>42282</v>
      </c>
      <c r="B302" s="17" vm="1619">
        <f ca="1"/>
        <v>26.99</v>
      </c>
      <c r="D302" s="9" vm="1620">
        <f ca="1"/>
        <v>17084.4908</v>
      </c>
      <c r="E302" s="11">
        <f t="shared" ca="1" si="5"/>
        <v>1.3632778758403186E-2</v>
      </c>
    </row>
    <row r="303" spans="1:5" x14ac:dyDescent="0.3">
      <c r="A303" s="82" vm="548">
        <f ca="1"/>
        <v>42289</v>
      </c>
      <c r="B303" s="17" vm="1621">
        <f ca="1"/>
        <v>28.538</v>
      </c>
      <c r="D303" s="9" vm="1622">
        <f ca="1"/>
        <v>17215.973699999999</v>
      </c>
      <c r="E303" s="11">
        <f t="shared" ca="1" si="5"/>
        <v>5.7354575768803429E-2</v>
      </c>
    </row>
    <row r="304" spans="1:5" x14ac:dyDescent="0.3">
      <c r="A304" s="82" vm="549">
        <f ca="1"/>
        <v>42296</v>
      </c>
      <c r="B304" s="17" vm="1623">
        <f ca="1"/>
        <v>29.951499999999999</v>
      </c>
      <c r="D304" s="9" vm="1624">
        <f ca="1"/>
        <v>17646.700400000002</v>
      </c>
      <c r="E304" s="11">
        <f t="shared" ca="1" si="5"/>
        <v>4.9530450627233824E-2</v>
      </c>
    </row>
    <row r="305" spans="1:5" x14ac:dyDescent="0.3">
      <c r="A305" s="82" vm="550">
        <f ca="1"/>
        <v>42303</v>
      </c>
      <c r="B305" s="17" vm="1625">
        <f ca="1"/>
        <v>31.295000000000002</v>
      </c>
      <c r="D305" s="9" vm="1626">
        <f ca="1"/>
        <v>17663.536599999999</v>
      </c>
      <c r="E305" s="11">
        <f t="shared" ca="1" si="5"/>
        <v>4.4855850291304344E-2</v>
      </c>
    </row>
    <row r="306" spans="1:5" x14ac:dyDescent="0.3">
      <c r="A306" s="82" vm="551">
        <f ca="1"/>
        <v>42310</v>
      </c>
      <c r="B306" s="17" vm="1627">
        <f ca="1"/>
        <v>32.968499999999999</v>
      </c>
      <c r="D306" s="9" vm="1628">
        <f ca="1"/>
        <v>17910.334299999999</v>
      </c>
      <c r="E306" s="11">
        <f t="shared" ca="1" si="5"/>
        <v>5.3474996005751674E-2</v>
      </c>
    </row>
    <row r="307" spans="1:5" x14ac:dyDescent="0.3">
      <c r="A307" s="82" vm="552">
        <f ca="1"/>
        <v>42317</v>
      </c>
      <c r="B307" s="17" vm="1629">
        <f ca="1"/>
        <v>32.1175</v>
      </c>
      <c r="D307" s="9" vm="1630">
        <f ca="1"/>
        <v>17245.2366</v>
      </c>
      <c r="E307" s="11">
        <f t="shared" ca="1" si="5"/>
        <v>-2.581251800961526E-2</v>
      </c>
    </row>
    <row r="308" spans="1:5" x14ac:dyDescent="0.3">
      <c r="A308" s="82" vm="553">
        <f ca="1"/>
        <v>42324</v>
      </c>
      <c r="B308" s="17" vm="1631">
        <f ca="1"/>
        <v>33.422499999999999</v>
      </c>
      <c r="D308" s="9" vm="1632">
        <f ca="1"/>
        <v>17823.8148</v>
      </c>
      <c r="E308" s="11">
        <f t="shared" ca="1" si="5"/>
        <v>4.0632054176072296E-2</v>
      </c>
    </row>
    <row r="309" spans="1:5" x14ac:dyDescent="0.3">
      <c r="A309" s="82" vm="554">
        <f ca="1"/>
        <v>42331</v>
      </c>
      <c r="B309" s="17" vm="1633">
        <f ca="1"/>
        <v>33.662999999999997</v>
      </c>
      <c r="D309" s="9" vm="1634">
        <f ca="1"/>
        <v>17798.493699999999</v>
      </c>
      <c r="E309" s="11">
        <f t="shared" ca="1" si="5"/>
        <v>7.1957513650982019E-3</v>
      </c>
    </row>
    <row r="310" spans="1:5" x14ac:dyDescent="0.3">
      <c r="A310" s="82" vm="555">
        <f ca="1"/>
        <v>42338</v>
      </c>
      <c r="B310" s="17" vm="1635">
        <f ca="1"/>
        <v>33.631999999999998</v>
      </c>
      <c r="D310" s="9" vm="1636">
        <f ca="1"/>
        <v>17847.632699999998</v>
      </c>
      <c r="E310" s="11">
        <f t="shared" ca="1" si="5"/>
        <v>-9.2089237441694838E-4</v>
      </c>
    </row>
    <row r="311" spans="1:5" x14ac:dyDescent="0.3">
      <c r="A311" s="82" vm="556">
        <f ca="1"/>
        <v>42345</v>
      </c>
      <c r="B311" s="17" vm="1637">
        <f ca="1"/>
        <v>32.0075</v>
      </c>
      <c r="D311" s="9" vm="1638">
        <f ca="1"/>
        <v>17265.213</v>
      </c>
      <c r="E311" s="11">
        <f t="shared" ca="1" si="5"/>
        <v>-4.8302212178877202E-2</v>
      </c>
    </row>
    <row r="312" spans="1:5" x14ac:dyDescent="0.3">
      <c r="A312" s="82" vm="557">
        <f ca="1"/>
        <v>42352</v>
      </c>
      <c r="B312" s="17" vm="1639">
        <f ca="1"/>
        <v>33.207000000000001</v>
      </c>
      <c r="D312" s="9" vm="1640">
        <f ca="1"/>
        <v>17128.552299999999</v>
      </c>
      <c r="E312" s="11">
        <f t="shared" ca="1" si="5"/>
        <v>3.7475591658205021E-2</v>
      </c>
    </row>
    <row r="313" spans="1:5" x14ac:dyDescent="0.3">
      <c r="A313" s="82" vm="558">
        <f ca="1"/>
        <v>42359</v>
      </c>
      <c r="B313" s="17" vm="1641">
        <f ca="1"/>
        <v>33.139499999999998</v>
      </c>
      <c r="D313" s="9" vm="1642">
        <f ca="1"/>
        <v>17552.167700000002</v>
      </c>
      <c r="E313" s="11">
        <f t="shared" ca="1" si="5"/>
        <v>-2.0327039479628439E-3</v>
      </c>
    </row>
    <row r="314" spans="1:5" x14ac:dyDescent="0.3">
      <c r="A314" s="82" vm="559">
        <f ca="1"/>
        <v>42366</v>
      </c>
      <c r="B314" s="17" vm="1643">
        <f ca="1"/>
        <v>33.794499999999999</v>
      </c>
      <c r="D314" s="9" vm="1644">
        <f ca="1"/>
        <v>17425.028699999999</v>
      </c>
      <c r="E314" s="11">
        <f t="shared" ca="1" si="5"/>
        <v>1.9764933085894443E-2</v>
      </c>
    </row>
    <row r="315" spans="1:5" x14ac:dyDescent="0.3">
      <c r="A315" s="82" vm="560">
        <f ca="1"/>
        <v>42373</v>
      </c>
      <c r="B315" s="17" vm="1645">
        <f ca="1"/>
        <v>30.352499999999999</v>
      </c>
      <c r="D315" s="9" vm="1646">
        <f ca="1"/>
        <v>16346.453</v>
      </c>
      <c r="E315" s="11">
        <f t="shared" ca="1" si="5"/>
        <v>-0.10185089289677318</v>
      </c>
    </row>
    <row r="316" spans="1:5" x14ac:dyDescent="0.3">
      <c r="A316" s="82" vm="561">
        <f ca="1"/>
        <v>42380</v>
      </c>
      <c r="B316" s="17" vm="1647">
        <f ca="1"/>
        <v>28.509</v>
      </c>
      <c r="D316" s="9" vm="1648">
        <f ca="1"/>
        <v>15988.080599999999</v>
      </c>
      <c r="E316" s="11">
        <f t="shared" ca="1" si="5"/>
        <v>-6.0736347912033528E-2</v>
      </c>
    </row>
    <row r="317" spans="1:5" x14ac:dyDescent="0.3">
      <c r="A317" s="82" vm="562">
        <f ca="1"/>
        <v>42388</v>
      </c>
      <c r="B317" s="17" vm="1649">
        <f ca="1"/>
        <v>29.818999999999999</v>
      </c>
      <c r="D317" s="9" vm="1650">
        <f ca="1"/>
        <v>16093.510399999999</v>
      </c>
      <c r="E317" s="11">
        <f t="shared" ca="1" si="5"/>
        <v>4.5950401627556259E-2</v>
      </c>
    </row>
    <row r="318" spans="1:5" x14ac:dyDescent="0.3">
      <c r="A318" s="82" vm="563">
        <f ca="1"/>
        <v>42394</v>
      </c>
      <c r="B318" s="17" vm="1651">
        <f ca="1"/>
        <v>29.35</v>
      </c>
      <c r="D318" s="9" vm="1652">
        <f ca="1"/>
        <v>16466.298599999998</v>
      </c>
      <c r="E318" s="11">
        <f t="shared" ca="1" si="5"/>
        <v>-1.5728226969381809E-2</v>
      </c>
    </row>
    <row r="319" spans="1:5" x14ac:dyDescent="0.3">
      <c r="A319" s="82" vm="564">
        <f ca="1"/>
        <v>42401</v>
      </c>
      <c r="B319" s="17" vm="1653">
        <f ca="1"/>
        <v>25.1065</v>
      </c>
      <c r="D319" s="9" vm="1654">
        <f ca="1"/>
        <v>16204.9668</v>
      </c>
      <c r="E319" s="11">
        <f t="shared" ca="1" si="5"/>
        <v>-0.14458262350936968</v>
      </c>
    </row>
    <row r="320" spans="1:5" x14ac:dyDescent="0.3">
      <c r="A320" s="82" vm="565">
        <f ca="1"/>
        <v>42408</v>
      </c>
      <c r="B320" s="17" vm="1655">
        <f ca="1"/>
        <v>25.353999999999999</v>
      </c>
      <c r="D320" s="9" vm="1656">
        <f ca="1"/>
        <v>15973.8361</v>
      </c>
      <c r="E320" s="11">
        <f t="shared" ca="1" si="5"/>
        <v>9.8580048991296909E-3</v>
      </c>
    </row>
    <row r="321" spans="1:5" x14ac:dyDescent="0.3">
      <c r="A321" s="82" vm="566">
        <f ca="1"/>
        <v>42416</v>
      </c>
      <c r="B321" s="17" vm="1657">
        <f ca="1"/>
        <v>26.745000000000001</v>
      </c>
      <c r="D321" s="9" vm="1658">
        <f ca="1"/>
        <v>16391.994299999998</v>
      </c>
      <c r="E321" s="11">
        <f t="shared" ca="1" si="5"/>
        <v>5.486313796639597E-2</v>
      </c>
    </row>
    <row r="322" spans="1:5" x14ac:dyDescent="0.3">
      <c r="A322" s="82" vm="567">
        <f ca="1"/>
        <v>42422</v>
      </c>
      <c r="B322" s="17" vm="1659">
        <f ca="1"/>
        <v>27.761500000000002</v>
      </c>
      <c r="D322" s="9" vm="1660">
        <f ca="1"/>
        <v>16639.9719</v>
      </c>
      <c r="E322" s="11">
        <f t="shared" ca="1" si="5"/>
        <v>3.8007104131613456E-2</v>
      </c>
    </row>
    <row r="323" spans="1:5" x14ac:dyDescent="0.3">
      <c r="A323" s="82" vm="568">
        <f ca="1"/>
        <v>42429</v>
      </c>
      <c r="B323" s="17" vm="1661">
        <f ca="1"/>
        <v>28.757000000000001</v>
      </c>
      <c r="D323" s="9" vm="1662">
        <f ca="1"/>
        <v>17006.7677</v>
      </c>
      <c r="E323" s="11">
        <f t="shared" ca="1" si="5"/>
        <v>3.585901338184172E-2</v>
      </c>
    </row>
    <row r="324" spans="1:5" x14ac:dyDescent="0.3">
      <c r="A324" s="82" vm="569">
        <f ca="1"/>
        <v>42436</v>
      </c>
      <c r="B324" s="17" vm="1663">
        <f ca="1"/>
        <v>28.480499999999999</v>
      </c>
      <c r="D324" s="9" vm="1664">
        <f ca="1"/>
        <v>17213.312999999998</v>
      </c>
      <c r="E324" s="11">
        <f t="shared" ca="1" si="5"/>
        <v>-9.6150502486351819E-3</v>
      </c>
    </row>
    <row r="325" spans="1:5" x14ac:dyDescent="0.3">
      <c r="A325" s="82" vm="570">
        <f ca="1"/>
        <v>42443</v>
      </c>
      <c r="B325" s="17" vm="1665">
        <f ca="1"/>
        <v>27.603999999999999</v>
      </c>
      <c r="D325" s="9" vm="1666">
        <f ca="1"/>
        <v>17602.297399999999</v>
      </c>
      <c r="E325" s="11">
        <f t="shared" ca="1" si="5"/>
        <v>-3.0775442846860179E-2</v>
      </c>
    </row>
    <row r="326" spans="1:5" x14ac:dyDescent="0.3">
      <c r="A326" s="82" vm="571">
        <f ca="1"/>
        <v>42450</v>
      </c>
      <c r="B326" s="17" vm="1667">
        <f ca="1"/>
        <v>29.147500000000001</v>
      </c>
      <c r="D326" s="9" vm="1668">
        <f ca="1"/>
        <v>17515.7346</v>
      </c>
      <c r="E326" s="11">
        <f t="shared" ca="1" si="5"/>
        <v>5.5915809302999664E-2</v>
      </c>
    </row>
    <row r="327" spans="1:5" x14ac:dyDescent="0.3">
      <c r="A327" s="82" vm="572">
        <f ca="1"/>
        <v>42457</v>
      </c>
      <c r="B327" s="17" vm="1669">
        <f ca="1"/>
        <v>29.925000000000001</v>
      </c>
      <c r="D327" s="9" vm="1670">
        <f ca="1"/>
        <v>17792.749</v>
      </c>
      <c r="E327" s="11">
        <f t="shared" ca="1" si="5"/>
        <v>2.667467192726658E-2</v>
      </c>
    </row>
    <row r="328" spans="1:5" x14ac:dyDescent="0.3">
      <c r="A328" s="82" vm="573">
        <f ca="1"/>
        <v>42464</v>
      </c>
      <c r="B328" s="17" vm="1671">
        <f ca="1"/>
        <v>29.73</v>
      </c>
      <c r="D328" s="9" vm="1672">
        <f ca="1"/>
        <v>17576.958600000002</v>
      </c>
      <c r="E328" s="11">
        <f t="shared" ca="1" si="5"/>
        <v>-6.5162907268170311E-3</v>
      </c>
    </row>
    <row r="329" spans="1:5" x14ac:dyDescent="0.3">
      <c r="A329" s="82" vm="574">
        <f ca="1"/>
        <v>42471</v>
      </c>
      <c r="B329" s="17" vm="1673">
        <f ca="1"/>
        <v>31.294499999999999</v>
      </c>
      <c r="D329" s="9" vm="1674">
        <f ca="1"/>
        <v>17897.459800000001</v>
      </c>
      <c r="E329" s="11">
        <f t="shared" ca="1" si="5"/>
        <v>5.2623612512613382E-2</v>
      </c>
    </row>
    <row r="330" spans="1:5" x14ac:dyDescent="0.3">
      <c r="A330" s="82" vm="575">
        <f ca="1"/>
        <v>42478</v>
      </c>
      <c r="B330" s="17" vm="1675">
        <f ca="1"/>
        <v>31.024999999999999</v>
      </c>
      <c r="D330" s="9" vm="1676">
        <f ca="1"/>
        <v>18003.745699999999</v>
      </c>
      <c r="E330" s="11">
        <f t="shared" ca="1" si="5"/>
        <v>-8.6117368866733823E-3</v>
      </c>
    </row>
    <row r="331" spans="1:5" x14ac:dyDescent="0.3">
      <c r="A331" s="82" vm="576">
        <f ca="1"/>
        <v>42485</v>
      </c>
      <c r="B331" s="17" vm="1677">
        <f ca="1"/>
        <v>32.979500000000002</v>
      </c>
      <c r="D331" s="9" vm="1678">
        <f ca="1"/>
        <v>17773.642199999998</v>
      </c>
      <c r="E331" s="11">
        <f t="shared" ref="E331:E394" ca="1" si="6">IF(B331&gt;0,B331/B330-1,"")</f>
        <v>6.29975825946818E-2</v>
      </c>
    </row>
    <row r="332" spans="1:5" x14ac:dyDescent="0.3">
      <c r="A332" s="82" vm="577">
        <f ca="1"/>
        <v>42492</v>
      </c>
      <c r="B332" s="17" vm="1679">
        <f ca="1"/>
        <v>33.697499999999998</v>
      </c>
      <c r="D332" s="9" vm="1680">
        <f ca="1"/>
        <v>17740.633399999999</v>
      </c>
      <c r="E332" s="11">
        <f t="shared" ca="1" si="6"/>
        <v>2.1771100228930029E-2</v>
      </c>
    </row>
    <row r="333" spans="1:5" x14ac:dyDescent="0.3">
      <c r="A333" s="82" vm="578">
        <f ca="1"/>
        <v>42499</v>
      </c>
      <c r="B333" s="17" vm="1681">
        <f ca="1"/>
        <v>35.496000000000002</v>
      </c>
      <c r="D333" s="9" vm="1682">
        <f ca="1"/>
        <v>17535.320800000001</v>
      </c>
      <c r="E333" s="11">
        <f t="shared" ca="1" si="6"/>
        <v>5.3371911862897914E-2</v>
      </c>
    </row>
    <row r="334" spans="1:5" x14ac:dyDescent="0.3">
      <c r="A334" s="82" vm="579">
        <f ca="1"/>
        <v>42506</v>
      </c>
      <c r="B334" s="17" vm="1683">
        <f ca="1"/>
        <v>35.14</v>
      </c>
      <c r="D334" s="9" vm="1684">
        <f ca="1"/>
        <v>17500.942299999999</v>
      </c>
      <c r="E334" s="11">
        <f t="shared" ca="1" si="6"/>
        <v>-1.0029299075952292E-2</v>
      </c>
    </row>
    <row r="335" spans="1:5" x14ac:dyDescent="0.3">
      <c r="A335" s="82" vm="580">
        <f ca="1"/>
        <v>42513</v>
      </c>
      <c r="B335" s="17" vm="1685">
        <f ca="1"/>
        <v>35.612000000000002</v>
      </c>
      <c r="D335" s="9" vm="1686">
        <f ca="1"/>
        <v>17873.216799999998</v>
      </c>
      <c r="E335" s="11">
        <f t="shared" ca="1" si="6"/>
        <v>1.3431986340352919E-2</v>
      </c>
    </row>
    <row r="336" spans="1:5" x14ac:dyDescent="0.3">
      <c r="A336" s="82" vm="581">
        <f ca="1"/>
        <v>42521</v>
      </c>
      <c r="B336" s="17" vm="1687">
        <f ca="1"/>
        <v>36.277000000000001</v>
      </c>
      <c r="D336" s="9" vm="1688">
        <f ca="1"/>
        <v>17807.062000000002</v>
      </c>
      <c r="E336" s="11">
        <f t="shared" ca="1" si="6"/>
        <v>1.8673480849151991E-2</v>
      </c>
    </row>
    <row r="337" spans="1:5" x14ac:dyDescent="0.3">
      <c r="A337" s="82" vm="582">
        <f ca="1"/>
        <v>42527</v>
      </c>
      <c r="B337" s="17" vm="1689">
        <f ca="1"/>
        <v>35.895499999999998</v>
      </c>
      <c r="D337" s="9" vm="1690">
        <f ca="1"/>
        <v>17865.341199999999</v>
      </c>
      <c r="E337" s="11">
        <f t="shared" ca="1" si="6"/>
        <v>-1.0516305096893386E-2</v>
      </c>
    </row>
    <row r="338" spans="1:5" x14ac:dyDescent="0.3">
      <c r="A338" s="82" vm="583">
        <f ca="1"/>
        <v>42534</v>
      </c>
      <c r="B338" s="17" vm="1691">
        <f ca="1"/>
        <v>35.319499999999998</v>
      </c>
      <c r="D338" s="9" vm="1692">
        <f ca="1"/>
        <v>17675.163400000001</v>
      </c>
      <c r="E338" s="11">
        <f t="shared" ca="1" si="6"/>
        <v>-1.6046579654831361E-2</v>
      </c>
    </row>
    <row r="339" spans="1:5" x14ac:dyDescent="0.3">
      <c r="A339" s="82" vm="584">
        <f ca="1"/>
        <v>42541</v>
      </c>
      <c r="B339" s="17" vm="1693">
        <f ca="1"/>
        <v>34.948</v>
      </c>
      <c r="D339" s="9" vm="1694">
        <f ca="1"/>
        <v>17400.751400000001</v>
      </c>
      <c r="E339" s="11">
        <f t="shared" ca="1" si="6"/>
        <v>-1.0518268944917031E-2</v>
      </c>
    </row>
    <row r="340" spans="1:5" x14ac:dyDescent="0.3">
      <c r="A340" s="82" vm="585">
        <f ca="1"/>
        <v>42548</v>
      </c>
      <c r="B340" s="17" vm="1695">
        <f ca="1"/>
        <v>36.283999999999999</v>
      </c>
      <c r="D340" s="9" vm="1696">
        <f ca="1"/>
        <v>17949.3701</v>
      </c>
      <c r="E340" s="11">
        <f t="shared" ca="1" si="6"/>
        <v>3.8228224791118093E-2</v>
      </c>
    </row>
    <row r="341" spans="1:5" x14ac:dyDescent="0.3">
      <c r="A341" s="82" vm="586">
        <f ca="1"/>
        <v>42556</v>
      </c>
      <c r="B341" s="17" vm="1697">
        <f ca="1"/>
        <v>37.290500000000002</v>
      </c>
      <c r="D341" s="9" vm="1698">
        <f ca="1"/>
        <v>18146.738499999999</v>
      </c>
      <c r="E341" s="11">
        <f t="shared" ca="1" si="6"/>
        <v>2.7739499503913745E-2</v>
      </c>
    </row>
    <row r="342" spans="1:5" x14ac:dyDescent="0.3">
      <c r="A342" s="82" vm="587">
        <f ca="1"/>
        <v>42562</v>
      </c>
      <c r="B342" s="17" vm="1699">
        <f ca="1"/>
        <v>36.771999999999998</v>
      </c>
      <c r="D342" s="9" vm="1700">
        <f ca="1"/>
        <v>18516.547699999999</v>
      </c>
      <c r="E342" s="11">
        <f t="shared" ca="1" si="6"/>
        <v>-1.3904345610812441E-2</v>
      </c>
    </row>
    <row r="343" spans="1:5" x14ac:dyDescent="0.3">
      <c r="A343" s="82" vm="588">
        <f ca="1"/>
        <v>42569</v>
      </c>
      <c r="B343" s="17" vm="1701">
        <f ca="1"/>
        <v>37.243000000000002</v>
      </c>
      <c r="D343" s="9" vm="1702">
        <f ca="1"/>
        <v>18570.854800000001</v>
      </c>
      <c r="E343" s="11">
        <f t="shared" ca="1" si="6"/>
        <v>1.2808658762101688E-2</v>
      </c>
    </row>
    <row r="344" spans="1:5" x14ac:dyDescent="0.3">
      <c r="A344" s="82" vm="589">
        <f ca="1"/>
        <v>42576</v>
      </c>
      <c r="B344" s="17" vm="1703">
        <f ca="1"/>
        <v>37.9405</v>
      </c>
      <c r="D344" s="9" vm="1704">
        <f ca="1"/>
        <v>18432.244900000002</v>
      </c>
      <c r="E344" s="11">
        <f t="shared" ca="1" si="6"/>
        <v>1.8728351636549068E-2</v>
      </c>
    </row>
    <row r="345" spans="1:5" x14ac:dyDescent="0.3">
      <c r="A345" s="82" vm="590">
        <f ca="1"/>
        <v>42583</v>
      </c>
      <c r="B345" s="17" vm="1705">
        <f ca="1"/>
        <v>38.298999999999999</v>
      </c>
      <c r="D345" s="9" vm="1706">
        <f ca="1"/>
        <v>18543.53</v>
      </c>
      <c r="E345" s="11">
        <f t="shared" ca="1" si="6"/>
        <v>9.4490056799461097E-3</v>
      </c>
    </row>
    <row r="346" spans="1:5" x14ac:dyDescent="0.3">
      <c r="A346" s="82" vm="591">
        <f ca="1"/>
        <v>42590</v>
      </c>
      <c r="B346" s="17" vm="1707">
        <f ca="1"/>
        <v>38.628</v>
      </c>
      <c r="D346" s="9" vm="1708">
        <f ca="1"/>
        <v>18576.470399999998</v>
      </c>
      <c r="E346" s="11">
        <f t="shared" ca="1" si="6"/>
        <v>8.5903026188673959E-3</v>
      </c>
    </row>
    <row r="347" spans="1:5" x14ac:dyDescent="0.3">
      <c r="A347" s="82" vm="592">
        <f ca="1"/>
        <v>42597</v>
      </c>
      <c r="B347" s="17" vm="1709">
        <f ca="1"/>
        <v>37.865499999999997</v>
      </c>
      <c r="D347" s="9" vm="1710">
        <f ca="1"/>
        <v>18552.569800000001</v>
      </c>
      <c r="E347" s="11">
        <f t="shared" ca="1" si="6"/>
        <v>-1.9739567153360338E-2</v>
      </c>
    </row>
    <row r="348" spans="1:5" x14ac:dyDescent="0.3">
      <c r="A348" s="82" vm="593">
        <f ca="1"/>
        <v>42604</v>
      </c>
      <c r="B348" s="17" vm="1711">
        <f ca="1"/>
        <v>38.450000000000003</v>
      </c>
      <c r="D348" s="9" vm="1712">
        <f ca="1"/>
        <v>18395.400900000001</v>
      </c>
      <c r="E348" s="11">
        <f t="shared" ca="1" si="6"/>
        <v>1.5436215024230648E-2</v>
      </c>
    </row>
    <row r="349" spans="1:5" x14ac:dyDescent="0.3">
      <c r="A349" s="82" vm="594">
        <f ca="1"/>
        <v>42611</v>
      </c>
      <c r="B349" s="17" vm="1713">
        <f ca="1"/>
        <v>38.622</v>
      </c>
      <c r="D349" s="9" vm="1714">
        <f ca="1"/>
        <v>18491.962200000002</v>
      </c>
      <c r="E349" s="11">
        <f t="shared" ca="1" si="6"/>
        <v>4.4733420026006332E-3</v>
      </c>
    </row>
    <row r="350" spans="1:5" x14ac:dyDescent="0.3">
      <c r="A350" s="82" vm="595">
        <f ca="1"/>
        <v>42619</v>
      </c>
      <c r="B350" s="17" vm="1715">
        <f ca="1"/>
        <v>38.006999999999998</v>
      </c>
      <c r="D350" s="9" vm="1716">
        <f ca="1"/>
        <v>18085.446100000001</v>
      </c>
      <c r="E350" s="11">
        <f t="shared" ca="1" si="6"/>
        <v>-1.5923566878980888E-2</v>
      </c>
    </row>
    <row r="351" spans="1:5" x14ac:dyDescent="0.3">
      <c r="A351" s="82" vm="596">
        <f ca="1"/>
        <v>42625</v>
      </c>
      <c r="B351" s="17" vm="1717">
        <f ca="1"/>
        <v>38.926000000000002</v>
      </c>
      <c r="D351" s="9" vm="1718">
        <f ca="1"/>
        <v>18123.796699999999</v>
      </c>
      <c r="E351" s="11">
        <f t="shared" ca="1" si="6"/>
        <v>2.417975636067049E-2</v>
      </c>
    </row>
    <row r="352" spans="1:5" x14ac:dyDescent="0.3">
      <c r="A352" s="82" vm="597">
        <f ca="1"/>
        <v>42632</v>
      </c>
      <c r="B352" s="17" vm="1719">
        <f ca="1"/>
        <v>40.287500000000001</v>
      </c>
      <c r="D352" s="9" vm="1720">
        <f ca="1"/>
        <v>18261.447899999999</v>
      </c>
      <c r="E352" s="11">
        <f t="shared" ca="1" si="6"/>
        <v>3.4976622308996452E-2</v>
      </c>
    </row>
    <row r="353" spans="1:5" x14ac:dyDescent="0.3">
      <c r="A353" s="82" vm="598">
        <f ca="1"/>
        <v>42639</v>
      </c>
      <c r="B353" s="17" vm="1721">
        <f ca="1"/>
        <v>41.865499999999997</v>
      </c>
      <c r="D353" s="9" vm="1722">
        <f ca="1"/>
        <v>18308.153399999999</v>
      </c>
      <c r="E353" s="11">
        <f t="shared" ca="1" si="6"/>
        <v>3.9168476574619859E-2</v>
      </c>
    </row>
    <row r="354" spans="1:5" x14ac:dyDescent="0.3">
      <c r="A354" s="82" vm="599">
        <f ca="1"/>
        <v>42646</v>
      </c>
      <c r="B354" s="17" vm="1723">
        <f ca="1"/>
        <v>41.971499999999999</v>
      </c>
      <c r="D354" s="9" vm="1724">
        <f ca="1"/>
        <v>18240.491999999998</v>
      </c>
      <c r="E354" s="11">
        <f t="shared" ca="1" si="6"/>
        <v>2.5319176887892425E-3</v>
      </c>
    </row>
    <row r="355" spans="1:5" x14ac:dyDescent="0.3">
      <c r="A355" s="82" vm="600">
        <f ca="1"/>
        <v>42653</v>
      </c>
      <c r="B355" s="17" vm="1725">
        <f ca="1"/>
        <v>41.148000000000003</v>
      </c>
      <c r="D355" s="9" vm="1726">
        <f ca="1"/>
        <v>18138.383600000001</v>
      </c>
      <c r="E355" s="11">
        <f t="shared" ca="1" si="6"/>
        <v>-1.9620456738500991E-2</v>
      </c>
    </row>
    <row r="356" spans="1:5" x14ac:dyDescent="0.3">
      <c r="A356" s="82" vm="601">
        <f ca="1"/>
        <v>42660</v>
      </c>
      <c r="B356" s="17" vm="1727">
        <f ca="1"/>
        <v>40.9495</v>
      </c>
      <c r="D356" s="9" vm="1728">
        <f ca="1"/>
        <v>18145.711299999999</v>
      </c>
      <c r="E356" s="11">
        <f t="shared" ca="1" si="6"/>
        <v>-4.8240497715563713E-3</v>
      </c>
    </row>
    <row r="357" spans="1:5" x14ac:dyDescent="0.3">
      <c r="A357" s="82" vm="602">
        <f ca="1"/>
        <v>42667</v>
      </c>
      <c r="B357" s="17" vm="1729">
        <f ca="1"/>
        <v>38.816000000000003</v>
      </c>
      <c r="D357" s="9" vm="1730">
        <f ca="1"/>
        <v>18161.1885</v>
      </c>
      <c r="E357" s="11">
        <f t="shared" ca="1" si="6"/>
        <v>-5.2100758251016455E-2</v>
      </c>
    </row>
    <row r="358" spans="1:5" x14ac:dyDescent="0.3">
      <c r="A358" s="82" vm="603">
        <f ca="1"/>
        <v>42674</v>
      </c>
      <c r="B358" s="17" vm="1731">
        <f ca="1"/>
        <v>37.752499999999998</v>
      </c>
      <c r="D358" s="9" vm="1732">
        <f ca="1"/>
        <v>17888.283100000001</v>
      </c>
      <c r="E358" s="11">
        <f t="shared" ca="1" si="6"/>
        <v>-2.7398495465787431E-2</v>
      </c>
    </row>
    <row r="359" spans="1:5" x14ac:dyDescent="0.3">
      <c r="A359" s="82" vm="604">
        <f ca="1"/>
        <v>42681</v>
      </c>
      <c r="B359" s="17" vm="1733">
        <f ca="1"/>
        <v>36.950499999999998</v>
      </c>
      <c r="D359" s="9" vm="1734">
        <f ca="1"/>
        <v>18847.663799999998</v>
      </c>
      <c r="E359" s="11">
        <f t="shared" ca="1" si="6"/>
        <v>-2.1243626249917269E-2</v>
      </c>
    </row>
    <row r="360" spans="1:5" x14ac:dyDescent="0.3">
      <c r="A360" s="82" vm="605">
        <f ca="1"/>
        <v>42688</v>
      </c>
      <c r="B360" s="17" vm="1735">
        <f ca="1"/>
        <v>38.008000000000003</v>
      </c>
      <c r="D360" s="9" vm="1736">
        <f ca="1"/>
        <v>18867.934799999999</v>
      </c>
      <c r="E360" s="11">
        <f t="shared" ca="1" si="6"/>
        <v>2.8619369156033247E-2</v>
      </c>
    </row>
    <row r="361" spans="1:5" x14ac:dyDescent="0.3">
      <c r="A361" s="82" vm="606">
        <f ca="1"/>
        <v>42695</v>
      </c>
      <c r="B361" s="17" vm="1737">
        <f ca="1"/>
        <v>39.018500000000003</v>
      </c>
      <c r="D361" s="9" vm="1738">
        <f ca="1"/>
        <v>19152.139899999998</v>
      </c>
      <c r="E361" s="11">
        <f t="shared" ca="1" si="6"/>
        <v>2.6586508103557227E-2</v>
      </c>
    </row>
    <row r="362" spans="1:5" x14ac:dyDescent="0.3">
      <c r="A362" s="82" vm="607">
        <f ca="1"/>
        <v>42702</v>
      </c>
      <c r="B362" s="17" vm="1739">
        <f ca="1"/>
        <v>37.017000000000003</v>
      </c>
      <c r="D362" s="9" vm="1740">
        <f ca="1"/>
        <v>19170.424999999999</v>
      </c>
      <c r="E362" s="11">
        <f t="shared" ca="1" si="6"/>
        <v>-5.1296180017171289E-2</v>
      </c>
    </row>
    <row r="363" spans="1:5" x14ac:dyDescent="0.3">
      <c r="A363" s="82" vm="608">
        <f ca="1"/>
        <v>42709</v>
      </c>
      <c r="B363" s="17" vm="1741">
        <f ca="1"/>
        <v>38.433</v>
      </c>
      <c r="D363" s="9" vm="1742">
        <f ca="1"/>
        <v>19756.846300000001</v>
      </c>
      <c r="E363" s="11">
        <f t="shared" ca="1" si="6"/>
        <v>3.8252694707836765E-2</v>
      </c>
    </row>
    <row r="364" spans="1:5" x14ac:dyDescent="0.3">
      <c r="A364" s="82" vm="609">
        <f ca="1"/>
        <v>42716</v>
      </c>
      <c r="B364" s="17" vm="1743">
        <f ca="1"/>
        <v>37.888500000000001</v>
      </c>
      <c r="D364" s="9" vm="1744">
        <f ca="1"/>
        <v>19843.409</v>
      </c>
      <c r="E364" s="11">
        <f t="shared" ca="1" si="6"/>
        <v>-1.4167512294122275E-2</v>
      </c>
    </row>
    <row r="365" spans="1:5" x14ac:dyDescent="0.3">
      <c r="A365" s="82" vm="610">
        <f ca="1"/>
        <v>42723</v>
      </c>
      <c r="B365" s="17" vm="1745">
        <f ca="1"/>
        <v>38.029499999999999</v>
      </c>
      <c r="D365" s="9" vm="1746">
        <f ca="1"/>
        <v>19933.806799999998</v>
      </c>
      <c r="E365" s="11">
        <f t="shared" ca="1" si="6"/>
        <v>3.7214458212913026E-3</v>
      </c>
    </row>
    <row r="366" spans="1:5" x14ac:dyDescent="0.3">
      <c r="A366" s="82" vm="611">
        <f ca="1"/>
        <v>42731</v>
      </c>
      <c r="B366" s="17" vm="1747">
        <f ca="1"/>
        <v>37.493499999999997</v>
      </c>
      <c r="D366" s="9" vm="1748">
        <f ca="1"/>
        <v>19762.598900000001</v>
      </c>
      <c r="E366" s="11">
        <f t="shared" ca="1" si="6"/>
        <v>-1.4094321513561825E-2</v>
      </c>
    </row>
    <row r="367" spans="1:5" x14ac:dyDescent="0.3">
      <c r="A367" s="82" vm="612">
        <f ca="1"/>
        <v>42738</v>
      </c>
      <c r="B367" s="17" vm="1749">
        <f ca="1"/>
        <v>39.799500000000002</v>
      </c>
      <c r="D367" s="9" vm="1750">
        <f ca="1"/>
        <v>19963.802500000002</v>
      </c>
      <c r="E367" s="11">
        <f t="shared" ca="1" si="6"/>
        <v>6.1503994025631226E-2</v>
      </c>
    </row>
    <row r="368" spans="1:5" x14ac:dyDescent="0.3">
      <c r="A368" s="82" vm="613">
        <f ca="1"/>
        <v>42744</v>
      </c>
      <c r="B368" s="17" vm="1751">
        <f ca="1"/>
        <v>40.856999999999999</v>
      </c>
      <c r="D368" s="9" vm="1752">
        <f ca="1"/>
        <v>19885.731599999999</v>
      </c>
      <c r="E368" s="11">
        <f t="shared" ca="1" si="6"/>
        <v>2.6570685561376317E-2</v>
      </c>
    </row>
    <row r="369" spans="1:5" x14ac:dyDescent="0.3">
      <c r="A369" s="82" vm="614">
        <f ca="1"/>
        <v>42752</v>
      </c>
      <c r="B369" s="17" vm="1753">
        <f ca="1"/>
        <v>40.416499999999999</v>
      </c>
      <c r="D369" s="9" vm="1754">
        <f ca="1"/>
        <v>19827.246999999999</v>
      </c>
      <c r="E369" s="11">
        <f t="shared" ca="1" si="6"/>
        <v>-1.0781506229042725E-2</v>
      </c>
    </row>
    <row r="370" spans="1:5" x14ac:dyDescent="0.3">
      <c r="A370" s="82" vm="615">
        <f ca="1"/>
        <v>42758</v>
      </c>
      <c r="B370" s="17" vm="1755">
        <f ca="1"/>
        <v>41.788499999999999</v>
      </c>
      <c r="D370" s="9" vm="1756">
        <f ca="1"/>
        <v>20093.783500000001</v>
      </c>
      <c r="E370" s="11">
        <f t="shared" ca="1" si="6"/>
        <v>3.3946531738275221E-2</v>
      </c>
    </row>
    <row r="371" spans="1:5" x14ac:dyDescent="0.3">
      <c r="A371" s="82" vm="616">
        <f ca="1"/>
        <v>42765</v>
      </c>
      <c r="B371" s="17" vm="1757">
        <f ca="1"/>
        <v>40.51</v>
      </c>
      <c r="D371" s="9" vm="1758">
        <f ca="1"/>
        <v>20071.457999999999</v>
      </c>
      <c r="E371" s="11">
        <f t="shared" ca="1" si="6"/>
        <v>-3.059454156047714E-2</v>
      </c>
    </row>
    <row r="372" spans="1:5" x14ac:dyDescent="0.3">
      <c r="A372" s="82" vm="617">
        <f ca="1"/>
        <v>42772</v>
      </c>
      <c r="B372" s="17" vm="1759">
        <f ca="1"/>
        <v>41.372999999999998</v>
      </c>
      <c r="D372" s="9" vm="1760">
        <f ca="1"/>
        <v>20269.374400000001</v>
      </c>
      <c r="E372" s="11">
        <f t="shared" ca="1" si="6"/>
        <v>2.1303381881017103E-2</v>
      </c>
    </row>
    <row r="373" spans="1:5" x14ac:dyDescent="0.3">
      <c r="A373" s="82" vm="618">
        <f ca="1"/>
        <v>42779</v>
      </c>
      <c r="B373" s="17" vm="1761">
        <f ca="1"/>
        <v>42.253500000000003</v>
      </c>
      <c r="D373" s="9" vm="1762">
        <f ca="1"/>
        <v>20624.048699999999</v>
      </c>
      <c r="E373" s="11">
        <f t="shared" ca="1" si="6"/>
        <v>2.1281995504314422E-2</v>
      </c>
    </row>
    <row r="374" spans="1:5" x14ac:dyDescent="0.3">
      <c r="A374" s="82" vm="619">
        <f ca="1"/>
        <v>42787</v>
      </c>
      <c r="B374" s="17" vm="1763">
        <f ca="1"/>
        <v>42.262</v>
      </c>
      <c r="D374" s="9" vm="1764">
        <f ca="1"/>
        <v>20821.759600000001</v>
      </c>
      <c r="E374" s="11">
        <f t="shared" ca="1" si="6"/>
        <v>2.0116676724990512E-4</v>
      </c>
    </row>
    <row r="375" spans="1:5" x14ac:dyDescent="0.3">
      <c r="A375" s="82" vm="620">
        <f ca="1"/>
        <v>42793</v>
      </c>
      <c r="B375" s="17" vm="1765">
        <f ca="1"/>
        <v>42.494</v>
      </c>
      <c r="D375" s="9" vm="1766">
        <f ca="1"/>
        <v>21005.705399999999</v>
      </c>
      <c r="E375" s="11">
        <f t="shared" ca="1" si="6"/>
        <v>5.4895650939377205E-3</v>
      </c>
    </row>
    <row r="376" spans="1:5" x14ac:dyDescent="0.3">
      <c r="A376" s="82" vm="621">
        <f ca="1"/>
        <v>42800</v>
      </c>
      <c r="B376" s="17" vm="1767">
        <f ca="1"/>
        <v>42.622999999999998</v>
      </c>
      <c r="D376" s="9" vm="1768">
        <f ca="1"/>
        <v>20902.980599999999</v>
      </c>
      <c r="E376" s="11">
        <f t="shared" ca="1" si="6"/>
        <v>3.0357226902621992E-3</v>
      </c>
    </row>
    <row r="377" spans="1:5" x14ac:dyDescent="0.3">
      <c r="A377" s="82" vm="622">
        <f ca="1"/>
        <v>42807</v>
      </c>
      <c r="B377" s="17" vm="1769">
        <f ca="1"/>
        <v>42.615499999999997</v>
      </c>
      <c r="D377" s="9" vm="1770">
        <f ca="1"/>
        <v>20914.622800000001</v>
      </c>
      <c r="E377" s="11">
        <f t="shared" ca="1" si="6"/>
        <v>-1.7596133542918668E-4</v>
      </c>
    </row>
    <row r="378" spans="1:5" x14ac:dyDescent="0.3">
      <c r="A378" s="82" vm="623">
        <f ca="1"/>
        <v>42814</v>
      </c>
      <c r="B378" s="17" vm="1771">
        <f ca="1"/>
        <v>42.280500000000004</v>
      </c>
      <c r="D378" s="9" vm="1772">
        <f ca="1"/>
        <v>20596.723900000001</v>
      </c>
      <c r="E378" s="11">
        <f t="shared" ca="1" si="6"/>
        <v>-7.8609895460570733E-3</v>
      </c>
    </row>
    <row r="379" spans="1:5" x14ac:dyDescent="0.3">
      <c r="A379" s="82" vm="624">
        <f ca="1"/>
        <v>42821</v>
      </c>
      <c r="B379" s="17" vm="1773">
        <f ca="1"/>
        <v>44.326999999999998</v>
      </c>
      <c r="D379" s="9" vm="1774">
        <f ca="1"/>
        <v>20663.221099999999</v>
      </c>
      <c r="E379" s="11">
        <f t="shared" ca="1" si="6"/>
        <v>4.8402928063764561E-2</v>
      </c>
    </row>
    <row r="380" spans="1:5" x14ac:dyDescent="0.3">
      <c r="A380" s="82" vm="625">
        <f ca="1"/>
        <v>42828</v>
      </c>
      <c r="B380" s="17" vm="1775">
        <f ca="1"/>
        <v>44.744</v>
      </c>
      <c r="D380" s="9" vm="1776">
        <f ca="1"/>
        <v>20656.0988</v>
      </c>
      <c r="E380" s="11">
        <f t="shared" ca="1" si="6"/>
        <v>9.4073589460148543E-3</v>
      </c>
    </row>
    <row r="381" spans="1:5" x14ac:dyDescent="0.3">
      <c r="A381" s="82" vm="626">
        <f ca="1"/>
        <v>42835</v>
      </c>
      <c r="B381" s="17" vm="1777">
        <f ca="1"/>
        <v>44.233499999999999</v>
      </c>
      <c r="D381" s="9" vm="1778">
        <f ca="1"/>
        <v>20453.251700000001</v>
      </c>
      <c r="E381" s="11">
        <f t="shared" ca="1" si="6"/>
        <v>-1.1409350974432297E-2</v>
      </c>
    </row>
    <row r="382" spans="1:5" x14ac:dyDescent="0.3">
      <c r="A382" s="82" vm="627">
        <f ca="1"/>
        <v>42842</v>
      </c>
      <c r="B382" s="17" vm="1779">
        <f ca="1"/>
        <v>44.926499999999997</v>
      </c>
      <c r="D382" s="9" vm="1780">
        <f ca="1"/>
        <v>20547.758399999999</v>
      </c>
      <c r="E382" s="11">
        <f t="shared" ca="1" si="6"/>
        <v>1.5666858828715657E-2</v>
      </c>
    </row>
    <row r="383" spans="1:5" x14ac:dyDescent="0.3">
      <c r="A383" s="82" vm="628">
        <f ca="1"/>
        <v>42849</v>
      </c>
      <c r="B383" s="17" vm="1781">
        <f ca="1"/>
        <v>46.249499999999998</v>
      </c>
      <c r="D383" s="9" vm="1782">
        <f ca="1"/>
        <v>20940.509399999999</v>
      </c>
      <c r="E383" s="11">
        <f t="shared" ca="1" si="6"/>
        <v>2.9448098560982849E-2</v>
      </c>
    </row>
    <row r="384" spans="1:5" x14ac:dyDescent="0.3">
      <c r="A384" s="82" vm="629">
        <f ca="1"/>
        <v>42856</v>
      </c>
      <c r="B384" s="17" vm="1783">
        <f ca="1"/>
        <v>46.707500000000003</v>
      </c>
      <c r="D384" s="9" vm="1784">
        <f ca="1"/>
        <v>21006.938099999999</v>
      </c>
      <c r="E384" s="11">
        <f t="shared" ca="1" si="6"/>
        <v>9.902809760105713E-3</v>
      </c>
    </row>
    <row r="385" spans="1:5" x14ac:dyDescent="0.3">
      <c r="A385" s="82" vm="630">
        <f ca="1"/>
        <v>42863</v>
      </c>
      <c r="B385" s="17" vm="1785">
        <f ca="1"/>
        <v>48.067500000000003</v>
      </c>
      <c r="D385" s="9" vm="1786">
        <f ca="1"/>
        <v>20896.611700000001</v>
      </c>
      <c r="E385" s="11">
        <f t="shared" ca="1" si="6"/>
        <v>2.9117379435850799E-2</v>
      </c>
    </row>
    <row r="386" spans="1:5" x14ac:dyDescent="0.3">
      <c r="A386" s="82" vm="631">
        <f ca="1"/>
        <v>42870</v>
      </c>
      <c r="B386" s="17" vm="1787">
        <f ca="1"/>
        <v>47.991999999999997</v>
      </c>
      <c r="D386" s="9" vm="1788">
        <f ca="1"/>
        <v>20804.8442</v>
      </c>
      <c r="E386" s="11">
        <f t="shared" ca="1" si="6"/>
        <v>-1.5707078587404721E-3</v>
      </c>
    </row>
    <row r="387" spans="1:5" x14ac:dyDescent="0.3">
      <c r="A387" s="82" vm="632">
        <f ca="1"/>
        <v>42877</v>
      </c>
      <c r="B387" s="17" vm="1789">
        <f ca="1"/>
        <v>49.789000000000001</v>
      </c>
      <c r="D387" s="9" vm="1790">
        <f ca="1"/>
        <v>21080.283599999999</v>
      </c>
      <c r="E387" s="11">
        <f t="shared" ca="1" si="6"/>
        <v>3.744374062343736E-2</v>
      </c>
    </row>
    <row r="388" spans="1:5" x14ac:dyDescent="0.3">
      <c r="A388" s="82" vm="633">
        <f ca="1"/>
        <v>42885</v>
      </c>
      <c r="B388" s="17" vm="1791">
        <f ca="1"/>
        <v>50.336500000000001</v>
      </c>
      <c r="D388" s="9" vm="1792">
        <f ca="1"/>
        <v>21206.292600000001</v>
      </c>
      <c r="E388" s="11">
        <f t="shared" ca="1" si="6"/>
        <v>1.0996404828375717E-2</v>
      </c>
    </row>
    <row r="389" spans="1:5" x14ac:dyDescent="0.3">
      <c r="A389" s="82" vm="634">
        <f ca="1"/>
        <v>42891</v>
      </c>
      <c r="B389" s="17" vm="1793">
        <f ca="1"/>
        <v>48.915500000000002</v>
      </c>
      <c r="D389" s="9" vm="1794">
        <f ca="1"/>
        <v>21271.9679</v>
      </c>
      <c r="E389" s="11">
        <f t="shared" ca="1" si="6"/>
        <v>-2.823001201911135E-2</v>
      </c>
    </row>
    <row r="390" spans="1:5" x14ac:dyDescent="0.3">
      <c r="A390" s="82" vm="635">
        <f ca="1"/>
        <v>42898</v>
      </c>
      <c r="B390" s="17" vm="1795">
        <f ca="1"/>
        <v>49.3855</v>
      </c>
      <c r="D390" s="9" vm="1796">
        <f ca="1"/>
        <v>21384.280299999999</v>
      </c>
      <c r="E390" s="11">
        <f t="shared" ca="1" si="6"/>
        <v>9.6084063333707892E-3</v>
      </c>
    </row>
    <row r="391" spans="1:5" x14ac:dyDescent="0.3">
      <c r="A391" s="82" vm="636">
        <f ca="1"/>
        <v>42905</v>
      </c>
      <c r="B391" s="17" vm="1797">
        <f ca="1"/>
        <v>50.186999999999998</v>
      </c>
      <c r="D391" s="9" vm="1798">
        <f ca="1"/>
        <v>21394.758300000001</v>
      </c>
      <c r="E391" s="11">
        <f t="shared" ca="1" si="6"/>
        <v>1.6229460064188794E-2</v>
      </c>
    </row>
    <row r="392" spans="1:5" x14ac:dyDescent="0.3">
      <c r="A392" s="82" vm="637">
        <f ca="1"/>
        <v>42912</v>
      </c>
      <c r="B392" s="17" vm="1799">
        <f ca="1"/>
        <v>48.4</v>
      </c>
      <c r="D392" s="9" vm="1800">
        <f ca="1"/>
        <v>21349.627899999999</v>
      </c>
      <c r="E392" s="11">
        <f t="shared" ca="1" si="6"/>
        <v>-3.5606830454101623E-2</v>
      </c>
    </row>
    <row r="393" spans="1:5" x14ac:dyDescent="0.3">
      <c r="A393" s="82" vm="638">
        <f ca="1"/>
        <v>42919</v>
      </c>
      <c r="B393" s="17" vm="1801">
        <f ca="1"/>
        <v>48.938000000000002</v>
      </c>
      <c r="D393" s="9" vm="1802">
        <f ca="1"/>
        <v>21414.344499999999</v>
      </c>
      <c r="E393" s="11">
        <f t="shared" ca="1" si="6"/>
        <v>1.1115702479338907E-2</v>
      </c>
    </row>
    <row r="394" spans="1:5" x14ac:dyDescent="0.3">
      <c r="A394" s="82" vm="639">
        <f ca="1"/>
        <v>42926</v>
      </c>
      <c r="B394" s="17" vm="1803">
        <f ca="1"/>
        <v>50.090499999999999</v>
      </c>
      <c r="D394" s="9" vm="1804">
        <f ca="1"/>
        <v>21637.7366</v>
      </c>
      <c r="E394" s="11">
        <f t="shared" ca="1" si="6"/>
        <v>2.3550206383587291E-2</v>
      </c>
    </row>
    <row r="395" spans="1:5" x14ac:dyDescent="0.3">
      <c r="A395" s="82" vm="640">
        <f ca="1"/>
        <v>42933</v>
      </c>
      <c r="B395" s="17" vm="1805">
        <f ca="1"/>
        <v>51.283499999999997</v>
      </c>
      <c r="D395" s="9" vm="1806">
        <f ca="1"/>
        <v>21580.073700000001</v>
      </c>
      <c r="E395" s="11">
        <f t="shared" ref="E395:E458" ca="1" si="7">IF(B395&gt;0,B395/B394-1,"")</f>
        <v>2.3816891426517994E-2</v>
      </c>
    </row>
    <row r="396" spans="1:5" x14ac:dyDescent="0.3">
      <c r="A396" s="82" vm="641">
        <f ca="1"/>
        <v>42940</v>
      </c>
      <c r="B396" s="17" vm="1807">
        <f ca="1"/>
        <v>51.002000000000002</v>
      </c>
      <c r="D396" s="9" vm="1808">
        <f ca="1"/>
        <v>21830.3112</v>
      </c>
      <c r="E396" s="11">
        <f t="shared" ca="1" si="7"/>
        <v>-5.4890949330680394E-3</v>
      </c>
    </row>
    <row r="397" spans="1:5" x14ac:dyDescent="0.3">
      <c r="A397" s="82" vm="642">
        <f ca="1"/>
        <v>42947</v>
      </c>
      <c r="B397" s="17" vm="1809">
        <f ca="1"/>
        <v>49.378999999999998</v>
      </c>
      <c r="D397" s="9" vm="1810">
        <f ca="1"/>
        <v>22092.807199999999</v>
      </c>
      <c r="E397" s="11">
        <f t="shared" ca="1" si="7"/>
        <v>-3.1822281479157777E-2</v>
      </c>
    </row>
    <row r="398" spans="1:5" x14ac:dyDescent="0.3">
      <c r="A398" s="82" vm="643">
        <f ca="1"/>
        <v>42954</v>
      </c>
      <c r="B398" s="17" vm="1811">
        <f ca="1"/>
        <v>48.399500000000003</v>
      </c>
      <c r="D398" s="9" vm="1812">
        <f ca="1"/>
        <v>21858.320800000001</v>
      </c>
      <c r="E398" s="11">
        <f t="shared" ca="1" si="7"/>
        <v>-1.9836367686668299E-2</v>
      </c>
    </row>
    <row r="399" spans="1:5" x14ac:dyDescent="0.3">
      <c r="A399" s="82" vm="644">
        <f ca="1"/>
        <v>42961</v>
      </c>
      <c r="B399" s="17" vm="1813">
        <f ca="1"/>
        <v>47.923499999999997</v>
      </c>
      <c r="D399" s="9" vm="1814">
        <f ca="1"/>
        <v>21674.511999999999</v>
      </c>
      <c r="E399" s="11">
        <f t="shared" ca="1" si="7"/>
        <v>-9.8348123431027945E-3</v>
      </c>
    </row>
    <row r="400" spans="1:5" x14ac:dyDescent="0.3">
      <c r="A400" s="82" vm="645">
        <f ca="1"/>
        <v>42968</v>
      </c>
      <c r="B400" s="17" vm="1815">
        <f ca="1"/>
        <v>47.262999999999998</v>
      </c>
      <c r="D400" s="9" vm="1816">
        <f ca="1"/>
        <v>21813.6698</v>
      </c>
      <c r="E400" s="11">
        <f t="shared" ca="1" si="7"/>
        <v>-1.3782382338518695E-2</v>
      </c>
    </row>
    <row r="401" spans="1:5" x14ac:dyDescent="0.3">
      <c r="A401" s="82" vm="646">
        <f ca="1"/>
        <v>42975</v>
      </c>
      <c r="B401" s="17" vm="1817">
        <f ca="1"/>
        <v>48.912500000000001</v>
      </c>
      <c r="D401" s="9" vm="1818">
        <f ca="1"/>
        <v>21987.555899999999</v>
      </c>
      <c r="E401" s="11">
        <f t="shared" ca="1" si="7"/>
        <v>3.4900450669657079E-2</v>
      </c>
    </row>
    <row r="402" spans="1:5" x14ac:dyDescent="0.3">
      <c r="A402" s="82" vm="647">
        <f ca="1"/>
        <v>42983</v>
      </c>
      <c r="B402" s="17" vm="1819">
        <f ca="1"/>
        <v>48.295000000000002</v>
      </c>
      <c r="D402" s="9" vm="1820">
        <f ca="1"/>
        <v>21797.793099999999</v>
      </c>
      <c r="E402" s="11">
        <f t="shared" ca="1" si="7"/>
        <v>-1.2624584717607967E-2</v>
      </c>
    </row>
    <row r="403" spans="1:5" x14ac:dyDescent="0.3">
      <c r="A403" s="82" vm="648">
        <f ca="1"/>
        <v>42989</v>
      </c>
      <c r="B403" s="17" vm="1821">
        <f ca="1"/>
        <v>49.339500000000001</v>
      </c>
      <c r="D403" s="9" vm="1822">
        <f ca="1"/>
        <v>22268.3442</v>
      </c>
      <c r="E403" s="11">
        <f t="shared" ca="1" si="7"/>
        <v>2.1627497670566376E-2</v>
      </c>
    </row>
    <row r="404" spans="1:5" x14ac:dyDescent="0.3">
      <c r="A404" s="82" vm="649">
        <f ca="1"/>
        <v>42996</v>
      </c>
      <c r="B404" s="17" vm="1823">
        <f ca="1"/>
        <v>47.755000000000003</v>
      </c>
      <c r="D404" s="9" vm="1824">
        <f ca="1"/>
        <v>22349.592400000001</v>
      </c>
      <c r="E404" s="11">
        <f t="shared" ca="1" si="7"/>
        <v>-3.2114228964622682E-2</v>
      </c>
    </row>
    <row r="405" spans="1:5" x14ac:dyDescent="0.3">
      <c r="A405" s="82" vm="650">
        <f ca="1"/>
        <v>43003</v>
      </c>
      <c r="B405" s="17" vm="1785">
        <f ca="1"/>
        <v>48.067500000000003</v>
      </c>
      <c r="D405" s="9" vm="1825">
        <f ca="1"/>
        <v>22405.089</v>
      </c>
      <c r="E405" s="11">
        <f t="shared" ca="1" si="7"/>
        <v>6.5438174013192629E-3</v>
      </c>
    </row>
    <row r="406" spans="1:5" x14ac:dyDescent="0.3">
      <c r="A406" s="82" vm="651">
        <f ca="1"/>
        <v>43010</v>
      </c>
      <c r="B406" s="17" vm="1826">
        <f ca="1"/>
        <v>49.478999999999999</v>
      </c>
      <c r="D406" s="9" vm="1827">
        <f ca="1"/>
        <v>22773.666700000002</v>
      </c>
      <c r="E406" s="11">
        <f t="shared" ca="1" si="7"/>
        <v>2.9364955531284043E-2</v>
      </c>
    </row>
    <row r="407" spans="1:5" x14ac:dyDescent="0.3">
      <c r="A407" s="82" vm="652">
        <f ca="1"/>
        <v>43017</v>
      </c>
      <c r="B407" s="17" vm="1828">
        <f ca="1"/>
        <v>50.146999999999998</v>
      </c>
      <c r="D407" s="9" vm="1829">
        <f ca="1"/>
        <v>22871.715400000001</v>
      </c>
      <c r="E407" s="11">
        <f t="shared" ca="1" si="7"/>
        <v>1.3500677054912202E-2</v>
      </c>
    </row>
    <row r="408" spans="1:5" x14ac:dyDescent="0.3">
      <c r="A408" s="82" vm="653">
        <f ca="1"/>
        <v>43024</v>
      </c>
      <c r="B408" s="17" vm="1830">
        <f ca="1"/>
        <v>49.145499999999998</v>
      </c>
      <c r="D408" s="9" vm="1831">
        <f ca="1"/>
        <v>23328.633300000001</v>
      </c>
      <c r="E408" s="11">
        <f t="shared" ca="1" si="7"/>
        <v>-1.9971284423794033E-2</v>
      </c>
    </row>
    <row r="409" spans="1:5" x14ac:dyDescent="0.3">
      <c r="A409" s="82" vm="654">
        <f ca="1"/>
        <v>43031</v>
      </c>
      <c r="B409" s="17" vm="1832">
        <f ca="1"/>
        <v>55.047499999999999</v>
      </c>
      <c r="D409" s="9" vm="1833">
        <f ca="1"/>
        <v>23434.187099999999</v>
      </c>
      <c r="E409" s="11">
        <f t="shared" ca="1" si="7"/>
        <v>0.12009237875288692</v>
      </c>
    </row>
    <row r="410" spans="1:5" x14ac:dyDescent="0.3">
      <c r="A410" s="82" vm="655">
        <f ca="1"/>
        <v>43038</v>
      </c>
      <c r="B410" s="17" vm="1834">
        <f ca="1"/>
        <v>55.58</v>
      </c>
      <c r="D410" s="9" vm="1835">
        <f ca="1"/>
        <v>23539.1901</v>
      </c>
      <c r="E410" s="11">
        <f t="shared" ca="1" si="7"/>
        <v>9.6734638266950945E-3</v>
      </c>
    </row>
    <row r="411" spans="1:5" x14ac:dyDescent="0.3">
      <c r="A411" s="82" vm="656">
        <f ca="1"/>
        <v>43045</v>
      </c>
      <c r="B411" s="17" vm="1836">
        <f ca="1"/>
        <v>56.267499999999998</v>
      </c>
      <c r="D411" s="9" vm="1837">
        <f ca="1"/>
        <v>23422.2065</v>
      </c>
      <c r="E411" s="11">
        <f t="shared" ca="1" si="7"/>
        <v>1.2369557394746211E-2</v>
      </c>
    </row>
    <row r="412" spans="1:5" x14ac:dyDescent="0.3">
      <c r="A412" s="82" vm="657">
        <f ca="1"/>
        <v>43052</v>
      </c>
      <c r="B412" s="17" vm="1838">
        <f ca="1"/>
        <v>56.494</v>
      </c>
      <c r="D412" s="9" vm="1839">
        <f ca="1"/>
        <v>23358.240699999998</v>
      </c>
      <c r="E412" s="11">
        <f t="shared" ca="1" si="7"/>
        <v>4.0254143155462607E-3</v>
      </c>
    </row>
    <row r="413" spans="1:5" x14ac:dyDescent="0.3">
      <c r="A413" s="82" vm="658">
        <f ca="1"/>
        <v>43059</v>
      </c>
      <c r="B413" s="17" vm="1840">
        <f ca="1"/>
        <v>59.3</v>
      </c>
      <c r="D413" s="9" vm="1841">
        <f ca="1"/>
        <v>23557.987400000002</v>
      </c>
      <c r="E413" s="11">
        <f t="shared" ca="1" si="7"/>
        <v>4.9668991397316509E-2</v>
      </c>
    </row>
    <row r="414" spans="1:5" x14ac:dyDescent="0.3">
      <c r="A414" s="82" vm="659">
        <f ca="1"/>
        <v>43066</v>
      </c>
      <c r="B414" s="17" vm="1842">
        <f ca="1"/>
        <v>58.1175</v>
      </c>
      <c r="D414" s="9" vm="1843">
        <f ca="1"/>
        <v>24231.590100000001</v>
      </c>
      <c r="E414" s="11">
        <f t="shared" ca="1" si="7"/>
        <v>-1.9940978077571669E-2</v>
      </c>
    </row>
    <row r="415" spans="1:5" x14ac:dyDescent="0.3">
      <c r="A415" s="82" vm="660">
        <f ca="1"/>
        <v>43073</v>
      </c>
      <c r="B415" s="17" vm="1844">
        <f ca="1"/>
        <v>58.1</v>
      </c>
      <c r="D415" s="9" vm="1845">
        <f ca="1"/>
        <v>24329.156800000001</v>
      </c>
      <c r="E415" s="11">
        <f t="shared" ca="1" si="7"/>
        <v>-3.011141222523106E-4</v>
      </c>
    </row>
    <row r="416" spans="1:5" x14ac:dyDescent="0.3">
      <c r="A416" s="82" vm="661">
        <f ca="1"/>
        <v>43080</v>
      </c>
      <c r="B416" s="17" vm="1846">
        <f ca="1"/>
        <v>58.957000000000001</v>
      </c>
      <c r="D416" s="9" vm="1847">
        <f ca="1"/>
        <v>24651.739699999998</v>
      </c>
      <c r="E416" s="11">
        <f t="shared" ca="1" si="7"/>
        <v>1.4750430292598926E-2</v>
      </c>
    </row>
    <row r="417" spans="1:5" x14ac:dyDescent="0.3">
      <c r="A417" s="82" vm="662">
        <f ca="1"/>
        <v>43087</v>
      </c>
      <c r="B417" s="17" vm="1848">
        <f ca="1"/>
        <v>58.417999999999999</v>
      </c>
      <c r="D417" s="9" vm="1849">
        <f ca="1"/>
        <v>24754.057400000002</v>
      </c>
      <c r="E417" s="11">
        <f t="shared" ca="1" si="7"/>
        <v>-9.1422562206353586E-3</v>
      </c>
    </row>
    <row r="418" spans="1:5" x14ac:dyDescent="0.3">
      <c r="A418" s="82" vm="663">
        <f ca="1"/>
        <v>43095</v>
      </c>
      <c r="B418" s="17" vm="1850">
        <f ca="1"/>
        <v>58.473500000000001</v>
      </c>
      <c r="D418" s="9" vm="1851">
        <f ca="1"/>
        <v>24719.217100000002</v>
      </c>
      <c r="E418" s="11">
        <f t="shared" ca="1" si="7"/>
        <v>9.500496422336635E-4</v>
      </c>
    </row>
    <row r="419" spans="1:5" x14ac:dyDescent="0.3">
      <c r="A419" s="82" vm="664">
        <f ca="1"/>
        <v>43102</v>
      </c>
      <c r="B419" s="17" vm="1852">
        <f ca="1"/>
        <v>61.457000000000001</v>
      </c>
      <c r="D419" s="9" vm="1853">
        <f ca="1"/>
        <v>25295.872800000001</v>
      </c>
      <c r="E419" s="11">
        <f t="shared" ca="1" si="7"/>
        <v>5.1023113034109446E-2</v>
      </c>
    </row>
    <row r="420" spans="1:5" x14ac:dyDescent="0.3">
      <c r="A420" s="82" vm="665">
        <f ca="1"/>
        <v>43108</v>
      </c>
      <c r="B420" s="17" vm="1854">
        <f ca="1"/>
        <v>65.260000000000005</v>
      </c>
      <c r="D420" s="9" vm="1855">
        <f ca="1"/>
        <v>25803.1921</v>
      </c>
      <c r="E420" s="11">
        <f t="shared" ca="1" si="7"/>
        <v>6.1880664529671225E-2</v>
      </c>
    </row>
    <row r="421" spans="1:5" x14ac:dyDescent="0.3">
      <c r="A421" s="82" vm="666">
        <f ca="1"/>
        <v>43116</v>
      </c>
      <c r="B421" s="17" vm="1856">
        <f ca="1"/>
        <v>64.728999999999999</v>
      </c>
      <c r="D421" s="9" vm="1857">
        <f ca="1"/>
        <v>26071.724399999999</v>
      </c>
      <c r="E421" s="11">
        <f t="shared" ca="1" si="7"/>
        <v>-8.136684033098418E-3</v>
      </c>
    </row>
    <row r="422" spans="1:5" x14ac:dyDescent="0.3">
      <c r="A422" s="82" vm="667">
        <f ca="1"/>
        <v>43122</v>
      </c>
      <c r="B422" s="17" vm="1858">
        <f ca="1"/>
        <v>70.102500000000006</v>
      </c>
      <c r="D422" s="9" vm="1859">
        <f ca="1"/>
        <v>26616.7071</v>
      </c>
      <c r="E422" s="11">
        <f t="shared" ca="1" si="7"/>
        <v>8.3015340882757416E-2</v>
      </c>
    </row>
    <row r="423" spans="1:5" x14ac:dyDescent="0.3">
      <c r="A423" s="82" vm="668">
        <f ca="1"/>
        <v>43129</v>
      </c>
      <c r="B423" s="17" vm="1860">
        <f ca="1"/>
        <v>71.497500000000002</v>
      </c>
      <c r="D423" s="9" vm="1861">
        <f ca="1"/>
        <v>25520.957900000001</v>
      </c>
      <c r="E423" s="11">
        <f t="shared" ca="1" si="7"/>
        <v>1.9899432973146336E-2</v>
      </c>
    </row>
    <row r="424" spans="1:5" x14ac:dyDescent="0.3">
      <c r="A424" s="82" vm="669">
        <f ca="1"/>
        <v>43136</v>
      </c>
      <c r="B424" s="17" vm="1862">
        <f ca="1"/>
        <v>66.98</v>
      </c>
      <c r="D424" s="9" vm="1863">
        <f ca="1"/>
        <v>24190.897099999998</v>
      </c>
      <c r="E424" s="11">
        <f t="shared" ca="1" si="7"/>
        <v>-6.3184027413545896E-2</v>
      </c>
    </row>
    <row r="425" spans="1:5" x14ac:dyDescent="0.3">
      <c r="A425" s="82" vm="670">
        <f ca="1"/>
        <v>43143</v>
      </c>
      <c r="B425" s="17" vm="1864">
        <f ca="1"/>
        <v>72.4345</v>
      </c>
      <c r="D425" s="9" vm="1865">
        <f ca="1"/>
        <v>25219.375499999998</v>
      </c>
      <c r="E425" s="11">
        <f t="shared" ca="1" si="7"/>
        <v>8.1434756643774087E-2</v>
      </c>
    </row>
    <row r="426" spans="1:5" x14ac:dyDescent="0.3">
      <c r="A426" s="82" vm="671">
        <f ca="1"/>
        <v>43151</v>
      </c>
      <c r="B426" s="17" vm="1866">
        <f ca="1"/>
        <v>75</v>
      </c>
      <c r="D426" s="9" vm="1867">
        <f ca="1"/>
        <v>25309.988000000001</v>
      </c>
      <c r="E426" s="11">
        <f t="shared" ca="1" si="7"/>
        <v>3.5418205413166426E-2</v>
      </c>
    </row>
    <row r="427" spans="1:5" x14ac:dyDescent="0.3">
      <c r="A427" s="82" vm="672">
        <f ca="1"/>
        <v>43157</v>
      </c>
      <c r="B427" s="17" vm="1868">
        <f ca="1"/>
        <v>75.012500000000003</v>
      </c>
      <c r="D427" s="9" vm="1869">
        <f ca="1"/>
        <v>24538.061099999999</v>
      </c>
      <c r="E427" s="11">
        <f t="shared" ca="1" si="7"/>
        <v>1.6666666666664831E-4</v>
      </c>
    </row>
    <row r="428" spans="1:5" x14ac:dyDescent="0.3">
      <c r="A428" s="82" vm="673">
        <f ca="1"/>
        <v>43164</v>
      </c>
      <c r="B428" s="17" vm="1870">
        <f ca="1"/>
        <v>78.944500000000005</v>
      </c>
      <c r="D428" s="9" vm="1871">
        <f ca="1"/>
        <v>25335.7395</v>
      </c>
      <c r="E428" s="11">
        <f t="shared" ca="1" si="7"/>
        <v>5.2417930344942576E-2</v>
      </c>
    </row>
    <row r="429" spans="1:5" x14ac:dyDescent="0.3">
      <c r="A429" s="82" vm="674">
        <f ca="1"/>
        <v>43171</v>
      </c>
      <c r="B429" s="17" vm="1872">
        <f ca="1"/>
        <v>78.584000000000003</v>
      </c>
      <c r="D429" s="9" vm="1873">
        <f ca="1"/>
        <v>24946.505499999999</v>
      </c>
      <c r="E429" s="11">
        <f t="shared" ca="1" si="7"/>
        <v>-4.5664992494727219E-3</v>
      </c>
    </row>
    <row r="430" spans="1:5" x14ac:dyDescent="0.3">
      <c r="A430" s="82" vm="675">
        <f ca="1"/>
        <v>43178</v>
      </c>
      <c r="B430" s="17" vm="1874">
        <f ca="1"/>
        <v>74.778000000000006</v>
      </c>
      <c r="D430" s="9" vm="1875">
        <f ca="1"/>
        <v>23533.199799999999</v>
      </c>
      <c r="E430" s="11">
        <f t="shared" ca="1" si="7"/>
        <v>-4.8432250839865576E-2</v>
      </c>
    </row>
    <row r="431" spans="1:5" x14ac:dyDescent="0.3">
      <c r="A431" s="82" vm="676">
        <f ca="1"/>
        <v>43185</v>
      </c>
      <c r="B431" s="17" vm="1876">
        <f ca="1"/>
        <v>72.367000000000004</v>
      </c>
      <c r="D431" s="9" vm="1877">
        <f ca="1"/>
        <v>24103.107800000002</v>
      </c>
      <c r="E431" s="11">
        <f t="shared" ca="1" si="7"/>
        <v>-3.2242103292412172E-2</v>
      </c>
    </row>
    <row r="432" spans="1:5" x14ac:dyDescent="0.3">
      <c r="A432" s="82" vm="677">
        <f ca="1"/>
        <v>43192</v>
      </c>
      <c r="B432" s="17" vm="1878">
        <f ca="1"/>
        <v>70.261499999999998</v>
      </c>
      <c r="D432" s="9" vm="1879">
        <f ca="1"/>
        <v>23932.761900000001</v>
      </c>
      <c r="E432" s="11">
        <f t="shared" ca="1" si="7"/>
        <v>-2.9094753133334317E-2</v>
      </c>
    </row>
    <row r="433" spans="1:5" x14ac:dyDescent="0.3">
      <c r="A433" s="82" vm="678">
        <f ca="1"/>
        <v>43199</v>
      </c>
      <c r="B433" s="17" vm="1880">
        <f ca="1"/>
        <v>71.539500000000004</v>
      </c>
      <c r="D433" s="9" vm="1881">
        <f ca="1"/>
        <v>24360.141299999999</v>
      </c>
      <c r="E433" s="11">
        <f t="shared" ca="1" si="7"/>
        <v>1.8189193228154821E-2</v>
      </c>
    </row>
    <row r="434" spans="1:5" x14ac:dyDescent="0.3">
      <c r="A434" s="82" vm="679">
        <f ca="1"/>
        <v>43206</v>
      </c>
      <c r="B434" s="17" vm="1882">
        <f ca="1"/>
        <v>76.374499999999998</v>
      </c>
      <c r="D434" s="9" vm="1883">
        <f ca="1"/>
        <v>24462.940900000001</v>
      </c>
      <c r="E434" s="11">
        <f t="shared" ca="1" si="7"/>
        <v>6.7585040432208698E-2</v>
      </c>
    </row>
    <row r="435" spans="1:5" x14ac:dyDescent="0.3">
      <c r="A435" s="82" vm="680">
        <f ca="1"/>
        <v>43213</v>
      </c>
      <c r="B435" s="17" vm="1884">
        <f ca="1"/>
        <v>78.631</v>
      </c>
      <c r="D435" s="9" vm="1885">
        <f ca="1"/>
        <v>24311.185799999999</v>
      </c>
      <c r="E435" s="11">
        <f t="shared" ca="1" si="7"/>
        <v>2.9545201605247762E-2</v>
      </c>
    </row>
    <row r="436" spans="1:5" x14ac:dyDescent="0.3">
      <c r="A436" s="82" vm="681">
        <f ca="1"/>
        <v>43220</v>
      </c>
      <c r="B436" s="17" vm="1886">
        <f ca="1"/>
        <v>79.047499999999999</v>
      </c>
      <c r="D436" s="9" vm="1887">
        <f ca="1"/>
        <v>24262.505700000002</v>
      </c>
      <c r="E436" s="11">
        <f t="shared" ca="1" si="7"/>
        <v>5.296893082880727E-3</v>
      </c>
    </row>
    <row r="437" spans="1:5" x14ac:dyDescent="0.3">
      <c r="A437" s="82" vm="682">
        <f ca="1"/>
        <v>43227</v>
      </c>
      <c r="B437" s="17" vm="1888">
        <f ca="1"/>
        <v>80.145499999999998</v>
      </c>
      <c r="D437" s="9" vm="1889">
        <f ca="1"/>
        <v>24831.1744</v>
      </c>
      <c r="E437" s="11">
        <f t="shared" ca="1" si="7"/>
        <v>1.3890382365033593E-2</v>
      </c>
    </row>
    <row r="438" spans="1:5" x14ac:dyDescent="0.3">
      <c r="A438" s="82" vm="683">
        <f ca="1"/>
        <v>43234</v>
      </c>
      <c r="B438" s="17" vm="1890">
        <f ca="1"/>
        <v>78.718500000000006</v>
      </c>
      <c r="D438" s="9" vm="1891">
        <f ca="1"/>
        <v>24715.085800000001</v>
      </c>
      <c r="E438" s="11">
        <f t="shared" ca="1" si="7"/>
        <v>-1.7805116943558796E-2</v>
      </c>
    </row>
    <row r="439" spans="1:5" x14ac:dyDescent="0.3">
      <c r="A439" s="82" vm="684">
        <f ca="1"/>
        <v>43241</v>
      </c>
      <c r="B439" s="17" vm="1892">
        <f ca="1"/>
        <v>80.507499999999993</v>
      </c>
      <c r="D439" s="9" vm="1893">
        <f ca="1"/>
        <v>24753.093400000002</v>
      </c>
      <c r="E439" s="11">
        <f t="shared" ca="1" si="7"/>
        <v>2.2726550937835377E-2</v>
      </c>
    </row>
    <row r="440" spans="1:5" x14ac:dyDescent="0.3">
      <c r="A440" s="82" vm="685">
        <f ca="1"/>
        <v>43249</v>
      </c>
      <c r="B440" s="17" vm="1894">
        <f ca="1"/>
        <v>82.076999999999998</v>
      </c>
      <c r="D440" s="9" vm="1895">
        <f ca="1"/>
        <v>24635.2147</v>
      </c>
      <c r="E440" s="11">
        <f t="shared" ca="1" si="7"/>
        <v>1.9495078098313856E-2</v>
      </c>
    </row>
    <row r="441" spans="1:5" x14ac:dyDescent="0.3">
      <c r="A441" s="82" vm="686">
        <f ca="1"/>
        <v>43255</v>
      </c>
      <c r="B441" s="17" vm="1896">
        <f ca="1"/>
        <v>84.1995</v>
      </c>
      <c r="D441" s="9" vm="1897">
        <f ca="1"/>
        <v>25316.5291</v>
      </c>
      <c r="E441" s="11">
        <f t="shared" ca="1" si="7"/>
        <v>2.5859863299097174E-2</v>
      </c>
    </row>
    <row r="442" spans="1:5" x14ac:dyDescent="0.3">
      <c r="A442" s="82" vm="687">
        <f ca="1"/>
        <v>43262</v>
      </c>
      <c r="B442" s="17" vm="1898">
        <f ca="1"/>
        <v>85.798500000000004</v>
      </c>
      <c r="D442" s="9" vm="1899">
        <f ca="1"/>
        <v>25090.480100000001</v>
      </c>
      <c r="E442" s="11">
        <f t="shared" ca="1" si="7"/>
        <v>1.8990611583204142E-2</v>
      </c>
    </row>
    <row r="443" spans="1:5" x14ac:dyDescent="0.3">
      <c r="A443" s="82" vm="688">
        <f ca="1"/>
        <v>43269</v>
      </c>
      <c r="B443" s="17" vm="1900">
        <f ca="1"/>
        <v>85.783500000000004</v>
      </c>
      <c r="D443" s="9" vm="1901">
        <f ca="1"/>
        <v>24580.888599999998</v>
      </c>
      <c r="E443" s="11">
        <f t="shared" ca="1" si="7"/>
        <v>-1.7482823126280245E-4</v>
      </c>
    </row>
    <row r="444" spans="1:5" x14ac:dyDescent="0.3">
      <c r="A444" s="82" vm="689">
        <f ca="1"/>
        <v>43276</v>
      </c>
      <c r="B444" s="17" vm="1902">
        <f ca="1"/>
        <v>84.99</v>
      </c>
      <c r="D444" s="9" vm="1903">
        <f ca="1"/>
        <v>24271.409899999999</v>
      </c>
      <c r="E444" s="11">
        <f t="shared" ca="1" si="7"/>
        <v>-9.2500306002903931E-3</v>
      </c>
    </row>
    <row r="445" spans="1:5" x14ac:dyDescent="0.3">
      <c r="A445" s="82" vm="690">
        <f ca="1"/>
        <v>43283</v>
      </c>
      <c r="B445" s="17" vm="1904">
        <f ca="1"/>
        <v>85.531499999999994</v>
      </c>
      <c r="D445" s="9" vm="1905">
        <f ca="1"/>
        <v>24456.484899999999</v>
      </c>
      <c r="E445" s="11">
        <f t="shared" ca="1" si="7"/>
        <v>6.3713378044476521E-3</v>
      </c>
    </row>
    <row r="446" spans="1:5" x14ac:dyDescent="0.3">
      <c r="A446" s="82" vm="691">
        <f ca="1"/>
        <v>43290</v>
      </c>
      <c r="B446" s="17" vm="1906">
        <f ca="1"/>
        <v>90.651499999999999</v>
      </c>
      <c r="D446" s="9" vm="1907">
        <f ca="1"/>
        <v>25019.405900000002</v>
      </c>
      <c r="E446" s="11">
        <f t="shared" ca="1" si="7"/>
        <v>5.986098688787167E-2</v>
      </c>
    </row>
    <row r="447" spans="1:5" x14ac:dyDescent="0.3">
      <c r="A447" s="82" vm="692">
        <f ca="1"/>
        <v>43297</v>
      </c>
      <c r="B447" s="17" vm="1908">
        <f ca="1"/>
        <v>90.685000000000002</v>
      </c>
      <c r="D447" s="9" vm="1909">
        <f ca="1"/>
        <v>25058.122899999998</v>
      </c>
      <c r="E447" s="11">
        <f t="shared" ca="1" si="7"/>
        <v>3.6954711174108645E-4</v>
      </c>
    </row>
    <row r="448" spans="1:5" x14ac:dyDescent="0.3">
      <c r="A448" s="82" vm="693">
        <f ca="1"/>
        <v>43304</v>
      </c>
      <c r="B448" s="17" vm="1910">
        <f ca="1"/>
        <v>90.863500000000002</v>
      </c>
      <c r="D448" s="9" vm="1911">
        <f ca="1"/>
        <v>25451.0556</v>
      </c>
      <c r="E448" s="11">
        <f t="shared" ca="1" si="7"/>
        <v>1.9683519876494415E-3</v>
      </c>
    </row>
    <row r="449" spans="1:5" x14ac:dyDescent="0.3">
      <c r="A449" s="82" vm="694">
        <f ca="1"/>
        <v>43311</v>
      </c>
      <c r="B449" s="17" vm="1912">
        <f ca="1"/>
        <v>91.164500000000004</v>
      </c>
      <c r="D449" s="9" vm="1913">
        <f ca="1"/>
        <v>25462.5825</v>
      </c>
      <c r="E449" s="11">
        <f t="shared" ca="1" si="7"/>
        <v>3.3126612996416949E-3</v>
      </c>
    </row>
    <row r="450" spans="1:5" x14ac:dyDescent="0.3">
      <c r="A450" s="82" vm="695">
        <f ca="1"/>
        <v>43318</v>
      </c>
      <c r="B450" s="17" vm="1914">
        <f ca="1"/>
        <v>94.314999999999998</v>
      </c>
      <c r="D450" s="9" vm="1915">
        <f ca="1"/>
        <v>25313.139299999999</v>
      </c>
      <c r="E450" s="11">
        <f t="shared" ca="1" si="7"/>
        <v>3.455840815229605E-2</v>
      </c>
    </row>
    <row r="451" spans="1:5" x14ac:dyDescent="0.3">
      <c r="A451" s="82" vm="696">
        <f ca="1"/>
        <v>43325</v>
      </c>
      <c r="B451" s="17" vm="1916">
        <f ca="1"/>
        <v>94.111000000000004</v>
      </c>
      <c r="D451" s="9" vm="1917">
        <f ca="1"/>
        <v>25669.321400000001</v>
      </c>
      <c r="E451" s="11">
        <f t="shared" ca="1" si="7"/>
        <v>-2.1629645337432057E-3</v>
      </c>
    </row>
    <row r="452" spans="1:5" x14ac:dyDescent="0.3">
      <c r="A452" s="82" vm="697">
        <f ca="1"/>
        <v>43332</v>
      </c>
      <c r="B452" s="17" vm="1918">
        <f ca="1"/>
        <v>95.269499999999994</v>
      </c>
      <c r="D452" s="9" vm="1919">
        <f ca="1"/>
        <v>25790.354200000002</v>
      </c>
      <c r="E452" s="11">
        <f t="shared" ca="1" si="7"/>
        <v>1.2309931888939474E-2</v>
      </c>
    </row>
    <row r="453" spans="1:5" x14ac:dyDescent="0.3">
      <c r="A453" s="82" vm="698">
        <f ca="1"/>
        <v>43339</v>
      </c>
      <c r="B453" s="17" vm="1920">
        <f ca="1"/>
        <v>100.63549999999999</v>
      </c>
      <c r="D453" s="9" vm="1921">
        <f ca="1"/>
        <v>25964.8177</v>
      </c>
      <c r="E453" s="11">
        <f t="shared" ca="1" si="7"/>
        <v>5.6324427020190138E-2</v>
      </c>
    </row>
    <row r="454" spans="1:5" x14ac:dyDescent="0.3">
      <c r="A454" s="82" vm="699">
        <f ca="1"/>
        <v>43347</v>
      </c>
      <c r="B454" s="17" vm="1922">
        <f ca="1"/>
        <v>97.603499999999997</v>
      </c>
      <c r="D454" s="9" vm="1923">
        <f ca="1"/>
        <v>25916.540199999999</v>
      </c>
      <c r="E454" s="11">
        <f t="shared" ca="1" si="7"/>
        <v>-3.0128533171693839E-2</v>
      </c>
    </row>
    <row r="455" spans="1:5" x14ac:dyDescent="0.3">
      <c r="A455" s="82" vm="700">
        <f ca="1"/>
        <v>43353</v>
      </c>
      <c r="B455" s="17" vm="1924">
        <f ca="1"/>
        <v>98.509500000000003</v>
      </c>
      <c r="D455" s="9" vm="1925">
        <f ca="1"/>
        <v>26154.672999999999</v>
      </c>
      <c r="E455" s="11">
        <f t="shared" ca="1" si="7"/>
        <v>9.2824540103582098E-3</v>
      </c>
    </row>
    <row r="456" spans="1:5" x14ac:dyDescent="0.3">
      <c r="A456" s="82" vm="701">
        <f ca="1"/>
        <v>43360</v>
      </c>
      <c r="B456" s="17" vm="1926">
        <f ca="1"/>
        <v>95.750500000000002</v>
      </c>
      <c r="D456" s="9" vm="1927">
        <f ca="1"/>
        <v>26743.495699999999</v>
      </c>
      <c r="E456" s="11">
        <f t="shared" ca="1" si="7"/>
        <v>-2.8007451058019828E-2</v>
      </c>
    </row>
    <row r="457" spans="1:5" x14ac:dyDescent="0.3">
      <c r="A457" s="82" vm="702">
        <f ca="1"/>
        <v>43367</v>
      </c>
      <c r="B457" s="17" vm="1928">
        <f ca="1"/>
        <v>100.15</v>
      </c>
      <c r="D457" s="9" vm="1929">
        <f ca="1"/>
        <v>26458.305899999999</v>
      </c>
      <c r="E457" s="11">
        <f t="shared" ca="1" si="7"/>
        <v>4.5947540743912496E-2</v>
      </c>
    </row>
    <row r="458" spans="1:5" x14ac:dyDescent="0.3">
      <c r="A458" s="82" vm="703">
        <f ca="1"/>
        <v>43374</v>
      </c>
      <c r="B458" s="17" vm="1930">
        <f ca="1"/>
        <v>94.482500000000002</v>
      </c>
      <c r="D458" s="9" vm="1931">
        <f ca="1"/>
        <v>26447.050200000001</v>
      </c>
      <c r="E458" s="11">
        <f t="shared" ca="1" si="7"/>
        <v>-5.6590114827758442E-2</v>
      </c>
    </row>
    <row r="459" spans="1:5" x14ac:dyDescent="0.3">
      <c r="A459" s="82" vm="704">
        <f ca="1"/>
        <v>43381</v>
      </c>
      <c r="B459" s="17" vm="1932">
        <f ca="1"/>
        <v>89.430499999999995</v>
      </c>
      <c r="D459" s="9" vm="1933">
        <f ca="1"/>
        <v>25339.9902</v>
      </c>
      <c r="E459" s="11">
        <f t="shared" ref="E459:E522" ca="1" si="8">IF(B459&gt;0,B459/B458-1,"")</f>
        <v>-5.3470219352790282E-2</v>
      </c>
    </row>
    <row r="460" spans="1:5" x14ac:dyDescent="0.3">
      <c r="A460" s="82" vm="705">
        <f ca="1"/>
        <v>43388</v>
      </c>
      <c r="B460" s="17" vm="1934">
        <f ca="1"/>
        <v>88.201499999999996</v>
      </c>
      <c r="D460" s="9" vm="1935">
        <f ca="1"/>
        <v>25444.342799999999</v>
      </c>
      <c r="E460" s="11">
        <f t="shared" ca="1" si="8"/>
        <v>-1.374251513745306E-2</v>
      </c>
    </row>
    <row r="461" spans="1:5" x14ac:dyDescent="0.3">
      <c r="A461" s="82" vm="706">
        <f ca="1"/>
        <v>43395</v>
      </c>
      <c r="B461" s="17" vm="1936">
        <f ca="1"/>
        <v>82.140500000000003</v>
      </c>
      <c r="D461" s="9" vm="1937">
        <f ca="1"/>
        <v>24688.311799999999</v>
      </c>
      <c r="E461" s="11">
        <f t="shared" ca="1" si="8"/>
        <v>-6.8717652194123624E-2</v>
      </c>
    </row>
    <row r="462" spans="1:5" x14ac:dyDescent="0.3">
      <c r="A462" s="82" vm="707">
        <f ca="1"/>
        <v>43402</v>
      </c>
      <c r="B462" s="17" vm="1938">
        <f ca="1"/>
        <v>83.276499999999999</v>
      </c>
      <c r="D462" s="9" vm="1939">
        <f ca="1"/>
        <v>25270.828600000001</v>
      </c>
      <c r="E462" s="11">
        <f t="shared" ca="1" si="8"/>
        <v>1.3829962077172686E-2</v>
      </c>
    </row>
    <row r="463" spans="1:5" x14ac:dyDescent="0.3">
      <c r="A463" s="82" vm="708">
        <f ca="1"/>
        <v>43409</v>
      </c>
      <c r="B463" s="17" vm="1940">
        <f ca="1"/>
        <v>85.621499999999997</v>
      </c>
      <c r="D463" s="9" vm="1941">
        <f ca="1"/>
        <v>25989.295399999999</v>
      </c>
      <c r="E463" s="11">
        <f t="shared" ca="1" si="8"/>
        <v>2.8159204577521857E-2</v>
      </c>
    </row>
    <row r="464" spans="1:5" x14ac:dyDescent="0.3">
      <c r="A464" s="82" vm="709">
        <f ca="1"/>
        <v>43416</v>
      </c>
      <c r="B464" s="17" vm="1942">
        <f ca="1"/>
        <v>79.670500000000004</v>
      </c>
      <c r="D464" s="9" vm="1943">
        <f ca="1"/>
        <v>25413.220099999999</v>
      </c>
      <c r="E464" s="11">
        <f t="shared" ca="1" si="8"/>
        <v>-6.9503570948885374E-2</v>
      </c>
    </row>
    <row r="465" spans="1:5" x14ac:dyDescent="0.3">
      <c r="A465" s="82" vm="710">
        <f ca="1"/>
        <v>43423</v>
      </c>
      <c r="B465" s="17" vm="1944">
        <f ca="1"/>
        <v>75.102999999999994</v>
      </c>
      <c r="D465" s="9" vm="1945">
        <f ca="1"/>
        <v>24285.954099999999</v>
      </c>
      <c r="E465" s="11">
        <f t="shared" ca="1" si="8"/>
        <v>-5.7329877432675924E-2</v>
      </c>
    </row>
    <row r="466" spans="1:5" x14ac:dyDescent="0.3">
      <c r="A466" s="82" vm="711">
        <f ca="1"/>
        <v>43430</v>
      </c>
      <c r="B466" s="17" vm="1946">
        <f ca="1"/>
        <v>84.508499999999998</v>
      </c>
      <c r="D466" s="9" vm="1947">
        <f ca="1"/>
        <v>25538.4568</v>
      </c>
      <c r="E466" s="11">
        <f t="shared" ca="1" si="8"/>
        <v>0.12523467770927921</v>
      </c>
    </row>
    <row r="467" spans="1:5" x14ac:dyDescent="0.3">
      <c r="A467" s="82" vm="712">
        <f ca="1"/>
        <v>43437</v>
      </c>
      <c r="B467" s="17" vm="1948">
        <f ca="1"/>
        <v>81.456500000000005</v>
      </c>
      <c r="D467" s="9" vm="1949">
        <f ca="1"/>
        <v>24388.950700000001</v>
      </c>
      <c r="E467" s="11">
        <f t="shared" ca="1" si="8"/>
        <v>-3.6114710354579582E-2</v>
      </c>
    </row>
    <row r="468" spans="1:5" x14ac:dyDescent="0.3">
      <c r="A468" s="82" vm="713">
        <f ca="1"/>
        <v>43444</v>
      </c>
      <c r="B468" s="17" vm="1950">
        <f ca="1"/>
        <v>79.595500000000001</v>
      </c>
      <c r="D468" s="9" vm="1951">
        <f ca="1"/>
        <v>24100.5062</v>
      </c>
      <c r="E468" s="11">
        <f t="shared" ca="1" si="8"/>
        <v>-2.2846549999079313E-2</v>
      </c>
    </row>
    <row r="469" spans="1:5" x14ac:dyDescent="0.3">
      <c r="A469" s="82" vm="714">
        <f ca="1"/>
        <v>43451</v>
      </c>
      <c r="B469" s="17" vm="1952">
        <f ca="1"/>
        <v>68.872500000000002</v>
      </c>
      <c r="D469" s="9" vm="1953">
        <f ca="1"/>
        <v>22445.374599999999</v>
      </c>
      <c r="E469" s="11">
        <f t="shared" ca="1" si="8"/>
        <v>-0.13471867128166792</v>
      </c>
    </row>
    <row r="470" spans="1:5" x14ac:dyDescent="0.3">
      <c r="A470" s="82" vm="715">
        <f ca="1"/>
        <v>43458</v>
      </c>
      <c r="B470" s="17" vm="1954">
        <f ca="1"/>
        <v>73.900999999999996</v>
      </c>
      <c r="D470" s="9" vm="1955">
        <f ca="1"/>
        <v>23062.404399999999</v>
      </c>
      <c r="E470" s="11">
        <f t="shared" ca="1" si="8"/>
        <v>7.3011724563504909E-2</v>
      </c>
    </row>
    <row r="471" spans="1:5" x14ac:dyDescent="0.3">
      <c r="A471" s="82" vm="716">
        <f ca="1"/>
        <v>43465</v>
      </c>
      <c r="B471" s="17" vm="1956">
        <f ca="1"/>
        <v>78.769499999999994</v>
      </c>
      <c r="D471" s="9" vm="1957">
        <f ca="1"/>
        <v>23433.164700000001</v>
      </c>
      <c r="E471" s="11">
        <f t="shared" ca="1" si="8"/>
        <v>6.5878675525365082E-2</v>
      </c>
    </row>
    <row r="472" spans="1:5" x14ac:dyDescent="0.3">
      <c r="A472" s="82" vm="717">
        <f ca="1"/>
        <v>43472</v>
      </c>
      <c r="B472" s="17" vm="1958">
        <f ca="1"/>
        <v>82.028000000000006</v>
      </c>
      <c r="D472" s="9" vm="1959">
        <f ca="1"/>
        <v>23995.950099999998</v>
      </c>
      <c r="E472" s="11">
        <f t="shared" ca="1" si="8"/>
        <v>4.1367534388310423E-2</v>
      </c>
    </row>
    <row r="473" spans="1:5" x14ac:dyDescent="0.3">
      <c r="A473" s="82" vm="718">
        <f ca="1"/>
        <v>43479</v>
      </c>
      <c r="B473" s="17" vm="1960">
        <f ca="1"/>
        <v>84.81</v>
      </c>
      <c r="D473" s="9" vm="1961">
        <f ca="1"/>
        <v>24706.348099999999</v>
      </c>
      <c r="E473" s="11">
        <f t="shared" ca="1" si="8"/>
        <v>3.3915248451748203E-2</v>
      </c>
    </row>
    <row r="474" spans="1:5" x14ac:dyDescent="0.3">
      <c r="A474" s="82" vm="719">
        <f ca="1"/>
        <v>43487</v>
      </c>
      <c r="B474" s="17" vm="1962">
        <f ca="1"/>
        <v>83.528499999999994</v>
      </c>
      <c r="D474" s="9" vm="1963">
        <f ca="1"/>
        <v>24737.1996</v>
      </c>
      <c r="E474" s="11">
        <f t="shared" ca="1" si="8"/>
        <v>-1.5110246433203689E-2</v>
      </c>
    </row>
    <row r="475" spans="1:5" x14ac:dyDescent="0.3">
      <c r="A475" s="82" vm="720">
        <f ca="1"/>
        <v>43493</v>
      </c>
      <c r="B475" s="17" vm="1964">
        <f ca="1"/>
        <v>81.311499999999995</v>
      </c>
      <c r="D475" s="9" vm="1965">
        <f ca="1"/>
        <v>25063.886299999998</v>
      </c>
      <c r="E475" s="11">
        <f t="shared" ca="1" si="8"/>
        <v>-2.6541839013031421E-2</v>
      </c>
    </row>
    <row r="476" spans="1:5" x14ac:dyDescent="0.3">
      <c r="A476" s="82" vm="721">
        <f ca="1"/>
        <v>43500</v>
      </c>
      <c r="B476" s="17" vm="1966">
        <f ca="1"/>
        <v>79.411000000000001</v>
      </c>
      <c r="D476" s="9" vm="1967">
        <f ca="1"/>
        <v>25106.332600000002</v>
      </c>
      <c r="E476" s="11">
        <f t="shared" ca="1" si="8"/>
        <v>-2.3373077608948245E-2</v>
      </c>
    </row>
    <row r="477" spans="1:5" x14ac:dyDescent="0.3">
      <c r="A477" s="82" vm="722">
        <f ca="1"/>
        <v>43507</v>
      </c>
      <c r="B477" s="17" vm="1968">
        <f ca="1"/>
        <v>80.397499999999994</v>
      </c>
      <c r="D477" s="9" vm="1969">
        <f ca="1"/>
        <v>25883.2477</v>
      </c>
      <c r="E477" s="11">
        <f t="shared" ca="1" si="8"/>
        <v>1.2422712218710164E-2</v>
      </c>
    </row>
    <row r="478" spans="1:5" x14ac:dyDescent="0.3">
      <c r="A478" s="82" vm="723">
        <f ca="1"/>
        <v>43515</v>
      </c>
      <c r="B478" s="17" vm="1970">
        <f ca="1"/>
        <v>81.578000000000003</v>
      </c>
      <c r="D478" s="9" vm="1971">
        <f ca="1"/>
        <v>26031.809499999999</v>
      </c>
      <c r="E478" s="11">
        <f t="shared" ca="1" si="8"/>
        <v>1.4683292390932579E-2</v>
      </c>
    </row>
    <row r="479" spans="1:5" x14ac:dyDescent="0.3">
      <c r="A479" s="82" vm="724">
        <f ca="1"/>
        <v>43521</v>
      </c>
      <c r="B479" s="17" vm="1972">
        <f ca="1"/>
        <v>83.586500000000001</v>
      </c>
      <c r="D479" s="9" vm="1973">
        <f ca="1"/>
        <v>26026.317200000001</v>
      </c>
      <c r="E479" s="11">
        <f t="shared" ca="1" si="8"/>
        <v>2.4620608497389007E-2</v>
      </c>
    </row>
    <row r="480" spans="1:5" x14ac:dyDescent="0.3">
      <c r="A480" s="82" vm="725">
        <f ca="1"/>
        <v>43528</v>
      </c>
      <c r="B480" s="17" vm="1974">
        <f ca="1"/>
        <v>81.040000000000006</v>
      </c>
      <c r="D480" s="9" vm="1975">
        <f ca="1"/>
        <v>25450.241900000001</v>
      </c>
      <c r="E480" s="11">
        <f t="shared" ca="1" si="8"/>
        <v>-3.0465445975127459E-2</v>
      </c>
    </row>
    <row r="481" spans="1:5" x14ac:dyDescent="0.3">
      <c r="A481" s="82" vm="726">
        <f ca="1"/>
        <v>43535</v>
      </c>
      <c r="B481" s="17" vm="1976">
        <f ca="1"/>
        <v>85.617999999999995</v>
      </c>
      <c r="D481" s="9" vm="1977">
        <f ca="1"/>
        <v>25848.870299999999</v>
      </c>
      <c r="E481" s="11">
        <f t="shared" ca="1" si="8"/>
        <v>5.6490621915103567E-2</v>
      </c>
    </row>
    <row r="482" spans="1:5" x14ac:dyDescent="0.3">
      <c r="A482" s="82" vm="727">
        <f ca="1"/>
        <v>43542</v>
      </c>
      <c r="B482" s="17" vm="1978">
        <f ca="1"/>
        <v>88.238500000000002</v>
      </c>
      <c r="D482" s="9" vm="1979">
        <f ca="1"/>
        <v>25502.316500000001</v>
      </c>
      <c r="E482" s="11">
        <f t="shared" ca="1" si="8"/>
        <v>3.0606881730477209E-2</v>
      </c>
    </row>
    <row r="483" spans="1:5" x14ac:dyDescent="0.3">
      <c r="A483" s="82" vm="728">
        <f ca="1"/>
        <v>43549</v>
      </c>
      <c r="B483" s="17" vm="1980">
        <f ca="1"/>
        <v>89.037499999999994</v>
      </c>
      <c r="D483" s="9" vm="1981">
        <f ca="1"/>
        <v>25928.677299999999</v>
      </c>
      <c r="E483" s="11">
        <f t="shared" ca="1" si="8"/>
        <v>9.0550043348425202E-3</v>
      </c>
    </row>
    <row r="484" spans="1:5" x14ac:dyDescent="0.3">
      <c r="A484" s="82" vm="729">
        <f ca="1"/>
        <v>43556</v>
      </c>
      <c r="B484" s="17" vm="1982">
        <f ca="1"/>
        <v>91.864000000000004</v>
      </c>
      <c r="D484" s="9" vm="1983">
        <f ca="1"/>
        <v>26424.985199999999</v>
      </c>
      <c r="E484" s="11">
        <f t="shared" ca="1" si="8"/>
        <v>3.1745051242454192E-2</v>
      </c>
    </row>
    <row r="485" spans="1:5" x14ac:dyDescent="0.3">
      <c r="A485" s="82" vm="730">
        <f ca="1"/>
        <v>43563</v>
      </c>
      <c r="B485" s="17" vm="1984">
        <f ca="1"/>
        <v>92.153000000000006</v>
      </c>
      <c r="D485" s="9" vm="1985">
        <f ca="1"/>
        <v>26412.302500000002</v>
      </c>
      <c r="E485" s="11">
        <f t="shared" ca="1" si="8"/>
        <v>3.1459548898371548E-3</v>
      </c>
    </row>
    <row r="486" spans="1:5" x14ac:dyDescent="0.3">
      <c r="A486" s="82" vm="731">
        <f ca="1"/>
        <v>43570</v>
      </c>
      <c r="B486" s="17" vm="1986">
        <f ca="1"/>
        <v>93.084500000000006</v>
      </c>
      <c r="D486" s="9" vm="1987">
        <f ca="1"/>
        <v>26559.5432</v>
      </c>
      <c r="E486" s="11">
        <f t="shared" ca="1" si="8"/>
        <v>1.0108189641140353E-2</v>
      </c>
    </row>
    <row r="487" spans="1:5" x14ac:dyDescent="0.3">
      <c r="A487" s="82" vm="732">
        <f ca="1"/>
        <v>43577</v>
      </c>
      <c r="B487" s="17" vm="1988">
        <f ca="1"/>
        <v>97.531499999999994</v>
      </c>
      <c r="D487" s="9" vm="1989">
        <f ca="1"/>
        <v>26543.3338</v>
      </c>
      <c r="E487" s="11">
        <f t="shared" ca="1" si="8"/>
        <v>4.7773796926448453E-2</v>
      </c>
    </row>
    <row r="488" spans="1:5" x14ac:dyDescent="0.3">
      <c r="A488" s="82" vm="733">
        <f ca="1"/>
        <v>43584</v>
      </c>
      <c r="B488" s="17" vm="1990">
        <f ca="1"/>
        <v>98.123000000000005</v>
      </c>
      <c r="D488" s="9" vm="1991">
        <f ca="1"/>
        <v>26504.946800000002</v>
      </c>
      <c r="E488" s="11">
        <f t="shared" ca="1" si="8"/>
        <v>6.0647072996931062E-3</v>
      </c>
    </row>
    <row r="489" spans="1:5" x14ac:dyDescent="0.3">
      <c r="A489" s="82" vm="734">
        <f ca="1"/>
        <v>43591</v>
      </c>
      <c r="B489" s="17" vm="1992">
        <f ca="1"/>
        <v>94.498999999999995</v>
      </c>
      <c r="D489" s="9" vm="1993">
        <f ca="1"/>
        <v>25942.3668</v>
      </c>
      <c r="E489" s="11">
        <f t="shared" ca="1" si="8"/>
        <v>-3.6933236855783091E-2</v>
      </c>
    </row>
    <row r="490" spans="1:5" x14ac:dyDescent="0.3">
      <c r="A490" s="82" vm="735">
        <f ca="1"/>
        <v>43598</v>
      </c>
      <c r="B490" s="17" vm="1994">
        <f ca="1"/>
        <v>93.45</v>
      </c>
      <c r="D490" s="9" vm="1995">
        <f ca="1"/>
        <v>25763.995999999999</v>
      </c>
      <c r="E490" s="11">
        <f t="shared" ca="1" si="8"/>
        <v>-1.1100646567688499E-2</v>
      </c>
    </row>
    <row r="491" spans="1:5" x14ac:dyDescent="0.3">
      <c r="A491" s="82" vm="736">
        <f ca="1"/>
        <v>43605</v>
      </c>
      <c r="B491" s="17" vm="1996">
        <f ca="1"/>
        <v>91.164000000000001</v>
      </c>
      <c r="D491" s="9" vm="1997">
        <f ca="1"/>
        <v>25585.6931</v>
      </c>
      <c r="E491" s="11">
        <f t="shared" ca="1" si="8"/>
        <v>-2.4462279293740008E-2</v>
      </c>
    </row>
    <row r="492" spans="1:5" x14ac:dyDescent="0.3">
      <c r="A492" s="82" vm="737">
        <f ca="1"/>
        <v>43613</v>
      </c>
      <c r="B492" s="17" vm="1998">
        <f ca="1"/>
        <v>88.753500000000003</v>
      </c>
      <c r="D492" s="9" vm="1999">
        <f ca="1"/>
        <v>24815.036400000001</v>
      </c>
      <c r="E492" s="11">
        <f t="shared" ca="1" si="8"/>
        <v>-2.6441358430959627E-2</v>
      </c>
    </row>
    <row r="493" spans="1:5" x14ac:dyDescent="0.3">
      <c r="A493" s="82" vm="738">
        <f ca="1"/>
        <v>43619</v>
      </c>
      <c r="B493" s="17" vm="2000">
        <f ca="1"/>
        <v>90.201499999999996</v>
      </c>
      <c r="D493" s="9" vm="2001">
        <f ca="1"/>
        <v>25983.9414</v>
      </c>
      <c r="E493" s="11">
        <f t="shared" ca="1" si="8"/>
        <v>1.6314849555228772E-2</v>
      </c>
    </row>
    <row r="494" spans="1:5" x14ac:dyDescent="0.3">
      <c r="A494" s="82" vm="739">
        <f ca="1"/>
        <v>43626</v>
      </c>
      <c r="B494" s="17" vm="2002">
        <f ca="1"/>
        <v>93.483500000000006</v>
      </c>
      <c r="D494" s="9" vm="2003">
        <f ca="1"/>
        <v>26089.607400000001</v>
      </c>
      <c r="E494" s="11">
        <f t="shared" ca="1" si="8"/>
        <v>3.6385204237180169E-2</v>
      </c>
    </row>
    <row r="495" spans="1:5" x14ac:dyDescent="0.3">
      <c r="A495" s="82" vm="740">
        <f ca="1"/>
        <v>43633</v>
      </c>
      <c r="B495" s="17" vm="2004">
        <f ca="1"/>
        <v>95.564999999999998</v>
      </c>
      <c r="D495" s="9" vm="2005">
        <f ca="1"/>
        <v>26719.127400000001</v>
      </c>
      <c r="E495" s="11">
        <f t="shared" ca="1" si="8"/>
        <v>2.2265961372862408E-2</v>
      </c>
    </row>
    <row r="496" spans="1:5" x14ac:dyDescent="0.3">
      <c r="A496" s="82" vm="741">
        <f ca="1"/>
        <v>43640</v>
      </c>
      <c r="B496" s="17" vm="2006">
        <f ca="1"/>
        <v>94.6815</v>
      </c>
      <c r="D496" s="9" vm="2007">
        <f ca="1"/>
        <v>26599.964899999999</v>
      </c>
      <c r="E496" s="11">
        <f t="shared" ca="1" si="8"/>
        <v>-9.2450164809292357E-3</v>
      </c>
    </row>
    <row r="497" spans="1:5" x14ac:dyDescent="0.3">
      <c r="A497" s="82" vm="742">
        <f ca="1"/>
        <v>43647</v>
      </c>
      <c r="B497" s="17" vm="2008">
        <f ca="1"/>
        <v>97.145499999999998</v>
      </c>
      <c r="D497" s="9" vm="2009">
        <f ca="1"/>
        <v>26922.117399999999</v>
      </c>
      <c r="E497" s="11">
        <f t="shared" ca="1" si="8"/>
        <v>2.6024091295554053E-2</v>
      </c>
    </row>
    <row r="498" spans="1:5" x14ac:dyDescent="0.3">
      <c r="A498" s="82" vm="743">
        <f ca="1"/>
        <v>43654</v>
      </c>
      <c r="B498" s="17" vm="2010">
        <f ca="1"/>
        <v>100.55</v>
      </c>
      <c r="D498" s="9" vm="2011">
        <f ca="1"/>
        <v>27332.0311</v>
      </c>
      <c r="E498" s="11">
        <f t="shared" ca="1" si="8"/>
        <v>3.5045370089196171E-2</v>
      </c>
    </row>
    <row r="499" spans="1:5" x14ac:dyDescent="0.3">
      <c r="A499" s="82" vm="744">
        <f ca="1"/>
        <v>43661</v>
      </c>
      <c r="B499" s="17" vm="2012">
        <f ca="1"/>
        <v>98.225999999999999</v>
      </c>
      <c r="D499" s="9" vm="2013">
        <f ca="1"/>
        <v>27154.2029</v>
      </c>
      <c r="E499" s="11">
        <f t="shared" ca="1" si="8"/>
        <v>-2.3112879164594702E-2</v>
      </c>
    </row>
    <row r="500" spans="1:5" x14ac:dyDescent="0.3">
      <c r="A500" s="82" vm="745">
        <f ca="1"/>
        <v>43668</v>
      </c>
      <c r="B500" s="17" vm="2014">
        <f ca="1"/>
        <v>97.152500000000003</v>
      </c>
      <c r="D500" s="9" vm="2015">
        <f ca="1"/>
        <v>27192.4542</v>
      </c>
      <c r="E500" s="11">
        <f t="shared" ca="1" si="8"/>
        <v>-1.0928878301060818E-2</v>
      </c>
    </row>
    <row r="501" spans="1:5" x14ac:dyDescent="0.3">
      <c r="A501" s="82" vm="746">
        <f ca="1"/>
        <v>43675</v>
      </c>
      <c r="B501" s="17" vm="2016">
        <f ca="1"/>
        <v>91.162000000000006</v>
      </c>
      <c r="D501" s="9" vm="2017">
        <f ca="1"/>
        <v>26485.007300000001</v>
      </c>
      <c r="E501" s="11">
        <f t="shared" ca="1" si="8"/>
        <v>-6.1660791024420347E-2</v>
      </c>
    </row>
    <row r="502" spans="1:5" x14ac:dyDescent="0.3">
      <c r="A502" s="82" vm="747">
        <f ca="1"/>
        <v>43682</v>
      </c>
      <c r="B502" s="17" vm="2018">
        <f ca="1"/>
        <v>90.379000000000005</v>
      </c>
      <c r="D502" s="9" vm="2019">
        <f ca="1"/>
        <v>26287.442999999999</v>
      </c>
      <c r="E502" s="11">
        <f t="shared" ca="1" si="8"/>
        <v>-8.5891051095851045E-3</v>
      </c>
    </row>
    <row r="503" spans="1:5" x14ac:dyDescent="0.3">
      <c r="A503" s="82" vm="748">
        <f ca="1"/>
        <v>43689</v>
      </c>
      <c r="B503" s="17" vm="2020">
        <f ca="1"/>
        <v>89.628500000000003</v>
      </c>
      <c r="D503" s="9" vm="2021">
        <f ca="1"/>
        <v>25886.007000000001</v>
      </c>
      <c r="E503" s="11">
        <f t="shared" ca="1" si="8"/>
        <v>-8.3039201584439448E-3</v>
      </c>
    </row>
    <row r="504" spans="1:5" x14ac:dyDescent="0.3">
      <c r="A504" s="82" vm="749">
        <f ca="1"/>
        <v>43696</v>
      </c>
      <c r="B504" s="17" vm="2022">
        <f ca="1"/>
        <v>87.480999999999995</v>
      </c>
      <c r="D504" s="9" vm="2023">
        <f ca="1"/>
        <v>25628.895400000001</v>
      </c>
      <c r="E504" s="11">
        <f t="shared" ca="1" si="8"/>
        <v>-2.39600127191687E-2</v>
      </c>
    </row>
    <row r="505" spans="1:5" x14ac:dyDescent="0.3">
      <c r="A505" s="82" vm="750">
        <f ca="1"/>
        <v>43703</v>
      </c>
      <c r="B505" s="17" vm="2024">
        <f ca="1"/>
        <v>88.814499999999995</v>
      </c>
      <c r="D505" s="9" vm="2025">
        <f ca="1"/>
        <v>26403.282299999999</v>
      </c>
      <c r="E505" s="11">
        <f t="shared" ca="1" si="8"/>
        <v>1.5243309975880415E-2</v>
      </c>
    </row>
    <row r="506" spans="1:5" x14ac:dyDescent="0.3">
      <c r="A506" s="82" vm="751">
        <f ca="1"/>
        <v>43711</v>
      </c>
      <c r="B506" s="17" vm="2026">
        <f ca="1"/>
        <v>91.6755</v>
      </c>
      <c r="D506" s="9" vm="2027">
        <f ca="1"/>
        <v>26797.461299999999</v>
      </c>
      <c r="E506" s="11">
        <f t="shared" ca="1" si="8"/>
        <v>3.2213208428803819E-2</v>
      </c>
    </row>
    <row r="507" spans="1:5" x14ac:dyDescent="0.3">
      <c r="A507" s="82" vm="752">
        <f ca="1"/>
        <v>43717</v>
      </c>
      <c r="B507" s="17" vm="2028">
        <f ca="1"/>
        <v>91.966999999999999</v>
      </c>
      <c r="D507" s="9" vm="2029">
        <f ca="1"/>
        <v>27219.514999999999</v>
      </c>
      <c r="E507" s="11">
        <f t="shared" ca="1" si="8"/>
        <v>3.1796935931627246E-3</v>
      </c>
    </row>
    <row r="508" spans="1:5" x14ac:dyDescent="0.3">
      <c r="A508" s="82" vm="753">
        <f ca="1"/>
        <v>43724</v>
      </c>
      <c r="B508" s="17" vm="2030">
        <f ca="1"/>
        <v>89.707999999999998</v>
      </c>
      <c r="D508" s="9" vm="2031">
        <f ca="1"/>
        <v>26935.0713</v>
      </c>
      <c r="E508" s="11">
        <f t="shared" ca="1" si="8"/>
        <v>-2.4563158524253281E-2</v>
      </c>
    </row>
    <row r="509" spans="1:5" x14ac:dyDescent="0.3">
      <c r="A509" s="82" vm="754">
        <f ca="1"/>
        <v>43731</v>
      </c>
      <c r="B509" s="17" vm="2032">
        <f ca="1"/>
        <v>86.272499999999994</v>
      </c>
      <c r="D509" s="9" vm="2033">
        <f ca="1"/>
        <v>26820.249400000001</v>
      </c>
      <c r="E509" s="11">
        <f t="shared" ca="1" si="8"/>
        <v>-3.829647300129313E-2</v>
      </c>
    </row>
    <row r="510" spans="1:5" x14ac:dyDescent="0.3">
      <c r="A510" s="82" vm="755">
        <f ca="1"/>
        <v>43738</v>
      </c>
      <c r="B510" s="17" vm="2034">
        <f ca="1"/>
        <v>86.982500000000002</v>
      </c>
      <c r="D510" s="9" vm="2035">
        <f ca="1"/>
        <v>26573.7179</v>
      </c>
      <c r="E510" s="11">
        <f t="shared" ca="1" si="8"/>
        <v>8.2297371700137401E-3</v>
      </c>
    </row>
    <row r="511" spans="1:5" x14ac:dyDescent="0.3">
      <c r="A511" s="82" vm="756">
        <f ca="1"/>
        <v>43745</v>
      </c>
      <c r="B511" s="17" vm="2036">
        <f ca="1"/>
        <v>86.596000000000004</v>
      </c>
      <c r="D511" s="9" vm="2037">
        <f ca="1"/>
        <v>26816.587</v>
      </c>
      <c r="E511" s="11">
        <f t="shared" ca="1" si="8"/>
        <v>-4.4434225275198358E-3</v>
      </c>
    </row>
    <row r="512" spans="1:5" x14ac:dyDescent="0.3">
      <c r="A512" s="82" vm="757">
        <f ca="1"/>
        <v>43752</v>
      </c>
      <c r="B512" s="17" vm="2038">
        <f ca="1"/>
        <v>87.875500000000002</v>
      </c>
      <c r="D512" s="9" vm="2039">
        <f ca="1"/>
        <v>26770.197</v>
      </c>
      <c r="E512" s="11">
        <f t="shared" ca="1" si="8"/>
        <v>1.4775509261397701E-2</v>
      </c>
    </row>
    <row r="513" spans="1:5" x14ac:dyDescent="0.3">
      <c r="A513" s="82" vm="758">
        <f ca="1"/>
        <v>43759</v>
      </c>
      <c r="B513" s="17" vm="2040">
        <f ca="1"/>
        <v>88.066500000000005</v>
      </c>
      <c r="D513" s="9" vm="2041">
        <f ca="1"/>
        <v>26958.0628</v>
      </c>
      <c r="E513" s="11">
        <f t="shared" ca="1" si="8"/>
        <v>2.1735295958487111E-3</v>
      </c>
    </row>
    <row r="514" spans="1:5" x14ac:dyDescent="0.3">
      <c r="A514" s="82" vm="759">
        <f ca="1"/>
        <v>43766</v>
      </c>
      <c r="B514" s="17" vm="2042">
        <f ca="1"/>
        <v>89.572000000000003</v>
      </c>
      <c r="D514" s="9" vm="2043">
        <f ca="1"/>
        <v>27347.358700000001</v>
      </c>
      <c r="E514" s="11">
        <f t="shared" ca="1" si="8"/>
        <v>1.7095036137464215E-2</v>
      </c>
    </row>
    <row r="515" spans="1:5" x14ac:dyDescent="0.3">
      <c r="A515" s="82" vm="760">
        <f ca="1"/>
        <v>43773</v>
      </c>
      <c r="B515" s="17" vm="2044">
        <f ca="1"/>
        <v>89.293999999999997</v>
      </c>
      <c r="D515" s="9" vm="2045">
        <f ca="1"/>
        <v>27681.2444</v>
      </c>
      <c r="E515" s="11">
        <f t="shared" ca="1" si="8"/>
        <v>-3.1036484615728499E-3</v>
      </c>
    </row>
    <row r="516" spans="1:5" x14ac:dyDescent="0.3">
      <c r="A516" s="82" vm="761">
        <f ca="1"/>
        <v>43780</v>
      </c>
      <c r="B516" s="17" vm="2046">
        <f ca="1"/>
        <v>86.974500000000006</v>
      </c>
      <c r="D516" s="9" vm="2047">
        <f ca="1"/>
        <v>28004.888999999999</v>
      </c>
      <c r="E516" s="11">
        <f t="shared" ca="1" si="8"/>
        <v>-2.5975989428180912E-2</v>
      </c>
    </row>
    <row r="517" spans="1:5" x14ac:dyDescent="0.3">
      <c r="A517" s="82" vm="762">
        <f ca="1"/>
        <v>43787</v>
      </c>
      <c r="B517" s="17" vm="2048">
        <f ca="1"/>
        <v>87.286000000000001</v>
      </c>
      <c r="D517" s="9" vm="2049">
        <f ca="1"/>
        <v>27875.6211</v>
      </c>
      <c r="E517" s="11">
        <f t="shared" ca="1" si="8"/>
        <v>3.5815095229061455E-3</v>
      </c>
    </row>
    <row r="518" spans="1:5" x14ac:dyDescent="0.3">
      <c r="A518" s="82" vm="763">
        <f ca="1"/>
        <v>43794</v>
      </c>
      <c r="B518" s="17" vm="2050">
        <f ca="1"/>
        <v>90.04</v>
      </c>
      <c r="D518" s="9" vm="2051">
        <f ca="1"/>
        <v>28051.4146</v>
      </c>
      <c r="E518" s="11">
        <f t="shared" ca="1" si="8"/>
        <v>3.155145155007677E-2</v>
      </c>
    </row>
    <row r="519" spans="1:5" x14ac:dyDescent="0.3">
      <c r="A519" s="82" vm="764">
        <f ca="1"/>
        <v>43801</v>
      </c>
      <c r="B519" s="17" vm="2052">
        <f ca="1"/>
        <v>87.58</v>
      </c>
      <c r="D519" s="9" vm="2053">
        <f ca="1"/>
        <v>28015.0622</v>
      </c>
      <c r="E519" s="11">
        <f t="shared" ca="1" si="8"/>
        <v>-2.7321190581963695E-2</v>
      </c>
    </row>
    <row r="520" spans="1:5" x14ac:dyDescent="0.3">
      <c r="A520" s="82" vm="765">
        <f ca="1"/>
        <v>43808</v>
      </c>
      <c r="B520" s="17" vm="2054">
        <f ca="1"/>
        <v>88.046999999999997</v>
      </c>
      <c r="D520" s="9" vm="2055">
        <f ca="1"/>
        <v>28135.377700000001</v>
      </c>
      <c r="E520" s="11">
        <f t="shared" ca="1" si="8"/>
        <v>5.3322676410139103E-3</v>
      </c>
    </row>
    <row r="521" spans="1:5" x14ac:dyDescent="0.3">
      <c r="A521" s="82" vm="766">
        <f ca="1"/>
        <v>43815</v>
      </c>
      <c r="B521" s="17" vm="2056">
        <f ca="1"/>
        <v>89.325000000000003</v>
      </c>
      <c r="D521" s="9" vm="2057">
        <f ca="1"/>
        <v>28455.0887</v>
      </c>
      <c r="E521" s="11">
        <f t="shared" ca="1" si="8"/>
        <v>1.4514974956557403E-2</v>
      </c>
    </row>
    <row r="522" spans="1:5" x14ac:dyDescent="0.3">
      <c r="A522" s="82" vm="767">
        <f ca="1"/>
        <v>43822</v>
      </c>
      <c r="B522" s="17" vm="2058">
        <f ca="1"/>
        <v>93.49</v>
      </c>
      <c r="D522" s="9" vm="2059">
        <f ca="1"/>
        <v>28645.260399999999</v>
      </c>
      <c r="E522" s="11">
        <f t="shared" ca="1" si="8"/>
        <v>4.6627483907080824E-2</v>
      </c>
    </row>
    <row r="523" spans="1:5" x14ac:dyDescent="0.3">
      <c r="A523" s="82" vm="768">
        <f ca="1"/>
        <v>43829</v>
      </c>
      <c r="B523" s="17" vm="2060">
        <f ca="1"/>
        <v>93.748500000000007</v>
      </c>
      <c r="D523" s="9" vm="2061">
        <f ca="1"/>
        <v>28634.883699999998</v>
      </c>
      <c r="E523" s="11">
        <f t="shared" ref="E523:E586" ca="1" si="9">IF(B523&gt;0,B523/B522-1,"")</f>
        <v>2.7650016044498127E-3</v>
      </c>
    </row>
    <row r="524" spans="1:5" x14ac:dyDescent="0.3">
      <c r="A524" s="82" vm="769">
        <f ca="1"/>
        <v>43836</v>
      </c>
      <c r="B524" s="17" vm="2062">
        <f ca="1"/>
        <v>94.158000000000001</v>
      </c>
      <c r="D524" s="9" vm="2063">
        <f ca="1"/>
        <v>28823.766800000001</v>
      </c>
      <c r="E524" s="11">
        <f t="shared" ca="1" si="9"/>
        <v>4.3680698891181979E-3</v>
      </c>
    </row>
    <row r="525" spans="1:5" x14ac:dyDescent="0.3">
      <c r="A525" s="82" vm="770">
        <f ca="1"/>
        <v>43843</v>
      </c>
      <c r="B525" s="17" vm="2064">
        <f ca="1"/>
        <v>93.236000000000004</v>
      </c>
      <c r="D525" s="9" vm="2065">
        <f ca="1"/>
        <v>29348.095499999999</v>
      </c>
      <c r="E525" s="11">
        <f t="shared" ca="1" si="9"/>
        <v>-9.7920516578516859E-3</v>
      </c>
    </row>
    <row r="526" spans="1:5" x14ac:dyDescent="0.3">
      <c r="A526" s="82" vm="771">
        <f ca="1"/>
        <v>43851</v>
      </c>
      <c r="B526" s="17" vm="2066">
        <f ca="1"/>
        <v>93.081999999999994</v>
      </c>
      <c r="D526" s="9" vm="2067">
        <f ca="1"/>
        <v>28989.726200000001</v>
      </c>
      <c r="E526" s="11">
        <f t="shared" ca="1" si="9"/>
        <v>-1.651722510618292E-3</v>
      </c>
    </row>
    <row r="527" spans="1:5" x14ac:dyDescent="0.3">
      <c r="A527" s="82" vm="772">
        <f ca="1"/>
        <v>43857</v>
      </c>
      <c r="B527" s="17" vm="2068">
        <f ca="1"/>
        <v>100.43600000000001</v>
      </c>
      <c r="D527" s="9" vm="2069">
        <f ca="1"/>
        <v>28256.032299999999</v>
      </c>
      <c r="E527" s="11">
        <f t="shared" ca="1" si="9"/>
        <v>7.9005607958574364E-2</v>
      </c>
    </row>
    <row r="528" spans="1:5" x14ac:dyDescent="0.3">
      <c r="A528" s="82" vm="773">
        <f ca="1"/>
        <v>43864</v>
      </c>
      <c r="B528" s="17" vm="2070">
        <f ca="1"/>
        <v>103.964</v>
      </c>
      <c r="D528" s="9" vm="2071">
        <f ca="1"/>
        <v>29102.513500000001</v>
      </c>
      <c r="E528" s="11">
        <f t="shared" ca="1" si="9"/>
        <v>3.5126846947309609E-2</v>
      </c>
    </row>
    <row r="529" spans="1:5" x14ac:dyDescent="0.3">
      <c r="A529" s="82" vm="774">
        <f ca="1"/>
        <v>43871</v>
      </c>
      <c r="B529" s="17" vm="2072">
        <f ca="1"/>
        <v>106.7435</v>
      </c>
      <c r="D529" s="9" vm="2073">
        <f ca="1"/>
        <v>29398.080000000002</v>
      </c>
      <c r="E529" s="11">
        <f t="shared" ca="1" si="9"/>
        <v>2.6735216036320342E-2</v>
      </c>
    </row>
    <row r="530" spans="1:5" x14ac:dyDescent="0.3">
      <c r="A530" s="82" vm="775">
        <f ca="1"/>
        <v>43879</v>
      </c>
      <c r="B530" s="17" vm="2074">
        <f ca="1"/>
        <v>104.7985</v>
      </c>
      <c r="D530" s="9" vm="2075">
        <f ca="1"/>
        <v>28992.405200000001</v>
      </c>
      <c r="E530" s="11">
        <f t="shared" ca="1" si="9"/>
        <v>-1.8221250005855061E-2</v>
      </c>
    </row>
    <row r="531" spans="1:5" x14ac:dyDescent="0.3">
      <c r="A531" s="82" vm="776">
        <f ca="1"/>
        <v>43885</v>
      </c>
      <c r="B531" s="17" vm="2076">
        <f ca="1"/>
        <v>94.1875</v>
      </c>
      <c r="D531" s="9" vm="2077">
        <f ca="1"/>
        <v>25409.356899999999</v>
      </c>
      <c r="E531" s="11">
        <f t="shared" ca="1" si="9"/>
        <v>-0.10125144920967388</v>
      </c>
    </row>
    <row r="532" spans="1:5" x14ac:dyDescent="0.3">
      <c r="A532" s="82" vm="777">
        <f ca="1"/>
        <v>43892</v>
      </c>
      <c r="B532" s="17" vm="2078">
        <f ca="1"/>
        <v>95.054500000000004</v>
      </c>
      <c r="D532" s="9" vm="484">
        <f ca="1"/>
        <v>25864.778900000001</v>
      </c>
      <c r="E532" s="11">
        <f t="shared" ca="1" si="9"/>
        <v>9.2050431320505055E-3</v>
      </c>
    </row>
    <row r="533" spans="1:5" x14ac:dyDescent="0.3">
      <c r="A533" s="82" vm="778">
        <f ca="1"/>
        <v>43899</v>
      </c>
      <c r="B533" s="17" vm="2079">
        <f ca="1"/>
        <v>89.25</v>
      </c>
      <c r="D533" s="9" vm="2080">
        <f ca="1"/>
        <v>23185.622800000001</v>
      </c>
      <c r="E533" s="11">
        <f t="shared" ca="1" si="9"/>
        <v>-6.1064967992046748E-2</v>
      </c>
    </row>
    <row r="534" spans="1:5" x14ac:dyDescent="0.3">
      <c r="A534" s="82" vm="779">
        <f ca="1"/>
        <v>43906</v>
      </c>
      <c r="B534" s="17" vm="2081">
        <f ca="1"/>
        <v>92.304500000000004</v>
      </c>
      <c r="D534" s="9" vm="2082">
        <f ca="1"/>
        <v>19173.975999999999</v>
      </c>
      <c r="E534" s="11">
        <f t="shared" ca="1" si="9"/>
        <v>3.4224089635854327E-2</v>
      </c>
    </row>
    <row r="535" spans="1:5" x14ac:dyDescent="0.3">
      <c r="A535" s="82" vm="780">
        <f ca="1"/>
        <v>43913</v>
      </c>
      <c r="B535" s="17" vm="2083">
        <f ca="1"/>
        <v>95.004999999999995</v>
      </c>
      <c r="D535" s="9" vm="2084">
        <f ca="1"/>
        <v>21636.781200000001</v>
      </c>
      <c r="E535" s="11">
        <f t="shared" ca="1" si="9"/>
        <v>2.9256428451483796E-2</v>
      </c>
    </row>
    <row r="536" spans="1:5" x14ac:dyDescent="0.3">
      <c r="A536" s="82" vm="781">
        <f ca="1"/>
        <v>43920</v>
      </c>
      <c r="B536" s="17" vm="2085">
        <f ca="1"/>
        <v>95.329499999999996</v>
      </c>
      <c r="D536" s="9" vm="2086">
        <f ca="1"/>
        <v>21052.534800000001</v>
      </c>
      <c r="E536" s="11">
        <f t="shared" ca="1" si="9"/>
        <v>3.4156097047524092E-3</v>
      </c>
    </row>
    <row r="537" spans="1:5" x14ac:dyDescent="0.3">
      <c r="A537" s="82" vm="782">
        <f ca="1"/>
        <v>43927</v>
      </c>
      <c r="B537" s="17" vm="2087">
        <f ca="1"/>
        <v>102.13800000000001</v>
      </c>
      <c r="D537" s="9" vm="504">
        <f ca="1"/>
        <v>23719.373</v>
      </c>
      <c r="E537" s="11">
        <f t="shared" ca="1" si="9"/>
        <v>7.1420703979355959E-2</v>
      </c>
    </row>
    <row r="538" spans="1:5" x14ac:dyDescent="0.3">
      <c r="A538" s="82" vm="783">
        <f ca="1"/>
        <v>43934</v>
      </c>
      <c r="B538" s="17" vm="2088">
        <f ca="1"/>
        <v>118.75</v>
      </c>
      <c r="D538" s="9" vm="498">
        <f ca="1"/>
        <v>24242.493600000002</v>
      </c>
      <c r="E538" s="11">
        <f t="shared" ca="1" si="9"/>
        <v>0.16264269909338336</v>
      </c>
    </row>
    <row r="539" spans="1:5" x14ac:dyDescent="0.3">
      <c r="A539" s="82" vm="784">
        <f ca="1"/>
        <v>43941</v>
      </c>
      <c r="B539" s="17" vm="2089">
        <f ca="1"/>
        <v>120.511</v>
      </c>
      <c r="D539" s="9" vm="500">
        <f ca="1"/>
        <v>23775.272199999999</v>
      </c>
      <c r="E539" s="11">
        <f t="shared" ca="1" si="9"/>
        <v>1.4829473684210503E-2</v>
      </c>
    </row>
    <row r="540" spans="1:5" x14ac:dyDescent="0.3">
      <c r="A540" s="82" vm="785">
        <f ca="1"/>
        <v>43948</v>
      </c>
      <c r="B540" s="17" vm="2090">
        <f ca="1"/>
        <v>114.30200000000001</v>
      </c>
      <c r="D540" s="9" vm="502">
        <f ca="1"/>
        <v>23723.694</v>
      </c>
      <c r="E540" s="11">
        <f t="shared" ca="1" si="9"/>
        <v>-5.1522267676809452E-2</v>
      </c>
    </row>
    <row r="541" spans="1:5" x14ac:dyDescent="0.3">
      <c r="A541" s="82" vm="786">
        <f ca="1"/>
        <v>43955</v>
      </c>
      <c r="B541" s="17" vm="2091">
        <f ca="1"/>
        <v>118.98050000000001</v>
      </c>
      <c r="D541" s="9" vm="496">
        <f ca="1"/>
        <v>24331.314999999999</v>
      </c>
      <c r="E541" s="11">
        <f t="shared" ca="1" si="9"/>
        <v>4.0931042326468381E-2</v>
      </c>
    </row>
    <row r="542" spans="1:5" x14ac:dyDescent="0.3">
      <c r="A542" s="82" vm="787">
        <f ca="1"/>
        <v>43962</v>
      </c>
      <c r="B542" s="17" vm="2092">
        <f ca="1"/>
        <v>120.489</v>
      </c>
      <c r="D542" s="9" vm="506">
        <f ca="1"/>
        <v>23685.421900000001</v>
      </c>
      <c r="E542" s="11">
        <f t="shared" ca="1" si="9"/>
        <v>1.2678548165455661E-2</v>
      </c>
    </row>
    <row r="543" spans="1:5" x14ac:dyDescent="0.3">
      <c r="A543" s="82" vm="788">
        <f ca="1"/>
        <v>43969</v>
      </c>
      <c r="B543" s="17" vm="2093">
        <f ca="1"/>
        <v>121.84399999999999</v>
      </c>
      <c r="D543" s="9" vm="494">
        <f ca="1"/>
        <v>24465.164499999999</v>
      </c>
      <c r="E543" s="11">
        <f t="shared" ca="1" si="9"/>
        <v>1.1245839869199692E-2</v>
      </c>
    </row>
    <row r="544" spans="1:5" x14ac:dyDescent="0.3">
      <c r="A544" s="82" vm="789">
        <f ca="1"/>
        <v>43977</v>
      </c>
      <c r="B544" s="17" vm="2094">
        <f ca="1"/>
        <v>122.1185</v>
      </c>
      <c r="D544" s="9" vm="490">
        <f ca="1"/>
        <v>25383.1119</v>
      </c>
      <c r="E544" s="11">
        <f t="shared" ca="1" si="9"/>
        <v>2.2528807327402145E-3</v>
      </c>
    </row>
    <row r="545" spans="1:5" x14ac:dyDescent="0.3">
      <c r="A545" s="82" vm="790">
        <f ca="1"/>
        <v>43983</v>
      </c>
      <c r="B545" s="17" vm="2095">
        <f ca="1"/>
        <v>124.15</v>
      </c>
      <c r="D545" s="9" vm="470">
        <f ca="1"/>
        <v>27110.980500000001</v>
      </c>
      <c r="E545" s="11">
        <f t="shared" ca="1" si="9"/>
        <v>1.6635481110560679E-2</v>
      </c>
    </row>
    <row r="546" spans="1:5" x14ac:dyDescent="0.3">
      <c r="A546" s="82" vm="791">
        <f ca="1"/>
        <v>43990</v>
      </c>
      <c r="B546" s="17" vm="2096">
        <f ca="1"/>
        <v>127.251</v>
      </c>
      <c r="D546" s="9" vm="488">
        <f ca="1"/>
        <v>25605.542700000002</v>
      </c>
      <c r="E546" s="11">
        <f t="shared" ca="1" si="9"/>
        <v>2.497784937575509E-2</v>
      </c>
    </row>
    <row r="547" spans="1:5" x14ac:dyDescent="0.3">
      <c r="A547" s="82" vm="792">
        <f ca="1"/>
        <v>43997</v>
      </c>
      <c r="B547" s="17" vm="2097">
        <f ca="1"/>
        <v>133.75049999999999</v>
      </c>
      <c r="D547" s="9" vm="482">
        <f ca="1"/>
        <v>25871.458299999998</v>
      </c>
      <c r="E547" s="11">
        <f t="shared" ca="1" si="9"/>
        <v>5.1076219440318704E-2</v>
      </c>
    </row>
    <row r="548" spans="1:5" x14ac:dyDescent="0.3">
      <c r="A548" s="82" vm="793">
        <f ca="1"/>
        <v>44004</v>
      </c>
      <c r="B548" s="17" vm="2098">
        <f ca="1"/>
        <v>134.64349999999999</v>
      </c>
      <c r="D548" s="9" vm="492">
        <f ca="1"/>
        <v>25015.5488</v>
      </c>
      <c r="E548" s="11">
        <f t="shared" ca="1" si="9"/>
        <v>6.6766105547269028E-3</v>
      </c>
    </row>
    <row r="549" spans="1:5" x14ac:dyDescent="0.3">
      <c r="A549" s="82" vm="794">
        <f ca="1"/>
        <v>44011</v>
      </c>
      <c r="B549" s="17" vm="2099">
        <f ca="1"/>
        <v>144.51499999999999</v>
      </c>
      <c r="D549" s="9" vm="486">
        <f ca="1"/>
        <v>25827.356299999999</v>
      </c>
      <c r="E549" s="11">
        <f t="shared" ca="1" si="9"/>
        <v>7.3315830322295605E-2</v>
      </c>
    </row>
    <row r="550" spans="1:5" x14ac:dyDescent="0.3">
      <c r="A550" s="82" vm="795">
        <f ca="1"/>
        <v>44018</v>
      </c>
      <c r="B550" s="17" vm="2100">
        <f ca="1"/>
        <v>160</v>
      </c>
      <c r="D550" s="9" vm="480">
        <f ca="1"/>
        <v>26075.301800000001</v>
      </c>
      <c r="E550" s="11">
        <f t="shared" ca="1" si="9"/>
        <v>0.10715150676400387</v>
      </c>
    </row>
    <row r="551" spans="1:5" x14ac:dyDescent="0.3">
      <c r="A551" s="82" vm="796">
        <f ca="1"/>
        <v>44025</v>
      </c>
      <c r="B551" s="17" vm="2101">
        <f ca="1"/>
        <v>148.0985</v>
      </c>
      <c r="D551" s="9" vm="472">
        <f ca="1"/>
        <v>26671.948799999998</v>
      </c>
      <c r="E551" s="11">
        <f t="shared" ca="1" si="9"/>
        <v>-7.4384374999999947E-2</v>
      </c>
    </row>
    <row r="552" spans="1:5" x14ac:dyDescent="0.3">
      <c r="A552" s="82" vm="797">
        <f ca="1"/>
        <v>44032</v>
      </c>
      <c r="B552" s="17" vm="2102">
        <f ca="1"/>
        <v>150.44550000000001</v>
      </c>
      <c r="D552" s="9" vm="476">
        <f ca="1"/>
        <v>26469.888599999998</v>
      </c>
      <c r="E552" s="11">
        <f t="shared" ca="1" si="9"/>
        <v>1.5847560913851311E-2</v>
      </c>
    </row>
    <row r="553" spans="1:5" x14ac:dyDescent="0.3">
      <c r="A553" s="82" vm="798">
        <f ca="1"/>
        <v>44039</v>
      </c>
      <c r="B553" s="17" vm="2103">
        <f ca="1"/>
        <v>158.23400000000001</v>
      </c>
      <c r="D553" s="9" vm="478">
        <f ca="1"/>
        <v>26428.324199999999</v>
      </c>
      <c r="E553" s="11">
        <f t="shared" ca="1" si="9"/>
        <v>5.1769577687601043E-2</v>
      </c>
    </row>
    <row r="554" spans="1:5" x14ac:dyDescent="0.3">
      <c r="A554" s="82" vm="799">
        <f ca="1"/>
        <v>44046</v>
      </c>
      <c r="B554" s="17" vm="2104">
        <f ca="1"/>
        <v>158.37299999999999</v>
      </c>
      <c r="D554" s="9" vm="466">
        <f ca="1"/>
        <v>27433.481199999998</v>
      </c>
      <c r="E554" s="11">
        <f t="shared" ca="1" si="9"/>
        <v>8.7844584602536635E-4</v>
      </c>
    </row>
    <row r="555" spans="1:5" x14ac:dyDescent="0.3">
      <c r="A555" s="82" vm="800">
        <f ca="1"/>
        <v>44053</v>
      </c>
      <c r="B555" s="17" vm="2105">
        <f ca="1"/>
        <v>157.40100000000001</v>
      </c>
      <c r="D555" s="9" vm="456">
        <f ca="1"/>
        <v>27931.018499999998</v>
      </c>
      <c r="E555" s="11">
        <f t="shared" ca="1" si="9"/>
        <v>-6.1374097857588295E-3</v>
      </c>
    </row>
    <row r="556" spans="1:5" x14ac:dyDescent="0.3">
      <c r="A556" s="82" vm="801">
        <f ca="1"/>
        <v>44060</v>
      </c>
      <c r="B556" s="17" vm="2106">
        <f ca="1"/>
        <v>164.23599999999999</v>
      </c>
      <c r="D556" s="9" vm="458">
        <f ca="1"/>
        <v>27930.332600000002</v>
      </c>
      <c r="E556" s="11">
        <f t="shared" ca="1" si="9"/>
        <v>4.3424120558319013E-2</v>
      </c>
    </row>
    <row r="557" spans="1:5" x14ac:dyDescent="0.3">
      <c r="A557" s="82" vm="802">
        <f ca="1"/>
        <v>44067</v>
      </c>
      <c r="B557" s="17" vm="2107">
        <f ca="1"/>
        <v>170.09</v>
      </c>
      <c r="D557" s="9" vm="444">
        <f ca="1"/>
        <v>28653.867300000002</v>
      </c>
      <c r="E557" s="11">
        <f t="shared" ca="1" si="9"/>
        <v>3.5643829611047506E-2</v>
      </c>
    </row>
    <row r="558" spans="1:5" x14ac:dyDescent="0.3">
      <c r="A558" s="82" vm="803">
        <f ca="1"/>
        <v>44074</v>
      </c>
      <c r="B558" s="17" vm="2108">
        <f ca="1"/>
        <v>164.73099999999999</v>
      </c>
      <c r="D558" s="9" vm="454">
        <f ca="1"/>
        <v>28133.313200000001</v>
      </c>
      <c r="E558" s="11">
        <f t="shared" ca="1" si="9"/>
        <v>-3.150684931506853E-2</v>
      </c>
    </row>
    <row r="559" spans="1:5" x14ac:dyDescent="0.3">
      <c r="A559" s="82" vm="804">
        <f ca="1"/>
        <v>44082</v>
      </c>
      <c r="B559" s="17" vm="2109">
        <f ca="1"/>
        <v>155.81100000000001</v>
      </c>
      <c r="D559" s="9" vm="462">
        <f ca="1"/>
        <v>27665.641800000001</v>
      </c>
      <c r="E559" s="11">
        <f t="shared" ca="1" si="9"/>
        <v>-5.41488851521571E-2</v>
      </c>
    </row>
    <row r="560" spans="1:5" x14ac:dyDescent="0.3">
      <c r="A560" s="82" vm="805">
        <f ca="1"/>
        <v>44088</v>
      </c>
      <c r="B560" s="17" vm="2110">
        <f ca="1"/>
        <v>147.74549999999999</v>
      </c>
      <c r="D560" s="9" vm="464">
        <f ca="1"/>
        <v>27657.4175</v>
      </c>
      <c r="E560" s="11">
        <f t="shared" ca="1" si="9"/>
        <v>-5.1764637926719037E-2</v>
      </c>
    </row>
    <row r="561" spans="1:5" x14ac:dyDescent="0.3">
      <c r="A561" s="82" vm="806">
        <f ca="1"/>
        <v>44095</v>
      </c>
      <c r="B561" s="17" vm="2111">
        <f ca="1"/>
        <v>154.75649999999999</v>
      </c>
      <c r="D561" s="9" vm="468">
        <f ca="1"/>
        <v>27173.955300000001</v>
      </c>
      <c r="E561" s="11">
        <f t="shared" ca="1" si="9"/>
        <v>4.7453221925540801E-2</v>
      </c>
    </row>
    <row r="562" spans="1:5" x14ac:dyDescent="0.3">
      <c r="A562" s="82" vm="807">
        <f ca="1"/>
        <v>44102</v>
      </c>
      <c r="B562" s="17" vm="2112">
        <f ca="1"/>
        <v>156.25</v>
      </c>
      <c r="D562" s="9" vm="460">
        <f ca="1"/>
        <v>27682.814399999999</v>
      </c>
      <c r="E562" s="11">
        <f t="shared" ca="1" si="9"/>
        <v>9.6506447225157554E-3</v>
      </c>
    </row>
    <row r="563" spans="1:5" x14ac:dyDescent="0.3">
      <c r="A563" s="82" vm="808">
        <f ca="1"/>
        <v>44109</v>
      </c>
      <c r="B563" s="17" vm="2113">
        <f ca="1"/>
        <v>164.33250000000001</v>
      </c>
      <c r="D563" s="9" vm="448">
        <f ca="1"/>
        <v>28586.904399999999</v>
      </c>
      <c r="E563" s="11">
        <f t="shared" ca="1" si="9"/>
        <v>5.1727999999999996E-2</v>
      </c>
    </row>
    <row r="564" spans="1:5" x14ac:dyDescent="0.3">
      <c r="A564" s="82" vm="809">
        <f ca="1"/>
        <v>44116</v>
      </c>
      <c r="B564" s="17" vm="2114">
        <f ca="1"/>
        <v>163.63550000000001</v>
      </c>
      <c r="D564" s="9" vm="446">
        <f ca="1"/>
        <v>28606.313900000001</v>
      </c>
      <c r="E564" s="11">
        <f t="shared" ca="1" si="9"/>
        <v>-4.2414008184625818E-3</v>
      </c>
    </row>
    <row r="565" spans="1:5" x14ac:dyDescent="0.3">
      <c r="A565" s="82" vm="810">
        <f ca="1"/>
        <v>44123</v>
      </c>
      <c r="B565" s="17" vm="2115">
        <f ca="1"/>
        <v>160.22</v>
      </c>
      <c r="D565" s="9" vm="450">
        <f ca="1"/>
        <v>28335.567200000001</v>
      </c>
      <c r="E565" s="11">
        <f t="shared" ca="1" si="9"/>
        <v>-2.0872610160998173E-2</v>
      </c>
    </row>
    <row r="566" spans="1:5" x14ac:dyDescent="0.3">
      <c r="A566" s="82" vm="811">
        <f ca="1"/>
        <v>44130</v>
      </c>
      <c r="B566" s="17" vm="2116">
        <f ca="1"/>
        <v>151.8075</v>
      </c>
      <c r="D566" s="9" vm="474">
        <f ca="1"/>
        <v>26501.595499999999</v>
      </c>
      <c r="E566" s="11">
        <f t="shared" ca="1" si="9"/>
        <v>-5.2505929347147595E-2</v>
      </c>
    </row>
    <row r="567" spans="1:5" x14ac:dyDescent="0.3">
      <c r="A567" s="82" vm="812">
        <f ca="1"/>
        <v>44137</v>
      </c>
      <c r="B567" s="17" vm="2117">
        <f ca="1"/>
        <v>165.5685</v>
      </c>
      <c r="D567" s="9" vm="452">
        <f ca="1"/>
        <v>28323.395100000002</v>
      </c>
      <c r="E567" s="11">
        <f t="shared" ca="1" si="9"/>
        <v>9.0647695271972806E-2</v>
      </c>
    </row>
    <row r="568" spans="1:5" x14ac:dyDescent="0.3">
      <c r="A568" s="82" vm="813">
        <f ca="1"/>
        <v>44144</v>
      </c>
      <c r="B568" s="17" vm="2118">
        <f ca="1"/>
        <v>156.44049999999999</v>
      </c>
      <c r="D568" s="9" vm="436">
        <f ca="1"/>
        <v>29479.809300000001</v>
      </c>
      <c r="E568" s="11">
        <f t="shared" ca="1" si="9"/>
        <v>-5.5131259871292082E-2</v>
      </c>
    </row>
    <row r="569" spans="1:5" x14ac:dyDescent="0.3">
      <c r="A569" s="82" vm="814">
        <f ca="1"/>
        <v>44151</v>
      </c>
      <c r="B569" s="17" vm="2119">
        <f ca="1"/>
        <v>154.97</v>
      </c>
      <c r="D569" s="9" vm="440">
        <f ca="1"/>
        <v>29263.4751</v>
      </c>
      <c r="E569" s="11">
        <f t="shared" ca="1" si="9"/>
        <v>-9.3997398371904461E-3</v>
      </c>
    </row>
    <row r="570" spans="1:5" x14ac:dyDescent="0.3">
      <c r="A570" s="82" vm="815">
        <f ca="1"/>
        <v>44158</v>
      </c>
      <c r="B570" s="17" vm="2120">
        <f ca="1"/>
        <v>159.767</v>
      </c>
      <c r="D570" s="9" vm="428">
        <f ca="1"/>
        <v>29910.372200000002</v>
      </c>
      <c r="E570" s="11">
        <f t="shared" ca="1" si="9"/>
        <v>3.0954378266761395E-2</v>
      </c>
    </row>
    <row r="571" spans="1:5" x14ac:dyDescent="0.3">
      <c r="A571" s="82" vm="816">
        <f ca="1"/>
        <v>44165</v>
      </c>
      <c r="B571" s="17" vm="2121">
        <f ca="1"/>
        <v>158.12899999999999</v>
      </c>
      <c r="D571" s="9" vm="418">
        <f ca="1"/>
        <v>30218.260200000001</v>
      </c>
      <c r="E571" s="11">
        <f t="shared" ca="1" si="9"/>
        <v>-1.0252430101335142E-2</v>
      </c>
    </row>
    <row r="572" spans="1:5" x14ac:dyDescent="0.3">
      <c r="A572" s="82" vm="817">
        <f ca="1"/>
        <v>44172</v>
      </c>
      <c r="B572" s="17" vm="2122">
        <f ca="1"/>
        <v>155.821</v>
      </c>
      <c r="D572" s="9" vm="424">
        <f ca="1"/>
        <v>30046.370599999998</v>
      </c>
      <c r="E572" s="11">
        <f t="shared" ca="1" si="9"/>
        <v>-1.4595678212092622E-2</v>
      </c>
    </row>
    <row r="573" spans="1:5" x14ac:dyDescent="0.3">
      <c r="A573" s="82" vm="818">
        <f ca="1"/>
        <v>44179</v>
      </c>
      <c r="B573" s="17" vm="2123">
        <f ca="1"/>
        <v>160.08250000000001</v>
      </c>
      <c r="D573" s="9" vm="422">
        <f ca="1"/>
        <v>30179.046300000002</v>
      </c>
      <c r="E573" s="11">
        <f t="shared" ca="1" si="9"/>
        <v>2.7348688559308609E-2</v>
      </c>
    </row>
    <row r="574" spans="1:5" x14ac:dyDescent="0.3">
      <c r="A574" s="82" vm="819">
        <f ca="1"/>
        <v>44186</v>
      </c>
      <c r="B574" s="17" vm="2124">
        <f ca="1"/>
        <v>158.6345</v>
      </c>
      <c r="D574" s="9" vm="420">
        <f ca="1"/>
        <v>30199.870500000001</v>
      </c>
      <c r="E574" s="11">
        <f t="shared" ca="1" si="9"/>
        <v>-9.0453359986257809E-3</v>
      </c>
    </row>
    <row r="575" spans="1:5" x14ac:dyDescent="0.3">
      <c r="A575" s="82" vm="820">
        <f ca="1"/>
        <v>44193</v>
      </c>
      <c r="B575" s="17" vm="2125">
        <f ca="1"/>
        <v>162.84649999999999</v>
      </c>
      <c r="D575" s="9" vm="416">
        <f ca="1"/>
        <v>30606.484</v>
      </c>
      <c r="E575" s="11">
        <f t="shared" ca="1" si="9"/>
        <v>2.6551601322536866E-2</v>
      </c>
    </row>
    <row r="576" spans="1:5" x14ac:dyDescent="0.3">
      <c r="A576" s="82" vm="821">
        <f ca="1"/>
        <v>44200</v>
      </c>
      <c r="B576" s="17" vm="2126">
        <f ca="1"/>
        <v>159.13499999999999</v>
      </c>
      <c r="D576" s="9" vm="402">
        <f ca="1"/>
        <v>31097.9732</v>
      </c>
      <c r="E576" s="11">
        <f t="shared" ca="1" si="9"/>
        <v>-2.2791401718796567E-2</v>
      </c>
    </row>
    <row r="577" spans="1:5" x14ac:dyDescent="0.3">
      <c r="A577" s="82" vm="822">
        <f ca="1"/>
        <v>44207</v>
      </c>
      <c r="B577" s="17" vm="2127">
        <f ca="1"/>
        <v>155.21250000000001</v>
      </c>
      <c r="D577" s="9" vm="414">
        <f ca="1"/>
        <v>30814.264800000001</v>
      </c>
      <c r="E577" s="11">
        <f t="shared" ca="1" si="9"/>
        <v>-2.4648883023847601E-2</v>
      </c>
    </row>
    <row r="578" spans="1:5" x14ac:dyDescent="0.3">
      <c r="A578" s="82" vm="823">
        <f ca="1"/>
        <v>44215</v>
      </c>
      <c r="B578" s="17" vm="2128">
        <f ca="1"/>
        <v>164.61150000000001</v>
      </c>
      <c r="D578" s="9" vm="408">
        <f ca="1"/>
        <v>30996.977699999999</v>
      </c>
      <c r="E578" s="11">
        <f t="shared" ca="1" si="9"/>
        <v>6.0555689780140032E-2</v>
      </c>
    </row>
    <row r="579" spans="1:5" x14ac:dyDescent="0.3">
      <c r="A579" s="82" vm="824">
        <f ca="1"/>
        <v>44221</v>
      </c>
      <c r="B579" s="17" vm="2129">
        <f ca="1"/>
        <v>160.31</v>
      </c>
      <c r="D579" s="9" vm="426">
        <f ca="1"/>
        <v>29982.6152</v>
      </c>
      <c r="E579" s="11">
        <f t="shared" ca="1" si="9"/>
        <v>-2.6131224124681496E-2</v>
      </c>
    </row>
    <row r="580" spans="1:5" x14ac:dyDescent="0.3">
      <c r="A580" s="82" vm="825">
        <f ca="1"/>
        <v>44228</v>
      </c>
      <c r="B580" s="17" vm="2130">
        <f ca="1"/>
        <v>167.60749999999999</v>
      </c>
      <c r="D580" s="9" vm="400">
        <f ca="1"/>
        <v>31148.240600000001</v>
      </c>
      <c r="E580" s="11">
        <f t="shared" ca="1" si="9"/>
        <v>4.5521177718170991E-2</v>
      </c>
    </row>
    <row r="581" spans="1:5" x14ac:dyDescent="0.3">
      <c r="A581" s="82" vm="826">
        <f ca="1"/>
        <v>44235</v>
      </c>
      <c r="B581" s="17" vm="2131">
        <f ca="1"/>
        <v>163.88550000000001</v>
      </c>
      <c r="D581" s="9" vm="388">
        <f ca="1"/>
        <v>31458.3986</v>
      </c>
      <c r="E581" s="11">
        <f t="shared" ca="1" si="9"/>
        <v>-2.2206643497456713E-2</v>
      </c>
    </row>
    <row r="582" spans="1:5" x14ac:dyDescent="0.3">
      <c r="A582" s="82" vm="827">
        <f ca="1"/>
        <v>44243</v>
      </c>
      <c r="B582" s="17" vm="2132">
        <f ca="1"/>
        <v>162.495</v>
      </c>
      <c r="D582" s="9" vm="386">
        <f ca="1"/>
        <v>31494.322700000001</v>
      </c>
      <c r="E582" s="11">
        <f t="shared" ca="1" si="9"/>
        <v>-8.4845822235646295E-3</v>
      </c>
    </row>
    <row r="583" spans="1:5" x14ac:dyDescent="0.3">
      <c r="A583" s="82" vm="828">
        <f ca="1"/>
        <v>44249</v>
      </c>
      <c r="B583" s="17" vm="2133">
        <f ca="1"/>
        <v>154.6465</v>
      </c>
      <c r="D583" s="9" vm="410">
        <f ca="1"/>
        <v>30932.366999999998</v>
      </c>
      <c r="E583" s="11">
        <f t="shared" ca="1" si="9"/>
        <v>-4.8299947690698231E-2</v>
      </c>
    </row>
    <row r="584" spans="1:5" x14ac:dyDescent="0.3">
      <c r="A584" s="82" vm="829">
        <f ca="1"/>
        <v>44256</v>
      </c>
      <c r="B584" s="17" vm="2134">
        <f ca="1"/>
        <v>150.023</v>
      </c>
      <c r="D584" s="9" vm="384">
        <f ca="1"/>
        <v>31496.2965</v>
      </c>
      <c r="E584" s="11">
        <f t="shared" ca="1" si="9"/>
        <v>-2.9897217201811932E-2</v>
      </c>
    </row>
    <row r="585" spans="1:5" x14ac:dyDescent="0.3">
      <c r="A585" s="82" vm="830">
        <f ca="1"/>
        <v>44263</v>
      </c>
      <c r="B585" s="17" vm="2135">
        <f ca="1"/>
        <v>154.47450000000001</v>
      </c>
      <c r="D585" s="9" vm="360">
        <f ca="1"/>
        <v>32778.642399999997</v>
      </c>
      <c r="E585" s="11">
        <f t="shared" ca="1" si="9"/>
        <v>2.967211694206906E-2</v>
      </c>
    </row>
    <row r="586" spans="1:5" x14ac:dyDescent="0.3">
      <c r="A586" s="82" vm="831">
        <f ca="1"/>
        <v>44270</v>
      </c>
      <c r="B586" s="17" vm="2136">
        <f ca="1"/>
        <v>153.74799999999999</v>
      </c>
      <c r="D586" s="9" vm="362">
        <f ca="1"/>
        <v>32627.971699999998</v>
      </c>
      <c r="E586" s="11">
        <f t="shared" ca="1" si="9"/>
        <v>-4.7030416023358113E-3</v>
      </c>
    </row>
    <row r="587" spans="1:5" x14ac:dyDescent="0.3">
      <c r="A587" s="82" vm="832">
        <f ca="1"/>
        <v>44277</v>
      </c>
      <c r="B587" s="17" vm="2137">
        <f ca="1"/>
        <v>152.60149999999999</v>
      </c>
      <c r="D587" s="9" vm="340">
        <f ca="1"/>
        <v>33072.877899999999</v>
      </c>
      <c r="E587" s="11">
        <f t="shared" ref="E587:E650" ca="1" si="10">IF(B587&gt;0,B587/B586-1,"")</f>
        <v>-7.4570075708302319E-3</v>
      </c>
    </row>
    <row r="588" spans="1:5" x14ac:dyDescent="0.3">
      <c r="A588" s="82" vm="833">
        <f ca="1"/>
        <v>44284</v>
      </c>
      <c r="B588" s="17" vm="2138">
        <f ca="1"/>
        <v>158.05000000000001</v>
      </c>
      <c r="D588" s="9" vm="332">
        <f ca="1"/>
        <v>33153.2137</v>
      </c>
      <c r="E588" s="11">
        <f t="shared" ca="1" si="10"/>
        <v>3.5704105136581399E-2</v>
      </c>
    </row>
    <row r="589" spans="1:5" x14ac:dyDescent="0.3">
      <c r="A589" s="82" vm="834">
        <f ca="1"/>
        <v>44291</v>
      </c>
      <c r="B589" s="17" vm="2139">
        <f ca="1"/>
        <v>168.61</v>
      </c>
      <c r="D589" s="9" vm="284">
        <f ca="1"/>
        <v>33800.604299999999</v>
      </c>
      <c r="E589" s="11">
        <f t="shared" ca="1" si="10"/>
        <v>6.6814299272382138E-2</v>
      </c>
    </row>
    <row r="590" spans="1:5" x14ac:dyDescent="0.3">
      <c r="A590" s="82" vm="835">
        <f ca="1"/>
        <v>44298</v>
      </c>
      <c r="B590" s="17" vm="2140">
        <f ca="1"/>
        <v>169.97200000000001</v>
      </c>
      <c r="D590" s="9" vm="252">
        <f ca="1"/>
        <v>34200.671199999997</v>
      </c>
      <c r="E590" s="11">
        <f t="shared" ca="1" si="10"/>
        <v>8.0778127038727554E-3</v>
      </c>
    </row>
    <row r="591" spans="1:5" x14ac:dyDescent="0.3">
      <c r="A591" s="82" vm="836">
        <f ca="1"/>
        <v>44305</v>
      </c>
      <c r="B591" s="17" vm="2141">
        <f ca="1"/>
        <v>167.04400000000001</v>
      </c>
      <c r="D591" s="9" vm="262">
        <f ca="1"/>
        <v>34043.486799999999</v>
      </c>
      <c r="E591" s="11">
        <f t="shared" ca="1" si="10"/>
        <v>-1.7226366695690998E-2</v>
      </c>
    </row>
    <row r="592" spans="1:5" x14ac:dyDescent="0.3">
      <c r="A592" s="82" vm="837">
        <f ca="1"/>
        <v>44312</v>
      </c>
      <c r="B592" s="17" vm="2142">
        <f ca="1"/>
        <v>173.37100000000001</v>
      </c>
      <c r="D592" s="9" vm="274">
        <f ca="1"/>
        <v>33874.853999999999</v>
      </c>
      <c r="E592" s="11">
        <f t="shared" ca="1" si="10"/>
        <v>3.7876248174133709E-2</v>
      </c>
    </row>
    <row r="593" spans="1:5" x14ac:dyDescent="0.3">
      <c r="A593" s="82" vm="838">
        <f ca="1"/>
        <v>44319</v>
      </c>
      <c r="B593" s="17" vm="2143">
        <f ca="1"/>
        <v>164.5805</v>
      </c>
      <c r="D593" s="9" vm="192">
        <f ca="1"/>
        <v>34777.759700000002</v>
      </c>
      <c r="E593" s="11">
        <f t="shared" ca="1" si="10"/>
        <v>-5.0703404837025845E-2</v>
      </c>
    </row>
    <row r="594" spans="1:5" x14ac:dyDescent="0.3">
      <c r="A594" s="82" vm="839">
        <f ca="1"/>
        <v>44326</v>
      </c>
      <c r="B594" s="17" vm="2144">
        <f ca="1"/>
        <v>161.14500000000001</v>
      </c>
      <c r="D594" s="9" vm="234">
        <f ca="1"/>
        <v>34382.133999999998</v>
      </c>
      <c r="E594" s="11">
        <f t="shared" ca="1" si="10"/>
        <v>-2.0874283405385108E-2</v>
      </c>
    </row>
    <row r="595" spans="1:5" x14ac:dyDescent="0.3">
      <c r="A595" s="82" vm="840">
        <f ca="1"/>
        <v>44333</v>
      </c>
      <c r="B595" s="17" vm="2145">
        <f ca="1"/>
        <v>160.154</v>
      </c>
      <c r="D595" s="9" vm="250">
        <f ca="1"/>
        <v>34207.842900000003</v>
      </c>
      <c r="E595" s="11">
        <f t="shared" ca="1" si="10"/>
        <v>-6.1497409165659489E-3</v>
      </c>
    </row>
    <row r="596" spans="1:5" x14ac:dyDescent="0.3">
      <c r="A596" s="82" vm="841">
        <f ca="1"/>
        <v>44340</v>
      </c>
      <c r="B596" s="17" vm="2146">
        <f ca="1"/>
        <v>161.15350000000001</v>
      </c>
      <c r="D596" s="9" vm="218">
        <f ca="1"/>
        <v>34529.449200000003</v>
      </c>
      <c r="E596" s="11">
        <f t="shared" ca="1" si="10"/>
        <v>6.240868164391955E-3</v>
      </c>
    </row>
    <row r="597" spans="1:5" x14ac:dyDescent="0.3">
      <c r="A597" s="82" vm="842">
        <f ca="1"/>
        <v>44348</v>
      </c>
      <c r="B597" s="17" vm="2147">
        <f ca="1"/>
        <v>160.31100000000001</v>
      </c>
      <c r="D597" s="9" vm="194">
        <f ca="1"/>
        <v>34756.388800000001</v>
      </c>
      <c r="E597" s="11">
        <f t="shared" ca="1" si="10"/>
        <v>-5.2279348571393491E-3</v>
      </c>
    </row>
    <row r="598" spans="1:5" x14ac:dyDescent="0.3">
      <c r="A598" s="82" vm="843">
        <f ca="1"/>
        <v>44354</v>
      </c>
      <c r="B598" s="17" vm="2148">
        <f ca="1"/>
        <v>167.3415</v>
      </c>
      <c r="D598" s="9" vm="224">
        <f ca="1"/>
        <v>34479.6008</v>
      </c>
      <c r="E598" s="11">
        <f t="shared" ca="1" si="10"/>
        <v>4.3855381102980928E-2</v>
      </c>
    </row>
    <row r="599" spans="1:5" x14ac:dyDescent="0.3">
      <c r="A599" s="82" vm="844">
        <f ca="1"/>
        <v>44361</v>
      </c>
      <c r="B599" s="17" vm="2149">
        <f ca="1"/>
        <v>174.345</v>
      </c>
      <c r="D599" s="9" vm="324">
        <f ca="1"/>
        <v>33290.083700000003</v>
      </c>
      <c r="E599" s="11">
        <f t="shared" ca="1" si="10"/>
        <v>4.1851543101980138E-2</v>
      </c>
    </row>
    <row r="600" spans="1:5" x14ac:dyDescent="0.3">
      <c r="A600" s="82" vm="845">
        <f ca="1"/>
        <v>44368</v>
      </c>
      <c r="B600" s="17" vm="2150">
        <f ca="1"/>
        <v>170.07300000000001</v>
      </c>
      <c r="D600" s="9" vm="228">
        <f ca="1"/>
        <v>34433.842499999999</v>
      </c>
      <c r="E600" s="11">
        <f t="shared" ca="1" si="10"/>
        <v>-2.4503140325217165E-2</v>
      </c>
    </row>
    <row r="601" spans="1:5" x14ac:dyDescent="0.3">
      <c r="A601" s="82" vm="846">
        <f ca="1"/>
        <v>44375</v>
      </c>
      <c r="B601" s="17" vm="2151">
        <f ca="1"/>
        <v>175.54900000000001</v>
      </c>
      <c r="D601" s="9" vm="190">
        <f ca="1"/>
        <v>34786.345699999998</v>
      </c>
      <c r="E601" s="11">
        <f t="shared" ca="1" si="10"/>
        <v>3.2197938532277259E-2</v>
      </c>
    </row>
    <row r="602" spans="1:5" x14ac:dyDescent="0.3">
      <c r="A602" s="82" vm="847">
        <f ca="1"/>
        <v>44383</v>
      </c>
      <c r="B602" s="17" vm="2152">
        <f ca="1"/>
        <v>185.96700000000001</v>
      </c>
      <c r="D602" s="9" vm="180">
        <f ca="1"/>
        <v>34870.159</v>
      </c>
      <c r="E602" s="11">
        <f t="shared" ca="1" si="10"/>
        <v>5.9345254031637928E-2</v>
      </c>
    </row>
    <row r="603" spans="1:5" x14ac:dyDescent="0.3">
      <c r="A603" s="82" vm="848">
        <f ca="1"/>
        <v>44389</v>
      </c>
      <c r="B603" s="17" vm="2153">
        <f ca="1"/>
        <v>178.6815</v>
      </c>
      <c r="D603" s="9" vm="206">
        <f ca="1"/>
        <v>34687.850200000001</v>
      </c>
      <c r="E603" s="11">
        <f t="shared" ca="1" si="10"/>
        <v>-3.9176305473551776E-2</v>
      </c>
    </row>
    <row r="604" spans="1:5" x14ac:dyDescent="0.3">
      <c r="A604" s="82" vm="849">
        <f ca="1"/>
        <v>44396</v>
      </c>
      <c r="B604" s="17" vm="2154">
        <f ca="1"/>
        <v>182.83199999999999</v>
      </c>
      <c r="D604" s="9" vm="172">
        <f ca="1"/>
        <v>35061.553599999999</v>
      </c>
      <c r="E604" s="11">
        <f t="shared" ca="1" si="10"/>
        <v>2.3228481963717629E-2</v>
      </c>
    </row>
    <row r="605" spans="1:5" x14ac:dyDescent="0.3">
      <c r="A605" s="82" vm="850">
        <f ca="1"/>
        <v>44403</v>
      </c>
      <c r="B605" s="17" vm="2155">
        <f ca="1"/>
        <v>166.37950000000001</v>
      </c>
      <c r="D605" s="9" vm="176">
        <f ca="1"/>
        <v>34935.4715</v>
      </c>
      <c r="E605" s="11">
        <f t="shared" ca="1" si="10"/>
        <v>-8.9986982585105402E-2</v>
      </c>
    </row>
    <row r="606" spans="1:5" x14ac:dyDescent="0.3">
      <c r="A606" s="82" vm="851">
        <f ca="1"/>
        <v>44410</v>
      </c>
      <c r="B606" s="17" vm="2156">
        <f ca="1"/>
        <v>167.24700000000001</v>
      </c>
      <c r="D606" s="9" vm="164">
        <f ca="1"/>
        <v>35208.506699999998</v>
      </c>
      <c r="E606" s="11">
        <f t="shared" ca="1" si="10"/>
        <v>5.2139836939046891E-3</v>
      </c>
    </row>
    <row r="607" spans="1:5" x14ac:dyDescent="0.3">
      <c r="A607" s="82" vm="852">
        <f ca="1"/>
        <v>44417</v>
      </c>
      <c r="B607" s="17" vm="2157">
        <f ca="1"/>
        <v>164.6985</v>
      </c>
      <c r="D607" s="9" vm="146">
        <f ca="1"/>
        <v>35515.383300000001</v>
      </c>
      <c r="E607" s="11">
        <f t="shared" ca="1" si="10"/>
        <v>-1.5237941487739826E-2</v>
      </c>
    </row>
    <row r="608" spans="1:5" x14ac:dyDescent="0.3">
      <c r="A608" s="82" vm="853">
        <f ca="1"/>
        <v>44424</v>
      </c>
      <c r="B608" s="17" vm="2158">
        <f ca="1"/>
        <v>159.9975</v>
      </c>
      <c r="D608" s="9" vm="166">
        <f ca="1"/>
        <v>35120.084600000002</v>
      </c>
      <c r="E608" s="11">
        <f t="shared" ca="1" si="10"/>
        <v>-2.8543065055237293E-2</v>
      </c>
    </row>
    <row r="609" spans="1:5" x14ac:dyDescent="0.3">
      <c r="A609" s="82" vm="854">
        <f ca="1"/>
        <v>44431</v>
      </c>
      <c r="B609" s="17" vm="2159">
        <f ca="1"/>
        <v>167.48150000000001</v>
      </c>
      <c r="D609" s="9" vm="150">
        <f ca="1"/>
        <v>35455.798799999997</v>
      </c>
      <c r="E609" s="11">
        <f t="shared" ca="1" si="10"/>
        <v>4.6775730870795007E-2</v>
      </c>
    </row>
    <row r="610" spans="1:5" x14ac:dyDescent="0.3">
      <c r="A610" s="82" vm="855">
        <f ca="1"/>
        <v>44438</v>
      </c>
      <c r="B610" s="17" vm="2160">
        <f ca="1"/>
        <v>173.9025</v>
      </c>
      <c r="D610" s="9" vm="154">
        <f ca="1"/>
        <v>35369.088600000003</v>
      </c>
      <c r="E610" s="11">
        <f t="shared" ca="1" si="10"/>
        <v>3.8338562766633943E-2</v>
      </c>
    </row>
    <row r="611" spans="1:5" x14ac:dyDescent="0.3">
      <c r="A611" s="82" vm="856">
        <f ca="1"/>
        <v>44446</v>
      </c>
      <c r="B611" s="17" vm="2161">
        <f ca="1"/>
        <v>173.45750000000001</v>
      </c>
      <c r="D611" s="9" vm="210">
        <f ca="1"/>
        <v>34607.723899999997</v>
      </c>
      <c r="E611" s="11">
        <f t="shared" ca="1" si="10"/>
        <v>-2.5589051336236679E-3</v>
      </c>
    </row>
    <row r="612" spans="1:5" x14ac:dyDescent="0.3">
      <c r="A612" s="82" vm="857">
        <f ca="1"/>
        <v>44452</v>
      </c>
      <c r="B612" s="17" vm="2162">
        <f ca="1"/>
        <v>173.126</v>
      </c>
      <c r="D612" s="9" vm="212">
        <f ca="1"/>
        <v>34584.877699999997</v>
      </c>
      <c r="E612" s="11">
        <f t="shared" ca="1" si="10"/>
        <v>-1.9111309686811184E-3</v>
      </c>
    </row>
    <row r="613" spans="1:5" x14ac:dyDescent="0.3">
      <c r="A613" s="82" vm="858">
        <f ca="1"/>
        <v>44459</v>
      </c>
      <c r="B613" s="17" vm="2163">
        <f ca="1"/>
        <v>171.27600000000001</v>
      </c>
      <c r="D613" s="9" vm="188">
        <f ca="1"/>
        <v>34797.999199999998</v>
      </c>
      <c r="E613" s="11">
        <f t="shared" ca="1" si="10"/>
        <v>-1.068585885424489E-2</v>
      </c>
    </row>
    <row r="614" spans="1:5" x14ac:dyDescent="0.3">
      <c r="A614" s="82" vm="859">
        <f ca="1"/>
        <v>44466</v>
      </c>
      <c r="B614" s="17" vm="2164">
        <f ca="1"/>
        <v>164.16300000000001</v>
      </c>
      <c r="D614" s="9" vm="240">
        <f ca="1"/>
        <v>34326.4588</v>
      </c>
      <c r="E614" s="11">
        <f t="shared" ca="1" si="10"/>
        <v>-4.1529461220486175E-2</v>
      </c>
    </row>
    <row r="615" spans="1:5" x14ac:dyDescent="0.3">
      <c r="A615" s="82" vm="860">
        <f ca="1"/>
        <v>44473</v>
      </c>
      <c r="B615" s="17" vm="2165">
        <f ca="1"/>
        <v>164.43100000000001</v>
      </c>
      <c r="D615" s="9" vm="198">
        <f ca="1"/>
        <v>34746.249600000003</v>
      </c>
      <c r="E615" s="11">
        <f t="shared" ca="1" si="10"/>
        <v>1.6325237721046548E-3</v>
      </c>
    </row>
    <row r="616" spans="1:5" x14ac:dyDescent="0.3">
      <c r="A616" s="82" vm="861">
        <f ca="1"/>
        <v>44480</v>
      </c>
      <c r="B616" s="17" vm="2166">
        <f ca="1"/>
        <v>170.45099999999999</v>
      </c>
      <c r="D616" s="9" vm="158">
        <f ca="1"/>
        <v>35294.756099999999</v>
      </c>
      <c r="E616" s="11">
        <f t="shared" ca="1" si="10"/>
        <v>3.6611101313012595E-2</v>
      </c>
    </row>
    <row r="617" spans="1:5" x14ac:dyDescent="0.3">
      <c r="A617" s="82" vm="862">
        <f ca="1"/>
        <v>44487</v>
      </c>
      <c r="B617" s="17" vm="2167">
        <f ca="1"/>
        <v>166.7775</v>
      </c>
      <c r="D617" s="9" vm="142">
        <f ca="1"/>
        <v>35677.018499999998</v>
      </c>
      <c r="E617" s="11">
        <f t="shared" ca="1" si="10"/>
        <v>-2.1551648274284019E-2</v>
      </c>
    </row>
    <row r="618" spans="1:5" x14ac:dyDescent="0.3">
      <c r="A618" s="82" vm="863">
        <f ca="1"/>
        <v>44494</v>
      </c>
      <c r="B618" s="17" vm="2168">
        <f ca="1"/>
        <v>168.6215</v>
      </c>
      <c r="D618" s="9" vm="140">
        <f ca="1"/>
        <v>35819.560400000002</v>
      </c>
      <c r="E618" s="11">
        <f t="shared" ca="1" si="10"/>
        <v>1.1056647329525937E-2</v>
      </c>
    </row>
    <row r="619" spans="1:5" x14ac:dyDescent="0.3">
      <c r="A619" s="82" vm="864">
        <f ca="1"/>
        <v>44501</v>
      </c>
      <c r="B619" s="17" vm="2169">
        <f ca="1"/>
        <v>175.9495</v>
      </c>
      <c r="D619" s="9" vm="124">
        <f ca="1"/>
        <v>36327.950199999999</v>
      </c>
      <c r="E619" s="11">
        <f t="shared" ca="1" si="10"/>
        <v>4.3458277858991812E-2</v>
      </c>
    </row>
    <row r="620" spans="1:5" x14ac:dyDescent="0.3">
      <c r="A620" s="82" vm="865">
        <f ca="1"/>
        <v>44508</v>
      </c>
      <c r="B620" s="17" vm="2170">
        <f ca="1"/>
        <v>176.25749999999999</v>
      </c>
      <c r="D620" s="9" vm="132">
        <f ca="1"/>
        <v>36100.305200000003</v>
      </c>
      <c r="E620" s="11">
        <f t="shared" ca="1" si="10"/>
        <v>1.7505022748003363E-3</v>
      </c>
    </row>
    <row r="621" spans="1:5" x14ac:dyDescent="0.3">
      <c r="A621" s="82" vm="866">
        <f ca="1"/>
        <v>44515</v>
      </c>
      <c r="B621" s="17" vm="2171">
        <f ca="1"/>
        <v>183.82849999999999</v>
      </c>
      <c r="D621" s="9" vm="144">
        <f ca="1"/>
        <v>35601.977700000003</v>
      </c>
      <c r="E621" s="11">
        <f t="shared" ca="1" si="10"/>
        <v>4.295420053047394E-2</v>
      </c>
    </row>
    <row r="622" spans="1:5" x14ac:dyDescent="0.3">
      <c r="A622" s="82" vm="867">
        <f ca="1"/>
        <v>44522</v>
      </c>
      <c r="B622" s="17" vm="2172">
        <f ca="1"/>
        <v>175.22800000000001</v>
      </c>
      <c r="D622" s="9" vm="178">
        <f ca="1"/>
        <v>34899.336600000002</v>
      </c>
      <c r="E622" s="11">
        <f t="shared" ca="1" si="10"/>
        <v>-4.6785454921298819E-2</v>
      </c>
    </row>
    <row r="623" spans="1:5" x14ac:dyDescent="0.3">
      <c r="A623" s="82" vm="868">
        <f ca="1"/>
        <v>44529</v>
      </c>
      <c r="B623" s="17" vm="2173">
        <f ca="1"/>
        <v>169.48949999999999</v>
      </c>
      <c r="D623" s="9" vm="214">
        <f ca="1"/>
        <v>34580.080099999999</v>
      </c>
      <c r="E623" s="11">
        <f t="shared" ca="1" si="10"/>
        <v>-3.2748761613440869E-2</v>
      </c>
    </row>
    <row r="624" spans="1:5" x14ac:dyDescent="0.3">
      <c r="A624" s="82" vm="869">
        <f ca="1"/>
        <v>44536</v>
      </c>
      <c r="B624" s="17" vm="2174">
        <f ca="1"/>
        <v>172.21199999999999</v>
      </c>
      <c r="D624" s="9" vm="134">
        <f ca="1"/>
        <v>35970.994500000001</v>
      </c>
      <c r="E624" s="11">
        <f t="shared" ca="1" si="10"/>
        <v>1.6062941952156295E-2</v>
      </c>
    </row>
    <row r="625" spans="1:5" x14ac:dyDescent="0.3">
      <c r="A625" s="82" vm="870">
        <f ca="1"/>
        <v>44543</v>
      </c>
      <c r="B625" s="17" vm="2175">
        <f ca="1"/>
        <v>170.01750000000001</v>
      </c>
      <c r="D625" s="9" vm="156">
        <f ca="1"/>
        <v>35365.435299999997</v>
      </c>
      <c r="E625" s="11">
        <f t="shared" ca="1" si="10"/>
        <v>-1.2743014424081767E-2</v>
      </c>
    </row>
    <row r="626" spans="1:5" x14ac:dyDescent="0.3">
      <c r="A626" s="82" vm="871">
        <f ca="1"/>
        <v>44550</v>
      </c>
      <c r="B626" s="17" vm="2176">
        <f ca="1"/>
        <v>171.0685</v>
      </c>
      <c r="D626" s="9" vm="136">
        <f ca="1"/>
        <v>35950.563099999999</v>
      </c>
      <c r="E626" s="11">
        <f t="shared" ca="1" si="10"/>
        <v>6.181716587998265E-3</v>
      </c>
    </row>
    <row r="627" spans="1:5" x14ac:dyDescent="0.3">
      <c r="A627" s="82" vm="872">
        <f ca="1"/>
        <v>44557</v>
      </c>
      <c r="B627" s="17" vm="2177">
        <f ca="1"/>
        <v>166.71700000000001</v>
      </c>
      <c r="D627" s="9" vm="122">
        <f ca="1"/>
        <v>36338.297700000003</v>
      </c>
      <c r="E627" s="11">
        <f t="shared" ca="1" si="10"/>
        <v>-2.5437178674039829E-2</v>
      </c>
    </row>
    <row r="628" spans="1:5" x14ac:dyDescent="0.3">
      <c r="A628" s="82" vm="873">
        <f ca="1"/>
        <v>44564</v>
      </c>
      <c r="B628" s="17" vm="2178">
        <f ca="1"/>
        <v>162.554</v>
      </c>
      <c r="D628" s="9" vm="130">
        <f ca="1"/>
        <v>36231.659099999997</v>
      </c>
      <c r="E628" s="11">
        <f t="shared" ca="1" si="10"/>
        <v>-2.4970458921405814E-2</v>
      </c>
    </row>
    <row r="629" spans="1:5" x14ac:dyDescent="0.3">
      <c r="A629" s="82" vm="874">
        <f ca="1"/>
        <v>44571</v>
      </c>
      <c r="B629" s="17" vm="2179">
        <f ca="1"/>
        <v>162.13800000000001</v>
      </c>
      <c r="D629" s="9" vm="138">
        <f ca="1"/>
        <v>35911.809500000003</v>
      </c>
      <c r="E629" s="11">
        <f t="shared" ca="1" si="10"/>
        <v>-2.5591495749104354E-3</v>
      </c>
    </row>
    <row r="630" spans="1:5" x14ac:dyDescent="0.3">
      <c r="A630" s="82" vm="875">
        <f ca="1"/>
        <v>44579</v>
      </c>
      <c r="B630" s="17" vm="2180">
        <f ca="1"/>
        <v>142.643</v>
      </c>
      <c r="D630" s="9" vm="248">
        <f ca="1"/>
        <v>34265.371200000001</v>
      </c>
      <c r="E630" s="11">
        <f t="shared" ca="1" si="10"/>
        <v>-0.12023708199188343</v>
      </c>
    </row>
    <row r="631" spans="1:5" x14ac:dyDescent="0.3">
      <c r="A631" s="82" vm="876">
        <f ca="1"/>
        <v>44585</v>
      </c>
      <c r="B631" s="17" vm="2181">
        <f ca="1"/>
        <v>143.97800000000001</v>
      </c>
      <c r="D631" s="9" vm="202">
        <f ca="1"/>
        <v>34725.472300000001</v>
      </c>
      <c r="E631" s="11">
        <f t="shared" ca="1" si="10"/>
        <v>9.3590291847480689E-3</v>
      </c>
    </row>
    <row r="632" spans="1:5" x14ac:dyDescent="0.3">
      <c r="A632" s="82" vm="877">
        <f ca="1"/>
        <v>44592</v>
      </c>
      <c r="B632" s="17" vm="2182">
        <f ca="1"/>
        <v>157.6395</v>
      </c>
      <c r="D632" s="9" vm="168">
        <f ca="1"/>
        <v>35089.743699999999</v>
      </c>
      <c r="E632" s="11">
        <f t="shared" ca="1" si="10"/>
        <v>9.4886024253705292E-2</v>
      </c>
    </row>
    <row r="633" spans="1:5" x14ac:dyDescent="0.3">
      <c r="A633" s="82" vm="878">
        <f ca="1"/>
        <v>44599</v>
      </c>
      <c r="B633" s="17" vm="2183">
        <f ca="1"/>
        <v>153.29349999999999</v>
      </c>
      <c r="D633" s="9" vm="200">
        <f ca="1"/>
        <v>34738.060700000002</v>
      </c>
      <c r="E633" s="11">
        <f t="shared" ca="1" si="10"/>
        <v>-2.7569232330729276E-2</v>
      </c>
    </row>
    <row r="634" spans="1:5" x14ac:dyDescent="0.3">
      <c r="A634" s="82" vm="879">
        <f ca="1"/>
        <v>44606</v>
      </c>
      <c r="B634" s="17" vm="2137">
        <f ca="1"/>
        <v>152.60149999999999</v>
      </c>
      <c r="D634" s="9" vm="256">
        <f ca="1"/>
        <v>34079.182200000003</v>
      </c>
      <c r="E634" s="11">
        <f t="shared" ca="1" si="10"/>
        <v>-4.5142161931197577E-3</v>
      </c>
    </row>
    <row r="635" spans="1:5" x14ac:dyDescent="0.3">
      <c r="A635" s="82" vm="880">
        <f ca="1"/>
        <v>44614</v>
      </c>
      <c r="B635" s="17" vm="2184">
        <f ca="1"/>
        <v>153.7885</v>
      </c>
      <c r="D635" s="9" vm="260">
        <f ca="1"/>
        <v>34058.750800000002</v>
      </c>
      <c r="E635" s="11">
        <f t="shared" ca="1" si="10"/>
        <v>7.7784294387670538E-3</v>
      </c>
    </row>
    <row r="636" spans="1:5" x14ac:dyDescent="0.3">
      <c r="A636" s="82" vm="881">
        <f ca="1"/>
        <v>44620</v>
      </c>
      <c r="B636" s="17" vm="2185">
        <f ca="1"/>
        <v>145.64099999999999</v>
      </c>
      <c r="D636" s="9" vm="306">
        <f ca="1"/>
        <v>33614.797100000003</v>
      </c>
      <c r="E636" s="11">
        <f t="shared" ca="1" si="10"/>
        <v>-5.2978603731748564E-2</v>
      </c>
    </row>
    <row r="637" spans="1:5" x14ac:dyDescent="0.3">
      <c r="A637" s="82" vm="882">
        <f ca="1"/>
        <v>44627</v>
      </c>
      <c r="B637" s="17" vm="2186">
        <f ca="1"/>
        <v>145.52449999999999</v>
      </c>
      <c r="D637" s="9" vm="344">
        <f ca="1"/>
        <v>32944.187100000003</v>
      </c>
      <c r="E637" s="11">
        <f t="shared" ca="1" si="10"/>
        <v>-7.9991211266061679E-4</v>
      </c>
    </row>
    <row r="638" spans="1:5" x14ac:dyDescent="0.3">
      <c r="A638" s="82" vm="883">
        <f ca="1"/>
        <v>44634</v>
      </c>
      <c r="B638" s="17" vm="2187">
        <f ca="1"/>
        <v>161.25049999999999</v>
      </c>
      <c r="D638" s="9" vm="196">
        <f ca="1"/>
        <v>34754.932999999997</v>
      </c>
      <c r="E638" s="11">
        <f t="shared" ca="1" si="10"/>
        <v>0.10806427783637806</v>
      </c>
    </row>
    <row r="639" spans="1:5" x14ac:dyDescent="0.3">
      <c r="A639" s="82" vm="884">
        <f ca="1"/>
        <v>44641</v>
      </c>
      <c r="B639" s="17" vm="2188">
        <f ca="1"/>
        <v>164.77350000000001</v>
      </c>
      <c r="D639" s="9" vm="182">
        <f ca="1"/>
        <v>34861.241999999998</v>
      </c>
      <c r="E639" s="11">
        <f t="shared" ca="1" si="10"/>
        <v>2.1847994269785342E-2</v>
      </c>
    </row>
    <row r="640" spans="1:5" x14ac:dyDescent="0.3">
      <c r="A640" s="82" vm="885">
        <f ca="1"/>
        <v>44648</v>
      </c>
      <c r="B640" s="17" vm="2189">
        <f ca="1"/>
        <v>163.56</v>
      </c>
      <c r="D640" s="9" vm="186">
        <f ca="1"/>
        <v>34818.270199999999</v>
      </c>
      <c r="E640" s="11">
        <f t="shared" ca="1" si="10"/>
        <v>-7.3646551174795238E-3</v>
      </c>
    </row>
    <row r="641" spans="1:5" x14ac:dyDescent="0.3">
      <c r="A641" s="82" vm="886">
        <f ca="1"/>
        <v>44655</v>
      </c>
      <c r="B641" s="17" vm="2190">
        <f ca="1"/>
        <v>154.4605</v>
      </c>
      <c r="D641" s="9" vm="204">
        <f ca="1"/>
        <v>34721.1224</v>
      </c>
      <c r="E641" s="11">
        <f t="shared" ca="1" si="10"/>
        <v>-5.563401809733437E-2</v>
      </c>
    </row>
    <row r="642" spans="1:5" x14ac:dyDescent="0.3">
      <c r="A642" s="82" vm="887">
        <f ca="1"/>
        <v>44662</v>
      </c>
      <c r="B642" s="17" vm="2191">
        <f ca="1"/>
        <v>151.70650000000001</v>
      </c>
      <c r="D642" s="9" vm="226">
        <f ca="1"/>
        <v>34451.2307</v>
      </c>
      <c r="E642" s="11">
        <f t="shared" ca="1" si="10"/>
        <v>-1.78298011465714E-2</v>
      </c>
    </row>
    <row r="643" spans="1:5" x14ac:dyDescent="0.3">
      <c r="A643" s="82" vm="888">
        <f ca="1"/>
        <v>44669</v>
      </c>
      <c r="B643" s="17" vm="2192">
        <f ca="1"/>
        <v>144.35</v>
      </c>
      <c r="D643" s="9" vm="280">
        <f ca="1"/>
        <v>33811.3995</v>
      </c>
      <c r="E643" s="11">
        <f t="shared" ca="1" si="10"/>
        <v>-4.8491659882734184E-2</v>
      </c>
    </row>
    <row r="644" spans="1:5" x14ac:dyDescent="0.3">
      <c r="A644" s="82" vm="889">
        <f ca="1"/>
        <v>44676</v>
      </c>
      <c r="B644" s="17" vm="2193">
        <f ca="1"/>
        <v>124.28149999999999</v>
      </c>
      <c r="D644" s="9" vm="342">
        <f ca="1"/>
        <v>32977.2068</v>
      </c>
      <c r="E644" s="11">
        <f t="shared" ca="1" si="10"/>
        <v>-0.13902667128507107</v>
      </c>
    </row>
    <row r="645" spans="1:5" x14ac:dyDescent="0.3">
      <c r="A645" s="82" vm="890">
        <f ca="1"/>
        <v>44683</v>
      </c>
      <c r="B645" s="17" vm="2194">
        <f ca="1"/>
        <v>114.77249999999999</v>
      </c>
      <c r="D645" s="9" vm="350">
        <f ca="1"/>
        <v>32899.369899999998</v>
      </c>
      <c r="E645" s="11">
        <f t="shared" ca="1" si="10"/>
        <v>-7.6511789767584104E-2</v>
      </c>
    </row>
    <row r="646" spans="1:5" x14ac:dyDescent="0.3">
      <c r="A646" s="82" vm="891">
        <f ca="1"/>
        <v>44690</v>
      </c>
      <c r="B646" s="17" vm="2195">
        <f ca="1"/>
        <v>113.05500000000001</v>
      </c>
      <c r="D646" s="9" vm="372">
        <f ca="1"/>
        <v>32196.662899999999</v>
      </c>
      <c r="E646" s="11">
        <f t="shared" ca="1" si="10"/>
        <v>-1.496438606809114E-2</v>
      </c>
    </row>
    <row r="647" spans="1:5" x14ac:dyDescent="0.3">
      <c r="A647" s="82" vm="892">
        <f ca="1"/>
        <v>44697</v>
      </c>
      <c r="B647" s="17" vm="2196">
        <f ca="1"/>
        <v>107.59099999999999</v>
      </c>
      <c r="D647" s="9" vm="398">
        <f ca="1"/>
        <v>31261.895100000002</v>
      </c>
      <c r="E647" s="11">
        <f t="shared" ca="1" si="10"/>
        <v>-4.8330458626332451E-2</v>
      </c>
    </row>
    <row r="648" spans="1:5" x14ac:dyDescent="0.3">
      <c r="A648" s="82" vm="893">
        <f ca="1"/>
        <v>44704</v>
      </c>
      <c r="B648" s="17" vm="2197">
        <f ca="1"/>
        <v>115.1465</v>
      </c>
      <c r="D648" s="9" vm="328">
        <f ca="1"/>
        <v>33212.958400000003</v>
      </c>
      <c r="E648" s="11">
        <f t="shared" ca="1" si="10"/>
        <v>7.0224275264659797E-2</v>
      </c>
    </row>
    <row r="649" spans="1:5" x14ac:dyDescent="0.3">
      <c r="A649" s="82" vm="894">
        <f ca="1"/>
        <v>44712</v>
      </c>
      <c r="B649" s="17" vm="2198">
        <f ca="1"/>
        <v>122.35</v>
      </c>
      <c r="D649" s="9" vm="348">
        <f ca="1"/>
        <v>32899.699399999998</v>
      </c>
      <c r="E649" s="11">
        <f t="shared" ca="1" si="10"/>
        <v>6.255943515434681E-2</v>
      </c>
    </row>
    <row r="650" spans="1:5" x14ac:dyDescent="0.3">
      <c r="A650" s="82" vm="895">
        <f ca="1"/>
        <v>44718</v>
      </c>
      <c r="B650" s="17" vm="2199">
        <f ca="1"/>
        <v>109.65</v>
      </c>
      <c r="D650" s="9" vm="390">
        <f ca="1"/>
        <v>31392.7876</v>
      </c>
      <c r="E650" s="11">
        <f t="shared" ca="1" si="10"/>
        <v>-0.10380057212913762</v>
      </c>
    </row>
    <row r="651" spans="1:5" x14ac:dyDescent="0.3">
      <c r="A651" s="82" vm="896">
        <f ca="1"/>
        <v>44725</v>
      </c>
      <c r="B651" s="17" vm="2200">
        <f ca="1"/>
        <v>106.22</v>
      </c>
      <c r="D651" s="9" vm="430">
        <f ca="1"/>
        <v>29888.775799999999</v>
      </c>
      <c r="E651" s="11">
        <f t="shared" ref="E651:E714" ca="1" si="11">IF(B651&gt;0,B651/B650-1,"")</f>
        <v>-3.1281349749202048E-2</v>
      </c>
    </row>
    <row r="652" spans="1:5" x14ac:dyDescent="0.3">
      <c r="A652" s="82" vm="897">
        <f ca="1"/>
        <v>44733</v>
      </c>
      <c r="B652" s="17" vm="2201">
        <f ca="1"/>
        <v>116.46</v>
      </c>
      <c r="D652" s="9" vm="382">
        <f ca="1"/>
        <v>31500.678400000001</v>
      </c>
      <c r="E652" s="11">
        <f t="shared" ca="1" si="11"/>
        <v>9.6403690453775059E-2</v>
      </c>
    </row>
    <row r="653" spans="1:5" x14ac:dyDescent="0.3">
      <c r="A653" s="82" vm="898">
        <f ca="1"/>
        <v>44739</v>
      </c>
      <c r="B653" s="17" vm="2202">
        <f ca="1"/>
        <v>109.56</v>
      </c>
      <c r="D653" s="9" vm="404">
        <f ca="1"/>
        <v>31097.257900000001</v>
      </c>
      <c r="E653" s="11">
        <f t="shared" ca="1" si="11"/>
        <v>-5.9247810407006662E-2</v>
      </c>
    </row>
    <row r="654" spans="1:5" x14ac:dyDescent="0.3">
      <c r="A654" s="82" vm="899">
        <f ca="1"/>
        <v>44747</v>
      </c>
      <c r="B654" s="17" vm="2203">
        <f ca="1"/>
        <v>115.54</v>
      </c>
      <c r="D654" s="9" vm="392">
        <f ca="1"/>
        <v>31338.1502</v>
      </c>
      <c r="E654" s="11">
        <f t="shared" ca="1" si="11"/>
        <v>5.4581964220518531E-2</v>
      </c>
    </row>
    <row r="655" spans="1:5" x14ac:dyDescent="0.3">
      <c r="A655" s="82" vm="900">
        <f ca="1"/>
        <v>44753</v>
      </c>
      <c r="B655" s="17" vm="2204">
        <f ca="1"/>
        <v>113.55</v>
      </c>
      <c r="D655" s="9" vm="396">
        <f ca="1"/>
        <v>31288.2582</v>
      </c>
      <c r="E655" s="11">
        <f t="shared" ca="1" si="11"/>
        <v>-1.7223472390514138E-2</v>
      </c>
    </row>
    <row r="656" spans="1:5" x14ac:dyDescent="0.3">
      <c r="A656" s="82" vm="901">
        <f ca="1"/>
        <v>44760</v>
      </c>
      <c r="B656" s="17" vm="2205">
        <f ca="1"/>
        <v>122.42</v>
      </c>
      <c r="D656" s="9" vm="378">
        <f ca="1"/>
        <v>31899.287700000001</v>
      </c>
      <c r="E656" s="11">
        <f t="shared" ca="1" si="11"/>
        <v>7.8115367679436387E-2</v>
      </c>
    </row>
    <row r="657" spans="1:5" x14ac:dyDescent="0.3">
      <c r="A657" s="82" vm="902">
        <f ca="1"/>
        <v>44767</v>
      </c>
      <c r="B657" s="17" vm="2206">
        <f ca="1"/>
        <v>134.94999999999999</v>
      </c>
      <c r="D657" s="9" vm="354">
        <f ca="1"/>
        <v>32845.127899999999</v>
      </c>
      <c r="E657" s="11">
        <f t="shared" ca="1" si="11"/>
        <v>0.10235255677176913</v>
      </c>
    </row>
    <row r="658" spans="1:5" x14ac:dyDescent="0.3">
      <c r="A658" s="82" vm="903">
        <f ca="1"/>
        <v>44774</v>
      </c>
      <c r="B658" s="17" vm="2207">
        <f ca="1"/>
        <v>140.80000000000001</v>
      </c>
      <c r="D658" s="9" vm="358">
        <f ca="1"/>
        <v>32803.474300000002</v>
      </c>
      <c r="E658" s="11">
        <f t="shared" ca="1" si="11"/>
        <v>4.3349388662467847E-2</v>
      </c>
    </row>
    <row r="659" spans="1:5" x14ac:dyDescent="0.3">
      <c r="A659" s="82" vm="904">
        <f ca="1"/>
        <v>44781</v>
      </c>
      <c r="B659" s="17" vm="2208">
        <f ca="1"/>
        <v>143.55000000000001</v>
      </c>
      <c r="D659" s="9" vm="288">
        <f ca="1"/>
        <v>33761.0461</v>
      </c>
      <c r="E659" s="11">
        <f t="shared" ca="1" si="11"/>
        <v>1.953125E-2</v>
      </c>
    </row>
    <row r="660" spans="1:5" x14ac:dyDescent="0.3">
      <c r="A660" s="82" vm="905">
        <f ca="1"/>
        <v>44788</v>
      </c>
      <c r="B660" s="17" vm="2209">
        <f ca="1"/>
        <v>138.22999999999999</v>
      </c>
      <c r="D660" s="9" vm="298">
        <f ca="1"/>
        <v>33706.7382</v>
      </c>
      <c r="E660" s="11">
        <f t="shared" ca="1" si="11"/>
        <v>-3.7060257749913061E-2</v>
      </c>
    </row>
    <row r="661" spans="1:5" x14ac:dyDescent="0.3">
      <c r="A661" s="82" vm="906">
        <f ca="1"/>
        <v>44795</v>
      </c>
      <c r="B661" s="17" vm="2210">
        <f ca="1"/>
        <v>130.75</v>
      </c>
      <c r="D661" s="9" vm="368">
        <f ca="1"/>
        <v>32283.397300000001</v>
      </c>
      <c r="E661" s="11">
        <f t="shared" ca="1" si="11"/>
        <v>-5.4112710699558586E-2</v>
      </c>
    </row>
    <row r="662" spans="1:5" x14ac:dyDescent="0.3">
      <c r="A662" s="82" vm="907">
        <f ca="1"/>
        <v>44802</v>
      </c>
      <c r="B662" s="17" vm="2211">
        <f ca="1"/>
        <v>127.51</v>
      </c>
      <c r="D662" s="9" vm="394">
        <f ca="1"/>
        <v>31318.443800000001</v>
      </c>
      <c r="E662" s="11">
        <f t="shared" ca="1" si="11"/>
        <v>-2.4780114722753321E-2</v>
      </c>
    </row>
    <row r="663" spans="1:5" x14ac:dyDescent="0.3">
      <c r="A663" s="82" vm="908">
        <f ca="1"/>
        <v>44810</v>
      </c>
      <c r="B663" s="17" vm="2212">
        <f ca="1"/>
        <v>133.27000000000001</v>
      </c>
      <c r="D663" s="9" vm="374">
        <f ca="1"/>
        <v>32151.713899999999</v>
      </c>
      <c r="E663" s="11">
        <f t="shared" ca="1" si="11"/>
        <v>4.5172927613520653E-2</v>
      </c>
    </row>
    <row r="664" spans="1:5" x14ac:dyDescent="0.3">
      <c r="A664" s="82" vm="909">
        <f ca="1"/>
        <v>44816</v>
      </c>
      <c r="B664" s="17" vm="2213">
        <f ca="1"/>
        <v>123.53</v>
      </c>
      <c r="D664" s="9" vm="412">
        <f ca="1"/>
        <v>30822.4231</v>
      </c>
      <c r="E664" s="11">
        <f t="shared" ca="1" si="11"/>
        <v>-7.3084715239738918E-2</v>
      </c>
    </row>
    <row r="665" spans="1:5" x14ac:dyDescent="0.3">
      <c r="A665" s="82" vm="910">
        <f ca="1"/>
        <v>44823</v>
      </c>
      <c r="B665" s="17" vm="2214">
        <f ca="1"/>
        <v>113.78</v>
      </c>
      <c r="D665" s="9" vm="434">
        <f ca="1"/>
        <v>29590.412</v>
      </c>
      <c r="E665" s="11">
        <f t="shared" ca="1" si="11"/>
        <v>-7.8928195580021066E-2</v>
      </c>
    </row>
    <row r="666" spans="1:5" x14ac:dyDescent="0.3">
      <c r="A666" s="82" vm="911">
        <f ca="1"/>
        <v>44830</v>
      </c>
      <c r="B666" s="17" vm="2215">
        <f ca="1"/>
        <v>113</v>
      </c>
      <c r="D666" s="9" vm="442">
        <f ca="1"/>
        <v>28725.506300000001</v>
      </c>
      <c r="E666" s="11">
        <f t="shared" ca="1" si="11"/>
        <v>-6.8553348567410577E-3</v>
      </c>
    </row>
    <row r="667" spans="1:5" x14ac:dyDescent="0.3">
      <c r="A667" s="82" vm="912">
        <f ca="1"/>
        <v>44837</v>
      </c>
      <c r="B667" s="17" vm="2216">
        <f ca="1"/>
        <v>114.56</v>
      </c>
      <c r="D667" s="9" vm="438">
        <f ca="1"/>
        <v>29296.7935</v>
      </c>
      <c r="E667" s="11">
        <f t="shared" ca="1" si="11"/>
        <v>1.3805309734513216E-2</v>
      </c>
    </row>
    <row r="668" spans="1:5" x14ac:dyDescent="0.3">
      <c r="A668" s="82" vm="913">
        <f ca="1"/>
        <v>44844</v>
      </c>
      <c r="B668" s="17" vm="2217">
        <f ca="1"/>
        <v>106.9</v>
      </c>
      <c r="D668" s="9" vm="432">
        <f ca="1"/>
        <v>29634.833699999999</v>
      </c>
      <c r="E668" s="11">
        <f t="shared" ca="1" si="11"/>
        <v>-6.6864525139664788E-2</v>
      </c>
    </row>
    <row r="669" spans="1:5" x14ac:dyDescent="0.3">
      <c r="A669" s="82" vm="914">
        <f ca="1"/>
        <v>44851</v>
      </c>
      <c r="B669" s="17" vm="2218">
        <f ca="1"/>
        <v>119.32</v>
      </c>
      <c r="D669" s="9" vm="406">
        <f ca="1"/>
        <v>31082.5605</v>
      </c>
      <c r="E669" s="11">
        <f t="shared" ca="1" si="11"/>
        <v>0.1161833489242281</v>
      </c>
    </row>
    <row r="670" spans="1:5" x14ac:dyDescent="0.3">
      <c r="A670" s="82" vm="915">
        <f ca="1"/>
        <v>44858</v>
      </c>
      <c r="B670" s="17" vm="2219">
        <f ca="1"/>
        <v>103.41</v>
      </c>
      <c r="D670" s="9" vm="352">
        <f ca="1"/>
        <v>32861.802600000003</v>
      </c>
      <c r="E670" s="11">
        <f t="shared" ca="1" si="11"/>
        <v>-0.13333892054978203</v>
      </c>
    </row>
    <row r="671" spans="1:5" x14ac:dyDescent="0.3">
      <c r="A671" s="82" vm="916">
        <f ca="1"/>
        <v>44865</v>
      </c>
      <c r="B671" s="17" vm="2220">
        <f ca="1"/>
        <v>90.98</v>
      </c>
      <c r="D671" s="9" vm="366">
        <f ca="1"/>
        <v>32403.2173</v>
      </c>
      <c r="E671" s="11">
        <f t="shared" ca="1" si="11"/>
        <v>-0.12020114108886948</v>
      </c>
    </row>
    <row r="672" spans="1:5" x14ac:dyDescent="0.3">
      <c r="A672" s="82" vm="917">
        <f ca="1"/>
        <v>44872</v>
      </c>
      <c r="B672" s="17" vm="2221">
        <f ca="1"/>
        <v>100.79</v>
      </c>
      <c r="D672" s="9" vm="290">
        <f ca="1"/>
        <v>33747.864600000001</v>
      </c>
      <c r="E672" s="11">
        <f t="shared" ca="1" si="11"/>
        <v>0.107825895801275</v>
      </c>
    </row>
    <row r="673" spans="1:5" x14ac:dyDescent="0.3">
      <c r="A673" s="82" vm="918">
        <f ca="1"/>
        <v>44879</v>
      </c>
      <c r="B673" s="17" vm="2222">
        <f ca="1"/>
        <v>94.14</v>
      </c>
      <c r="D673" s="9" vm="292">
        <f ca="1"/>
        <v>33745.689599999998</v>
      </c>
      <c r="E673" s="11">
        <f t="shared" ca="1" si="11"/>
        <v>-6.5978767734894417E-2</v>
      </c>
    </row>
    <row r="674" spans="1:5" x14ac:dyDescent="0.3">
      <c r="A674" s="82" vm="919">
        <f ca="1"/>
        <v>44886</v>
      </c>
      <c r="B674" s="17" vm="2223">
        <f ca="1"/>
        <v>93.41</v>
      </c>
      <c r="D674" s="9" vm="236">
        <f ca="1"/>
        <v>34347.0308</v>
      </c>
      <c r="E674" s="11">
        <f t="shared" ca="1" si="11"/>
        <v>-7.7544083280220999E-3</v>
      </c>
    </row>
    <row r="675" spans="1:5" x14ac:dyDescent="0.3">
      <c r="A675" s="82" vm="920">
        <f ca="1"/>
        <v>44893</v>
      </c>
      <c r="B675" s="17" vm="2224">
        <f ca="1"/>
        <v>94.13</v>
      </c>
      <c r="D675" s="9" vm="230">
        <f ca="1"/>
        <v>34429.876600000003</v>
      </c>
      <c r="E675" s="11">
        <f t="shared" ca="1" si="11"/>
        <v>7.7079541804945251E-3</v>
      </c>
    </row>
    <row r="676" spans="1:5" x14ac:dyDescent="0.3">
      <c r="A676" s="82" vm="921">
        <f ca="1"/>
        <v>44900</v>
      </c>
      <c r="B676" s="17" vm="2225">
        <f ca="1"/>
        <v>89.09</v>
      </c>
      <c r="D676" s="9" vm="312">
        <f ca="1"/>
        <v>33476.457000000002</v>
      </c>
      <c r="E676" s="11">
        <f t="shared" ca="1" si="11"/>
        <v>-5.3542972484861284E-2</v>
      </c>
    </row>
    <row r="677" spans="1:5" x14ac:dyDescent="0.3">
      <c r="A677" s="82" vm="922">
        <f ca="1"/>
        <v>44907</v>
      </c>
      <c r="B677" s="17" vm="2226">
        <f ca="1"/>
        <v>87.86</v>
      </c>
      <c r="D677" s="9" vm="346">
        <f ca="1"/>
        <v>32920.460299999999</v>
      </c>
      <c r="E677" s="11">
        <f t="shared" ca="1" si="11"/>
        <v>-1.3806263329217638E-2</v>
      </c>
    </row>
    <row r="678" spans="1:5" x14ac:dyDescent="0.3">
      <c r="A678" s="82" vm="923">
        <f ca="1"/>
        <v>44914</v>
      </c>
      <c r="B678" s="17" vm="2227">
        <f ca="1"/>
        <v>85.25</v>
      </c>
      <c r="D678" s="9" vm="330">
        <f ca="1"/>
        <v>33203.928999999996</v>
      </c>
      <c r="E678" s="11">
        <f t="shared" ca="1" si="11"/>
        <v>-2.9706351012975141E-2</v>
      </c>
    </row>
    <row r="679" spans="1:5" x14ac:dyDescent="0.3">
      <c r="A679" s="82" vm="924">
        <f ca="1"/>
        <v>44922</v>
      </c>
      <c r="B679" s="17" vm="2228">
        <f ca="1"/>
        <v>84</v>
      </c>
      <c r="D679" s="9" vm="334">
        <f ca="1"/>
        <v>33147.248500000002</v>
      </c>
      <c r="E679" s="11">
        <f t="shared" ca="1" si="11"/>
        <v>-1.4662756598240456E-2</v>
      </c>
    </row>
    <row r="680" spans="1:5" x14ac:dyDescent="0.3">
      <c r="A680" s="82" vm="925">
        <f ca="1"/>
        <v>44929</v>
      </c>
      <c r="B680" s="17" vm="2229">
        <f ca="1"/>
        <v>86.08</v>
      </c>
      <c r="D680" s="9" vm="304">
        <f ca="1"/>
        <v>33630.6149</v>
      </c>
      <c r="E680" s="11">
        <f t="shared" ca="1" si="11"/>
        <v>2.4761904761904763E-2</v>
      </c>
    </row>
    <row r="681" spans="1:5" x14ac:dyDescent="0.3">
      <c r="A681" s="82" vm="926">
        <f ca="1"/>
        <v>44935</v>
      </c>
      <c r="B681" s="17" vm="2230">
        <f ca="1"/>
        <v>98.12</v>
      </c>
      <c r="D681" s="9" vm="242">
        <f ca="1"/>
        <v>34302.608999999997</v>
      </c>
      <c r="E681" s="11">
        <f t="shared" ca="1" si="11"/>
        <v>0.13986988847583648</v>
      </c>
    </row>
    <row r="682" spans="1:5" x14ac:dyDescent="0.3">
      <c r="A682" s="82" vm="927">
        <f ca="1"/>
        <v>44943</v>
      </c>
      <c r="B682" s="17" vm="2231">
        <f ca="1"/>
        <v>97.25</v>
      </c>
      <c r="D682" s="9" vm="320">
        <f ca="1"/>
        <v>33375.486499999999</v>
      </c>
      <c r="E682" s="11">
        <f t="shared" ca="1" si="11"/>
        <v>-8.8666938442724108E-3</v>
      </c>
    </row>
    <row r="683" spans="1:5" x14ac:dyDescent="0.3">
      <c r="A683" s="82" vm="928">
        <f ca="1"/>
        <v>44949</v>
      </c>
      <c r="B683" s="17" vm="2232">
        <f ca="1"/>
        <v>102.24</v>
      </c>
      <c r="D683" s="9" vm="264">
        <f ca="1"/>
        <v>33978.079899999997</v>
      </c>
      <c r="E683" s="11">
        <f t="shared" ca="1" si="11"/>
        <v>5.1311053984575805E-2</v>
      </c>
    </row>
    <row r="684" spans="1:5" x14ac:dyDescent="0.3">
      <c r="A684" s="82" vm="929">
        <f ca="1"/>
        <v>44956</v>
      </c>
      <c r="B684" s="17" vm="2233">
        <f ca="1"/>
        <v>103.39</v>
      </c>
      <c r="D684" s="9" vm="268">
        <f ca="1"/>
        <v>33926.012900000002</v>
      </c>
      <c r="E684" s="11">
        <f t="shared" ca="1" si="11"/>
        <v>1.1248043818466336E-2</v>
      </c>
    </row>
    <row r="685" spans="1:5" x14ac:dyDescent="0.3">
      <c r="A685" s="82" vm="930">
        <f ca="1"/>
        <v>44963</v>
      </c>
      <c r="B685" s="17" vm="2234">
        <f ca="1"/>
        <v>97.61</v>
      </c>
      <c r="D685" s="9" vm="276">
        <f ca="1"/>
        <v>33869.2664</v>
      </c>
      <c r="E685" s="11">
        <f t="shared" ca="1" si="11"/>
        <v>-5.5904826385530515E-2</v>
      </c>
    </row>
    <row r="686" spans="1:5" x14ac:dyDescent="0.3">
      <c r="A686" s="82" vm="931">
        <f ca="1"/>
        <v>44970</v>
      </c>
      <c r="B686" s="17" vm="2235">
        <f ca="1"/>
        <v>97.2</v>
      </c>
      <c r="D686" s="9" vm="278">
        <f ca="1"/>
        <v>33826.6901</v>
      </c>
      <c r="E686" s="11">
        <f t="shared" ca="1" si="11"/>
        <v>-4.2003893043744966E-3</v>
      </c>
    </row>
    <row r="687" spans="1:5" x14ac:dyDescent="0.3">
      <c r="A687" s="82" vm="932">
        <f ca="1"/>
        <v>44978</v>
      </c>
      <c r="B687" s="17" vm="2236">
        <f ca="1"/>
        <v>93.5</v>
      </c>
      <c r="D687" s="9" vm="356">
        <f ca="1"/>
        <v>32816.919500000004</v>
      </c>
      <c r="E687" s="11">
        <f t="shared" ca="1" si="11"/>
        <v>-3.8065843621399198E-2</v>
      </c>
    </row>
    <row r="688" spans="1:5" x14ac:dyDescent="0.3">
      <c r="A688" s="82" vm="933">
        <f ca="1"/>
        <v>44984</v>
      </c>
      <c r="B688" s="17" vm="2237">
        <f ca="1"/>
        <v>94.9</v>
      </c>
      <c r="D688" s="9" vm="318">
        <f ca="1"/>
        <v>33390.974800000004</v>
      </c>
      <c r="E688" s="11">
        <f t="shared" ca="1" si="11"/>
        <v>1.497326203208571E-2</v>
      </c>
    </row>
    <row r="689" spans="1:5" x14ac:dyDescent="0.3">
      <c r="A689" s="82" vm="934">
        <f ca="1"/>
        <v>44991</v>
      </c>
      <c r="B689" s="17" vm="2238">
        <f ca="1"/>
        <v>90.73</v>
      </c>
      <c r="D689" s="9" vm="376">
        <f ca="1"/>
        <v>31909.635200000001</v>
      </c>
      <c r="E689" s="11">
        <f t="shared" ca="1" si="11"/>
        <v>-4.3940990516333045E-2</v>
      </c>
    </row>
    <row r="690" spans="1:5" x14ac:dyDescent="0.3">
      <c r="A690" s="82" vm="935">
        <f ca="1"/>
        <v>44998</v>
      </c>
      <c r="B690" s="17" vm="2239">
        <f ca="1"/>
        <v>98.95</v>
      </c>
      <c r="D690" s="9" vm="380">
        <f ca="1"/>
        <v>31861.984</v>
      </c>
      <c r="E690" s="11">
        <f t="shared" ca="1" si="11"/>
        <v>9.0598479003637156E-2</v>
      </c>
    </row>
    <row r="691" spans="1:5" x14ac:dyDescent="0.3">
      <c r="A691" s="82" vm="936">
        <f ca="1"/>
        <v>45005</v>
      </c>
      <c r="B691" s="17" vm="2240">
        <f ca="1"/>
        <v>98.13</v>
      </c>
      <c r="D691" s="9" vm="370">
        <f ca="1"/>
        <v>32237.525600000001</v>
      </c>
      <c r="E691" s="11">
        <f t="shared" ca="1" si="11"/>
        <v>-8.2870136432542374E-3</v>
      </c>
    </row>
    <row r="692" spans="1:5" x14ac:dyDescent="0.3">
      <c r="A692" s="82" vm="937">
        <f ca="1"/>
        <v>45012</v>
      </c>
      <c r="B692" s="17" vm="2241">
        <f ca="1"/>
        <v>103.29</v>
      </c>
      <c r="D692" s="9" vm="326">
        <f ca="1"/>
        <v>33274.153599999998</v>
      </c>
      <c r="E692" s="11">
        <f t="shared" ca="1" si="11"/>
        <v>5.2583307856924666E-2</v>
      </c>
    </row>
    <row r="693" spans="1:5" x14ac:dyDescent="0.3">
      <c r="A693" s="82" vm="938">
        <f ca="1"/>
        <v>45019</v>
      </c>
      <c r="B693" s="17" vm="2242">
        <f ca="1"/>
        <v>102.06</v>
      </c>
      <c r="D693" s="9" vm="310">
        <f ca="1"/>
        <v>33485.2886</v>
      </c>
      <c r="E693" s="11">
        <f t="shared" ca="1" si="11"/>
        <v>-1.1908219575951229E-2</v>
      </c>
    </row>
    <row r="694" spans="1:5" x14ac:dyDescent="0.3">
      <c r="A694" s="82" vm="939">
        <f ca="1"/>
        <v>45026</v>
      </c>
      <c r="B694" s="17" vm="2243">
        <f ca="1"/>
        <v>102.51</v>
      </c>
      <c r="D694" s="9" vm="270">
        <f ca="1"/>
        <v>33886.4683</v>
      </c>
      <c r="E694" s="11">
        <f t="shared" ca="1" si="11"/>
        <v>4.4091710758378255E-3</v>
      </c>
    </row>
    <row r="695" spans="1:5" x14ac:dyDescent="0.3">
      <c r="A695" s="82" vm="940">
        <f ca="1"/>
        <v>45033</v>
      </c>
      <c r="B695" s="17" vm="2244">
        <f ca="1"/>
        <v>106.96</v>
      </c>
      <c r="D695" s="9" vm="282">
        <f ca="1"/>
        <v>33808.961000000003</v>
      </c>
      <c r="E695" s="11">
        <f t="shared" ca="1" si="11"/>
        <v>4.3410398985464616E-2</v>
      </c>
    </row>
    <row r="696" spans="1:5" x14ac:dyDescent="0.3">
      <c r="A696" s="82" vm="941">
        <f ca="1"/>
        <v>45040</v>
      </c>
      <c r="B696" s="17" vm="2245">
        <f ca="1"/>
        <v>105.45</v>
      </c>
      <c r="D696" s="9" vm="254">
        <f ca="1"/>
        <v>34098.1636</v>
      </c>
      <c r="E696" s="11">
        <f t="shared" ca="1" si="11"/>
        <v>-1.4117427075542199E-2</v>
      </c>
    </row>
    <row r="697" spans="1:5" x14ac:dyDescent="0.3">
      <c r="A697" s="82" vm="942">
        <f ca="1"/>
        <v>45047</v>
      </c>
      <c r="B697" s="17" vm="2246">
        <f ca="1"/>
        <v>105.655</v>
      </c>
      <c r="D697" s="9" vm="300">
        <f ca="1"/>
        <v>33674.3776</v>
      </c>
      <c r="E697" s="11">
        <f t="shared" ca="1" si="11"/>
        <v>1.9440493124702751E-3</v>
      </c>
    </row>
    <row r="698" spans="1:5" x14ac:dyDescent="0.3">
      <c r="A698" s="82" vm="943">
        <f ca="1"/>
        <v>45054</v>
      </c>
      <c r="B698" s="17" vm="2247">
        <f ca="1"/>
        <v>110.26</v>
      </c>
      <c r="D698" s="9" vm="322">
        <f ca="1"/>
        <v>33300.6155</v>
      </c>
      <c r="E698" s="11">
        <f t="shared" ca="1" si="11"/>
        <v>4.3585253892385545E-2</v>
      </c>
    </row>
    <row r="699" spans="1:5" x14ac:dyDescent="0.3">
      <c r="A699" s="82" vm="944">
        <f ca="1"/>
        <v>45061</v>
      </c>
      <c r="B699" s="17" vm="2248">
        <f ca="1"/>
        <v>116.25</v>
      </c>
      <c r="D699" s="9" vm="314">
        <f ca="1"/>
        <v>33426.630899999996</v>
      </c>
      <c r="E699" s="11">
        <f t="shared" ca="1" si="11"/>
        <v>5.4326138218755649E-2</v>
      </c>
    </row>
    <row r="700" spans="1:5" x14ac:dyDescent="0.3">
      <c r="A700" s="82" vm="945">
        <f ca="1"/>
        <v>45068</v>
      </c>
      <c r="B700" s="17" vm="2249">
        <f ca="1"/>
        <v>120.11</v>
      </c>
      <c r="D700" s="9" vm="338">
        <f ca="1"/>
        <v>33093.336000000003</v>
      </c>
      <c r="E700" s="11">
        <f t="shared" ca="1" si="11"/>
        <v>3.3204301075268727E-2</v>
      </c>
    </row>
    <row r="701" spans="1:5" x14ac:dyDescent="0.3">
      <c r="A701" s="82" vm="946">
        <f ca="1"/>
        <v>45076</v>
      </c>
      <c r="B701" s="17" vm="2250">
        <f ca="1"/>
        <v>124.25</v>
      </c>
      <c r="D701" s="9" vm="286">
        <f ca="1"/>
        <v>33762.759700000002</v>
      </c>
      <c r="E701" s="11">
        <f t="shared" ca="1" si="11"/>
        <v>3.4468403963033856E-2</v>
      </c>
    </row>
    <row r="702" spans="1:5" x14ac:dyDescent="0.3">
      <c r="A702" s="82" vm="947">
        <f ca="1"/>
        <v>45082</v>
      </c>
      <c r="B702" s="17" vm="2251">
        <f ca="1"/>
        <v>123.43</v>
      </c>
      <c r="D702" s="9" vm="272">
        <f ca="1"/>
        <v>33876.779900000001</v>
      </c>
      <c r="E702" s="11">
        <f t="shared" ca="1" si="11"/>
        <v>-6.599597585512984E-3</v>
      </c>
    </row>
    <row r="703" spans="1:5" x14ac:dyDescent="0.3">
      <c r="A703" s="82" vm="948">
        <f ca="1"/>
        <v>45089</v>
      </c>
      <c r="B703" s="17" vm="2252">
        <f ca="1"/>
        <v>125.49</v>
      </c>
      <c r="D703" s="9" vm="244">
        <f ca="1"/>
        <v>34299.115899999997</v>
      </c>
      <c r="E703" s="11">
        <f t="shared" ca="1" si="11"/>
        <v>1.6689621647897557E-2</v>
      </c>
    </row>
    <row r="704" spans="1:5" x14ac:dyDescent="0.3">
      <c r="A704" s="82" vm="949">
        <f ca="1"/>
        <v>45097</v>
      </c>
      <c r="B704" s="17" vm="2253">
        <f ca="1"/>
        <v>129.33000000000001</v>
      </c>
      <c r="D704" s="9" vm="296">
        <f ca="1"/>
        <v>33727.433199999999</v>
      </c>
      <c r="E704" s="11">
        <f t="shared" ca="1" si="11"/>
        <v>3.0600047812574749E-2</v>
      </c>
    </row>
    <row r="705" spans="1:5" x14ac:dyDescent="0.3">
      <c r="A705" s="82" vm="950">
        <f ca="1"/>
        <v>45103</v>
      </c>
      <c r="B705" s="17" vm="2254">
        <f ca="1"/>
        <v>130.36000000000001</v>
      </c>
      <c r="D705" s="9" vm="232">
        <f ca="1"/>
        <v>34407.599900000001</v>
      </c>
      <c r="E705" s="11">
        <f t="shared" ca="1" si="11"/>
        <v>7.9641227866698028E-3</v>
      </c>
    </row>
    <row r="706" spans="1:5" x14ac:dyDescent="0.3">
      <c r="A706" s="82" vm="951">
        <f ca="1"/>
        <v>45110</v>
      </c>
      <c r="B706" s="17" vm="2255">
        <f ca="1"/>
        <v>129.78</v>
      </c>
      <c r="D706" s="9" vm="294">
        <f ca="1"/>
        <v>33734.880799999999</v>
      </c>
      <c r="E706" s="11">
        <f t="shared" ca="1" si="11"/>
        <v>-4.4492175513962673E-3</v>
      </c>
    </row>
    <row r="707" spans="1:5" x14ac:dyDescent="0.3">
      <c r="A707" s="82" vm="952">
        <f ca="1"/>
        <v>45117</v>
      </c>
      <c r="B707" s="17" vm="2256">
        <f ca="1"/>
        <v>134.68</v>
      </c>
      <c r="D707" s="9" vm="220">
        <f ca="1"/>
        <v>34509.0317</v>
      </c>
      <c r="E707" s="11">
        <f t="shared" ca="1" si="11"/>
        <v>3.7756202804746453E-2</v>
      </c>
    </row>
    <row r="708" spans="1:5" x14ac:dyDescent="0.3">
      <c r="A708" s="82" vm="953">
        <f ca="1"/>
        <v>45124</v>
      </c>
      <c r="B708" s="17" vm="2257">
        <f ca="1"/>
        <v>130</v>
      </c>
      <c r="D708" s="9" vm="162">
        <f ca="1"/>
        <v>35227.688399999999</v>
      </c>
      <c r="E708" s="11">
        <f t="shared" ca="1" si="11"/>
        <v>-3.4749034749034791E-2</v>
      </c>
    </row>
    <row r="709" spans="1:5" x14ac:dyDescent="0.3">
      <c r="A709" s="82" vm="954">
        <f ca="1"/>
        <v>45131</v>
      </c>
      <c r="B709" s="17" vm="2258">
        <f ca="1"/>
        <v>132.21</v>
      </c>
      <c r="D709" s="9" vm="148">
        <f ca="1"/>
        <v>35459.287700000001</v>
      </c>
      <c r="E709" s="11">
        <f t="shared" ca="1" si="11"/>
        <v>1.7000000000000126E-2</v>
      </c>
    </row>
    <row r="710" spans="1:5" x14ac:dyDescent="0.3">
      <c r="A710" s="82" vm="955">
        <f ca="1"/>
        <v>45138</v>
      </c>
      <c r="B710" s="17" vm="2259">
        <f ca="1"/>
        <v>139.57</v>
      </c>
      <c r="D710" s="9" vm="170">
        <f ca="1"/>
        <v>35065.621500000001</v>
      </c>
      <c r="E710" s="11">
        <f t="shared" ca="1" si="11"/>
        <v>5.5669011421223713E-2</v>
      </c>
    </row>
    <row r="711" spans="1:5" x14ac:dyDescent="0.3">
      <c r="A711" s="82" vm="956">
        <f ca="1"/>
        <v>45145</v>
      </c>
      <c r="B711" s="17" vm="2260">
        <f ca="1"/>
        <v>138.41</v>
      </c>
      <c r="D711" s="9" vm="160">
        <f ca="1"/>
        <v>35281.403100000003</v>
      </c>
      <c r="E711" s="11">
        <f t="shared" ca="1" si="11"/>
        <v>-8.3112416708461812E-3</v>
      </c>
    </row>
    <row r="712" spans="1:5" x14ac:dyDescent="0.3">
      <c r="A712" s="82" vm="957">
        <f ca="1"/>
        <v>45152</v>
      </c>
      <c r="B712" s="17" vm="2261">
        <f ca="1"/>
        <v>133.22</v>
      </c>
      <c r="D712" s="9" vm="222">
        <f ca="1"/>
        <v>34500.661399999997</v>
      </c>
      <c r="E712" s="11">
        <f t="shared" ca="1" si="11"/>
        <v>-3.7497290658189408E-2</v>
      </c>
    </row>
    <row r="713" spans="1:5" x14ac:dyDescent="0.3">
      <c r="A713" s="82" vm="958">
        <f ca="1"/>
        <v>45159</v>
      </c>
      <c r="B713" s="17" vm="2262">
        <f ca="1"/>
        <v>133.26</v>
      </c>
      <c r="D713" s="9" vm="238">
        <f ca="1"/>
        <v>34346.8989</v>
      </c>
      <c r="E713" s="11">
        <f t="shared" ca="1" si="11"/>
        <v>3.002552169344419E-4</v>
      </c>
    </row>
    <row r="714" spans="1:5" x14ac:dyDescent="0.3">
      <c r="A714" s="82" vm="959">
        <f ca="1"/>
        <v>45166</v>
      </c>
      <c r="B714" s="17" vm="2263">
        <f ca="1"/>
        <v>138.12</v>
      </c>
      <c r="D714" s="9" vm="184">
        <f ca="1"/>
        <v>34837.713000000003</v>
      </c>
      <c r="E714" s="11">
        <f t="shared" ca="1" si="11"/>
        <v>3.6470058532192873E-2</v>
      </c>
    </row>
    <row r="715" spans="1:5" x14ac:dyDescent="0.3">
      <c r="A715" s="82" vm="960">
        <f ca="1"/>
        <v>45174</v>
      </c>
      <c r="B715" s="17" vm="2209">
        <f ca="1"/>
        <v>138.22999999999999</v>
      </c>
      <c r="D715" s="9" vm="216">
        <f ca="1"/>
        <v>34576.587</v>
      </c>
      <c r="E715" s="11">
        <f t="shared" ref="E715:E778" ca="1" si="12">IF(B715&gt;0,B715/B714-1,"")</f>
        <v>7.9640891977983408E-4</v>
      </c>
    </row>
    <row r="716" spans="1:5" x14ac:dyDescent="0.3">
      <c r="A716" s="82" vm="961">
        <f ca="1"/>
        <v>45180</v>
      </c>
      <c r="B716" s="17" vm="2264">
        <f ca="1"/>
        <v>140.38999999999999</v>
      </c>
      <c r="D716" s="9" vm="208">
        <f ca="1"/>
        <v>34618.240599999997</v>
      </c>
      <c r="E716" s="11">
        <f t="shared" ca="1" si="12"/>
        <v>1.5626130362439428E-2</v>
      </c>
    </row>
    <row r="717" spans="1:5" x14ac:dyDescent="0.3">
      <c r="A717" s="82" vm="962">
        <f ca="1"/>
        <v>45187</v>
      </c>
      <c r="B717" s="17" vm="2265">
        <f ca="1"/>
        <v>129.12</v>
      </c>
      <c r="D717" s="9" vm="266">
        <f ca="1"/>
        <v>33963.8439</v>
      </c>
      <c r="E717" s="11">
        <f t="shared" ca="1" si="12"/>
        <v>-8.0276372961036957E-2</v>
      </c>
    </row>
    <row r="718" spans="1:5" x14ac:dyDescent="0.3">
      <c r="A718" s="82" vm="963">
        <f ca="1"/>
        <v>45194</v>
      </c>
      <c r="B718" s="17" vm="2266">
        <f ca="1"/>
        <v>127.12</v>
      </c>
      <c r="D718" s="9" vm="308">
        <f ca="1"/>
        <v>33507.499499999998</v>
      </c>
      <c r="E718" s="11">
        <f t="shared" ca="1" si="12"/>
        <v>-1.5489467162329573E-2</v>
      </c>
    </row>
    <row r="719" spans="1:5" x14ac:dyDescent="0.3">
      <c r="A719" s="82" vm="964">
        <f ca="1"/>
        <v>45201</v>
      </c>
      <c r="B719" s="17" vm="2267">
        <f ca="1"/>
        <v>127.96</v>
      </c>
      <c r="D719" s="9" vm="316">
        <f ca="1"/>
        <v>33407.583599999998</v>
      </c>
      <c r="E719" s="11">
        <f t="shared" ca="1" si="12"/>
        <v>6.6079295154184425E-3</v>
      </c>
    </row>
    <row r="720" spans="1:5" x14ac:dyDescent="0.3">
      <c r="A720" s="82" vm="965">
        <f ca="1"/>
        <v>45208</v>
      </c>
      <c r="B720" s="17" vm="2268">
        <f ca="1"/>
        <v>129.79</v>
      </c>
      <c r="D720" s="9" vm="302">
        <f ca="1"/>
        <v>33670.291299999997</v>
      </c>
      <c r="E720" s="11">
        <f t="shared" ca="1" si="12"/>
        <v>1.4301344170053021E-2</v>
      </c>
    </row>
    <row r="721" spans="1:5" x14ac:dyDescent="0.3">
      <c r="A721" s="82" vm="966">
        <f ca="1"/>
        <v>45215</v>
      </c>
      <c r="B721" s="17" vm="2269">
        <f ca="1"/>
        <v>125.17</v>
      </c>
      <c r="D721" s="9" vm="336">
        <f ca="1"/>
        <v>33127.278400000003</v>
      </c>
      <c r="E721" s="11">
        <f t="shared" ca="1" si="12"/>
        <v>-3.5595962708991347E-2</v>
      </c>
    </row>
    <row r="722" spans="1:5" x14ac:dyDescent="0.3">
      <c r="A722" s="82" vm="967">
        <f ca="1"/>
        <v>45222</v>
      </c>
      <c r="B722" s="17" vm="2270">
        <f ca="1"/>
        <v>127.74</v>
      </c>
      <c r="D722" s="9" vm="364">
        <f ca="1"/>
        <v>32417.585200000001</v>
      </c>
      <c r="E722" s="11">
        <f t="shared" ca="1" si="12"/>
        <v>2.0532076376128305E-2</v>
      </c>
    </row>
    <row r="723" spans="1:5" x14ac:dyDescent="0.3">
      <c r="A723" s="82" vm="968">
        <f ca="1"/>
        <v>45229</v>
      </c>
      <c r="B723" s="17" vm="2271">
        <f ca="1"/>
        <v>138.6</v>
      </c>
      <c r="D723" s="9" vm="258">
        <f ca="1"/>
        <v>34061.321199999998</v>
      </c>
      <c r="E723" s="11">
        <f t="shared" ca="1" si="12"/>
        <v>8.5016439643024855E-2</v>
      </c>
    </row>
    <row r="724" spans="1:5" x14ac:dyDescent="0.3">
      <c r="A724" s="82" vm="969">
        <f ca="1"/>
        <v>45236</v>
      </c>
      <c r="B724" s="17" vm="2272">
        <f ca="1"/>
        <v>143.56</v>
      </c>
      <c r="D724" s="9" vm="246">
        <f ca="1"/>
        <v>34283.100400000003</v>
      </c>
      <c r="E724" s="11">
        <f t="shared" ca="1" si="12"/>
        <v>3.5786435786435922E-2</v>
      </c>
    </row>
    <row r="725" spans="1:5" x14ac:dyDescent="0.3">
      <c r="A725" s="82" vm="970">
        <f ca="1"/>
        <v>45243</v>
      </c>
      <c r="B725" s="17" vm="2273">
        <f ca="1"/>
        <v>145.18</v>
      </c>
      <c r="D725" s="9" vm="174">
        <f ca="1"/>
        <v>34947.284399999997</v>
      </c>
      <c r="E725" s="11">
        <f t="shared" ca="1" si="12"/>
        <v>1.1284480356645421E-2</v>
      </c>
    </row>
    <row r="726" spans="1:5" x14ac:dyDescent="0.3">
      <c r="A726" s="82" vm="971">
        <f ca="1"/>
        <v>45250</v>
      </c>
      <c r="B726" s="17" vm="2274">
        <f ca="1"/>
        <v>146.74</v>
      </c>
      <c r="D726" s="9" vm="152">
        <f ca="1"/>
        <v>35390.150600000001</v>
      </c>
      <c r="E726" s="11">
        <f t="shared" ca="1" si="12"/>
        <v>1.0745281719245048E-2</v>
      </c>
    </row>
    <row r="727" spans="1:5" x14ac:dyDescent="0.3">
      <c r="A727" s="82" vm="972">
        <f ca="1"/>
        <v>45257</v>
      </c>
      <c r="B727" s="17" vm="2275">
        <f ca="1"/>
        <v>147.03</v>
      </c>
      <c r="D727" s="9" vm="128">
        <f ca="1"/>
        <v>36245.4997</v>
      </c>
      <c r="E727" s="11">
        <f t="shared" ca="1" si="12"/>
        <v>1.9762845849802257E-3</v>
      </c>
    </row>
    <row r="728" spans="1:5" x14ac:dyDescent="0.3">
      <c r="A728" s="82" vm="973">
        <f ca="1"/>
        <v>45264</v>
      </c>
      <c r="B728" s="17" vm="2276">
        <f ca="1"/>
        <v>147.41999999999999</v>
      </c>
      <c r="D728" s="9" vm="126">
        <f ca="1"/>
        <v>36247.8724</v>
      </c>
      <c r="E728" s="11">
        <f t="shared" ca="1" si="12"/>
        <v>2.6525198938991412E-3</v>
      </c>
    </row>
    <row r="729" spans="1:5" x14ac:dyDescent="0.3">
      <c r="A729" s="82" vm="974">
        <f ca="1"/>
        <v>45271</v>
      </c>
      <c r="B729" s="17" vm="2277">
        <f ca="1"/>
        <v>149.97</v>
      </c>
      <c r="D729" s="9" vm="120">
        <f ca="1"/>
        <v>37305.162400000001</v>
      </c>
      <c r="E729" s="11">
        <f t="shared" ca="1" si="12"/>
        <v>1.7297517297517384E-2</v>
      </c>
    </row>
    <row r="730" spans="1:5" x14ac:dyDescent="0.3">
      <c r="A730" s="82" vm="975">
        <f ca="1"/>
        <v>45278</v>
      </c>
      <c r="B730" s="17" vm="2278">
        <f ca="1"/>
        <v>153.41999999999999</v>
      </c>
      <c r="D730" s="9" vm="118">
        <f ca="1"/>
        <v>37385.965199999999</v>
      </c>
      <c r="E730" s="11">
        <f t="shared" ca="1" si="12"/>
        <v>2.300460092018386E-2</v>
      </c>
    </row>
    <row r="731" spans="1:5" x14ac:dyDescent="0.3">
      <c r="A731" s="82" vm="976">
        <f ca="1"/>
        <v>45286</v>
      </c>
      <c r="B731" s="17" vm="2279">
        <f ca="1"/>
        <v>151.94</v>
      </c>
      <c r="D731" s="9" vm="112">
        <f ca="1"/>
        <v>37689.5357</v>
      </c>
      <c r="E731" s="11">
        <f t="shared" ca="1" si="12"/>
        <v>-9.6467214183286742E-3</v>
      </c>
    </row>
    <row r="732" spans="1:5" x14ac:dyDescent="0.3">
      <c r="A732" s="82" vm="977">
        <f ca="1"/>
        <v>45293</v>
      </c>
      <c r="B732" s="17" vm="2280">
        <f ca="1"/>
        <v>145.24</v>
      </c>
      <c r="D732" s="9" vm="116">
        <f ca="1"/>
        <v>37466.108800000002</v>
      </c>
      <c r="E732" s="11">
        <f t="shared" ca="1" si="12"/>
        <v>-4.4096353823877776E-2</v>
      </c>
    </row>
    <row r="733" spans="1:5" x14ac:dyDescent="0.3">
      <c r="A733" s="82" vm="978">
        <f ca="1"/>
        <v>45299</v>
      </c>
      <c r="B733" s="17" vm="2281">
        <f ca="1"/>
        <v>154.62</v>
      </c>
      <c r="D733" s="9" vm="114">
        <f ca="1"/>
        <v>37592.981</v>
      </c>
      <c r="E733" s="11">
        <f t="shared" ca="1" si="12"/>
        <v>6.4582759570366299E-2</v>
      </c>
    </row>
    <row r="734" spans="1:5" x14ac:dyDescent="0.3">
      <c r="A734" s="82" vm="979">
        <f ca="1"/>
        <v>45307</v>
      </c>
      <c r="B734" s="17" vm="2282">
        <f ca="1"/>
        <v>155.34</v>
      </c>
      <c r="D734" s="9" vm="110">
        <f ca="1"/>
        <v>37863.795400000003</v>
      </c>
      <c r="E734" s="11">
        <f t="shared" ca="1" si="12"/>
        <v>4.6565774155995499E-3</v>
      </c>
    </row>
    <row r="735" spans="1:5" x14ac:dyDescent="0.3">
      <c r="A735" s="82" vm="980">
        <f ca="1"/>
        <v>45313</v>
      </c>
      <c r="B735" s="17" vm="2283">
        <f ca="1"/>
        <v>159.12</v>
      </c>
      <c r="D735" s="9" vm="104">
        <f ca="1"/>
        <v>38109.433100000002</v>
      </c>
      <c r="E735" s="11">
        <f t="shared" ca="1" si="12"/>
        <v>2.4333719582850577E-2</v>
      </c>
    </row>
    <row r="736" spans="1:5" x14ac:dyDescent="0.3">
      <c r="A736" s="82" vm="981">
        <f ca="1"/>
        <v>45320</v>
      </c>
      <c r="B736" s="17" vm="2284">
        <f ca="1"/>
        <v>171.81</v>
      </c>
      <c r="D736" s="9" vm="96">
        <f ca="1"/>
        <v>38654.423199999997</v>
      </c>
      <c r="E736" s="11">
        <f t="shared" ca="1" si="12"/>
        <v>7.9751131221719396E-2</v>
      </c>
    </row>
    <row r="737" spans="1:5" x14ac:dyDescent="0.3">
      <c r="A737" s="82" vm="982">
        <f ca="1"/>
        <v>45327</v>
      </c>
      <c r="B737" s="17" vm="2285">
        <f ca="1"/>
        <v>174.45</v>
      </c>
      <c r="D737" s="9" vm="94">
        <f ca="1"/>
        <v>38671.690999999999</v>
      </c>
      <c r="E737" s="11">
        <f t="shared" ca="1" si="12"/>
        <v>1.5365811070368274E-2</v>
      </c>
    </row>
    <row r="738" spans="1:5" x14ac:dyDescent="0.3">
      <c r="A738" s="82" vm="983">
        <f ca="1"/>
        <v>45334</v>
      </c>
      <c r="B738" s="17" vm="2286">
        <f ca="1"/>
        <v>169.51</v>
      </c>
      <c r="D738" s="9" vm="98">
        <f ca="1"/>
        <v>38627.994299999998</v>
      </c>
      <c r="E738" s="11">
        <f t="shared" ca="1" si="12"/>
        <v>-2.8317569504155871E-2</v>
      </c>
    </row>
    <row r="739" spans="1:5" x14ac:dyDescent="0.3">
      <c r="A739" s="82" vm="984">
        <f ca="1"/>
        <v>45342</v>
      </c>
      <c r="B739" s="17" vm="2287">
        <f ca="1"/>
        <v>174.99</v>
      </c>
      <c r="D739" s="9" vm="74">
        <f ca="1"/>
        <v>39131.5285</v>
      </c>
      <c r="E739" s="11">
        <f t="shared" ca="1" si="12"/>
        <v>3.2328476196094691E-2</v>
      </c>
    </row>
    <row r="740" spans="1:5" x14ac:dyDescent="0.3">
      <c r="A740" s="82" vm="985">
        <f ca="1"/>
        <v>45348</v>
      </c>
      <c r="B740" s="17" vm="2288">
        <f ca="1"/>
        <v>178.22</v>
      </c>
      <c r="D740" s="9" vm="78">
        <f ca="1"/>
        <v>39087.376100000001</v>
      </c>
      <c r="E740" s="11">
        <f t="shared" ca="1" si="12"/>
        <v>1.8458197611292082E-2</v>
      </c>
    </row>
    <row r="741" spans="1:5" x14ac:dyDescent="0.3">
      <c r="A741" s="82" vm="986">
        <f ca="1"/>
        <v>45355</v>
      </c>
      <c r="B741" s="17" vm="2289">
        <f ca="1"/>
        <v>175.35</v>
      </c>
      <c r="D741" s="9" vm="86">
        <f ca="1"/>
        <v>38722.693099999997</v>
      </c>
      <c r="E741" s="11">
        <f t="shared" ca="1" si="12"/>
        <v>-1.6103692065985831E-2</v>
      </c>
    </row>
    <row r="742" spans="1:5" x14ac:dyDescent="0.3">
      <c r="A742" s="82" vm="987">
        <f ca="1"/>
        <v>45362</v>
      </c>
      <c r="B742" s="17" vm="2290">
        <f ca="1"/>
        <v>174.42</v>
      </c>
      <c r="D742" s="9" vm="88">
        <f ca="1"/>
        <v>38714.766600000003</v>
      </c>
      <c r="E742" s="11">
        <f t="shared" ca="1" si="12"/>
        <v>-5.3036783575706181E-3</v>
      </c>
    </row>
    <row r="743" spans="1:5" x14ac:dyDescent="0.3">
      <c r="A743" s="82" vm="988">
        <f ca="1"/>
        <v>45369</v>
      </c>
      <c r="B743" s="17" vm="2291">
        <f ca="1"/>
        <v>178.87</v>
      </c>
      <c r="D743" s="9" vm="68">
        <f ca="1"/>
        <v>39475.904000000002</v>
      </c>
      <c r="E743" s="11">
        <f t="shared" ca="1" si="12"/>
        <v>2.5513129228299514E-2</v>
      </c>
    </row>
    <row r="744" spans="1:5" x14ac:dyDescent="0.3">
      <c r="A744" s="82" vm="989">
        <f ca="1"/>
        <v>45376</v>
      </c>
      <c r="B744" s="17" vm="2292">
        <f ca="1"/>
        <v>180.38</v>
      </c>
      <c r="D744" s="9" vm="60">
        <f ca="1"/>
        <v>39807.374499999998</v>
      </c>
      <c r="E744" s="11">
        <f t="shared" ca="1" si="12"/>
        <v>8.4418851679990414E-3</v>
      </c>
    </row>
    <row r="745" spans="1:5" x14ac:dyDescent="0.3">
      <c r="A745" s="82" vm="990">
        <f ca="1"/>
        <v>45383</v>
      </c>
      <c r="B745" s="17" vm="2293">
        <f ca="1"/>
        <v>185.07</v>
      </c>
      <c r="D745" s="9" vm="82">
        <f ca="1"/>
        <v>38904.038399999998</v>
      </c>
      <c r="E745" s="11">
        <f t="shared" ca="1" si="12"/>
        <v>2.6000665262224221E-2</v>
      </c>
    </row>
    <row r="746" spans="1:5" x14ac:dyDescent="0.3">
      <c r="A746" s="82" vm="991">
        <f ca="1"/>
        <v>45390</v>
      </c>
      <c r="B746" s="17" vm="2294">
        <f ca="1"/>
        <v>186.13</v>
      </c>
      <c r="D746" s="9" vm="108">
        <f ca="1"/>
        <v>37983.243600000002</v>
      </c>
      <c r="E746" s="11">
        <f t="shared" ca="1" si="12"/>
        <v>5.7275625439023869E-3</v>
      </c>
    </row>
    <row r="747" spans="1:5" x14ac:dyDescent="0.3">
      <c r="A747" s="82" vm="992">
        <f ca="1"/>
        <v>45397</v>
      </c>
      <c r="B747" s="17" vm="2295">
        <f ca="1"/>
        <v>174.63</v>
      </c>
      <c r="D747" s="9" vm="106">
        <f ca="1"/>
        <v>37986.396999999997</v>
      </c>
      <c r="E747" s="11">
        <f t="shared" ca="1" si="12"/>
        <v>-6.1784774082630389E-2</v>
      </c>
    </row>
    <row r="748" spans="1:5" x14ac:dyDescent="0.3">
      <c r="A748" s="82" vm="993">
        <f ca="1"/>
        <v>45404</v>
      </c>
      <c r="B748" s="17" vm="2296">
        <f ca="1"/>
        <v>179.62</v>
      </c>
      <c r="D748" s="9" vm="102">
        <f ca="1"/>
        <v>38239.654999999999</v>
      </c>
      <c r="E748" s="11">
        <f t="shared" ca="1" si="12"/>
        <v>2.8574700795968688E-2</v>
      </c>
    </row>
    <row r="749" spans="1:5" x14ac:dyDescent="0.3">
      <c r="A749" s="82" vm="994">
        <f ca="1"/>
        <v>45411</v>
      </c>
      <c r="B749" s="17" vm="2297">
        <f ca="1"/>
        <v>186.21</v>
      </c>
      <c r="D749" s="9" vm="92">
        <f ca="1"/>
        <v>38675.679199999999</v>
      </c>
      <c r="E749" s="11">
        <f t="shared" ca="1" si="12"/>
        <v>3.6688564747801022E-2</v>
      </c>
    </row>
    <row r="750" spans="1:5" x14ac:dyDescent="0.3">
      <c r="A750" s="82" vm="995">
        <f ca="1"/>
        <v>45418</v>
      </c>
      <c r="B750" s="17" vm="2298">
        <f ca="1"/>
        <v>187.48</v>
      </c>
      <c r="D750" s="9" vm="64">
        <f ca="1"/>
        <v>39512.843000000001</v>
      </c>
      <c r="E750" s="11">
        <f t="shared" ca="1" si="12"/>
        <v>6.82025669942532E-3</v>
      </c>
    </row>
    <row r="751" spans="1:5" x14ac:dyDescent="0.3">
      <c r="A751" s="82" vm="996">
        <f ca="1"/>
        <v>45425</v>
      </c>
      <c r="B751" s="17" vm="2299">
        <f ca="1"/>
        <v>184.7</v>
      </c>
      <c r="D751" s="9" vm="56">
        <f ca="1"/>
        <v>40003.591899999999</v>
      </c>
      <c r="E751" s="11">
        <f t="shared" ca="1" si="12"/>
        <v>-1.4828248346490325E-2</v>
      </c>
    </row>
    <row r="752" spans="1:5" x14ac:dyDescent="0.3">
      <c r="A752" s="82" vm="997">
        <f ca="1"/>
        <v>45432</v>
      </c>
      <c r="B752" s="17" vm="2300">
        <f ca="1"/>
        <v>180.75</v>
      </c>
      <c r="D752" s="9" vm="80">
        <f ca="1"/>
        <v>39069.592299999997</v>
      </c>
      <c r="E752" s="11">
        <f t="shared" ca="1" si="12"/>
        <v>-2.1386031402273908E-2</v>
      </c>
    </row>
    <row r="753" spans="1:5" x14ac:dyDescent="0.3">
      <c r="A753" s="82" vm="998">
        <f ca="1"/>
        <v>45440</v>
      </c>
      <c r="B753" s="17" vm="2301">
        <f ca="1"/>
        <v>176.44</v>
      </c>
      <c r="D753" s="9" vm="90">
        <f ca="1"/>
        <v>38686.321900000003</v>
      </c>
      <c r="E753" s="11">
        <f t="shared" ca="1" si="12"/>
        <v>-2.3845089903181238E-2</v>
      </c>
    </row>
    <row r="754" spans="1:5" x14ac:dyDescent="0.3">
      <c r="A754" s="82" vm="999">
        <f ca="1"/>
        <v>45446</v>
      </c>
      <c r="B754" s="17" vm="2302">
        <f ca="1"/>
        <v>184.3</v>
      </c>
      <c r="D754" s="9" vm="84">
        <f ca="1"/>
        <v>38798.9905</v>
      </c>
      <c r="E754" s="11">
        <f t="shared" ca="1" si="12"/>
        <v>4.454772160507825E-2</v>
      </c>
    </row>
    <row r="755" spans="1:5" x14ac:dyDescent="0.3">
      <c r="A755" s="82" vm="1000">
        <f ca="1"/>
        <v>45453</v>
      </c>
      <c r="B755" s="17" vm="2303">
        <f ca="1"/>
        <v>183.66</v>
      </c>
      <c r="D755" s="9" vm="100">
        <f ca="1"/>
        <v>38589.157599999999</v>
      </c>
      <c r="E755" s="11">
        <f t="shared" ca="1" si="12"/>
        <v>-3.4725990233316351E-3</v>
      </c>
    </row>
    <row r="756" spans="1:5" x14ac:dyDescent="0.3">
      <c r="A756" s="82" vm="1001">
        <f ca="1"/>
        <v>45460</v>
      </c>
      <c r="B756" s="17" vm="2304">
        <f ca="1"/>
        <v>189.08</v>
      </c>
      <c r="D756" s="9" vm="72">
        <f ca="1"/>
        <v>39150.332600000002</v>
      </c>
      <c r="E756" s="11">
        <f t="shared" ca="1" si="12"/>
        <v>2.9511053032778012E-2</v>
      </c>
    </row>
    <row r="757" spans="1:5" x14ac:dyDescent="0.3">
      <c r="A757" s="82" vm="1002">
        <f ca="1"/>
        <v>45467</v>
      </c>
      <c r="B757" s="17" vm="2305">
        <f ca="1"/>
        <v>193.25</v>
      </c>
      <c r="D757" s="9" vm="76">
        <f ca="1"/>
        <v>39118.864200000004</v>
      </c>
      <c r="E757" s="11">
        <f t="shared" ca="1" si="12"/>
        <v>2.2054156970594319E-2</v>
      </c>
    </row>
    <row r="758" spans="1:5" x14ac:dyDescent="0.3">
      <c r="A758" s="82" vm="1003">
        <f ca="1"/>
        <v>45474</v>
      </c>
      <c r="B758" s="17" vm="2306">
        <f ca="1"/>
        <v>200</v>
      </c>
      <c r="D758" s="9" vm="70">
        <f ca="1"/>
        <v>39375.866900000001</v>
      </c>
      <c r="E758" s="11">
        <f t="shared" ca="1" si="12"/>
        <v>3.4928848641655907E-2</v>
      </c>
    </row>
    <row r="759" spans="1:5" x14ac:dyDescent="0.3">
      <c r="A759" s="82" vm="1004">
        <f ca="1"/>
        <v>45481</v>
      </c>
      <c r="B759" s="17" vm="2307">
        <f ca="1"/>
        <v>194.49</v>
      </c>
      <c r="D759" s="9" vm="58">
        <f ca="1"/>
        <v>40000.898399999998</v>
      </c>
      <c r="E759" s="11">
        <f t="shared" ca="1" si="12"/>
        <v>-2.7549999999999963E-2</v>
      </c>
    </row>
    <row r="760" spans="1:5" x14ac:dyDescent="0.3">
      <c r="A760" s="82" vm="1005">
        <f ca="1"/>
        <v>45488</v>
      </c>
      <c r="B760" s="17" vm="2308">
        <f ca="1"/>
        <v>183.13</v>
      </c>
      <c r="D760" s="9" vm="54">
        <f ca="1"/>
        <v>40287.529900000001</v>
      </c>
      <c r="E760" s="11">
        <f t="shared" ca="1" si="12"/>
        <v>-5.8409172708108414E-2</v>
      </c>
    </row>
    <row r="761" spans="1:5" x14ac:dyDescent="0.3">
      <c r="A761" s="82" vm="1006">
        <f ca="1"/>
        <v>45495</v>
      </c>
      <c r="B761" s="17" vm="2309">
        <f ca="1"/>
        <v>182.5</v>
      </c>
      <c r="D761" s="9" vm="50">
        <f ca="1"/>
        <v>40589.337200000002</v>
      </c>
      <c r="E761" s="11">
        <f t="shared" ca="1" si="12"/>
        <v>-3.4401791077376398E-3</v>
      </c>
    </row>
    <row r="762" spans="1:5" x14ac:dyDescent="0.3">
      <c r="A762" s="82" vm="1007">
        <f ca="1"/>
        <v>45502</v>
      </c>
      <c r="B762" s="17" vm="2310">
        <f ca="1"/>
        <v>167.9</v>
      </c>
      <c r="D762" s="9" vm="62">
        <f ca="1"/>
        <v>39737.260399999999</v>
      </c>
      <c r="E762" s="11">
        <f t="shared" ca="1" si="12"/>
        <v>-7.999999999999996E-2</v>
      </c>
    </row>
    <row r="763" spans="1:5" x14ac:dyDescent="0.3">
      <c r="A763" s="82" vm="1008">
        <f ca="1"/>
        <v>45509</v>
      </c>
      <c r="B763" s="17" vm="2311">
        <f ca="1"/>
        <v>166.94</v>
      </c>
      <c r="D763" s="9" vm="66">
        <f ca="1"/>
        <v>39497.54</v>
      </c>
      <c r="E763" s="11">
        <f t="shared" ca="1" si="12"/>
        <v>-5.7176891006551767E-3</v>
      </c>
    </row>
    <row r="764" spans="1:5" x14ac:dyDescent="0.3">
      <c r="A764" s="82" vm="1009">
        <f ca="1"/>
        <v>45516</v>
      </c>
      <c r="B764" s="17" vm="2312">
        <f ca="1"/>
        <v>177.06</v>
      </c>
      <c r="D764" s="9" vm="48">
        <f ca="1"/>
        <v>40659.760000000002</v>
      </c>
      <c r="E764" s="11">
        <f t="shared" ca="1" si="12"/>
        <v>6.0620582245118015E-2</v>
      </c>
    </row>
    <row r="765" spans="1:5" x14ac:dyDescent="0.3">
      <c r="A765" s="82" vm="1010">
        <f ca="1"/>
        <v>45523</v>
      </c>
      <c r="B765" s="17" vm="2313">
        <f ca="1"/>
        <v>177.04</v>
      </c>
      <c r="D765" s="9" vm="46">
        <f ca="1"/>
        <v>41175.08</v>
      </c>
      <c r="E765" s="11">
        <f t="shared" ca="1" si="12"/>
        <v>-1.1295606009265047E-4</v>
      </c>
    </row>
    <row r="766" spans="1:5" x14ac:dyDescent="0.3">
      <c r="A766" s="82" vm="1011">
        <f ca="1"/>
        <v>45530</v>
      </c>
      <c r="B766" s="17" vm="2314">
        <f ca="1"/>
        <v>178.5</v>
      </c>
      <c r="D766" s="9" vm="42">
        <f ca="1"/>
        <v>41563.08</v>
      </c>
      <c r="E766" s="11">
        <f t="shared" ca="1" si="12"/>
        <v>8.2467239042025575E-3</v>
      </c>
    </row>
    <row r="767" spans="1:5" x14ac:dyDescent="0.3">
      <c r="A767" s="82" vm="1012">
        <f ca="1"/>
        <v>45538</v>
      </c>
      <c r="B767" s="17" vm="2315">
        <f ca="1"/>
        <v>171.39</v>
      </c>
      <c r="D767" s="9" vm="52">
        <f ca="1"/>
        <v>40345.410000000003</v>
      </c>
      <c r="E767" s="11">
        <f t="shared" ca="1" si="12"/>
        <v>-3.9831932773109369E-2</v>
      </c>
    </row>
    <row r="768" spans="1:5" x14ac:dyDescent="0.3">
      <c r="A768" s="82" vm="1013">
        <f ca="1"/>
        <v>45544</v>
      </c>
      <c r="B768" s="17" vm="2316">
        <f ca="1"/>
        <v>186.49</v>
      </c>
      <c r="D768" s="9" vm="44">
        <f ca="1"/>
        <v>41393.78</v>
      </c>
      <c r="E768" s="11">
        <f t="shared" ca="1" si="12"/>
        <v>8.8103156543555716E-2</v>
      </c>
    </row>
    <row r="769" spans="1:5" x14ac:dyDescent="0.3">
      <c r="A769" s="82" vm="1014">
        <f ca="1"/>
        <v>45551</v>
      </c>
      <c r="B769" s="17" vm="2317">
        <f ca="1"/>
        <v>191.6</v>
      </c>
      <c r="D769" s="9" vm="36">
        <f ca="1"/>
        <v>42063.360000000001</v>
      </c>
      <c r="E769" s="11">
        <f t="shared" ca="1" si="12"/>
        <v>2.7400933025899521E-2</v>
      </c>
    </row>
    <row r="770" spans="1:5" x14ac:dyDescent="0.3">
      <c r="A770" s="82" vm="1015">
        <f ca="1"/>
        <v>45558</v>
      </c>
      <c r="B770" s="17" vm="2318">
        <f ca="1"/>
        <v>187.97</v>
      </c>
      <c r="D770" s="9" vm="32">
        <f ca="1"/>
        <v>42313</v>
      </c>
      <c r="E770" s="11">
        <f t="shared" ca="1" si="12"/>
        <v>-1.894572025052188E-2</v>
      </c>
    </row>
    <row r="771" spans="1:5" x14ac:dyDescent="0.3">
      <c r="A771" s="82" vm="1016">
        <f ca="1"/>
        <v>45565</v>
      </c>
      <c r="B771" s="17" vm="2319">
        <f ca="1"/>
        <v>186.51</v>
      </c>
      <c r="D771" s="9" vm="30">
        <f ca="1"/>
        <v>42352.75</v>
      </c>
      <c r="E771" s="11">
        <f t="shared" ca="1" si="12"/>
        <v>-7.7671968931213309E-3</v>
      </c>
    </row>
    <row r="772" spans="1:5" x14ac:dyDescent="0.3">
      <c r="A772" s="82" vm="1017">
        <f ca="1"/>
        <v>45572</v>
      </c>
      <c r="B772" s="17" vm="2320">
        <f ca="1"/>
        <v>188.82</v>
      </c>
      <c r="D772" s="9" vm="22">
        <f ca="1"/>
        <v>42863.86</v>
      </c>
      <c r="E772" s="11">
        <f t="shared" ca="1" si="12"/>
        <v>1.2385394884992795E-2</v>
      </c>
    </row>
    <row r="773" spans="1:5" x14ac:dyDescent="0.3">
      <c r="A773" s="82" vm="1018">
        <f ca="1"/>
        <v>45579</v>
      </c>
      <c r="B773" s="17" vm="2321">
        <f ca="1"/>
        <v>188.99</v>
      </c>
      <c r="D773" s="9" vm="18">
        <f ca="1"/>
        <v>43275.91</v>
      </c>
      <c r="E773" s="11">
        <f t="shared" ca="1" si="12"/>
        <v>9.0032835504727515E-4</v>
      </c>
    </row>
    <row r="774" spans="1:5" x14ac:dyDescent="0.3">
      <c r="A774" s="82" vm="1019">
        <f ca="1"/>
        <v>45586</v>
      </c>
      <c r="B774" s="17" vm="2322">
        <f ca="1"/>
        <v>187.83</v>
      </c>
      <c r="D774" s="9" vm="34">
        <f ca="1"/>
        <v>42114.400000000001</v>
      </c>
      <c r="E774" s="11">
        <f t="shared" ca="1" si="12"/>
        <v>-6.1378908936980947E-3</v>
      </c>
    </row>
    <row r="775" spans="1:5" x14ac:dyDescent="0.3">
      <c r="A775" s="82" vm="1020">
        <f ca="1"/>
        <v>45593</v>
      </c>
      <c r="B775" s="17" vm="2323">
        <f ca="1"/>
        <v>197.93</v>
      </c>
      <c r="D775" s="9" vm="38">
        <f ca="1"/>
        <v>42052.19</v>
      </c>
      <c r="E775" s="11">
        <f t="shared" ca="1" si="12"/>
        <v>5.3772027897566854E-2</v>
      </c>
    </row>
    <row r="776" spans="1:5" x14ac:dyDescent="0.3">
      <c r="A776" s="82" vm="1021">
        <f ca="1"/>
        <v>45600</v>
      </c>
      <c r="B776" s="17" vm="2324">
        <f ca="1"/>
        <v>208.18</v>
      </c>
      <c r="D776" s="9" vm="6">
        <f ca="1"/>
        <v>43988.99</v>
      </c>
      <c r="E776" s="11">
        <f t="shared" ca="1" si="12"/>
        <v>5.1785984944172192E-2</v>
      </c>
    </row>
    <row r="777" spans="1:5" x14ac:dyDescent="0.3">
      <c r="A777" s="82" vm="1022">
        <f ca="1"/>
        <v>45607</v>
      </c>
      <c r="B777" s="17" vm="2325">
        <f ca="1"/>
        <v>202.61</v>
      </c>
      <c r="D777" s="9" vm="14">
        <f ca="1"/>
        <v>43444.99</v>
      </c>
      <c r="E777" s="11">
        <f t="shared" ca="1" si="12"/>
        <v>-2.6755692189451397E-2</v>
      </c>
    </row>
    <row r="778" spans="1:5" x14ac:dyDescent="0.3">
      <c r="A778" s="82" vm="1023">
        <f ca="1"/>
        <v>45614</v>
      </c>
      <c r="B778" s="17" vm="2326">
        <f ca="1"/>
        <v>197.12</v>
      </c>
      <c r="D778" s="9" vm="4">
        <f ca="1"/>
        <v>44296.51</v>
      </c>
      <c r="E778" s="11">
        <f t="shared" ca="1" si="12"/>
        <v>-2.7096392083312826E-2</v>
      </c>
    </row>
    <row r="779" spans="1:5" x14ac:dyDescent="0.3">
      <c r="A779" s="82" vm="1024">
        <f ca="1"/>
        <v>45621</v>
      </c>
      <c r="B779" s="17" vm="2327">
        <f ca="1"/>
        <v>207.89</v>
      </c>
      <c r="D779" s="9" vm="2328">
        <f ca="1"/>
        <v>44910.65</v>
      </c>
      <c r="E779" s="11">
        <f t="shared" ref="E779:E792" ca="1" si="13">IF(B779&gt;0,B779/B778-1,"")</f>
        <v>5.4636769480519431E-2</v>
      </c>
    </row>
    <row r="780" spans="1:5" x14ac:dyDescent="0.3">
      <c r="A780" s="82" vm="1025">
        <f ca="1"/>
        <v>45628</v>
      </c>
      <c r="B780" s="17" vm="2329">
        <f ca="1"/>
        <v>227.03</v>
      </c>
      <c r="D780" s="9" vm="2330">
        <f ca="1"/>
        <v>44642.52</v>
      </c>
      <c r="E780" s="11">
        <f t="shared" ca="1" si="13"/>
        <v>9.2067920534898429E-2</v>
      </c>
    </row>
    <row r="781" spans="1:5" x14ac:dyDescent="0.3">
      <c r="A781" s="82" vm="1026">
        <f ca="1"/>
        <v>45635</v>
      </c>
      <c r="B781" s="17" vm="2331">
        <f ca="1"/>
        <v>227.46</v>
      </c>
      <c r="D781" s="9" vm="10">
        <f ca="1"/>
        <v>43828.06</v>
      </c>
      <c r="E781" s="11">
        <f t="shared" ca="1" si="13"/>
        <v>1.8940228163679684E-3</v>
      </c>
    </row>
    <row r="782" spans="1:5" x14ac:dyDescent="0.3">
      <c r="A782" s="82" vm="1027">
        <f ca="1"/>
        <v>45642</v>
      </c>
      <c r="B782" s="17" vm="2332">
        <f ca="1"/>
        <v>224.92</v>
      </c>
      <c r="D782" s="9" vm="24">
        <f ca="1"/>
        <v>42840.26</v>
      </c>
      <c r="E782" s="11">
        <f t="shared" ca="1" si="13"/>
        <v>-1.11667985579883E-2</v>
      </c>
    </row>
    <row r="783" spans="1:5" x14ac:dyDescent="0.3">
      <c r="A783" s="82" vm="1028">
        <f ca="1"/>
        <v>45649</v>
      </c>
      <c r="B783" s="17" vm="2333">
        <f ca="1"/>
        <v>223.75</v>
      </c>
      <c r="D783" s="9" vm="20">
        <f ca="1"/>
        <v>42992.21</v>
      </c>
      <c r="E783" s="11">
        <f t="shared" ca="1" si="13"/>
        <v>-5.2018495465053771E-3</v>
      </c>
    </row>
    <row r="784" spans="1:5" x14ac:dyDescent="0.3">
      <c r="A784" s="82" vm="1029">
        <f ca="1"/>
        <v>45656</v>
      </c>
      <c r="B784" s="17" vm="2334">
        <f ca="1"/>
        <v>224.19</v>
      </c>
      <c r="D784" s="9" vm="26">
        <f ca="1"/>
        <v>42732.13</v>
      </c>
      <c r="E784" s="11">
        <f t="shared" ca="1" si="13"/>
        <v>1.9664804469272656E-3</v>
      </c>
    </row>
    <row r="785" spans="1:5" x14ac:dyDescent="0.3">
      <c r="A785" s="82" vm="1030">
        <f ca="1"/>
        <v>45663</v>
      </c>
      <c r="B785" s="17" vm="2335">
        <f ca="1"/>
        <v>218.94</v>
      </c>
      <c r="D785" s="9" vm="40">
        <f ca="1"/>
        <v>41938.449999999997</v>
      </c>
      <c r="E785" s="11">
        <f t="shared" ca="1" si="13"/>
        <v>-2.3417636825906585E-2</v>
      </c>
    </row>
    <row r="786" spans="1:5" x14ac:dyDescent="0.3">
      <c r="A786" s="82" vm="1031">
        <f ca="1"/>
        <v>45670</v>
      </c>
      <c r="B786" s="17" vm="2336">
        <f ca="1"/>
        <v>225.94</v>
      </c>
      <c r="D786" s="9" vm="12">
        <f ca="1"/>
        <v>43487.83</v>
      </c>
      <c r="E786" s="11">
        <f t="shared" ca="1" si="13"/>
        <v>3.1972229834657862E-2</v>
      </c>
    </row>
    <row r="787" spans="1:5" x14ac:dyDescent="0.3">
      <c r="A787" s="82" vm="1032">
        <f ca="1"/>
        <v>45678</v>
      </c>
      <c r="B787" s="17" vm="2337">
        <f ca="1"/>
        <v>234.85</v>
      </c>
      <c r="D787" s="9" vm="1">
        <f ca="1"/>
        <v>44424.25</v>
      </c>
      <c r="E787" s="11">
        <f t="shared" ca="1" si="13"/>
        <v>3.9435248296007863E-2</v>
      </c>
    </row>
    <row r="788" spans="1:5" x14ac:dyDescent="0.3">
      <c r="A788" s="82" vm="1033">
        <f ca="1"/>
        <v>45684</v>
      </c>
      <c r="B788" s="17" vm="2338">
        <f ca="1"/>
        <v>237.68</v>
      </c>
      <c r="D788" s="9" vm="2339">
        <f ca="1"/>
        <v>44544.66</v>
      </c>
      <c r="E788" s="11">
        <f t="shared" ca="1" si="13"/>
        <v>1.2050244837130242E-2</v>
      </c>
    </row>
    <row r="789" spans="1:5" x14ac:dyDescent="0.3">
      <c r="A789" s="82" vm="2340">
        <f ca="1"/>
        <v>45691</v>
      </c>
      <c r="B789" s="17" vm="2341">
        <f ca="1"/>
        <v>229.15</v>
      </c>
      <c r="D789" s="9" vm="2">
        <f ca="1"/>
        <v>44303.4</v>
      </c>
      <c r="E789" s="11">
        <f t="shared" ca="1" si="13"/>
        <v>-3.5888589700437512E-2</v>
      </c>
    </row>
    <row r="790" spans="1:5" x14ac:dyDescent="0.3">
      <c r="A790" s="82" vm="2342">
        <f ca="1"/>
        <v>45698</v>
      </c>
      <c r="B790" s="17" vm="2343">
        <f ca="1"/>
        <v>228.68</v>
      </c>
      <c r="D790" s="9" vm="2344">
        <f ca="1"/>
        <v>44546.080000000002</v>
      </c>
      <c r="E790" s="11">
        <f t="shared" ca="1" si="13"/>
        <v>-2.0510582587824899E-3</v>
      </c>
    </row>
    <row r="791" spans="1:5" x14ac:dyDescent="0.3">
      <c r="A791" s="82" vm="2345">
        <f ca="1"/>
        <v>45706</v>
      </c>
      <c r="B791" s="17" vm="2346">
        <f ca="1"/>
        <v>216.58</v>
      </c>
      <c r="D791" s="9" vm="16">
        <f ca="1"/>
        <v>43428.02</v>
      </c>
      <c r="E791" s="11">
        <f t="shared" ca="1" si="13"/>
        <v>-5.2912366625852747E-2</v>
      </c>
    </row>
    <row r="792" spans="1:5" x14ac:dyDescent="0.3">
      <c r="A792" s="82" vm="2347">
        <f ca="1"/>
        <v>45712</v>
      </c>
      <c r="B792" s="17" vm="1038">
        <f ca="1"/>
        <v>212.28</v>
      </c>
      <c r="D792" s="9" vm="8">
        <f ca="1"/>
        <v>43840.91</v>
      </c>
      <c r="E792" s="11">
        <f t="shared" ca="1" si="13"/>
        <v>-1.9854095484347689E-2</v>
      </c>
    </row>
    <row r="793" spans="1:5" x14ac:dyDescent="0.3">
      <c r="A793" s="82" vm="2348">
        <f ca="1"/>
        <v>45719</v>
      </c>
      <c r="B793" s="17" vm="2349">
        <f ca="1"/>
        <v>203.8</v>
      </c>
      <c r="D793" s="14" vm="28">
        <f ca="1"/>
        <v>42520.99</v>
      </c>
    </row>
  </sheetData>
  <mergeCells count="1">
    <mergeCell ref="D1:G1"/>
  </mergeCells>
  <conditionalFormatting sqref="G3">
    <cfRule type="cellIs" dxfId="6" priority="9" operator="lessThanOrEqual">
      <formula>0</formula>
    </cfRule>
    <cfRule type="cellIs" dxfId="5" priority="10" operator="greaterThan">
      <formula>0</formula>
    </cfRule>
  </conditionalFormatting>
  <conditionalFormatting sqref="O12">
    <cfRule type="cellIs" dxfId="4" priority="7" operator="lessThanOrEqual">
      <formula>0</formula>
    </cfRule>
    <cfRule type="cellIs" dxfId="3" priority="8" operator="greaterThan">
      <formula>0</formula>
    </cfRule>
  </conditionalFormatting>
  <conditionalFormatting sqref="O16">
    <cfRule type="cellIs" dxfId="2" priority="1" operator="equal">
      <formula>"Error!"</formula>
    </cfRule>
    <cfRule type="cellIs" dxfId="1" priority="2" operator="lessThanOrEqual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75F87A9-D3A7-4EF3-9A34-ABEC727C71F3}">
          <x14:formula1>
            <xm:f>Backdoor!$DF$5:$DF$8</xm:f>
          </x14:formula1>
          <xm:sqref>B5</xm:sqref>
        </x14:dataValidation>
        <x14:dataValidation type="list" allowBlank="1" showInputMessage="1" showErrorMessage="1" xr:uid="{35100F98-907F-4EB7-A997-16DA5DB698B4}">
          <x14:formula1>
            <xm:f>Backdoor!$DH$5:$DH$16</xm:f>
          </x14:formula1>
          <xm:sqref>B4</xm:sqref>
        </x14:dataValidation>
        <x14:dataValidation type="list" allowBlank="1" showInputMessage="1" showErrorMessage="1" xr:uid="{0D005DCF-0C02-4682-8B0F-EAD5A9E5057A}">
          <x14:formula1>
            <xm:f>_xlfn.IFS(B5="Stock",'Assets List'!$F$6:$F$508,B5="ETF",'Assets List'!$B$6:$B$105,B5="Mutual Fund",'Assets List'!$J$6:$J$30,B5="Crypto",'Assets List'!$N$6:$N$10)</xm:f>
          </x14:formula1>
          <xm:sqref>B6:C6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14954-1E15-4684-83D9-12E53E441B18}">
  <sheetPr codeName="Sheet3">
    <tabColor theme="5" tint="0.59999389629810485"/>
  </sheetPr>
  <dimension ref="A1:S45"/>
  <sheetViews>
    <sheetView showRowColHeaders="0" zoomScale="91" workbookViewId="0">
      <selection activeCell="H9" sqref="H9"/>
    </sheetView>
  </sheetViews>
  <sheetFormatPr defaultRowHeight="20.399999999999999" customHeight="1" x14ac:dyDescent="0.3"/>
  <cols>
    <col min="1" max="1" width="4.44140625" style="2" customWidth="1"/>
    <col min="2" max="2" width="12.109375" style="8" customWidth="1"/>
    <col min="3" max="3" width="12.77734375" style="8" customWidth="1"/>
    <col min="4" max="4" width="8.88671875" style="8"/>
    <col min="5" max="5" width="13.21875" style="34" customWidth="1"/>
    <col min="6" max="6" width="3.21875" style="2" customWidth="1"/>
    <col min="7" max="7" width="3.5546875" style="2" customWidth="1"/>
    <col min="8" max="8" width="17.88671875" style="2" customWidth="1"/>
    <col min="9" max="9" width="16.6640625" style="2" customWidth="1"/>
    <col min="10" max="11" width="8.88671875" style="2"/>
    <col min="12" max="12" width="11.6640625" style="2" bestFit="1" customWidth="1"/>
    <col min="13" max="13" width="8.88671875" style="2"/>
    <col min="14" max="14" width="12.5546875" style="2" customWidth="1"/>
    <col min="15" max="15" width="11" style="2" customWidth="1"/>
    <col min="16" max="16" width="8.88671875" style="2"/>
    <col min="17" max="17" width="11.44140625" style="2" customWidth="1"/>
    <col min="18" max="16384" width="8.88671875" style="2"/>
  </cols>
  <sheetData>
    <row r="1" spans="1:19" ht="25.8" x14ac:dyDescent="0.5">
      <c r="A1" s="13"/>
      <c r="B1" s="21" t="s">
        <v>1289</v>
      </c>
      <c r="C1" s="49"/>
      <c r="D1" s="49"/>
      <c r="E1" s="73" t="s">
        <v>1344</v>
      </c>
      <c r="F1" s="73"/>
      <c r="G1" s="73"/>
      <c r="H1" s="73"/>
      <c r="J1" s="23" t="s">
        <v>1288</v>
      </c>
      <c r="K1" s="22"/>
      <c r="L1" s="13"/>
      <c r="N1" s="23" t="s">
        <v>1291</v>
      </c>
      <c r="O1" s="13"/>
      <c r="Q1" s="23" t="s">
        <v>1304</v>
      </c>
      <c r="R1" s="13"/>
      <c r="S1" s="13"/>
    </row>
    <row r="2" spans="1:19" ht="20.399999999999999" customHeight="1" x14ac:dyDescent="0.3">
      <c r="B2" s="2"/>
      <c r="C2" s="2"/>
      <c r="D2" s="2"/>
      <c r="E2" s="2"/>
      <c r="J2" s="24" t="s">
        <v>1290</v>
      </c>
      <c r="L2" s="28">
        <f>IF(SUM($E$5:$E$45)=0,0,SUM($E$5:$E$45))</f>
        <v>0</v>
      </c>
      <c r="N2" s="24" t="s">
        <v>1295</v>
      </c>
      <c r="O2" s="30">
        <f>Backdoor!C536</f>
        <v>0</v>
      </c>
      <c r="Q2" s="24" t="str">
        <f>N2</f>
        <v>6mo Return:</v>
      </c>
      <c r="R2" s="30">
        <f>IF(L2=0,0,Backdoor!C540)</f>
        <v>0</v>
      </c>
    </row>
    <row r="3" spans="1:19" ht="19.2" customHeight="1" x14ac:dyDescent="0.3">
      <c r="B3" s="2"/>
      <c r="C3" s="2"/>
      <c r="D3" s="2"/>
      <c r="E3" s="2"/>
      <c r="J3" s="3" t="s">
        <v>1293</v>
      </c>
      <c r="L3" s="29">
        <f>Backdoor!$C$531</f>
        <v>0</v>
      </c>
      <c r="N3" s="24" t="s">
        <v>1296</v>
      </c>
      <c r="O3" s="30">
        <f>Backdoor!C537</f>
        <v>0</v>
      </c>
      <c r="Q3" s="24" t="str">
        <f t="shared" ref="Q3:Q4" si="0">N3</f>
        <v>1y Return:</v>
      </c>
      <c r="R3" s="30">
        <f>IF(L2=0,0,Backdoor!C541)</f>
        <v>0</v>
      </c>
    </row>
    <row r="4" spans="1:19" ht="20.399999999999999" customHeight="1" x14ac:dyDescent="0.3">
      <c r="B4" s="3" t="s">
        <v>216</v>
      </c>
      <c r="C4" s="3" t="s">
        <v>1230</v>
      </c>
      <c r="D4" s="3" t="s">
        <v>1286</v>
      </c>
      <c r="E4" s="3" t="s">
        <v>1287</v>
      </c>
      <c r="J4" s="3" t="s">
        <v>1294</v>
      </c>
      <c r="L4" s="30">
        <f>Backdoor!$C$534</f>
        <v>0</v>
      </c>
      <c r="N4" s="24" t="s">
        <v>1297</v>
      </c>
      <c r="O4" s="30">
        <f>Backdoor!C538</f>
        <v>0</v>
      </c>
      <c r="Q4" s="24" t="str">
        <f t="shared" si="0"/>
        <v>5y Return:</v>
      </c>
      <c r="R4" s="30">
        <f>IF(L2=0,0,Backdoor!C542)</f>
        <v>0</v>
      </c>
    </row>
    <row r="5" spans="1:19" ht="20.399999999999999" customHeight="1" x14ac:dyDescent="0.3">
      <c r="E5" s="41"/>
    </row>
    <row r="6" spans="1:19" ht="20.399999999999999" customHeight="1" x14ac:dyDescent="0.3">
      <c r="E6" s="41"/>
    </row>
    <row r="7" spans="1:19" ht="20.399999999999999" customHeight="1" x14ac:dyDescent="0.3">
      <c r="E7" s="41"/>
    </row>
    <row r="8" spans="1:19" ht="20.399999999999999" customHeight="1" x14ac:dyDescent="0.3">
      <c r="E8" s="41"/>
    </row>
    <row r="9" spans="1:19" ht="20.399999999999999" customHeight="1" x14ac:dyDescent="0.3">
      <c r="E9" s="41"/>
    </row>
    <row r="10" spans="1:19" ht="20.399999999999999" customHeight="1" x14ac:dyDescent="0.3">
      <c r="E10" s="41"/>
    </row>
    <row r="11" spans="1:19" ht="20.399999999999999" customHeight="1" x14ac:dyDescent="0.3">
      <c r="E11" s="41"/>
    </row>
    <row r="12" spans="1:19" ht="20.399999999999999" customHeight="1" x14ac:dyDescent="0.3">
      <c r="E12" s="41"/>
    </row>
    <row r="13" spans="1:19" ht="20.399999999999999" customHeight="1" x14ac:dyDescent="0.3">
      <c r="E13" s="41"/>
    </row>
    <row r="14" spans="1:19" ht="20.399999999999999" customHeight="1" x14ac:dyDescent="0.3">
      <c r="E14" s="41"/>
    </row>
    <row r="15" spans="1:19" ht="20.399999999999999" customHeight="1" x14ac:dyDescent="0.3">
      <c r="E15" s="41"/>
    </row>
    <row r="16" spans="1:19" ht="20.399999999999999" customHeight="1" x14ac:dyDescent="0.3">
      <c r="E16" s="41"/>
    </row>
    <row r="17" spans="2:7" ht="20.399999999999999" customHeight="1" x14ac:dyDescent="0.3">
      <c r="E17" s="41"/>
    </row>
    <row r="18" spans="2:7" ht="20.399999999999999" customHeight="1" x14ac:dyDescent="0.3">
      <c r="E18" s="41"/>
    </row>
    <row r="19" spans="2:7" ht="20.399999999999999" customHeight="1" x14ac:dyDescent="0.3">
      <c r="E19" s="41"/>
    </row>
    <row r="20" spans="2:7" ht="20.399999999999999" customHeight="1" x14ac:dyDescent="0.3">
      <c r="E20" s="41"/>
    </row>
    <row r="21" spans="2:7" ht="20.399999999999999" customHeight="1" x14ac:dyDescent="0.3">
      <c r="E21" s="41"/>
    </row>
    <row r="22" spans="2:7" ht="20.399999999999999" customHeight="1" x14ac:dyDescent="0.3">
      <c r="E22" s="41"/>
    </row>
    <row r="23" spans="2:7" ht="20.399999999999999" customHeight="1" x14ac:dyDescent="0.3">
      <c r="E23" s="41"/>
    </row>
    <row r="24" spans="2:7" ht="20.399999999999999" customHeight="1" x14ac:dyDescent="0.3">
      <c r="E24" s="42"/>
    </row>
    <row r="25" spans="2:7" ht="20.399999999999999" customHeight="1" x14ac:dyDescent="0.3">
      <c r="E25" s="42"/>
    </row>
    <row r="26" spans="2:7" ht="20.399999999999999" customHeight="1" x14ac:dyDescent="0.3">
      <c r="E26" s="42"/>
    </row>
    <row r="27" spans="2:7" ht="20.399999999999999" customHeight="1" x14ac:dyDescent="0.3">
      <c r="E27" s="42"/>
    </row>
    <row r="28" spans="2:7" ht="20.399999999999999" customHeight="1" x14ac:dyDescent="0.3">
      <c r="E28" s="42"/>
    </row>
    <row r="29" spans="2:7" ht="20.399999999999999" customHeight="1" x14ac:dyDescent="0.3">
      <c r="E29" s="42"/>
    </row>
    <row r="30" spans="2:7" s="31" customFormat="1" ht="20.399999999999999" customHeight="1" x14ac:dyDescent="0.3">
      <c r="B30" s="33"/>
      <c r="C30" s="33"/>
      <c r="D30" s="33"/>
      <c r="E30" s="43"/>
      <c r="G30" s="32"/>
    </row>
    <row r="31" spans="2:7" ht="20.399999999999999" customHeight="1" x14ac:dyDescent="0.3">
      <c r="E31" s="42"/>
    </row>
    <row r="32" spans="2:7" ht="20.399999999999999" customHeight="1" x14ac:dyDescent="0.3">
      <c r="E32" s="42"/>
    </row>
    <row r="33" spans="5:5" ht="20.399999999999999" customHeight="1" x14ac:dyDescent="0.3">
      <c r="E33" s="42"/>
    </row>
    <row r="34" spans="5:5" ht="20.399999999999999" customHeight="1" x14ac:dyDescent="0.3">
      <c r="E34" s="42"/>
    </row>
    <row r="35" spans="5:5" ht="20.399999999999999" customHeight="1" x14ac:dyDescent="0.3">
      <c r="E35" s="42"/>
    </row>
    <row r="36" spans="5:5" ht="20.399999999999999" customHeight="1" x14ac:dyDescent="0.3">
      <c r="E36" s="42"/>
    </row>
    <row r="37" spans="5:5" ht="20.399999999999999" customHeight="1" x14ac:dyDescent="0.3">
      <c r="E37" s="42"/>
    </row>
    <row r="38" spans="5:5" ht="20.399999999999999" customHeight="1" x14ac:dyDescent="0.3">
      <c r="E38" s="42"/>
    </row>
    <row r="39" spans="5:5" ht="20.399999999999999" customHeight="1" x14ac:dyDescent="0.3">
      <c r="E39" s="42"/>
    </row>
    <row r="40" spans="5:5" ht="20.399999999999999" customHeight="1" x14ac:dyDescent="0.3">
      <c r="E40" s="42"/>
    </row>
    <row r="41" spans="5:5" ht="20.399999999999999" customHeight="1" x14ac:dyDescent="0.3">
      <c r="E41" s="42"/>
    </row>
    <row r="42" spans="5:5" ht="20.399999999999999" customHeight="1" x14ac:dyDescent="0.3">
      <c r="E42" s="42"/>
    </row>
    <row r="43" spans="5:5" ht="20.399999999999999" customHeight="1" x14ac:dyDescent="0.3">
      <c r="E43" s="42"/>
    </row>
    <row r="44" spans="5:5" ht="20.399999999999999" customHeight="1" x14ac:dyDescent="0.3">
      <c r="E44" s="42"/>
    </row>
    <row r="45" spans="5:5" ht="20.399999999999999" customHeight="1" x14ac:dyDescent="0.3">
      <c r="E45" s="42"/>
    </row>
  </sheetData>
  <mergeCells count="1">
    <mergeCell ref="E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erformMacroInNextRow">
                <anchor moveWithCells="1" sizeWithCells="1">
                  <from>
                    <xdr:col>0</xdr:col>
                    <xdr:colOff>297180</xdr:colOff>
                    <xdr:row>1</xdr:row>
                    <xdr:rowOff>167640</xdr:rowOff>
                  </from>
                  <to>
                    <xdr:col>2</xdr:col>
                    <xdr:colOff>45720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DeleteAllRowsWithContent">
                <anchor moveWithCells="1" sizeWithCells="1">
                  <from>
                    <xdr:col>4</xdr:col>
                    <xdr:colOff>754380</xdr:colOff>
                    <xdr:row>1</xdr:row>
                    <xdr:rowOff>152400</xdr:rowOff>
                  </from>
                  <to>
                    <xdr:col>7</xdr:col>
                    <xdr:colOff>373380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1CCB50-E44A-4294-B7DA-355EA76E10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Backdoor</vt:lpstr>
      <vt:lpstr>Assets List</vt:lpstr>
      <vt:lpstr>Returns</vt:lpstr>
      <vt:lpstr>Portfolio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Shrivas M</dc:creator>
  <cp:lastModifiedBy>Shrivas M</cp:lastModifiedBy>
  <dcterms:created xsi:type="dcterms:W3CDTF">2024-12-13T06:01:56Z</dcterms:created>
  <dcterms:modified xsi:type="dcterms:W3CDTF">2025-03-05T22:56:49Z</dcterms:modified>
</cp:coreProperties>
</file>